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  <sheet name="answers_Q2" sheetId="4" state="visible" r:id="rId4"/>
    <sheet name="answers_Q3" sheetId="5" state="visible" r:id="rId5"/>
    <sheet name="answers_Q4" sheetId="6" state="visible" r:id="rId6"/>
    <sheet name="answers_Q5" sheetId="7" state="visible" r:id="rId7"/>
    <sheet name="answers_Q6" sheetId="8" state="visible" r:id="rId8"/>
    <sheet name="answers_Q7" sheetId="9" state="visible" r:id="rId9"/>
    <sheet name="answers_Q8" sheetId="10" state="visible" r:id="rId10"/>
    <sheet name="answers_Q9" sheetId="11" state="visible" r:id="rId11"/>
    <sheet name="answers_Q10" sheetId="12" state="visible" r:id="rId12"/>
    <sheet name="answers_Q11" sheetId="13" state="visible" r:id="rId13"/>
    <sheet name="answers_Q12" sheetId="14" state="visible" r:id="rId14"/>
    <sheet name="answers_Q13" sheetId="15" state="visible" r:id="rId15"/>
    <sheet name="answers_Q14" sheetId="16" state="visible" r:id="rId16"/>
    <sheet name="answers_Q15" sheetId="17" state="visible" r:id="rId17"/>
    <sheet name="answers_Q16" sheetId="18" state="visible" r:id="rId18"/>
    <sheet name="answers_Q17" sheetId="19" state="visible" r:id="rId19"/>
    <sheet name="answers_Q18" sheetId="20" state="visible" r:id="rId20"/>
    <sheet name="model_Capacity" sheetId="21" state="visible" r:id="rId21"/>
    <sheet name="model_MarginalCost" sheetId="22" state="visible" r:id="rId22"/>
    <sheet name="model_Production" sheetId="23" state="visible" r:id="rId23"/>
    <sheet name="model_Financials" sheetId="24" state="visible" r:id="rId24"/>
    <sheet name="model_TimeSeri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_);($#,##0)"/>
  </numFmts>
  <fonts count="7">
    <font>
      <name val="Calibri"/>
      <family val="2"/>
      <color theme="1"/>
      <sz val="11"/>
      <scheme val="minor"/>
    </font>
    <font>
      <name val="Calibri"/>
      <b val="1"/>
      <color theme="1"/>
      <sz val="14"/>
    </font>
    <font>
      <name val="Calibri"/>
      <b val="1"/>
      <color rgb="00FFFFFF"/>
      <sz val="11"/>
    </font>
    <font>
      <name val="Calibri"/>
      <b val="1"/>
      <color rgb="000000FF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5" fillId="0" borderId="0" pivotButton="0" quotePrefix="0" xfId="0"/>
    <xf numFmtId="0" fontId="6" fillId="0" borderId="0" pivotButton="0" quotePrefix="0" xfId="0"/>
    <xf numFmtId="166" fontId="4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6" fontId="5" fillId="0" borderId="0" pivotButton="0" quotePrefix="0" xfId="0"/>
    <xf numFmtId="165" fontId="0" fillId="0" borderId="0" pivotButton="0" quotePrefix="0" xfId="0"/>
    <xf numFmtId="3" fontId="6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21" customWidth="1" min="3" max="3"/>
    <col width="27" customWidth="1" min="4" max="4"/>
    <col width="29" customWidth="1" min="5" max="5"/>
    <col width="28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Model Assumptions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2" t="inlineStr">
        <is>
          <t>Machine Purchase Years</t>
        </is>
      </c>
      <c r="B3" s="2" t="inlineStr">
        <is>
          <t>Factory</t>
        </is>
      </c>
      <c r="C3" s="2" t="inlineStr">
        <is>
          <t>Product A</t>
        </is>
      </c>
      <c r="D3" s="2" t="inlineStr">
        <is>
          <t>Product B</t>
        </is>
      </c>
      <c r="E3" s="2" t="inlineStr">
        <is>
          <t>Product C</t>
        </is>
      </c>
      <c r="F3" s="2" t="inlineStr">
        <is>
          <t>Product D</t>
        </is>
      </c>
      <c r="G3" s="2" t="inlineStr">
        <is>
          <t>Product E</t>
        </is>
      </c>
      <c r="H3" s="2" t="inlineStr">
        <is>
          <t>Product F</t>
        </is>
      </c>
      <c r="I3" s="2" t="inlineStr">
        <is>
          <t>Product G</t>
        </is>
      </c>
      <c r="J3" s="2" t="inlineStr">
        <is>
          <t>Product H</t>
        </is>
      </c>
    </row>
    <row r="4">
      <c r="A4" s="9" t="n"/>
      <c r="B4" s="4" t="inlineStr">
        <is>
          <t>Telford</t>
        </is>
      </c>
      <c r="C4" s="4" t="n">
        <v>1998</v>
      </c>
      <c r="D4" s="4" t="n">
        <v>1997</v>
      </c>
      <c r="E4" s="4" t="n">
        <v>1998</v>
      </c>
      <c r="F4" s="4" t="n"/>
      <c r="G4" s="4" t="n">
        <v>2004</v>
      </c>
      <c r="H4" s="4" t="n">
        <v>2004</v>
      </c>
      <c r="I4" s="4" t="n"/>
      <c r="J4" s="4" t="n">
        <v>1999</v>
      </c>
    </row>
    <row r="5">
      <c r="A5" s="9" t="n"/>
      <c r="B5" s="4" t="inlineStr">
        <is>
          <t>Ulsan</t>
        </is>
      </c>
      <c r="C5" s="4" t="n"/>
      <c r="D5" s="4" t="n">
        <v>2009</v>
      </c>
      <c r="E5" s="4" t="n">
        <v>2003</v>
      </c>
      <c r="F5" s="4" t="n"/>
      <c r="G5" s="4" t="n">
        <v>2002</v>
      </c>
      <c r="H5" s="4" t="n">
        <v>2003</v>
      </c>
      <c r="I5" s="4" t="n">
        <v>2014</v>
      </c>
      <c r="J5" s="4" t="n">
        <v>2005</v>
      </c>
    </row>
    <row r="6">
      <c r="A6" s="9" t="n"/>
      <c r="B6" s="4" t="inlineStr">
        <is>
          <t>Victoria</t>
        </is>
      </c>
      <c r="C6" s="4" t="n">
        <v>2007</v>
      </c>
      <c r="D6" s="4" t="n">
        <v>2003</v>
      </c>
      <c r="E6" s="4" t="n"/>
      <c r="F6" s="4" t="n">
        <v>2012</v>
      </c>
      <c r="G6" s="4" t="n">
        <v>2013</v>
      </c>
      <c r="H6" s="4" t="n"/>
      <c r="I6" s="4" t="n">
        <v>2008</v>
      </c>
      <c r="J6" s="4" t="n">
        <v>1993</v>
      </c>
    </row>
    <row r="7">
      <c r="A7" s="9" t="n"/>
      <c r="B7" s="4" t="inlineStr">
        <is>
          <t>Westminster</t>
        </is>
      </c>
      <c r="C7" s="4" t="n">
        <v>1999</v>
      </c>
      <c r="D7" s="4" t="n"/>
      <c r="E7" s="4" t="n">
        <v>2013</v>
      </c>
      <c r="F7" s="4" t="n"/>
      <c r="G7" s="4" t="n"/>
      <c r="H7" s="4" t="n">
        <v>2007</v>
      </c>
      <c r="I7" s="4" t="n">
        <v>1997</v>
      </c>
      <c r="J7" s="4" t="n"/>
    </row>
    <row r="8">
      <c r="A8" s="9" t="n"/>
      <c r="B8" s="4" t="inlineStr">
        <is>
          <t>Xinzhou</t>
        </is>
      </c>
      <c r="C8" s="4" t="n">
        <v>2005</v>
      </c>
      <c r="D8" s="4" t="n">
        <v>2013</v>
      </c>
      <c r="E8" s="4" t="n">
        <v>1992</v>
      </c>
      <c r="F8" s="4" t="n">
        <v>1997</v>
      </c>
      <c r="G8" s="4" t="n">
        <v>1999</v>
      </c>
      <c r="H8" s="4" t="n">
        <v>2012</v>
      </c>
      <c r="I8" s="4" t="n">
        <v>2013</v>
      </c>
      <c r="J8" s="4" t="n">
        <v>2006</v>
      </c>
    </row>
    <row r="9">
      <c r="A9" s="9" t="n"/>
      <c r="B9" s="4" t="inlineStr">
        <is>
          <t>York</t>
        </is>
      </c>
      <c r="C9" s="4" t="n"/>
      <c r="D9" s="4" t="n"/>
      <c r="E9" s="4" t="n">
        <v>1996</v>
      </c>
      <c r="F9" s="4" t="n">
        <v>2011</v>
      </c>
      <c r="G9" s="4" t="n">
        <v>1993</v>
      </c>
      <c r="H9" s="4" t="n">
        <v>1997</v>
      </c>
      <c r="I9" s="4" t="n">
        <v>2012</v>
      </c>
      <c r="J9" s="4" t="n">
        <v>2009</v>
      </c>
    </row>
    <row r="10">
      <c r="A10" s="9" t="n"/>
      <c r="B10" s="4" t="inlineStr">
        <is>
          <t>Zwolle</t>
        </is>
      </c>
      <c r="C10" s="4" t="n"/>
      <c r="D10" s="4" t="n"/>
      <c r="E10" s="4" t="n">
        <v>1997</v>
      </c>
      <c r="F10" s="4" t="n">
        <v>2014</v>
      </c>
      <c r="G10" s="4" t="n">
        <v>2011</v>
      </c>
      <c r="H10" s="4" t="n"/>
      <c r="I10" s="4" t="n">
        <v>2007</v>
      </c>
      <c r="J10" s="4" t="n">
        <v>1994</v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inlineStr">
        <is>
          <t>Machine Characteristics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2" t="inlineStr">
        <is>
          <t>Product</t>
        </is>
      </c>
      <c r="B13" s="2" t="inlineStr">
        <is>
          <t>Initial Annual Rate [000s]</t>
        </is>
      </c>
      <c r="C13" s="2" t="inlineStr">
        <is>
          <t>Useful Life [years]</t>
        </is>
      </c>
      <c r="D13" s="2" t="inlineStr">
        <is>
          <t>Final Year Efficiency [%]</t>
        </is>
      </c>
      <c r="E13" s="2" t="inlineStr">
        <is>
          <t>Electricity Usage [MWh/day]</t>
        </is>
      </c>
      <c r="F13" s="2" t="inlineStr">
        <is>
          <t>Labor Required [hours/day]</t>
        </is>
      </c>
      <c r="G13" s="9" t="n"/>
      <c r="H13" s="9" t="n"/>
      <c r="I13" s="9" t="n"/>
      <c r="J13" s="9" t="n"/>
    </row>
    <row r="14">
      <c r="A14" s="9" t="inlineStr">
        <is>
          <t>Product A</t>
        </is>
      </c>
      <c r="B14" s="4" t="n">
        <v>82</v>
      </c>
      <c r="C14" s="4" t="n">
        <v>22</v>
      </c>
      <c r="D14" s="5" t="n">
        <v>0.8</v>
      </c>
      <c r="E14" s="4" t="n">
        <v>620</v>
      </c>
      <c r="F14" s="4" t="n">
        <v>110</v>
      </c>
      <c r="G14" s="9" t="n"/>
      <c r="H14" s="9" t="n"/>
      <c r="I14" s="9" t="n"/>
      <c r="J14" s="9" t="n"/>
    </row>
    <row r="15">
      <c r="A15" s="9" t="inlineStr">
        <is>
          <t>Product B</t>
        </is>
      </c>
      <c r="B15" s="4" t="n">
        <v>110</v>
      </c>
      <c r="C15" s="4" t="n">
        <v>31</v>
      </c>
      <c r="D15" s="5" t="n">
        <v>0.67</v>
      </c>
      <c r="E15" s="4" t="n">
        <v>662</v>
      </c>
      <c r="F15" s="4" t="n">
        <v>62</v>
      </c>
      <c r="G15" s="9" t="n"/>
      <c r="H15" s="9" t="n"/>
      <c r="I15" s="9" t="n"/>
      <c r="J15" s="9" t="n"/>
    </row>
    <row r="16">
      <c r="A16" s="9" t="inlineStr">
        <is>
          <t>Product C</t>
        </is>
      </c>
      <c r="B16" s="4" t="n">
        <v>95</v>
      </c>
      <c r="C16" s="4" t="n">
        <v>29</v>
      </c>
      <c r="D16" s="5" t="n">
        <v>0.84</v>
      </c>
      <c r="E16" s="4" t="n">
        <v>638</v>
      </c>
      <c r="F16" s="4" t="n">
        <v>120</v>
      </c>
      <c r="G16" s="9" t="n"/>
      <c r="H16" s="9" t="n"/>
      <c r="I16" s="9" t="n"/>
      <c r="J16" s="9" t="n"/>
    </row>
    <row r="17">
      <c r="A17" s="9" t="inlineStr">
        <is>
          <t>Product D</t>
        </is>
      </c>
      <c r="B17" s="4" t="n">
        <v>101</v>
      </c>
      <c r="C17" s="4" t="n">
        <v>23</v>
      </c>
      <c r="D17" s="5" t="n">
        <v>0.85</v>
      </c>
      <c r="E17" s="4" t="n">
        <v>547</v>
      </c>
      <c r="F17" s="4" t="n">
        <v>48</v>
      </c>
      <c r="G17" s="9" t="n"/>
      <c r="H17" s="9" t="n"/>
      <c r="I17" s="9" t="n"/>
      <c r="J17" s="9" t="n"/>
    </row>
    <row r="18">
      <c r="A18" s="9" t="inlineStr">
        <is>
          <t>Product E</t>
        </is>
      </c>
      <c r="B18" s="4" t="n">
        <v>262</v>
      </c>
      <c r="C18" s="4" t="n">
        <v>31</v>
      </c>
      <c r="D18" s="5" t="n">
        <v>0.65</v>
      </c>
      <c r="E18" s="4" t="n">
        <v>424</v>
      </c>
      <c r="F18" s="4" t="n">
        <v>58</v>
      </c>
      <c r="G18" s="9" t="n"/>
      <c r="H18" s="9" t="n"/>
      <c r="I18" s="9" t="n"/>
      <c r="J18" s="9" t="n"/>
    </row>
    <row r="19">
      <c r="A19" s="9" t="inlineStr">
        <is>
          <t>Product F</t>
        </is>
      </c>
      <c r="B19" s="4" t="n">
        <v>102</v>
      </c>
      <c r="C19" s="4" t="n">
        <v>25</v>
      </c>
      <c r="D19" s="5" t="n">
        <v>0.72</v>
      </c>
      <c r="E19" s="4" t="n">
        <v>651</v>
      </c>
      <c r="F19" s="4" t="n">
        <v>82</v>
      </c>
      <c r="G19" s="9" t="n"/>
      <c r="H19" s="9" t="n"/>
      <c r="I19" s="9" t="n"/>
      <c r="J19" s="9" t="n"/>
    </row>
    <row r="20">
      <c r="A20" s="9" t="inlineStr">
        <is>
          <t>Product G</t>
        </is>
      </c>
      <c r="B20" s="4" t="n">
        <v>180</v>
      </c>
      <c r="C20" s="4" t="n">
        <v>24</v>
      </c>
      <c r="D20" s="5" t="n">
        <v>0.8</v>
      </c>
      <c r="E20" s="4" t="n">
        <v>366</v>
      </c>
      <c r="F20" s="4" t="n">
        <v>77</v>
      </c>
      <c r="G20" s="9" t="n"/>
      <c r="H20" s="9" t="n"/>
      <c r="I20" s="9" t="n"/>
      <c r="J20" s="9" t="n"/>
    </row>
    <row r="21">
      <c r="A21" s="9" t="inlineStr">
        <is>
          <t>Product H</t>
        </is>
      </c>
      <c r="B21" s="4" t="n">
        <v>259</v>
      </c>
      <c r="C21" s="4" t="n">
        <v>26</v>
      </c>
      <c r="D21" s="5" t="n">
        <v>0.8</v>
      </c>
      <c r="E21" s="4" t="n">
        <v>585</v>
      </c>
      <c r="F21" s="4" t="n">
        <v>101</v>
      </c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inlineStr">
        <is>
          <t>Product Prices (2015)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2" t="inlineStr">
        <is>
          <t>Product</t>
        </is>
      </c>
      <c r="B24" s="2" t="inlineStr">
        <is>
          <t>Price [$/product]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inlineStr">
        <is>
          <t>Product A</t>
        </is>
      </c>
      <c r="B25" s="10" t="n">
        <v>149.4</v>
      </c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inlineStr">
        <is>
          <t>Product B</t>
        </is>
      </c>
      <c r="B26" s="10" t="n">
        <v>352.9</v>
      </c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inlineStr">
        <is>
          <t>Product C</t>
        </is>
      </c>
      <c r="B27" s="10" t="n">
        <v>289.64</v>
      </c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inlineStr">
        <is>
          <t>Product D</t>
        </is>
      </c>
      <c r="B28" s="10" t="n">
        <v>126.71</v>
      </c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inlineStr">
        <is>
          <t>Product E</t>
        </is>
      </c>
      <c r="B29" s="10" t="n">
        <v>399.51</v>
      </c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inlineStr">
        <is>
          <t>Product F</t>
        </is>
      </c>
      <c r="B30" s="10" t="n">
        <v>97.12</v>
      </c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inlineStr">
        <is>
          <t>Product G</t>
        </is>
      </c>
      <c r="B31" s="10" t="n">
        <v>363.86</v>
      </c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inlineStr">
        <is>
          <t>Product H</t>
        </is>
      </c>
      <c r="B32" s="10" t="n">
        <v>246.75</v>
      </c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inlineStr">
        <is>
          <t>Penalty Rate [%]</t>
        </is>
      </c>
      <c r="B33" s="5" t="n">
        <v>0.1</v>
      </c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inlineStr">
        <is>
          <t>Material Requirements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2" t="inlineStr">
        <is>
          <t>Product</t>
        </is>
      </c>
      <c r="B36" s="2" t="inlineStr">
        <is>
          <t>Plastic [kg]</t>
        </is>
      </c>
      <c r="C36" s="2" t="inlineStr">
        <is>
          <t>Metal [kg]</t>
        </is>
      </c>
      <c r="D36" s="2" t="inlineStr">
        <is>
          <t>Wood [kg]</t>
        </is>
      </c>
      <c r="E36" s="9" t="n"/>
      <c r="F36" s="9" t="n"/>
      <c r="G36" s="9" t="n"/>
      <c r="H36" s="9" t="n"/>
      <c r="I36" s="9" t="n"/>
      <c r="J36" s="9" t="n"/>
    </row>
    <row r="37">
      <c r="A37" s="9" t="inlineStr">
        <is>
          <t>Product A</t>
        </is>
      </c>
      <c r="B37" s="4" t="n">
        <v>1</v>
      </c>
      <c r="C37" s="4" t="n">
        <v>1.73</v>
      </c>
      <c r="D37" s="4" t="n">
        <v>1.55</v>
      </c>
      <c r="E37" s="9" t="n"/>
      <c r="F37" s="9" t="n"/>
      <c r="G37" s="9" t="n"/>
      <c r="H37" s="9" t="n"/>
      <c r="I37" s="9" t="n"/>
      <c r="J37" s="9" t="n"/>
    </row>
    <row r="38">
      <c r="A38" s="9" t="inlineStr">
        <is>
          <t>Product B</t>
        </is>
      </c>
      <c r="B38" s="4" t="n">
        <v>1.4</v>
      </c>
      <c r="C38" s="4" t="n">
        <v>2.88</v>
      </c>
      <c r="D38" s="4" t="n">
        <v>2.57</v>
      </c>
      <c r="E38" s="9" t="n"/>
      <c r="F38" s="9" t="n"/>
      <c r="G38" s="9" t="n"/>
      <c r="H38" s="9" t="n"/>
      <c r="I38" s="9" t="n"/>
      <c r="J38" s="9" t="n"/>
    </row>
    <row r="39">
      <c r="A39" s="9" t="inlineStr">
        <is>
          <t>Product C</t>
        </is>
      </c>
      <c r="B39" s="4" t="n">
        <v>2.16</v>
      </c>
      <c r="C39" s="4" t="n">
        <v>1</v>
      </c>
      <c r="D39" s="4" t="n">
        <v>2.58</v>
      </c>
      <c r="E39" s="9" t="n"/>
      <c r="F39" s="9" t="n"/>
      <c r="G39" s="9" t="n"/>
      <c r="H39" s="9" t="n"/>
      <c r="I39" s="9" t="n"/>
      <c r="J39" s="9" t="n"/>
    </row>
    <row r="40">
      <c r="A40" s="9" t="inlineStr">
        <is>
          <t>Product D</t>
        </is>
      </c>
      <c r="B40" s="4" t="n">
        <v>1.19</v>
      </c>
      <c r="C40" s="4" t="n">
        <v>2.29</v>
      </c>
      <c r="D40" s="4" t="n">
        <v>2.96</v>
      </c>
      <c r="E40" s="9" t="n"/>
      <c r="F40" s="9" t="n"/>
      <c r="G40" s="9" t="n"/>
      <c r="H40" s="9" t="n"/>
      <c r="I40" s="9" t="n"/>
      <c r="J40" s="9" t="n"/>
    </row>
    <row r="41">
      <c r="A41" s="9" t="inlineStr">
        <is>
          <t>Product E</t>
        </is>
      </c>
      <c r="B41" s="4" t="n">
        <v>2.83</v>
      </c>
      <c r="C41" s="4" t="n">
        <v>1.55</v>
      </c>
      <c r="D41" s="4" t="n">
        <v>2.24</v>
      </c>
      <c r="E41" s="9" t="n"/>
      <c r="F41" s="9" t="n"/>
      <c r="G41" s="9" t="n"/>
      <c r="H41" s="9" t="n"/>
      <c r="I41" s="9" t="n"/>
      <c r="J41" s="9" t="n"/>
    </row>
    <row r="42">
      <c r="A42" s="9" t="inlineStr">
        <is>
          <t>Product F</t>
        </is>
      </c>
      <c r="B42" s="4" t="n">
        <v>2.48</v>
      </c>
      <c r="C42" s="4" t="n">
        <v>1.34</v>
      </c>
      <c r="D42" s="4" t="n">
        <v>1.56</v>
      </c>
      <c r="E42" s="9" t="n"/>
      <c r="F42" s="9" t="n"/>
      <c r="G42" s="9" t="n"/>
      <c r="H42" s="9" t="n"/>
      <c r="I42" s="9" t="n"/>
      <c r="J42" s="9" t="n"/>
    </row>
    <row r="43">
      <c r="A43" s="9" t="inlineStr">
        <is>
          <t>Product G</t>
        </is>
      </c>
      <c r="B43" s="4" t="n">
        <v>1.19</v>
      </c>
      <c r="C43" s="4" t="n">
        <v>1.96</v>
      </c>
      <c r="D43" s="4" t="n">
        <v>1.52</v>
      </c>
      <c r="E43" s="9" t="n"/>
      <c r="F43" s="9" t="n"/>
      <c r="G43" s="9" t="n"/>
      <c r="H43" s="9" t="n"/>
      <c r="I43" s="9" t="n"/>
      <c r="J43" s="9" t="n"/>
    </row>
    <row r="44">
      <c r="A44" s="9" t="inlineStr">
        <is>
          <t>Product H</t>
        </is>
      </c>
      <c r="B44" s="4" t="n">
        <v>1.59</v>
      </c>
      <c r="C44" s="4" t="n">
        <v>2.73</v>
      </c>
      <c r="D44" s="4" t="n">
        <v>1.61</v>
      </c>
      <c r="E44" s="9" t="n"/>
      <c r="F44" s="9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9" t="inlineStr">
        <is>
          <t>Material Costs (2015)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 s="2" t="inlineStr">
        <is>
          <t>Material</t>
        </is>
      </c>
      <c r="B47" s="2" t="inlineStr">
        <is>
          <t>Cost [$/kg]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9" t="inlineStr">
        <is>
          <t>Plastic</t>
        </is>
      </c>
      <c r="B48" s="10" t="n">
        <v>5.76</v>
      </c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 s="9" t="inlineStr">
        <is>
          <t>Metal</t>
        </is>
      </c>
      <c r="B49" s="10" t="n">
        <v>9.119999999999999</v>
      </c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9" t="inlineStr">
        <is>
          <t>Wood</t>
        </is>
      </c>
      <c r="B50" s="10" t="n">
        <v>3.27</v>
      </c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 s="9" t="inlineStr">
        <is>
          <t>Metal Treatment [MWh/kg]</t>
        </is>
      </c>
      <c r="B51" s="4" t="n">
        <v>2</v>
      </c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 s="9" t="inlineStr">
        <is>
          <t>Factory Costs (2015)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2" t="inlineStr">
        <is>
          <t>Factory</t>
        </is>
      </c>
      <c r="B54" s="2" t="inlineStr">
        <is>
          <t>Overhead [$/year]</t>
        </is>
      </c>
      <c r="C54" s="2" t="inlineStr">
        <is>
          <t>Elec Price [$/MWh]</t>
        </is>
      </c>
      <c r="D54" s="2" t="inlineStr">
        <is>
          <t>Labor Price [$/hour]</t>
        </is>
      </c>
      <c r="E54" s="9" t="n"/>
      <c r="F54" s="9" t="n"/>
      <c r="G54" s="9" t="n"/>
      <c r="H54" s="9" t="n"/>
      <c r="I54" s="9" t="n"/>
      <c r="J54" s="9" t="n"/>
    </row>
    <row r="55">
      <c r="A55" s="9" t="inlineStr">
        <is>
          <t>Telford</t>
        </is>
      </c>
      <c r="B55" s="10" t="n">
        <v>668000</v>
      </c>
      <c r="C55" s="10" t="n">
        <v>1.8</v>
      </c>
      <c r="D55" s="10" t="n">
        <v>24.37</v>
      </c>
      <c r="E55" s="9" t="n"/>
      <c r="F55" s="9" t="n"/>
      <c r="G55" s="9" t="n"/>
      <c r="H55" s="9" t="n"/>
      <c r="I55" s="9" t="n"/>
      <c r="J55" s="9" t="n"/>
    </row>
    <row r="56">
      <c r="A56" s="9" t="inlineStr">
        <is>
          <t>Ulsan</t>
        </is>
      </c>
      <c r="B56" s="10" t="n">
        <v>207000</v>
      </c>
      <c r="C56" s="10" t="n">
        <v>1.35</v>
      </c>
      <c r="D56" s="10" t="n">
        <v>27.31</v>
      </c>
      <c r="E56" s="9" t="n"/>
      <c r="F56" s="9" t="n"/>
      <c r="G56" s="9" t="n"/>
      <c r="H56" s="9" t="n"/>
      <c r="I56" s="9" t="n"/>
      <c r="J56" s="9" t="n"/>
    </row>
    <row r="57">
      <c r="A57" s="9" t="inlineStr">
        <is>
          <t>Victoria</t>
        </is>
      </c>
      <c r="B57" s="10" t="n">
        <v>502000</v>
      </c>
      <c r="C57" s="10" t="n">
        <v>1.3</v>
      </c>
      <c r="D57" s="10" t="n">
        <v>28.45</v>
      </c>
      <c r="E57" s="9" t="n"/>
      <c r="F57" s="9" t="n"/>
      <c r="G57" s="9" t="n"/>
      <c r="H57" s="9" t="n"/>
      <c r="I57" s="9" t="n"/>
      <c r="J57" s="9" t="n"/>
    </row>
    <row r="58">
      <c r="A58" s="9" t="inlineStr">
        <is>
          <t>Westminster</t>
        </is>
      </c>
      <c r="B58" s="10" t="n">
        <v>1183000</v>
      </c>
      <c r="C58" s="10" t="n">
        <v>1.65</v>
      </c>
      <c r="D58" s="10" t="n">
        <v>24.37</v>
      </c>
      <c r="E58" s="9" t="n"/>
      <c r="F58" s="9" t="n"/>
      <c r="G58" s="9" t="n"/>
      <c r="H58" s="9" t="n"/>
      <c r="I58" s="9" t="n"/>
      <c r="J58" s="9" t="n"/>
    </row>
    <row r="59">
      <c r="A59" s="9" t="inlineStr">
        <is>
          <t>Xinzhou</t>
        </is>
      </c>
      <c r="B59" s="10" t="n">
        <v>470000</v>
      </c>
      <c r="C59" s="10" t="n">
        <v>1.52</v>
      </c>
      <c r="D59" s="10" t="n">
        <v>23.35</v>
      </c>
      <c r="E59" s="9" t="n"/>
      <c r="F59" s="9" t="n"/>
      <c r="G59" s="9" t="n"/>
      <c r="H59" s="9" t="n"/>
      <c r="I59" s="9" t="n"/>
      <c r="J59" s="9" t="n"/>
    </row>
    <row r="60">
      <c r="A60" s="9" t="inlineStr">
        <is>
          <t>York</t>
        </is>
      </c>
      <c r="B60" s="10" t="n">
        <v>867000</v>
      </c>
      <c r="C60" s="10" t="n">
        <v>1.42</v>
      </c>
      <c r="D60" s="10" t="n">
        <v>24.11</v>
      </c>
      <c r="E60" s="9" t="n"/>
      <c r="F60" s="9" t="n"/>
      <c r="G60" s="9" t="n"/>
      <c r="H60" s="9" t="n"/>
      <c r="I60" s="9" t="n"/>
      <c r="J60" s="9" t="n"/>
    </row>
    <row r="61">
      <c r="A61" s="9" t="inlineStr">
        <is>
          <t>Zwolle</t>
        </is>
      </c>
      <c r="B61" s="10" t="n">
        <v>925000</v>
      </c>
      <c r="C61" s="10" t="n">
        <v>1.56</v>
      </c>
      <c r="D61" s="10" t="n">
        <v>25.96</v>
      </c>
      <c r="E61" s="9" t="n"/>
      <c r="F61" s="9" t="n"/>
      <c r="G61" s="9" t="n"/>
      <c r="H61" s="9" t="n"/>
      <c r="I61" s="9" t="n"/>
      <c r="J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>
      <c r="A63" s="9" t="inlineStr">
        <is>
          <t>Indexation Rates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2" t="inlineStr">
        <is>
          <t>Index Name</t>
        </is>
      </c>
      <c r="B64" s="2" t="inlineStr">
        <is>
          <t>Annual Increase [%]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</row>
    <row r="65">
      <c r="A65" s="9" t="inlineStr">
        <is>
          <t>Price Index 1</t>
        </is>
      </c>
      <c r="B65" s="5" t="n">
        <v>0.04</v>
      </c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9" t="inlineStr">
        <is>
          <t>Price Index 2</t>
        </is>
      </c>
      <c r="B66" s="5" t="n">
        <v>0.035</v>
      </c>
      <c r="C66" s="9" t="n"/>
      <c r="D66" s="9" t="n"/>
      <c r="E66" s="9" t="n"/>
      <c r="F66" s="9" t="n"/>
      <c r="G66" s="9" t="n"/>
      <c r="H66" s="9" t="n"/>
      <c r="I66" s="9" t="n"/>
      <c r="J66" s="9" t="n"/>
    </row>
    <row r="67">
      <c r="A67" s="9" t="inlineStr">
        <is>
          <t>Price Index 3</t>
        </is>
      </c>
      <c r="B67" s="5" t="n">
        <v>0.025</v>
      </c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9" t="inlineStr">
        <is>
          <t>Cost Index 1</t>
        </is>
      </c>
      <c r="B68" s="5" t="n">
        <v>0.02</v>
      </c>
      <c r="C68" s="9" t="n"/>
      <c r="D68" s="9" t="n"/>
      <c r="E68" s="9" t="n"/>
      <c r="F68" s="9" t="n"/>
      <c r="G68" s="9" t="n"/>
      <c r="H68" s="9" t="n"/>
      <c r="I68" s="9" t="n"/>
      <c r="J68" s="9" t="n"/>
    </row>
    <row r="69">
      <c r="A69" s="9" t="inlineStr">
        <is>
          <t>Cost Index 2</t>
        </is>
      </c>
      <c r="B69" s="5" t="n">
        <v>0.03</v>
      </c>
      <c r="C69" s="9" t="n"/>
      <c r="D69" s="9" t="n"/>
      <c r="E69" s="9" t="n"/>
      <c r="F69" s="9" t="n"/>
      <c r="G69" s="9" t="n"/>
      <c r="H69" s="9" t="n"/>
      <c r="I69" s="9" t="n"/>
      <c r="J69" s="9" t="n"/>
    </row>
    <row r="70">
      <c r="A70" s="9" t="inlineStr">
        <is>
          <t>Cost Index 3</t>
        </is>
      </c>
      <c r="B70" s="5" t="n">
        <v>0.045</v>
      </c>
      <c r="C70" s="9" t="n"/>
      <c r="D70" s="9" t="n"/>
      <c r="E70" s="9" t="n"/>
      <c r="F70" s="9" t="n"/>
      <c r="G70" s="9" t="n"/>
      <c r="H70" s="9" t="n"/>
      <c r="I70" s="9" t="n"/>
      <c r="J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9" t="inlineStr">
        <is>
          <t>Model Settings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>
      <c r="A73" s="9" t="inlineStr">
        <is>
          <t>Start Year</t>
        </is>
      </c>
      <c r="B73" s="4" t="n">
        <v>2016</v>
      </c>
      <c r="C73" s="9" t="n"/>
      <c r="D73" s="9" t="n"/>
      <c r="E73" s="9" t="n"/>
      <c r="F73" s="9" t="n"/>
      <c r="G73" s="9" t="n"/>
      <c r="H73" s="9" t="n"/>
      <c r="I73" s="9" t="n"/>
      <c r="J73" s="9" t="n"/>
    </row>
    <row r="74">
      <c r="A74" s="9" t="inlineStr">
        <is>
          <t>End Year</t>
        </is>
      </c>
      <c r="B74" s="4" t="n">
        <v>2045</v>
      </c>
      <c r="C74" s="9" t="n"/>
      <c r="D74" s="9" t="n"/>
      <c r="E74" s="9" t="n"/>
      <c r="F74" s="9" t="n"/>
      <c r="G74" s="9" t="n"/>
      <c r="H74" s="9" t="n"/>
      <c r="I74" s="9" t="n"/>
      <c r="J74" s="9" t="n"/>
    </row>
    <row r="75">
      <c r="A75" s="9" t="inlineStr">
        <is>
          <t>Part B Switch (On/Off)</t>
        </is>
      </c>
      <c r="B75" s="4" t="inlineStr">
        <is>
          <t>Off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>
      <c r="A77" s="9" t="inlineStr">
        <is>
          <t>Product Index Map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2" t="inlineStr">
        <is>
          <t>Product</t>
        </is>
      </c>
      <c r="B78" s="2" t="inlineStr">
        <is>
          <t>Price Index</t>
        </is>
      </c>
      <c r="C78" s="9" t="n"/>
      <c r="D78" s="9" t="n"/>
      <c r="E78" s="9" t="n"/>
      <c r="F78" s="9" t="n"/>
      <c r="G78" s="9" t="n"/>
      <c r="H78" s="9" t="n"/>
      <c r="I78" s="9" t="n"/>
      <c r="J78" s="9" t="n"/>
    </row>
    <row r="79">
      <c r="A79" s="9" t="inlineStr">
        <is>
          <t>Product A</t>
        </is>
      </c>
      <c r="B79" s="4" t="n">
        <v>1</v>
      </c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9" t="inlineStr">
        <is>
          <t>Product B</t>
        </is>
      </c>
      <c r="B80" s="4" t="n">
        <v>3</v>
      </c>
      <c r="C80" s="9" t="n"/>
      <c r="D80" s="9" t="n"/>
      <c r="E80" s="9" t="n"/>
      <c r="F80" s="9" t="n"/>
      <c r="G80" s="9" t="n"/>
      <c r="H80" s="9" t="n"/>
      <c r="I80" s="9" t="n"/>
      <c r="J80" s="9" t="n"/>
    </row>
    <row r="81">
      <c r="A81" s="9" t="inlineStr">
        <is>
          <t>Product C</t>
        </is>
      </c>
      <c r="B81" s="4" t="n">
        <v>2</v>
      </c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9" t="inlineStr">
        <is>
          <t>Product D</t>
        </is>
      </c>
      <c r="B82" s="4" t="n">
        <v>2</v>
      </c>
      <c r="C82" s="9" t="n"/>
      <c r="D82" s="9" t="n"/>
      <c r="E82" s="9" t="n"/>
      <c r="F82" s="9" t="n"/>
      <c r="G82" s="9" t="n"/>
      <c r="H82" s="9" t="n"/>
      <c r="I82" s="9" t="n"/>
      <c r="J82" s="9" t="n"/>
    </row>
    <row r="83">
      <c r="A83" s="9" t="inlineStr">
        <is>
          <t>Product E</t>
        </is>
      </c>
      <c r="B83" s="4" t="n">
        <v>3</v>
      </c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9" t="inlineStr">
        <is>
          <t>Product F</t>
        </is>
      </c>
      <c r="B84" s="4" t="n">
        <v>3</v>
      </c>
      <c r="C84" s="9" t="n"/>
      <c r="D84" s="9" t="n"/>
      <c r="E84" s="9" t="n"/>
      <c r="F84" s="9" t="n"/>
      <c r="G84" s="9" t="n"/>
      <c r="H84" s="9" t="n"/>
      <c r="I84" s="9" t="n"/>
      <c r="J84" s="9" t="n"/>
    </row>
    <row r="85">
      <c r="A85" s="9" t="inlineStr">
        <is>
          <t>Product G</t>
        </is>
      </c>
      <c r="B85" s="4" t="n">
        <v>2</v>
      </c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9" t="inlineStr">
        <is>
          <t>Product H</t>
        </is>
      </c>
      <c r="B86" s="4" t="n">
        <v>1</v>
      </c>
      <c r="C86" s="9" t="n"/>
      <c r="D86" s="9" t="n"/>
      <c r="E86" s="9" t="n"/>
      <c r="F86" s="9" t="n"/>
      <c r="G86" s="9" t="n"/>
      <c r="H86" s="9" t="n"/>
      <c r="I86" s="9" t="n"/>
      <c r="J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9" t="inlineStr">
        <is>
          <t>Factory Index Map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>
      <c r="A89" s="2" t="inlineStr">
        <is>
          <t>Factory</t>
        </is>
      </c>
      <c r="B89" s="2" t="inlineStr">
        <is>
          <t>Row in Factory Costs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9" t="inlineStr">
        <is>
          <t>Telford</t>
        </is>
      </c>
      <c r="B90" s="4" t="n">
        <v>55</v>
      </c>
      <c r="C90" s="9" t="n"/>
      <c r="D90" s="9" t="n"/>
      <c r="E90" s="9" t="n"/>
      <c r="F90" s="9" t="n"/>
      <c r="G90" s="9" t="n"/>
      <c r="H90" s="9" t="n"/>
      <c r="I90" s="9" t="n"/>
      <c r="J90" s="9" t="n"/>
    </row>
    <row r="91">
      <c r="A91" s="9" t="inlineStr">
        <is>
          <t>Ulsan</t>
        </is>
      </c>
      <c r="B91" s="4" t="n">
        <v>56</v>
      </c>
      <c r="C91" s="9" t="n"/>
      <c r="D91" s="9" t="n"/>
      <c r="E91" s="9" t="n"/>
      <c r="F91" s="9" t="n"/>
      <c r="G91" s="9" t="n"/>
      <c r="H91" s="9" t="n"/>
      <c r="I91" s="9" t="n"/>
      <c r="J91" s="9" t="n"/>
    </row>
    <row r="92">
      <c r="A92" s="9" t="inlineStr">
        <is>
          <t>Victoria</t>
        </is>
      </c>
      <c r="B92" s="4" t="n">
        <v>57</v>
      </c>
      <c r="C92" s="9" t="n"/>
      <c r="D92" s="9" t="n"/>
      <c r="E92" s="9" t="n"/>
      <c r="F92" s="9" t="n"/>
      <c r="G92" s="9" t="n"/>
      <c r="H92" s="9" t="n"/>
      <c r="I92" s="9" t="n"/>
      <c r="J92" s="9" t="n"/>
    </row>
    <row r="93">
      <c r="A93" s="9" t="inlineStr">
        <is>
          <t>Westminster</t>
        </is>
      </c>
      <c r="B93" s="4" t="n">
        <v>58</v>
      </c>
      <c r="C93" s="9" t="n"/>
      <c r="D93" s="9" t="n"/>
      <c r="E93" s="9" t="n"/>
      <c r="F93" s="9" t="n"/>
      <c r="G93" s="9" t="n"/>
      <c r="H93" s="9" t="n"/>
      <c r="I93" s="9" t="n"/>
      <c r="J93" s="9" t="n"/>
    </row>
    <row r="94">
      <c r="A94" s="9" t="inlineStr">
        <is>
          <t>Xinzhou</t>
        </is>
      </c>
      <c r="B94" s="4" t="n">
        <v>59</v>
      </c>
      <c r="C94" s="9" t="n"/>
      <c r="D94" s="9" t="n"/>
      <c r="E94" s="9" t="n"/>
      <c r="F94" s="9" t="n"/>
      <c r="G94" s="9" t="n"/>
      <c r="H94" s="9" t="n"/>
      <c r="I94" s="9" t="n"/>
      <c r="J94" s="9" t="n"/>
    </row>
    <row r="95">
      <c r="A95" s="9" t="inlineStr">
        <is>
          <t>York</t>
        </is>
      </c>
      <c r="B95" s="4" t="n">
        <v>60</v>
      </c>
      <c r="C95" s="9" t="n"/>
      <c r="D95" s="9" t="n"/>
      <c r="E95" s="9" t="n"/>
      <c r="F95" s="9" t="n"/>
      <c r="G95" s="9" t="n"/>
      <c r="H95" s="9" t="n"/>
      <c r="I95" s="9" t="n"/>
      <c r="J95" s="9" t="n"/>
    </row>
    <row r="96">
      <c r="A96" s="9" t="inlineStr">
        <is>
          <t>Zwolle</t>
        </is>
      </c>
      <c r="B96" s="4" t="n">
        <v>61</v>
      </c>
      <c r="C96" s="9" t="n"/>
      <c r="D96" s="9" t="n"/>
      <c r="E96" s="9" t="n"/>
      <c r="F96" s="9" t="n"/>
      <c r="G96" s="9" t="n"/>
      <c r="H96" s="9" t="n"/>
      <c r="I96" s="9" t="n"/>
      <c r="J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</row>
    <row r="98">
      <c r="A98" s="9" t="inlineStr">
        <is>
          <t>Product Row Map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>
      <c r="A99" s="2" t="inlineStr">
        <is>
          <t>Product</t>
        </is>
      </c>
      <c r="B99" s="2" t="inlineStr">
        <is>
          <t>Row in Machine Characteristics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</row>
    <row r="100">
      <c r="A100" s="9" t="inlineStr">
        <is>
          <t>Product A</t>
        </is>
      </c>
      <c r="B100" s="4" t="n">
        <v>14</v>
      </c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>
      <c r="A101" s="9" t="inlineStr">
        <is>
          <t>Product B</t>
        </is>
      </c>
      <c r="B101" s="4" t="n">
        <v>15</v>
      </c>
      <c r="C101" s="9" t="n"/>
      <c r="D101" s="9" t="n"/>
      <c r="E101" s="9" t="n"/>
      <c r="F101" s="9" t="n"/>
      <c r="G101" s="9" t="n"/>
      <c r="H101" s="9" t="n"/>
      <c r="I101" s="9" t="n"/>
      <c r="J101" s="9" t="n"/>
    </row>
    <row r="102">
      <c r="A102" s="9" t="inlineStr">
        <is>
          <t>Product C</t>
        </is>
      </c>
      <c r="B102" s="4" t="n">
        <v>16</v>
      </c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>
      <c r="A103" s="9" t="inlineStr">
        <is>
          <t>Product D</t>
        </is>
      </c>
      <c r="B103" s="4" t="n">
        <v>17</v>
      </c>
      <c r="C103" s="9" t="n"/>
      <c r="D103" s="9" t="n"/>
      <c r="E103" s="9" t="n"/>
      <c r="F103" s="9" t="n"/>
      <c r="G103" s="9" t="n"/>
      <c r="H103" s="9" t="n"/>
      <c r="I103" s="9" t="n"/>
      <c r="J103" s="9" t="n"/>
    </row>
    <row r="104">
      <c r="A104" s="9" t="inlineStr">
        <is>
          <t>Product E</t>
        </is>
      </c>
      <c r="B104" s="4" t="n">
        <v>18</v>
      </c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>
      <c r="A105" s="9" t="inlineStr">
        <is>
          <t>Product F</t>
        </is>
      </c>
      <c r="B105" s="4" t="n">
        <v>19</v>
      </c>
      <c r="C105" s="9" t="n"/>
      <c r="D105" s="9" t="n"/>
      <c r="E105" s="9" t="n"/>
      <c r="F105" s="9" t="n"/>
      <c r="G105" s="9" t="n"/>
      <c r="H105" s="9" t="n"/>
      <c r="I105" s="9" t="n"/>
      <c r="J105" s="9" t="n"/>
    </row>
    <row r="106">
      <c r="A106" s="9" t="inlineStr">
        <is>
          <t>Product G</t>
        </is>
      </c>
      <c r="B106" s="4" t="n">
        <v>20</v>
      </c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>
      <c r="A107" s="9" t="inlineStr">
        <is>
          <t>Product H</t>
        </is>
      </c>
      <c r="B107" s="4" t="n">
        <v>21</v>
      </c>
      <c r="C107" s="9" t="n"/>
      <c r="D107" s="9" t="n"/>
      <c r="E107" s="9" t="n"/>
      <c r="F107" s="9" t="n"/>
      <c r="G107" s="9" t="n"/>
      <c r="H107" s="9" t="n"/>
      <c r="I107" s="9" t="n"/>
      <c r="J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>
      <c r="A109" s="9" t="inlineStr">
        <is>
          <t>Material Row Map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</row>
    <row r="110">
      <c r="A110" s="2" t="inlineStr">
        <is>
          <t>Material</t>
        </is>
      </c>
      <c r="B110" s="2" t="inlineStr">
        <is>
          <t>Row in Material Costs</t>
        </is>
      </c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>
      <c r="A111" s="9" t="inlineStr">
        <is>
          <t>Plastic</t>
        </is>
      </c>
      <c r="B111" s="4" t="n">
        <v>48</v>
      </c>
      <c r="C111" s="9" t="n"/>
      <c r="D111" s="9" t="n"/>
      <c r="E111" s="9" t="n"/>
      <c r="F111" s="9" t="n"/>
      <c r="G111" s="9" t="n"/>
      <c r="H111" s="9" t="n"/>
      <c r="I111" s="9" t="n"/>
      <c r="J111" s="9" t="n"/>
    </row>
    <row r="112">
      <c r="A112" s="9" t="inlineStr">
        <is>
          <t>Metal</t>
        </is>
      </c>
      <c r="B112" s="4" t="n">
        <v>49</v>
      </c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>
      <c r="A113" s="9" t="inlineStr">
        <is>
          <t>Wood</t>
        </is>
      </c>
      <c r="B113" s="4" t="n">
        <v>50</v>
      </c>
      <c r="C113" s="9" t="n"/>
      <c r="D113" s="9" t="n"/>
      <c r="E113" s="9" t="n"/>
      <c r="F113" s="9" t="n"/>
      <c r="G113" s="9" t="n"/>
      <c r="H113" s="9" t="n"/>
      <c r="I113" s="9" t="n"/>
      <c r="J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>
      <c r="A115" s="9" t="inlineStr">
        <is>
          <t>Material Req Row Map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</row>
    <row r="116">
      <c r="A116" s="2" t="inlineStr">
        <is>
          <t>Product</t>
        </is>
      </c>
      <c r="B116" s="2" t="inlineStr">
        <is>
          <t>Row in Material Req</t>
        </is>
      </c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>
      <c r="A117" s="9" t="inlineStr">
        <is>
          <t>Product A</t>
        </is>
      </c>
      <c r="B117" s="4" t="n">
        <v>37</v>
      </c>
      <c r="C117" s="9" t="n"/>
      <c r="D117" s="9" t="n"/>
      <c r="E117" s="9" t="n"/>
      <c r="F117" s="9" t="n"/>
      <c r="G117" s="9" t="n"/>
      <c r="H117" s="9" t="n"/>
      <c r="I117" s="9" t="n"/>
      <c r="J117" s="9" t="n"/>
    </row>
    <row r="118">
      <c r="A118" s="9" t="inlineStr">
        <is>
          <t>Product B</t>
        </is>
      </c>
      <c r="B118" s="4" t="n">
        <v>38</v>
      </c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>
      <c r="A119" s="9" t="inlineStr">
        <is>
          <t>Product C</t>
        </is>
      </c>
      <c r="B119" s="4" t="n">
        <v>39</v>
      </c>
      <c r="C119" s="9" t="n"/>
      <c r="D119" s="9" t="n"/>
      <c r="E119" s="9" t="n"/>
      <c r="F119" s="9" t="n"/>
      <c r="G119" s="9" t="n"/>
      <c r="H119" s="9" t="n"/>
      <c r="I119" s="9" t="n"/>
      <c r="J119" s="9" t="n"/>
    </row>
    <row r="120">
      <c r="A120" s="9" t="inlineStr">
        <is>
          <t>Product D</t>
        </is>
      </c>
      <c r="B120" s="4" t="n">
        <v>40</v>
      </c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>
      <c r="A121" s="9" t="inlineStr">
        <is>
          <t>Product E</t>
        </is>
      </c>
      <c r="B121" s="4" t="n">
        <v>41</v>
      </c>
      <c r="C121" s="9" t="n"/>
      <c r="D121" s="9" t="n"/>
      <c r="E121" s="9" t="n"/>
      <c r="F121" s="9" t="n"/>
      <c r="G121" s="9" t="n"/>
      <c r="H121" s="9" t="n"/>
      <c r="I121" s="9" t="n"/>
      <c r="J121" s="9" t="n"/>
    </row>
    <row r="122">
      <c r="A122" s="9" t="inlineStr">
        <is>
          <t>Product F</t>
        </is>
      </c>
      <c r="B122" s="4" t="n">
        <v>42</v>
      </c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>
      <c r="A123" s="9" t="inlineStr">
        <is>
          <t>Product G</t>
        </is>
      </c>
      <c r="B123" s="4" t="n">
        <v>43</v>
      </c>
      <c r="C123" s="9" t="n"/>
      <c r="D123" s="9" t="n"/>
      <c r="E123" s="9" t="n"/>
      <c r="F123" s="9" t="n"/>
      <c r="G123" s="9" t="n"/>
      <c r="H123" s="9" t="n"/>
      <c r="I123" s="9" t="n"/>
      <c r="J123" s="9" t="n"/>
    </row>
    <row r="124">
      <c r="A124" s="9" t="inlineStr">
        <is>
          <t>Product H</t>
        </is>
      </c>
      <c r="B124" s="4" t="n">
        <v>44</v>
      </c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</row>
    <row r="126">
      <c r="A126" s="9" t="inlineStr">
        <is>
          <t>Price Row Map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>
      <c r="A127" s="2" t="inlineStr">
        <is>
          <t>Product</t>
        </is>
      </c>
      <c r="B127" s="2" t="inlineStr">
        <is>
          <t>Row in Prices</t>
        </is>
      </c>
      <c r="C127" s="9" t="n"/>
      <c r="D127" s="9" t="n"/>
      <c r="E127" s="9" t="n"/>
      <c r="F127" s="9" t="n"/>
      <c r="G127" s="9" t="n"/>
      <c r="H127" s="9" t="n"/>
      <c r="I127" s="9" t="n"/>
      <c r="J127" s="9" t="n"/>
    </row>
    <row r="128">
      <c r="A128" s="9" t="inlineStr">
        <is>
          <t>Product A</t>
        </is>
      </c>
      <c r="B128" s="4" t="n">
        <v>25</v>
      </c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>
      <c r="A129" s="9" t="inlineStr">
        <is>
          <t>Product B</t>
        </is>
      </c>
      <c r="B129" s="4" t="n">
        <v>26</v>
      </c>
      <c r="C129" s="9" t="n"/>
      <c r="D129" s="9" t="n"/>
      <c r="E129" s="9" t="n"/>
      <c r="F129" s="9" t="n"/>
      <c r="G129" s="9" t="n"/>
      <c r="H129" s="9" t="n"/>
      <c r="I129" s="9" t="n"/>
      <c r="J129" s="9" t="n"/>
    </row>
    <row r="130">
      <c r="A130" s="9" t="inlineStr">
        <is>
          <t>Product C</t>
        </is>
      </c>
      <c r="B130" s="4" t="n">
        <v>27</v>
      </c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>
      <c r="A131" s="9" t="inlineStr">
        <is>
          <t>Product D</t>
        </is>
      </c>
      <c r="B131" s="4" t="n">
        <v>28</v>
      </c>
      <c r="C131" s="9" t="n"/>
      <c r="D131" s="9" t="n"/>
      <c r="E131" s="9" t="n"/>
      <c r="F131" s="9" t="n"/>
      <c r="G131" s="9" t="n"/>
      <c r="H131" s="9" t="n"/>
      <c r="I131" s="9" t="n"/>
      <c r="J131" s="9" t="n"/>
    </row>
    <row r="132">
      <c r="A132" s="9" t="inlineStr">
        <is>
          <t>Product E</t>
        </is>
      </c>
      <c r="B132" s="4" t="n">
        <v>29</v>
      </c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>
      <c r="A133" s="9" t="inlineStr">
        <is>
          <t>Product F</t>
        </is>
      </c>
      <c r="B133" s="4" t="n">
        <v>30</v>
      </c>
      <c r="C133" s="9" t="n"/>
      <c r="D133" s="9" t="n"/>
      <c r="E133" s="9" t="n"/>
      <c r="F133" s="9" t="n"/>
      <c r="G133" s="9" t="n"/>
      <c r="H133" s="9" t="n"/>
      <c r="I133" s="9" t="n"/>
      <c r="J133" s="9" t="n"/>
    </row>
    <row r="134">
      <c r="A134" s="9" t="inlineStr">
        <is>
          <t>Product G</t>
        </is>
      </c>
      <c r="B134" s="4" t="n">
        <v>31</v>
      </c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>
      <c r="A135" s="9" t="inlineStr">
        <is>
          <t>Product H</t>
        </is>
      </c>
      <c r="B135" s="4" t="n">
        <v>32</v>
      </c>
      <c r="C135" s="9" t="n"/>
      <c r="D135" s="9" t="n"/>
      <c r="E135" s="9" t="n"/>
      <c r="F135" s="9" t="n"/>
      <c r="G135" s="9" t="n"/>
      <c r="H135" s="9" t="n"/>
      <c r="I135" s="9" t="n"/>
      <c r="J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>
      <c r="A137" s="9" t="inlineStr">
        <is>
          <t>Index Rate Row Map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</row>
    <row r="138">
      <c r="A138" s="2" t="inlineStr">
        <is>
          <t>Index</t>
        </is>
      </c>
      <c r="B138" s="2" t="inlineStr">
        <is>
          <t>Row in Indexation</t>
        </is>
      </c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>
      <c r="A139" s="9" t="inlineStr">
        <is>
          <t>Price Index 1</t>
        </is>
      </c>
      <c r="B139" s="4" t="n">
        <v>65</v>
      </c>
      <c r="C139" s="9" t="n"/>
      <c r="D139" s="9" t="n"/>
      <c r="E139" s="9" t="n"/>
      <c r="F139" s="9" t="n"/>
      <c r="G139" s="9" t="n"/>
      <c r="H139" s="9" t="n"/>
      <c r="I139" s="9" t="n"/>
      <c r="J139" s="9" t="n"/>
    </row>
    <row r="140">
      <c r="A140" s="9" t="inlineStr">
        <is>
          <t>Price Index 2</t>
        </is>
      </c>
      <c r="B140" s="4" t="n">
        <v>66</v>
      </c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>
      <c r="A141" s="9" t="inlineStr">
        <is>
          <t>Price Index 3</t>
        </is>
      </c>
      <c r="B141" s="4" t="n">
        <v>67</v>
      </c>
      <c r="C141" s="9" t="n"/>
      <c r="D141" s="9" t="n"/>
      <c r="E141" s="9" t="n"/>
      <c r="F141" s="9" t="n"/>
      <c r="G141" s="9" t="n"/>
      <c r="H141" s="9" t="n"/>
      <c r="I141" s="9" t="n"/>
      <c r="J141" s="9" t="n"/>
    </row>
    <row r="142">
      <c r="A142" s="9" t="inlineStr">
        <is>
          <t>Cost Index 1</t>
        </is>
      </c>
      <c r="B142" s="4" t="n">
        <v>68</v>
      </c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>
      <c r="A143" s="9" t="inlineStr">
        <is>
          <t>Cost Index 2</t>
        </is>
      </c>
      <c r="B143" s="4" t="n">
        <v>69</v>
      </c>
      <c r="C143" s="9" t="n"/>
      <c r="D143" s="9" t="n"/>
      <c r="E143" s="9" t="n"/>
      <c r="F143" s="9" t="n"/>
      <c r="G143" s="9" t="n"/>
      <c r="H143" s="9" t="n"/>
      <c r="I143" s="9" t="n"/>
      <c r="J143" s="9" t="n"/>
    </row>
    <row r="144">
      <c r="A144" s="9" t="inlineStr">
        <is>
          <t>Cost Index 3</t>
        </is>
      </c>
      <c r="B144" s="4" t="n">
        <v>70</v>
      </c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</row>
    <row r="146">
      <c r="A146" s="9" t="inlineStr">
        <is>
          <t>Factory Name Row Map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>
      <c r="A147" s="2" t="inlineStr">
        <is>
          <t>Factory</t>
        </is>
      </c>
      <c r="B147" s="2" t="inlineStr">
        <is>
          <t>Row in Purchase Matrix</t>
        </is>
      </c>
      <c r="C147" s="9" t="n"/>
      <c r="D147" s="9" t="n"/>
      <c r="E147" s="9" t="n"/>
      <c r="F147" s="9" t="n"/>
      <c r="G147" s="9" t="n"/>
      <c r="H147" s="9" t="n"/>
      <c r="I147" s="9" t="n"/>
      <c r="J147" s="9" t="n"/>
    </row>
    <row r="148">
      <c r="A148" s="9" t="inlineStr">
        <is>
          <t>Telford</t>
        </is>
      </c>
      <c r="B148" s="4" t="n">
        <v>4</v>
      </c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>
      <c r="A149" s="9" t="inlineStr">
        <is>
          <t>Ulsan</t>
        </is>
      </c>
      <c r="B149" s="4" t="n">
        <v>5</v>
      </c>
      <c r="C149" s="9" t="n"/>
      <c r="D149" s="9" t="n"/>
      <c r="E149" s="9" t="n"/>
      <c r="F149" s="9" t="n"/>
      <c r="G149" s="9" t="n"/>
      <c r="H149" s="9" t="n"/>
      <c r="I149" s="9" t="n"/>
      <c r="J149" s="9" t="n"/>
    </row>
    <row r="150">
      <c r="A150" s="9" t="inlineStr">
        <is>
          <t>Victoria</t>
        </is>
      </c>
      <c r="B150" s="4" t="n">
        <v>6</v>
      </c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>
      <c r="A151" s="9" t="inlineStr">
        <is>
          <t>Westminster</t>
        </is>
      </c>
      <c r="B151" s="4" t="n">
        <v>7</v>
      </c>
      <c r="C151" s="9" t="n"/>
      <c r="D151" s="9" t="n"/>
      <c r="E151" s="9" t="n"/>
      <c r="F151" s="9" t="n"/>
      <c r="G151" s="9" t="n"/>
      <c r="H151" s="9" t="n"/>
      <c r="I151" s="9" t="n"/>
      <c r="J151" s="9" t="n"/>
    </row>
    <row r="152">
      <c r="A152" s="9" t="inlineStr">
        <is>
          <t>Xinzhou</t>
        </is>
      </c>
      <c r="B152" s="4" t="n">
        <v>8</v>
      </c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>
      <c r="A153" s="9" t="inlineStr">
        <is>
          <t>York</t>
        </is>
      </c>
      <c r="B153" s="4" t="n">
        <v>9</v>
      </c>
      <c r="C153" s="9" t="n"/>
      <c r="D153" s="9" t="n"/>
      <c r="E153" s="9" t="n"/>
      <c r="F153" s="9" t="n"/>
      <c r="G153" s="9" t="n"/>
      <c r="H153" s="9" t="n"/>
      <c r="I153" s="9" t="n"/>
      <c r="J153" s="9" t="n"/>
    </row>
    <row r="154">
      <c r="A154" s="9" t="inlineStr">
        <is>
          <t>Zwolle</t>
        </is>
      </c>
      <c r="B154" s="4" t="n">
        <v>10</v>
      </c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</row>
    <row r="156">
      <c r="A156" s="9" t="inlineStr">
        <is>
          <t>Product Column Map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>
      <c r="A157" s="2" t="inlineStr">
        <is>
          <t>Product</t>
        </is>
      </c>
      <c r="B157" s="2" t="inlineStr">
        <is>
          <t>Col in Purchase Matrix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/>
    </row>
    <row r="158">
      <c r="A158" s="9" t="inlineStr">
        <is>
          <t>Product A</t>
        </is>
      </c>
      <c r="B158" s="4" t="inlineStr">
        <is>
          <t>C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>
      <c r="A159" s="9" t="inlineStr">
        <is>
          <t>Product B</t>
        </is>
      </c>
      <c r="B159" s="4" t="inlineStr">
        <is>
          <t>D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</row>
    <row r="160">
      <c r="A160" s="9" t="inlineStr">
        <is>
          <t>Product C</t>
        </is>
      </c>
      <c r="B160" s="4" t="inlineStr">
        <is>
          <t>E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>
      <c r="A161" s="9" t="inlineStr">
        <is>
          <t>Product D</t>
        </is>
      </c>
      <c r="B161" s="4" t="inlineStr">
        <is>
          <t>F</t>
        </is>
      </c>
      <c r="C161" s="9" t="n"/>
      <c r="D161" s="9" t="n"/>
      <c r="E161" s="9" t="n"/>
      <c r="F161" s="9" t="n"/>
      <c r="G161" s="9" t="n"/>
      <c r="H161" s="9" t="n"/>
      <c r="I161" s="9" t="n"/>
      <c r="J161" s="9" t="n"/>
    </row>
    <row r="162">
      <c r="A162" s="9" t="inlineStr">
        <is>
          <t>Product E</t>
        </is>
      </c>
      <c r="B162" s="4" t="inlineStr">
        <is>
          <t>G</t>
        </is>
      </c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>
      <c r="A163" s="9" t="inlineStr">
        <is>
          <t>Product F</t>
        </is>
      </c>
      <c r="B163" s="4" t="inlineStr">
        <is>
          <t>H</t>
        </is>
      </c>
      <c r="C163" s="9" t="n"/>
      <c r="D163" s="9" t="n"/>
      <c r="E163" s="9" t="n"/>
      <c r="F163" s="9" t="n"/>
      <c r="G163" s="9" t="n"/>
      <c r="H163" s="9" t="n"/>
      <c r="I163" s="9" t="n"/>
      <c r="J163" s="9" t="n"/>
    </row>
    <row r="164">
      <c r="A164" s="9" t="inlineStr">
        <is>
          <t>Product G</t>
        </is>
      </c>
      <c r="B164" s="4" t="inlineStr">
        <is>
          <t>I</t>
        </is>
      </c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>
      <c r="A165" s="9" t="inlineStr">
        <is>
          <t>Product H</t>
        </is>
      </c>
      <c r="B165" s="4" t="inlineStr">
        <is>
          <t>J</t>
        </is>
      </c>
      <c r="C165" s="9" t="n"/>
      <c r="D165" s="9" t="n"/>
      <c r="E165" s="9" t="n"/>
      <c r="F165" s="9" t="n"/>
      <c r="G165" s="9" t="n"/>
      <c r="H165" s="9" t="n"/>
      <c r="I165" s="9" t="n"/>
      <c r="J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>
      <c r="A167" s="9" t="inlineStr">
        <is>
          <t>Base Year</t>
        </is>
      </c>
      <c r="B167" s="4" t="n">
        <v>2015</v>
      </c>
      <c r="C167" s="9" t="n"/>
      <c r="D167" s="9" t="n"/>
      <c r="E167" s="9" t="n"/>
      <c r="F167" s="9" t="n"/>
      <c r="G167" s="9" t="n"/>
      <c r="H167" s="9" t="n"/>
      <c r="I167" s="9" t="n"/>
      <c r="J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>
      <c r="A169" s="9" t="inlineStr">
        <is>
          <t>Constant: Days in Year</t>
        </is>
      </c>
      <c r="B169" s="4" t="n">
        <v>365</v>
      </c>
      <c r="C169" s="9" t="n"/>
      <c r="D169" s="9" t="n"/>
      <c r="E169" s="9" t="n"/>
      <c r="F169" s="9" t="n"/>
      <c r="G169" s="9" t="n"/>
      <c r="H169" s="9" t="n"/>
      <c r="I169" s="9" t="n"/>
      <c r="J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>
      <c r="A171" s="9" t="inlineStr">
        <is>
          <t>Constant: Metal treatment MWh/kg</t>
        </is>
      </c>
      <c r="B171" s="4" t="n">
        <v>2</v>
      </c>
      <c r="C171" s="9" t="n"/>
      <c r="D171" s="9" t="n"/>
      <c r="E171" s="9" t="n"/>
      <c r="F171" s="9" t="n"/>
      <c r="G171" s="9" t="n"/>
      <c r="H171" s="9" t="n"/>
      <c r="I171" s="9" t="n"/>
      <c r="J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>
      <c r="A173" s="9" t="inlineStr">
        <is>
          <t>Constant: Metal Treatment Index</t>
        </is>
      </c>
      <c r="B173" s="4" t="inlineStr">
        <is>
          <t>Cost Index 1</t>
        </is>
      </c>
      <c r="C173" s="9" t="n"/>
      <c r="D173" s="9" t="n"/>
      <c r="E173" s="9" t="n"/>
      <c r="F173" s="9" t="n"/>
      <c r="G173" s="9" t="n"/>
      <c r="H173" s="9" t="n"/>
      <c r="I173" s="9" t="n"/>
      <c r="J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>
      <c r="A175" s="9" t="inlineStr">
        <is>
          <t>Constant: Running Elec Index</t>
        </is>
      </c>
      <c r="B175" s="4" t="inlineStr">
        <is>
          <t>Cost Index 1</t>
        </is>
      </c>
      <c r="C175" s="9" t="n"/>
      <c r="D175" s="9" t="n"/>
      <c r="E175" s="9" t="n"/>
      <c r="F175" s="9" t="n"/>
      <c r="G175" s="9" t="n"/>
      <c r="H175" s="9" t="n"/>
      <c r="I175" s="9" t="n"/>
      <c r="J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>
      <c r="A177" s="9" t="inlineStr">
        <is>
          <t>Constant: Labor Index</t>
        </is>
      </c>
      <c r="B177" s="4" t="inlineStr">
        <is>
          <t>Cost Index 2</t>
        </is>
      </c>
      <c r="C177" s="9" t="n"/>
      <c r="D177" s="9" t="n"/>
      <c r="E177" s="9" t="n"/>
      <c r="F177" s="9" t="n"/>
      <c r="G177" s="9" t="n"/>
      <c r="H177" s="9" t="n"/>
      <c r="I177" s="9" t="n"/>
      <c r="J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>
      <c r="A179" s="9" t="inlineStr">
        <is>
          <t>Constant: Overhead Index</t>
        </is>
      </c>
      <c r="B179" s="4" t="inlineStr">
        <is>
          <t>Cost Index 3</t>
        </is>
      </c>
      <c r="C179" s="9" t="n"/>
      <c r="D179" s="9" t="n"/>
      <c r="E179" s="9" t="n"/>
      <c r="F179" s="9" t="n"/>
      <c r="G179" s="9" t="n"/>
      <c r="H179" s="9" t="n"/>
      <c r="I179" s="9" t="n"/>
      <c r="J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>
      <c r="A181" s="9" t="inlineStr">
        <is>
          <t>Constant: Material Index</t>
        </is>
      </c>
      <c r="B181" s="4" t="inlineStr">
        <is>
          <t>Cost Index 1</t>
        </is>
      </c>
      <c r="C181" s="9" t="n"/>
      <c r="D181" s="9" t="n"/>
      <c r="E181" s="9" t="n"/>
      <c r="F181" s="9" t="n"/>
      <c r="G181" s="9" t="n"/>
      <c r="H181" s="9" t="n"/>
      <c r="I181" s="9" t="n"/>
      <c r="J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>
      <c r="A183" s="9" t="inlineStr">
        <is>
          <t>Constant: Price Index 1 Products</t>
        </is>
      </c>
      <c r="B183" s="4" t="inlineStr">
        <is>
          <t>A, H</t>
        </is>
      </c>
      <c r="C183" s="9" t="n"/>
      <c r="D183" s="9" t="n"/>
      <c r="E183" s="9" t="n"/>
      <c r="F183" s="9" t="n"/>
      <c r="G183" s="9" t="n"/>
      <c r="H183" s="9" t="n"/>
      <c r="I183" s="9" t="n"/>
      <c r="J183" s="9" t="n"/>
    </row>
    <row r="184">
      <c r="A184" s="9" t="inlineStr">
        <is>
          <t>Constant: Price Index 2 Products</t>
        </is>
      </c>
      <c r="B184" s="4" t="inlineStr">
        <is>
          <t>C, D, G</t>
        </is>
      </c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>
      <c r="A185" s="9" t="inlineStr">
        <is>
          <t>Constant: Price Index 3 Products</t>
        </is>
      </c>
      <c r="B185" s="4" t="inlineStr">
        <is>
          <t>B, E, F</t>
        </is>
      </c>
      <c r="C185" s="9" t="n"/>
      <c r="D185" s="9" t="n"/>
      <c r="E185" s="9" t="n"/>
      <c r="F185" s="9" t="n"/>
      <c r="G185" s="9" t="n"/>
      <c r="H185" s="9" t="n"/>
      <c r="I185" s="9" t="n"/>
      <c r="J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>
      <c r="A187" s="9" t="inlineStr">
        <is>
          <t>Constant: Price Index 1 rate</t>
        </is>
      </c>
      <c r="B187" s="4" t="inlineStr">
        <is>
          <t>Price Index 1</t>
        </is>
      </c>
      <c r="C187" s="9" t="n"/>
      <c r="D187" s="9" t="n"/>
      <c r="E187" s="9" t="n"/>
      <c r="F187" s="9" t="n"/>
      <c r="G187" s="9" t="n"/>
      <c r="H187" s="9" t="n"/>
      <c r="I187" s="9" t="n"/>
      <c r="J187" s="9" t="n"/>
    </row>
    <row r="188">
      <c r="A188" s="9" t="inlineStr">
        <is>
          <t>Constant: Price Index 2 rate</t>
        </is>
      </c>
      <c r="B188" s="4" t="inlineStr">
        <is>
          <t>Price Index 2</t>
        </is>
      </c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>
      <c r="A189" s="9" t="inlineStr">
        <is>
          <t>Constant: Price Index 3 rate</t>
        </is>
      </c>
      <c r="B189" s="4" t="inlineStr">
        <is>
          <t>Price Index 3</t>
        </is>
      </c>
      <c r="C189" s="9" t="n"/>
      <c r="D189" s="9" t="n"/>
      <c r="E189" s="9" t="n"/>
      <c r="F189" s="9" t="n"/>
      <c r="G189" s="9" t="n"/>
      <c r="H189" s="9" t="n"/>
      <c r="I189" s="9" t="n"/>
      <c r="J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>
      <c r="A191" s="9" t="inlineStr">
        <is>
          <t>Constant: Cost Index 1 rate</t>
        </is>
      </c>
      <c r="B191" s="4" t="inlineStr">
        <is>
          <t>Cost Index 1</t>
        </is>
      </c>
      <c r="C191" s="9" t="n"/>
      <c r="D191" s="9" t="n"/>
      <c r="E191" s="9" t="n"/>
      <c r="F191" s="9" t="n"/>
      <c r="G191" s="9" t="n"/>
      <c r="H191" s="9" t="n"/>
      <c r="I191" s="9" t="n"/>
      <c r="J191" s="9" t="n"/>
    </row>
    <row r="192">
      <c r="A192" s="9" t="inlineStr">
        <is>
          <t>Constant: Cost Index 2 rate</t>
        </is>
      </c>
      <c r="B192" s="4" t="inlineStr">
        <is>
          <t>Cost Index 2</t>
        </is>
      </c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>
      <c r="A193" s="9" t="inlineStr">
        <is>
          <t>Constant: Cost Index 3 rate</t>
        </is>
      </c>
      <c r="B193" s="4" t="inlineStr">
        <is>
          <t>Cost Index 3</t>
        </is>
      </c>
      <c r="C193" s="9" t="n"/>
      <c r="D193" s="9" t="n"/>
      <c r="E193" s="9" t="n"/>
      <c r="F193" s="9" t="n"/>
      <c r="G193" s="9" t="n"/>
      <c r="H193" s="9" t="n"/>
      <c r="I193" s="9" t="n"/>
      <c r="J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>
      <c r="A195" s="9" t="inlineStr">
        <is>
          <t>Note: All indices start from 2016</t>
        </is>
      </c>
      <c r="B195" s="9" t="inlineStr">
        <is>
          <t>Reference B73 for start year</t>
        </is>
      </c>
      <c r="C195" s="9" t="n"/>
      <c r="D195" s="9" t="n"/>
      <c r="E195" s="9" t="n"/>
      <c r="F195" s="9" t="n"/>
      <c r="G195" s="9" t="n"/>
      <c r="H195" s="9" t="n"/>
      <c r="I195" s="9" t="n"/>
      <c r="J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>
      <c r="A197" s="9" t="inlineStr">
        <is>
          <t>Note: All prices/expenses are 2015 base</t>
        </is>
      </c>
      <c r="B197" s="9" t="inlineStr">
        <is>
          <t>Reference B167 for base year</t>
        </is>
      </c>
      <c r="C197" s="9" t="n"/>
      <c r="D197" s="9" t="n"/>
      <c r="E197" s="9" t="n"/>
      <c r="F197" s="9" t="n"/>
      <c r="G197" s="9" t="n"/>
      <c r="H197" s="9" t="n"/>
      <c r="I197" s="9" t="n"/>
      <c r="J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>
      <c r="A199" s="9" t="inlineStr">
        <is>
          <t>Machine Degradation Rule: Straight Line</t>
        </is>
      </c>
      <c r="B199" s="9" t="inlineStr">
        <is>
          <t>From Year 1 to Year L</t>
        </is>
      </c>
      <c r="C199" s="9" t="n"/>
      <c r="D199" s="9" t="n"/>
      <c r="E199" s="9" t="n"/>
      <c r="F199" s="9" t="n"/>
      <c r="G199" s="9" t="n"/>
      <c r="H199" s="9" t="n"/>
      <c r="I199" s="9" t="n"/>
      <c r="J199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2" t="inlineStr">
        <is>
          <t>Year</t>
        </is>
      </c>
      <c r="B1" s="2" t="n">
        <v>2016</v>
      </c>
      <c r="C1" s="2" t="n">
        <v>2017</v>
      </c>
      <c r="D1" s="2" t="n">
        <v>2018</v>
      </c>
      <c r="E1" s="2" t="n">
        <v>2019</v>
      </c>
      <c r="F1" s="2" t="n">
        <v>2020</v>
      </c>
      <c r="G1" s="2" t="n">
        <v>2021</v>
      </c>
      <c r="H1" s="2" t="n">
        <v>2022</v>
      </c>
      <c r="I1" s="2" t="n">
        <v>2023</v>
      </c>
      <c r="J1" s="2" t="n">
        <v>2024</v>
      </c>
      <c r="K1" s="2" t="n">
        <v>2025</v>
      </c>
      <c r="L1" s="2" t="n">
        <v>2026</v>
      </c>
      <c r="M1" s="2" t="n">
        <v>2027</v>
      </c>
      <c r="N1" s="2" t="n">
        <v>2028</v>
      </c>
      <c r="O1" s="2" t="n">
        <v>2029</v>
      </c>
      <c r="P1" s="2" t="n">
        <v>2030</v>
      </c>
      <c r="Q1" s="2" t="n">
        <v>2031</v>
      </c>
      <c r="R1" s="2" t="n">
        <v>2032</v>
      </c>
      <c r="S1" s="2" t="n">
        <v>2033</v>
      </c>
      <c r="T1" s="2" t="n">
        <v>2034</v>
      </c>
      <c r="U1" s="2" t="n">
        <v>2035</v>
      </c>
      <c r="V1" s="2" t="n">
        <v>2036</v>
      </c>
      <c r="W1" s="2" t="n">
        <v>2037</v>
      </c>
      <c r="X1" s="2" t="n">
        <v>2038</v>
      </c>
      <c r="Y1" s="2" t="n">
        <v>2039</v>
      </c>
      <c r="Z1" s="2" t="n">
        <v>2040</v>
      </c>
      <c r="AA1" s="2" t="n">
        <v>2041</v>
      </c>
      <c r="AB1" s="2" t="n">
        <v>2042</v>
      </c>
      <c r="AC1" s="2" t="n">
        <v>2043</v>
      </c>
      <c r="AD1" s="2" t="n">
        <v>2044</v>
      </c>
      <c r="AE1" s="2" t="n">
        <v>2045</v>
      </c>
    </row>
    <row r="2">
      <c r="A2" s="9" t="inlineStr">
        <is>
          <t>Price Index 1 Factor</t>
        </is>
      </c>
      <c r="B2" s="9">
        <f>(1+'model_Assumptions'!$B$65)^(B1-2015)</f>
        <v/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</row>
    <row r="3">
      <c r="A3" s="9" t="inlineStr">
        <is>
          <t>Price Index 2 Factor</t>
        </is>
      </c>
      <c r="B3" s="9">
        <f>(1+'model_Assumptions'!$B$66)^(B1-2015)</f>
        <v/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</row>
    <row r="4">
      <c r="A4" s="9" t="inlineStr">
        <is>
          <t>Price Index 3 Factor</t>
        </is>
      </c>
      <c r="B4" s="9">
        <f>(1+'model_Assumptions'!$B$67)^(B1-2015)</f>
        <v/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</row>
    <row r="5">
      <c r="A5" s="9" t="inlineStr">
        <is>
          <t>Cost Index 1 Factor</t>
        </is>
      </c>
      <c r="B5" s="9">
        <f>(1+'model_Assumptions'!$B$68)^(B1-2015)</f>
        <v/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</row>
    <row r="6">
      <c r="A6" s="9" t="inlineStr">
        <is>
          <t>Cost Index 2 Factor</t>
        </is>
      </c>
      <c r="B6" s="9">
        <f>(1+'model_Assumptions'!$B$69)^(B1-2015)</f>
        <v/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</row>
    <row r="7">
      <c r="A7" s="9" t="inlineStr">
        <is>
          <t>Cost Index 3 Factor</t>
        </is>
      </c>
      <c r="B7" s="9">
        <f>(1+'model_Assumptions'!$B$70)^(B1-2015)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</row>
    <row r="15">
      <c r="A15" s="9" t="inlineStr">
        <is>
          <t>Q1: York Elec Price 2043</t>
        </is>
      </c>
      <c r="B15" s="11">
        <f>'model_Assumptions'!C60 * 'model_Workings'!AC5</f>
        <v/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</row>
    <row r="16">
      <c r="A16" s="9" t="inlineStr">
        <is>
          <t>Q2: Prod A Material Cost 2019</t>
        </is>
      </c>
      <c r="B16" s="11">
        <f>('model_Assumptions'!B37 * 'model_Assumptions'!B48 + 'model_Assumptions'!C37 * 'model_Assumptions'!B49 + 'model_Assumptions'!D37 * 'model_Assumptions'!B50) * 'model_Workings'!E5</f>
        <v/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</row>
    <row r="17">
      <c r="A17" s="9" t="inlineStr">
        <is>
          <t>Q3: Prod E Metal Treatment Cost Xinzhou 2028</t>
        </is>
      </c>
      <c r="B17" s="11">
        <f>('model_Assumptions'!C41 * 'model_Assumptions'!B51) * ('model_Assumptions'!C59 * 'model_Workings'!N5)</f>
        <v/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</row>
    <row r="18">
      <c r="A18" s="9" t="inlineStr">
        <is>
          <t>Q4: Victoria Prod G Capacity 2022</t>
        </is>
      </c>
      <c r="B18" s="14">
        <f>IF(OR('model_Assumptions'!I6="", 2022-'model_Assumptions'!I6+1 &gt; 'model_Assumptions'!C20), 0, 'model_Assumptions'!B20 - (2022-'model_Assumptions'!I6)*(( 'model_Assumptions'!B20 - 'model_Assumptions'!B20*'model_Assumptions'!D20)/('model_Assumptions'!C20-1)))</f>
        <v/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</row>
    <row r="19">
      <c r="A19" s="9" t="inlineStr">
        <is>
          <t>Q5: Total Prod C Capacity 2018</t>
        </is>
      </c>
      <c r="B19" s="14">
        <f>SUM(B20:B26)</f>
        <v/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</row>
    <row r="20">
      <c r="A20" s="9" t="inlineStr">
        <is>
          <t>Prod C Cap Telford 2018</t>
        </is>
      </c>
      <c r="B20" s="14">
        <f>IF(OR('model_Assumptions'!E4="", 2018-'model_Assumptions'!E4+1 &gt; 'model_Assumptions'!C16), 0, 'model_Assumptions'!B16 - (2018-'model_Assumptions'!E4)*(( 'model_Assumptions'!B16 - 'model_Assumptions'!B16*'model_Assumptions'!D16)/('model_Assumptions'!C16-1)))</f>
        <v/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</row>
    <row r="21">
      <c r="A21" s="9" t="inlineStr">
        <is>
          <t>Prod C Cap Ulsan 2018</t>
        </is>
      </c>
      <c r="B21" s="14">
        <f>IF(OR('model_Assumptions'!E5="", 2018-'model_Assumptions'!E5+1 &gt; 'model_Assumptions'!C16), 0, 'model_Assumptions'!B16 - (2018-'model_Assumptions'!E5)*(( 'model_Assumptions'!B16 - 'model_Assumptions'!B16*'model_Assumptions'!D16)/('model_Assumptions'!C16-1)))</f>
        <v/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</row>
    <row r="22">
      <c r="A22" s="9" t="inlineStr">
        <is>
          <t>Prod C Cap Victoria 2018</t>
        </is>
      </c>
      <c r="B22" s="14">
        <f>IF(OR('model_Assumptions'!E6="", 2018-'model_Assumptions'!E6+1 &gt; 'model_Assumptions'!C16), 0, 'model_Assumptions'!B16 - (2018-'model_Assumptions'!E6)*(( 'model_Assumptions'!B16 - 'model_Assumptions'!B16*'model_Assumptions'!D16)/('model_Assumptions'!C16-1)))</f>
        <v/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</row>
    <row r="23">
      <c r="A23" s="9" t="inlineStr">
        <is>
          <t>Prod C Cap Westminster 2018</t>
        </is>
      </c>
      <c r="B23" s="14">
        <f>IF(OR('model_Assumptions'!E7="", 2018-'model_Assumptions'!E7+1 &gt; 'model_Assumptions'!C16), 0, 'model_Assumptions'!B16 - (2018-'model_Assumptions'!E7)*(( 'model_Assumptions'!B16 - 'model_Assumptions'!B16*'model_Assumptions'!D16)/('model_Assumptions'!C16-1)))</f>
        <v/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</row>
    <row r="24">
      <c r="A24" s="9" t="inlineStr">
        <is>
          <t>Prod C Cap Xinzhou 2018</t>
        </is>
      </c>
      <c r="B24" s="14">
        <f>IF(OR('model_Assumptions'!E8="", 2018-'model_Assumptions'!E8+1 &gt; 'model_Assumptions'!C16), 0, 'model_Assumptions'!B16 - (2018-'model_Assumptions'!E8)*(( 'model_Assumptions'!B16 - 'model_Assumptions'!B16*'model_Assumptions'!D16)/('model_Assumptions'!C16-1)))</f>
        <v/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</row>
    <row r="25">
      <c r="A25" s="9" t="inlineStr">
        <is>
          <t>Prod C Cap York 2018</t>
        </is>
      </c>
      <c r="B25" s="14">
        <f>IF(OR('model_Assumptions'!E9="", 2018-'model_Assumptions'!E9+1 &gt; 'model_Assumptions'!C16), 0, 'model_Assumptions'!B16 - (2018-'model_Assumptions'!E9)*(( 'model_Assumptions'!B16 - 'model_Assumptions'!B16*'model_Assumptions'!D16)/('model_Assumptions'!C16-1)))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</row>
    <row r="26">
      <c r="A26" s="9" t="inlineStr">
        <is>
          <t>Prod C Cap Zwolle 2018</t>
        </is>
      </c>
      <c r="B26" s="14">
        <f>IF(OR('model_Assumptions'!E10="", 2018-'model_Assumptions'!E10+1 &gt; 'model_Assumptions'!C16), 0, 'model_Assumptions'!B16 - (2018-'model_Assumptions'!E10)*(( 'model_Assumptions'!B16 - 'model_Assumptions'!B16*'model_Assumptions'!D16)/('model_Assumptions'!C16-1)))</f>
        <v/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</row>
    <row r="30">
      <c r="A30" s="9" t="inlineStr">
        <is>
          <t>Product A Annual Drop</t>
        </is>
      </c>
      <c r="B30" s="9">
        <f>('model_Assumptions'!B14 - 'model_Assumptions'!B14 * 'model_Assumptions'!D14) / ('model_Assumptions'!C14 - 1)</f>
        <v/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</row>
    <row r="31">
      <c r="A31" s="9" t="inlineStr">
        <is>
          <t>Product B Annual Drop</t>
        </is>
      </c>
      <c r="B31" s="9">
        <f>('model_Assumptions'!B15 - 'model_Assumptions'!B15 * 'model_Assumptions'!D15) / ('model_Assumptions'!C15 - 1)</f>
        <v/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</row>
    <row r="32">
      <c r="A32" s="9" t="inlineStr">
        <is>
          <t>Product C Annual Drop</t>
        </is>
      </c>
      <c r="B32" s="9">
        <f>('model_Assumptions'!B16 - 'model_Assumptions'!B16 * 'model_Assumptions'!D16) / ('model_Assumptions'!C16 - 1)</f>
        <v/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</row>
    <row r="33">
      <c r="A33" s="9" t="inlineStr">
        <is>
          <t>Product D Annual Drop</t>
        </is>
      </c>
      <c r="B33" s="9">
        <f>('model_Assumptions'!B17 - 'model_Assumptions'!B17 * 'model_Assumptions'!D17) / ('model_Assumptions'!C17 - 1)</f>
        <v/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</row>
    <row r="34">
      <c r="A34" s="9" t="inlineStr">
        <is>
          <t>Product E Annual Drop</t>
        </is>
      </c>
      <c r="B34" s="9">
        <f>('model_Assumptions'!B18 - 'model_Assumptions'!B18 * 'model_Assumptions'!D18) / ('model_Assumptions'!C18 - 1)</f>
        <v/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</row>
    <row r="35">
      <c r="A35" s="9" t="inlineStr">
        <is>
          <t>Product F Annual Drop</t>
        </is>
      </c>
      <c r="B35" s="9">
        <f>('model_Assumptions'!B19 - 'model_Assumptions'!B19 * 'model_Assumptions'!D19) / ('model_Assumptions'!C19 - 1)</f>
        <v/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</row>
    <row r="36">
      <c r="A36" s="9" t="inlineStr">
        <is>
          <t>Product G Annual Drop</t>
        </is>
      </c>
      <c r="B36" s="9">
        <f>('model_Assumptions'!B20 - 'model_Assumptions'!B20 * 'model_Assumptions'!D20) / ('model_Assumptions'!C20 - 1)</f>
        <v/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</row>
    <row r="37">
      <c r="A37" s="9" t="inlineStr">
        <is>
          <t>Product H Annual Drop</t>
        </is>
      </c>
      <c r="B37" s="9">
        <f>('model_Assumptions'!B21 - 'model_Assumptions'!B21 * 'model_Assumptions'!D21) / ('model_Assumptions'!C21 - 1)</f>
        <v/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</row>
    <row r="38"/>
    <row r="39"/>
    <row r="40">
      <c r="A40" t="inlineStr">
        <is>
          <t>Q6: Prod C Ulsan Variable Cost 2028</t>
        </is>
      </c>
      <c r="B40" s="13">
        <f>B48</f>
        <v/>
      </c>
    </row>
    <row r="41">
      <c r="A41" t="inlineStr">
        <is>
          <t>Prod C Material Cost (2015)</t>
        </is>
      </c>
      <c r="B41" s="13">
        <f>'model_Assumptions'!B39*'model_Assumptions'!B48 + 'model_Assumptions'!C39*'model_Assumptions'!B49 + 'model_Assumptions'!D39*'model_Assumptions'!B50</f>
        <v/>
      </c>
    </row>
    <row r="42">
      <c r="A42" t="inlineStr">
        <is>
          <t>Prod C Material Cost (2028)</t>
        </is>
      </c>
      <c r="B42" s="13">
        <f>B41 * 'model_Workings'!N5</f>
        <v/>
      </c>
    </row>
    <row r="43">
      <c r="A43" t="inlineStr">
        <is>
          <t>Prod C Metal Treatment (2028)</t>
        </is>
      </c>
      <c r="B43" s="13">
        <f>'model_Assumptions'!C39 * 2 * 'model_Assumptions'!C56 * 'model_Workings'!N5</f>
        <v/>
      </c>
    </row>
    <row r="44">
      <c r="A44" t="inlineStr">
        <is>
          <t>Prod C Ulsan Machine Elec (2028)</t>
        </is>
      </c>
      <c r="B44" s="13">
        <f>'model_Assumptions'!E16 * 365 * 'model_Assumptions'!C56 * 'model_Workings'!N5</f>
        <v/>
      </c>
    </row>
    <row r="45">
      <c r="A45" t="inlineStr">
        <is>
          <t>Prod C Ulsan Machine Labor (2028)</t>
        </is>
      </c>
      <c r="B45" s="13">
        <f>'model_Assumptions'!F16 * 365 * 'model_Assumptions'!D56 * 'model_Workings'!N6</f>
        <v/>
      </c>
    </row>
    <row r="46">
      <c r="A46" t="inlineStr">
        <is>
          <t>Prod C Ulsan Capacity 2028</t>
        </is>
      </c>
      <c r="B46" s="15">
        <f>IF(OR('model_Assumptions'!E5="", 2028-'model_Assumptions'!E5+1 &gt; 'model_Assumptions'!C16), 0, 'model_Assumptions'!B16 - (2028-'model_Assumptions'!E5)*'model_Workings'!B32)*1000</f>
        <v/>
      </c>
    </row>
    <row r="47">
      <c r="A47" t="inlineStr">
        <is>
          <t>Prod C Ulsan MC Running (2028)</t>
        </is>
      </c>
      <c r="B47" s="13">
        <f>IFERROR((B44+B45)/B46, 0)</f>
        <v/>
      </c>
    </row>
    <row r="48">
      <c r="A48" t="inlineStr">
        <is>
          <t>Total Variable Cost Prod C Ulsan 2028</t>
        </is>
      </c>
      <c r="B48" s="13">
        <f>B42 + B43 + B47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</cols>
  <sheetData>
    <row r="1">
      <c r="A1" s="9" t="inlineStr">
        <is>
          <t>What is the cost per MWh of Electricity for the York factory in 2043?</t>
        </is>
      </c>
      <c r="B1" s="12">
        <f>'model_Workings'!B15</f>
        <v/>
      </c>
      <c r="C1" s="9" t="inlineStr">
        <is>
          <t>$/MWh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</cols>
  <sheetData>
    <row r="1">
      <c r="A1" s="9" t="inlineStr">
        <is>
          <t>What is the total cost of Plastic, Metal and Wood (excluding the electricity treatment of the Metal) required to manufacture one unit of Product A in 2019?</t>
        </is>
      </c>
      <c r="B1" s="12">
        <f>'model_Workings'!B16</f>
        <v/>
      </c>
      <c r="C1" s="9" t="inlineStr">
        <is>
          <t>$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</cols>
  <sheetData>
    <row r="1">
      <c r="A1" s="9" t="inlineStr">
        <is>
          <t>What is the cost of the Metal treatment required to manufacture one unit of Product E at the Xinzhou factory in 2028?</t>
        </is>
      </c>
      <c r="B1" s="12">
        <f>'model_Workings'!B17</f>
        <v/>
      </c>
      <c r="C1" s="9" t="inlineStr">
        <is>
          <t>$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</cols>
  <sheetData>
    <row r="1">
      <c r="A1" s="9" t="inlineStr">
        <is>
          <t>The Victoria factory acquired a Product G machine in 2008. What is the maximum number of Product G this machine can manufacture in the 2022 year?</t>
        </is>
      </c>
      <c r="B1" s="9">
        <f>'model_Workings'!B18</f>
        <v/>
      </c>
      <c r="C1" s="9" t="inlineStr">
        <is>
          <t>units (thousands)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</cols>
  <sheetData>
    <row r="1">
      <c r="A1" t="inlineStr">
        <is>
          <t>What is the maximum number of Product C that MOM can manufacture across all factories in the 2018 year?</t>
        </is>
      </c>
      <c r="B1">
        <f>'model_Workings'!B19</f>
        <v/>
      </c>
      <c r="C1" t="inlineStr">
        <is>
          <t>units (thousands)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t="inlineStr">
        <is>
          <t>What is the Variable Cost required to manufacture one unit of Product C in 2028 at the Ulsan factory?</t>
        </is>
      </c>
      <c r="B1">
        <f>'model_Workings'!B40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What is the Variable Cost required to manufacture one unit of Product H in 2018 at the factory which has the lowest marginal cost?</t>
        </is>
      </c>
      <c r="B1">
        <f>MIN('model_MarginalCost'!F3:F9)</f>
        <v/>
      </c>
      <c r="C1" t="inlineStr">
        <is>
          <t>$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</cols>
  <sheetData>
    <row r="1">
      <c r="A1" t="inlineStr">
        <is>
          <t>How many factories will MOM operate to manufacture Product C in 2022 in order to meet the volumes under the supply contract?</t>
        </is>
      </c>
      <c r="C1" t="inlineStr">
        <is>
          <t>factories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Which is the first Product where MOM is unable to meet the volumes required under the supply contract?</t>
        </is>
      </c>
      <c r="C1" t="inlineStr">
        <is>
          <t>Product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Excluding profit penalties and excluding overheads, what is the total profit (in $000s) made from selling Product B in 2041?</t>
        </is>
      </c>
      <c r="C1" t="inlineStr">
        <is>
          <t>$000s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Excluding profit penalties but including overheads, what is the total profit (in $000s) for the Zwolle factory in 2026?</t>
        </is>
      </c>
      <c r="C1" t="inlineStr">
        <is>
          <t>$000s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What is the total penalty payable (in $000s) by MOM for volumes not delivered in 2040?</t>
        </is>
      </c>
      <c r="C1" t="inlineStr">
        <is>
          <t>$000s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What is the total profit (in $000s, including penalties and including overheads) for MOM over the 30 year analysis period?</t>
        </is>
      </c>
      <c r="C1" t="inlineStr">
        <is>
          <t>$000s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What is the first year in which a Product B machine is replaced?</t>
        </is>
      </c>
      <c r="C1" t="inlineStr">
        <is>
          <t>Year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What is the total number of Product G machines that get replaced over the 30 year analysis period?</t>
        </is>
      </c>
      <c r="C1" t="inlineStr">
        <is>
          <t>machines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Measured to the nearest whole unit, what is the total capacity to manufacture Product F (including replacement machines) in 2029?</t>
        </is>
      </c>
      <c r="C1" t="inlineStr">
        <is>
          <t>units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Measured to the nearest thousand dollars, what is the total profit (including penalties and including overheads) for MOM over the 30 year analysis period?</t>
        </is>
      </c>
      <c r="C1" t="inlineStr">
        <is>
          <t>$000s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t="inlineStr">
        <is>
          <t>Describe the location in your model of the switch and what value it should be set at to enable/disable machine replacement. Also describe the location of the answer to Question 13/Question 17.</t>
        </is>
      </c>
      <c r="C1" t="inlineStr">
        <is>
          <t>Text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2" t="inlineStr">
        <is>
          <t>Product B - Capacity Matrix</t>
        </is>
      </c>
      <c r="B1" s="2" t="n">
        <v>2016</v>
      </c>
      <c r="C1" s="2" t="n">
        <v>2017</v>
      </c>
      <c r="D1" s="2" t="n">
        <v>2018</v>
      </c>
      <c r="E1" s="2" t="n">
        <v>2019</v>
      </c>
      <c r="F1" s="2" t="n">
        <v>2020</v>
      </c>
      <c r="G1" s="2" t="n">
        <v>2021</v>
      </c>
      <c r="H1" s="2" t="n">
        <v>2022</v>
      </c>
      <c r="I1" s="2" t="n">
        <v>2023</v>
      </c>
      <c r="J1" s="2" t="n">
        <v>2024</v>
      </c>
      <c r="K1" s="2" t="n">
        <v>2025</v>
      </c>
      <c r="L1" s="2" t="n">
        <v>2026</v>
      </c>
      <c r="M1" s="2" t="n">
        <v>2027</v>
      </c>
      <c r="N1" s="2" t="n">
        <v>2028</v>
      </c>
      <c r="O1" s="2" t="n">
        <v>2029</v>
      </c>
      <c r="P1" s="2" t="n">
        <v>2030</v>
      </c>
      <c r="Q1" s="2" t="n">
        <v>2031</v>
      </c>
      <c r="R1" s="2" t="n">
        <v>2032</v>
      </c>
      <c r="S1" s="2" t="n">
        <v>2033</v>
      </c>
      <c r="T1" s="2" t="n">
        <v>2034</v>
      </c>
      <c r="U1" s="2" t="n">
        <v>2035</v>
      </c>
      <c r="V1" s="2" t="n">
        <v>2036</v>
      </c>
      <c r="W1" s="2" t="n">
        <v>2037</v>
      </c>
      <c r="X1" s="2" t="n">
        <v>2038</v>
      </c>
      <c r="Y1" s="2" t="n">
        <v>2039</v>
      </c>
      <c r="Z1" s="2" t="n">
        <v>2040</v>
      </c>
      <c r="AA1" s="2" t="n">
        <v>2041</v>
      </c>
      <c r="AB1" s="2" t="n">
        <v>2042</v>
      </c>
      <c r="AC1" s="2" t="n">
        <v>2043</v>
      </c>
      <c r="AD1" s="2" t="n">
        <v>2044</v>
      </c>
      <c r="AE1" s="2" t="n">
        <v>2045</v>
      </c>
    </row>
    <row r="2">
      <c r="A2" s="9" t="inlineStr">
        <is>
          <t>Product A - Telford</t>
        </is>
      </c>
      <c r="B2" s="9">
        <f>IF(OR('model_Assumptions'!$C$4=0, B$1&lt;'model_Assumptions'!$C$4, B$1-'model_Assumptions'!$C$4+1 &gt; 'model_Assumptions'!$C$14), 0, 'model_Assumptions'!$B$14 - (B$1-'model_Assumptions'!$C$4)*'model_Workings'!$B$30)</f>
        <v/>
      </c>
      <c r="C2" s="9">
        <f>IF(OR('model_Assumptions'!$C$4=0, C$1&lt;'model_Assumptions'!$C$4, C$1-'model_Assumptions'!$C$4+1 &gt; 'model_Assumptions'!$C$14), 0, 'model_Assumptions'!$B$14 - (C$1-'model_Assumptions'!$C$4)*'model_Workings'!$B$30)</f>
        <v/>
      </c>
      <c r="D2" s="9">
        <f>IF(OR('model_Assumptions'!$C$4=0, D$1&lt;'model_Assumptions'!$C$4, D$1-'model_Assumptions'!$C$4+1 &gt; 'model_Assumptions'!$C$14), 0, 'model_Assumptions'!$B$14 - (D$1-'model_Assumptions'!$C$4)*'model_Workings'!$B$30)</f>
        <v/>
      </c>
      <c r="E2" s="9">
        <f>IF(OR('model_Assumptions'!$C$4=0, E$1&lt;'model_Assumptions'!$C$4, E$1-'model_Assumptions'!$C$4+1 &gt; 'model_Assumptions'!$C$14), 0, 'model_Assumptions'!$B$14 - (E$1-'model_Assumptions'!$C$4)*'model_Workings'!$B$30)</f>
        <v/>
      </c>
      <c r="F2" s="9">
        <f>IF(OR('model_Assumptions'!$C$4=0, F$1&lt;'model_Assumptions'!$C$4, F$1-'model_Assumptions'!$C$4+1 &gt; 'model_Assumptions'!$C$14), 0, 'model_Assumptions'!$B$14 - (F$1-'model_Assumptions'!$C$4)*'model_Workings'!$B$30)</f>
        <v/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</row>
    <row r="3">
      <c r="A3" s="9" t="inlineStr">
        <is>
          <t>Product A - Ulsan</t>
        </is>
      </c>
      <c r="B3" s="9">
        <f>IF(OR('model_Assumptions'!$C$5=0, B$1&lt;'model_Assumptions'!$C$5, B$1-'model_Assumptions'!$C$5+1 &gt; 'model_Assumptions'!$C$14), 0, 'model_Assumptions'!$B$14 - (B$1-'model_Assumptions'!$C$5)*'model_Workings'!$B$30)</f>
        <v/>
      </c>
      <c r="C3" s="9">
        <f>IF(OR('model_Assumptions'!$C$5=0, C$1&lt;'model_Assumptions'!$C$5, C$1-'model_Assumptions'!$C$5+1 &gt; 'model_Assumptions'!$C$14), 0, 'model_Assumptions'!$B$14 - (C$1-'model_Assumptions'!$C$5)*'model_Workings'!$B$30)</f>
        <v/>
      </c>
      <c r="D3" s="9">
        <f>IF(OR('model_Assumptions'!$C$5=0, D$1&lt;'model_Assumptions'!$C$5, D$1-'model_Assumptions'!$C$5+1 &gt; 'model_Assumptions'!$C$14), 0, 'model_Assumptions'!$B$14 - (D$1-'model_Assumptions'!$C$5)*'model_Workings'!$B$30)</f>
        <v/>
      </c>
      <c r="E3" s="9">
        <f>IF(OR('model_Assumptions'!$C$5=0, E$1&lt;'model_Assumptions'!$C$5, E$1-'model_Assumptions'!$C$5+1 &gt; 'model_Assumptions'!$C$14), 0, 'model_Assumptions'!$B$14 - (E$1-'model_Assumptions'!$C$5)*'model_Workings'!$B$30)</f>
        <v/>
      </c>
      <c r="F3" s="9">
        <f>IF(OR('model_Assumptions'!$C$5=0, F$1&lt;'model_Assumptions'!$C$5, F$1-'model_Assumptions'!$C$5+1 &gt; 'model_Assumptions'!$C$14), 0, 'model_Assumptions'!$B$14 - (F$1-'model_Assumptions'!$C$5)*'model_Workings'!$B$30)</f>
        <v/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</row>
    <row r="4">
      <c r="A4" s="9" t="inlineStr">
        <is>
          <t>Product A - Victoria</t>
        </is>
      </c>
      <c r="B4" s="9">
        <f>IF(OR('model_Assumptions'!$C$6=0, B$1&lt;'model_Assumptions'!$C$6, B$1-'model_Assumptions'!$C$6+1 &gt; 'model_Assumptions'!$C$14), 0, 'model_Assumptions'!$B$14 - (B$1-'model_Assumptions'!$C$6)*'model_Workings'!$B$30)</f>
        <v/>
      </c>
      <c r="C4" s="9">
        <f>IF(OR('model_Assumptions'!$C$6=0, C$1&lt;'model_Assumptions'!$C$6, C$1-'model_Assumptions'!$C$6+1 &gt; 'model_Assumptions'!$C$14), 0, 'model_Assumptions'!$B$14 - (C$1-'model_Assumptions'!$C$6)*'model_Workings'!$B$30)</f>
        <v/>
      </c>
      <c r="D4" s="9">
        <f>IF(OR('model_Assumptions'!$C$6=0, D$1&lt;'model_Assumptions'!$C$6, D$1-'model_Assumptions'!$C$6+1 &gt; 'model_Assumptions'!$C$14), 0, 'model_Assumptions'!$B$14 - (D$1-'model_Assumptions'!$C$6)*'model_Workings'!$B$30)</f>
        <v/>
      </c>
      <c r="E4" s="9">
        <f>IF(OR('model_Assumptions'!$C$6=0, E$1&lt;'model_Assumptions'!$C$6, E$1-'model_Assumptions'!$C$6+1 &gt; 'model_Assumptions'!$C$14), 0, 'model_Assumptions'!$B$14 - (E$1-'model_Assumptions'!$C$6)*'model_Workings'!$B$30)</f>
        <v/>
      </c>
      <c r="F4" s="9">
        <f>IF(OR('model_Assumptions'!$C$6=0, F$1&lt;'model_Assumptions'!$C$6, F$1-'model_Assumptions'!$C$6+1 &gt; 'model_Assumptions'!$C$14), 0, 'model_Assumptions'!$B$14 - (F$1-'model_Assumptions'!$C$6)*'model_Workings'!$B$30)</f>
        <v/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</row>
    <row r="5">
      <c r="A5" s="9" t="inlineStr">
        <is>
          <t>Product A - Westminster</t>
        </is>
      </c>
      <c r="B5" s="9">
        <f>IF(OR('model_Assumptions'!$C$7=0, B$1&lt;'model_Assumptions'!$C$7, B$1-'model_Assumptions'!$C$7+1 &gt; 'model_Assumptions'!$C$14), 0, 'model_Assumptions'!$B$14 - (B$1-'model_Assumptions'!$C$7)*'model_Workings'!$B$30)</f>
        <v/>
      </c>
      <c r="C5" s="9">
        <f>IF(OR('model_Assumptions'!$C$7=0, C$1&lt;'model_Assumptions'!$C$7, C$1-'model_Assumptions'!$C$7+1 &gt; 'model_Assumptions'!$C$14), 0, 'model_Assumptions'!$B$14 - (C$1-'model_Assumptions'!$C$7)*'model_Workings'!$B$30)</f>
        <v/>
      </c>
      <c r="D5" s="9">
        <f>IF(OR('model_Assumptions'!$C$7=0, D$1&lt;'model_Assumptions'!$C$7, D$1-'model_Assumptions'!$C$7+1 &gt; 'model_Assumptions'!$C$14), 0, 'model_Assumptions'!$B$14 - (D$1-'model_Assumptions'!$C$7)*'model_Workings'!$B$30)</f>
        <v/>
      </c>
      <c r="E5" s="9">
        <f>IF(OR('model_Assumptions'!$C$7=0, E$1&lt;'model_Assumptions'!$C$7, E$1-'model_Assumptions'!$C$7+1 &gt; 'model_Assumptions'!$C$14), 0, 'model_Assumptions'!$B$14 - (E$1-'model_Assumptions'!$C$7)*'model_Workings'!$B$30)</f>
        <v/>
      </c>
      <c r="F5" s="9">
        <f>IF(OR('model_Assumptions'!$C$7=0, F$1&lt;'model_Assumptions'!$C$7, F$1-'model_Assumptions'!$C$7+1 &gt; 'model_Assumptions'!$C$14), 0, 'model_Assumptions'!$B$14 - (F$1-'model_Assumptions'!$C$7)*'model_Workings'!$B$30)</f>
        <v/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</row>
    <row r="6">
      <c r="A6" s="9" t="inlineStr">
        <is>
          <t>Product A - Xinzhou</t>
        </is>
      </c>
      <c r="B6" s="9">
        <f>IF(OR('model_Assumptions'!$C$8=0, B$1&lt;'model_Assumptions'!$C$8, B$1-'model_Assumptions'!$C$8+1 &gt; 'model_Assumptions'!$C$14), 0, 'model_Assumptions'!$B$14 - (B$1-'model_Assumptions'!$C$8)*'model_Workings'!$B$30)</f>
        <v/>
      </c>
      <c r="C6" s="9">
        <f>IF(OR('model_Assumptions'!$C$8=0, C$1&lt;'model_Assumptions'!$C$8, C$1-'model_Assumptions'!$C$8+1 &gt; 'model_Assumptions'!$C$14), 0, 'model_Assumptions'!$B$14 - (C$1-'model_Assumptions'!$C$8)*'model_Workings'!$B$30)</f>
        <v/>
      </c>
      <c r="D6" s="9">
        <f>IF(OR('model_Assumptions'!$C$8=0, D$1&lt;'model_Assumptions'!$C$8, D$1-'model_Assumptions'!$C$8+1 &gt; 'model_Assumptions'!$C$14), 0, 'model_Assumptions'!$B$14 - (D$1-'model_Assumptions'!$C$8)*'model_Workings'!$B$30)</f>
        <v/>
      </c>
      <c r="E6" s="9">
        <f>IF(OR('model_Assumptions'!$C$8=0, E$1&lt;'model_Assumptions'!$C$8, E$1-'model_Assumptions'!$C$8+1 &gt; 'model_Assumptions'!$C$14), 0, 'model_Assumptions'!$B$14 - (E$1-'model_Assumptions'!$C$8)*'model_Workings'!$B$30)</f>
        <v/>
      </c>
      <c r="F6" s="9">
        <f>IF(OR('model_Assumptions'!$C$8=0, F$1&lt;'model_Assumptions'!$C$8, F$1-'model_Assumptions'!$C$8+1 &gt; 'model_Assumptions'!$C$14), 0, 'model_Assumptions'!$B$14 - (F$1-'model_Assumptions'!$C$8)*'model_Workings'!$B$30)</f>
        <v/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</row>
    <row r="7">
      <c r="A7" s="9" t="inlineStr">
        <is>
          <t>Product A - York</t>
        </is>
      </c>
      <c r="B7" s="9">
        <f>IF(OR('model_Assumptions'!$C$9=0, B$1&lt;'model_Assumptions'!$C$9, B$1-'model_Assumptions'!$C$9+1 &gt; 'model_Assumptions'!$C$14), 0, 'model_Assumptions'!$B$14 - (B$1-'model_Assumptions'!$C$9)*'model_Workings'!$B$30)</f>
        <v/>
      </c>
      <c r="C7" s="9">
        <f>IF(OR('model_Assumptions'!$C$9=0, C$1&lt;'model_Assumptions'!$C$9, C$1-'model_Assumptions'!$C$9+1 &gt; 'model_Assumptions'!$C$14), 0, 'model_Assumptions'!$B$14 - (C$1-'model_Assumptions'!$C$9)*'model_Workings'!$B$30)</f>
        <v/>
      </c>
      <c r="D7" s="9">
        <f>IF(OR('model_Assumptions'!$C$9=0, D$1&lt;'model_Assumptions'!$C$9, D$1-'model_Assumptions'!$C$9+1 &gt; 'model_Assumptions'!$C$14), 0, 'model_Assumptions'!$B$14 - (D$1-'model_Assumptions'!$C$9)*'model_Workings'!$B$30)</f>
        <v/>
      </c>
      <c r="E7" s="9">
        <f>IF(OR('model_Assumptions'!$C$9=0, E$1&lt;'model_Assumptions'!$C$9, E$1-'model_Assumptions'!$C$9+1 &gt; 'model_Assumptions'!$C$14), 0, 'model_Assumptions'!$B$14 - (E$1-'model_Assumptions'!$C$9)*'model_Workings'!$B$30)</f>
        <v/>
      </c>
      <c r="F7" s="9">
        <f>IF(OR('model_Assumptions'!$C$9=0, F$1&lt;'model_Assumptions'!$C$9, F$1-'model_Assumptions'!$C$9+1 &gt; 'model_Assumptions'!$C$14), 0, 'model_Assumptions'!$B$14 - (F$1-'model_Assumptions'!$C$9)*'model_Workings'!$B$30)</f>
        <v/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</row>
    <row r="8">
      <c r="A8" s="9" t="inlineStr">
        <is>
          <t>Product A - Zwolle</t>
        </is>
      </c>
      <c r="B8" s="9">
        <f>IF(OR('model_Assumptions'!$C$10=0, B$1&lt;'model_Assumptions'!$C$10, B$1-'model_Assumptions'!$C$10+1 &gt; 'model_Assumptions'!$C$14), 0, 'model_Assumptions'!$B$14 - (B$1-'model_Assumptions'!$C$10)*'model_Workings'!$B$30)</f>
        <v/>
      </c>
      <c r="C8" s="9">
        <f>IF(OR('model_Assumptions'!$C$10=0, C$1&lt;'model_Assumptions'!$C$10, C$1-'model_Assumptions'!$C$10+1 &gt; 'model_Assumptions'!$C$14), 0, 'model_Assumptions'!$B$14 - (C$1-'model_Assumptions'!$C$10)*'model_Workings'!$B$30)</f>
        <v/>
      </c>
      <c r="D8" s="9">
        <f>IF(OR('model_Assumptions'!$C$10=0, D$1&lt;'model_Assumptions'!$C$10, D$1-'model_Assumptions'!$C$10+1 &gt; 'model_Assumptions'!$C$14), 0, 'model_Assumptions'!$B$14 - (D$1-'model_Assumptions'!$C$10)*'model_Workings'!$B$30)</f>
        <v/>
      </c>
      <c r="E8" s="9">
        <f>IF(OR('model_Assumptions'!$C$10=0, E$1&lt;'model_Assumptions'!$C$10, E$1-'model_Assumptions'!$C$10+1 &gt; 'model_Assumptions'!$C$14), 0, 'model_Assumptions'!$B$14 - (E$1-'model_Assumptions'!$C$10)*'model_Workings'!$B$30)</f>
        <v/>
      </c>
      <c r="F8" s="9">
        <f>IF(OR('model_Assumptions'!$C$10=0, F$1&lt;'model_Assumptions'!$C$10, F$1-'model_Assumptions'!$C$10+1 &gt; 'model_Assumptions'!$C$14), 0, 'model_Assumptions'!$B$14 - (F$1-'model_Assumptions'!$C$10)*'model_Workings'!$B$30)</f>
        <v/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</row>
    <row r="9">
      <c r="A9" s="9" t="inlineStr">
        <is>
          <t>Product B - Telford</t>
        </is>
      </c>
      <c r="B9" s="9">
        <f>IF(OR('model_Assumptions'!$D$4=0, B$1&lt;'model_Assumptions'!$D$4, B$1-'model_Assumptions'!$D$4+1 &gt; 'model_Assumptions'!$C$15), 0, 'model_Assumptions'!$B$15 - (B$1-'model_Assumptions'!$D$4)*'model_Workings'!$B$31)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</row>
    <row r="10">
      <c r="A10" s="9" t="inlineStr">
        <is>
          <t>Product B - Ulsan</t>
        </is>
      </c>
      <c r="B10" s="9">
        <f>IF(OR('model_Assumptions'!$D$5=0, B$1&lt;'model_Assumptions'!$D$5, B$1-'model_Assumptions'!$D$5+1 &gt; 'model_Assumptions'!$C$15), 0, 'model_Assumptions'!$B$15 - (B$1-'model_Assumptions'!$D$5)*'model_Workings'!$B$31)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</row>
    <row r="11">
      <c r="A11" s="9" t="inlineStr">
        <is>
          <t>Product B - Victoria</t>
        </is>
      </c>
      <c r="B11" s="9">
        <f>IF(OR('model_Assumptions'!$D$6=0, B$1&lt;'model_Assumptions'!$D$6, B$1-'model_Assumptions'!$D$6+1 &gt; 'model_Assumptions'!$C$15), 0, 'model_Assumptions'!$B$15 - (B$1-'model_Assumptions'!$D$6)*'model_Workings'!$B$31)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</row>
    <row r="12">
      <c r="A12" s="9" t="inlineStr">
        <is>
          <t>Product B - Westminster</t>
        </is>
      </c>
      <c r="B12" s="9">
        <f>IF(OR('model_Assumptions'!$D$7=0, B$1&lt;'model_Assumptions'!$D$7, B$1-'model_Assumptions'!$D$7+1 &gt; 'model_Assumptions'!$C$15), 0, 'model_Assumptions'!$B$15 - (B$1-'model_Assumptions'!$D$7)*'model_Workings'!$B$31)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</row>
    <row r="13">
      <c r="A13" s="9" t="inlineStr">
        <is>
          <t>Product B - Xinzhou</t>
        </is>
      </c>
      <c r="B13" s="9">
        <f>IF(OR('model_Assumptions'!$D$8=0, B$1&lt;'model_Assumptions'!$D$8, B$1-'model_Assumptions'!$D$8+1 &gt; 'model_Assumptions'!$C$15), 0, 'model_Assumptions'!$B$15 - (B$1-'model_Assumptions'!$D$8)*'model_Workings'!$B$31)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</row>
    <row r="14">
      <c r="A14" s="9" t="inlineStr">
        <is>
          <t>Product B - York</t>
        </is>
      </c>
      <c r="B14" s="9">
        <f>IF(OR('model_Assumptions'!$D$9=0, B$1&lt;'model_Assumptions'!$D$9, B$1-'model_Assumptions'!$D$9+1 &gt; 'model_Assumptions'!$C$15), 0, 'model_Assumptions'!$B$15 - (B$1-'model_Assumptions'!$D$9)*'model_Workings'!$B$31)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</row>
    <row r="15">
      <c r="A15" s="9" t="inlineStr">
        <is>
          <t>Product B - Zwolle</t>
        </is>
      </c>
      <c r="B15" s="9">
        <f>IF(OR('model_Assumptions'!$D$10=0, B$1&lt;'model_Assumptions'!$D$10, B$1-'model_Assumptions'!$D$10+1 &gt; 'model_Assumptions'!$C$15), 0, 'model_Assumptions'!$B$15 - (B$1-'model_Assumptions'!$D$10)*'model_Workings'!$B$31)</f>
        <v/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</row>
    <row r="16">
      <c r="A16" s="9" t="inlineStr">
        <is>
          <t>Product C - Telford</t>
        </is>
      </c>
      <c r="B16" s="9">
        <f>IF(OR('model_Assumptions'!$E$4=0, B$1&lt;'model_Assumptions'!$E$4, B$1-'model_Assumptions'!$E$4+1 &gt; 'model_Assumptions'!$C$16), 0, 'model_Assumptions'!$B$16 - (B$1-'model_Assumptions'!$E$4)*'model_Workings'!$B$32)</f>
        <v/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</row>
    <row r="17">
      <c r="A17" s="9" t="inlineStr">
        <is>
          <t>Product C - Ulsan</t>
        </is>
      </c>
      <c r="B17" s="9">
        <f>IF(OR('model_Assumptions'!$E$5=0, B$1&lt;'model_Assumptions'!$E$5, B$1-'model_Assumptions'!$E$5+1 &gt; 'model_Assumptions'!$C$16), 0, 'model_Assumptions'!$B$16 - (B$1-'model_Assumptions'!$E$5)*'model_Workings'!$B$32)</f>
        <v/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</row>
    <row r="18">
      <c r="A18" s="9" t="inlineStr">
        <is>
          <t>Product C - Victoria</t>
        </is>
      </c>
      <c r="B18" s="9">
        <f>IF(OR('model_Assumptions'!$E$6=0, B$1&lt;'model_Assumptions'!$E$6, B$1-'model_Assumptions'!$E$6+1 &gt; 'model_Assumptions'!$C$16), 0, 'model_Assumptions'!$B$16 - (B$1-'model_Assumptions'!$E$6)*'model_Workings'!$B$32)</f>
        <v/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</row>
    <row r="19">
      <c r="A19" s="9" t="inlineStr">
        <is>
          <t>Product C - Westminster</t>
        </is>
      </c>
      <c r="B19" s="9">
        <f>IF(OR('model_Assumptions'!$E$7=0, B$1&lt;'model_Assumptions'!$E$7, B$1-'model_Assumptions'!$E$7+1 &gt; 'model_Assumptions'!$C$16), 0, 'model_Assumptions'!$B$16 - (B$1-'model_Assumptions'!$E$7)*'model_Workings'!$B$32)</f>
        <v/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</row>
    <row r="20">
      <c r="A20" s="9" t="inlineStr">
        <is>
          <t>Product C - Xinzhou</t>
        </is>
      </c>
      <c r="B20" s="9">
        <f>IF(OR('model_Assumptions'!$E$8=0, B$1&lt;'model_Assumptions'!$E$8, B$1-'model_Assumptions'!$E$8+1 &gt; 'model_Assumptions'!$C$16), 0, 'model_Assumptions'!$B$16 - (B$1-'model_Assumptions'!$E$8)*'model_Workings'!$B$32)</f>
        <v/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</row>
    <row r="21">
      <c r="A21" s="9" t="inlineStr">
        <is>
          <t>Product C - York</t>
        </is>
      </c>
      <c r="B21" s="9">
        <f>IF(OR('model_Assumptions'!$E$9=0, B$1&lt;'model_Assumptions'!$E$9, B$1-'model_Assumptions'!$E$9+1 &gt; 'model_Assumptions'!$C$16), 0, 'model_Assumptions'!$B$16 - (B$1-'model_Assumptions'!$E$9)*'model_Workings'!$B$32)</f>
        <v/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</row>
    <row r="22">
      <c r="A22" s="9" t="inlineStr">
        <is>
          <t>Product C - Zwolle</t>
        </is>
      </c>
      <c r="B22" s="9">
        <f>IF(OR('model_Assumptions'!$E$10=0, B$1&lt;'model_Assumptions'!$E$10, B$1-'model_Assumptions'!$E$10+1 &gt; 'model_Assumptions'!$C$16), 0, 'model_Assumptions'!$B$16 - (B$1-'model_Assumptions'!$E$10)*'model_Workings'!$B$32)</f>
        <v/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</row>
    <row r="23">
      <c r="A23" s="9" t="inlineStr">
        <is>
          <t>Product D - Telford</t>
        </is>
      </c>
      <c r="B23" s="9">
        <f>IF(OR('model_Assumptions'!$F$4=0, B$1&lt;'model_Assumptions'!$F$4, B$1-'model_Assumptions'!$F$4+1 &gt; 'model_Assumptions'!$C$17), 0, 'model_Assumptions'!$B$17 - (B$1-'model_Assumptions'!$F$4)*'model_Workings'!$B$33)</f>
        <v/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</row>
    <row r="24">
      <c r="A24" s="9" t="inlineStr">
        <is>
          <t>Product D - Ulsan</t>
        </is>
      </c>
      <c r="B24" s="9">
        <f>IF(OR('model_Assumptions'!$F$5=0, B$1&lt;'model_Assumptions'!$F$5, B$1-'model_Assumptions'!$F$5+1 &gt; 'model_Assumptions'!$C$17), 0, 'model_Assumptions'!$B$17 - (B$1-'model_Assumptions'!$F$5)*'model_Workings'!$B$33)</f>
        <v/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</row>
    <row r="25">
      <c r="A25" s="9" t="inlineStr">
        <is>
          <t>Product D - Victoria</t>
        </is>
      </c>
      <c r="B25" s="9">
        <f>IF(OR('model_Assumptions'!$F$6=0, B$1&lt;'model_Assumptions'!$F$6, B$1-'model_Assumptions'!$F$6+1 &gt; 'model_Assumptions'!$C$17), 0, 'model_Assumptions'!$B$17 - (B$1-'model_Assumptions'!$F$6)*'model_Workings'!$B$33)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</row>
    <row r="26">
      <c r="A26" s="9" t="inlineStr">
        <is>
          <t>Product D - Westminster</t>
        </is>
      </c>
      <c r="B26" s="9">
        <f>IF(OR('model_Assumptions'!$F$7=0, B$1&lt;'model_Assumptions'!$F$7, B$1-'model_Assumptions'!$F$7+1 &gt; 'model_Assumptions'!$C$17), 0, 'model_Assumptions'!$B$17 - (B$1-'model_Assumptions'!$F$7)*'model_Workings'!$B$33)</f>
        <v/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</row>
    <row r="27">
      <c r="A27" s="9" t="inlineStr">
        <is>
          <t>Product D - Xinzhou</t>
        </is>
      </c>
      <c r="B27" s="9">
        <f>IF(OR('model_Assumptions'!$F$8=0, B$1&lt;'model_Assumptions'!$F$8, B$1-'model_Assumptions'!$F$8+1 &gt; 'model_Assumptions'!$C$17), 0, 'model_Assumptions'!$B$17 - (B$1-'model_Assumptions'!$F$8)*'model_Workings'!$B$33)</f>
        <v/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</row>
    <row r="28">
      <c r="A28" s="9" t="inlineStr">
        <is>
          <t>Product D - York</t>
        </is>
      </c>
      <c r="B28" s="9">
        <f>IF(OR('model_Assumptions'!$F$9=0, B$1&lt;'model_Assumptions'!$F$9, B$1-'model_Assumptions'!$F$9+1 &gt; 'model_Assumptions'!$C$17), 0, 'model_Assumptions'!$B$17 - (B$1-'model_Assumptions'!$F$9)*'model_Workings'!$B$33)</f>
        <v/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</row>
    <row r="29">
      <c r="A29" s="9" t="inlineStr">
        <is>
          <t>Product D - Zwolle</t>
        </is>
      </c>
      <c r="B29" s="9">
        <f>IF(OR('model_Assumptions'!$F$10=0, B$1&lt;'model_Assumptions'!$F$10, B$1-'model_Assumptions'!$F$10+1 &gt; 'model_Assumptions'!$C$17), 0, 'model_Assumptions'!$B$17 - (B$1-'model_Assumptions'!$F$10)*'model_Workings'!$B$33)</f>
        <v/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</row>
    <row r="30">
      <c r="A30" s="9" t="inlineStr">
        <is>
          <t>Product E - Telford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</row>
    <row r="31">
      <c r="A31" s="9" t="inlineStr">
        <is>
          <t>Product E - Ulsan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</row>
    <row r="32">
      <c r="A32" s="9" t="inlineStr">
        <is>
          <t>Product E - Victoria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</row>
    <row r="33">
      <c r="A33" s="9" t="inlineStr">
        <is>
          <t>Product E - Westminster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</row>
    <row r="34">
      <c r="A34" s="9" t="inlineStr">
        <is>
          <t>Product E - Xinzhou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</row>
    <row r="35">
      <c r="A35" s="9" t="inlineStr">
        <is>
          <t>Product E - York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</row>
    <row r="36">
      <c r="A36" s="9" t="inlineStr">
        <is>
          <t>Product E - Zwolle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</row>
    <row r="37">
      <c r="A37" s="9" t="inlineStr">
        <is>
          <t>Product F - Telford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</row>
    <row r="38">
      <c r="A38" s="9" t="inlineStr">
        <is>
          <t>Product F - Ulsan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</row>
    <row r="39">
      <c r="A39" s="9" t="inlineStr">
        <is>
          <t>Product F - Victoria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</row>
    <row r="40">
      <c r="A40" s="9" t="inlineStr">
        <is>
          <t>Product F - Westminster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</row>
    <row r="41">
      <c r="A41" s="9" t="inlineStr">
        <is>
          <t>Product F - Xinzhou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</row>
    <row r="42">
      <c r="A42" s="9" t="inlineStr">
        <is>
          <t>Product F - York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</row>
    <row r="43">
      <c r="A43" s="9" t="inlineStr">
        <is>
          <t>Product F - Zwolle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</row>
    <row r="44">
      <c r="A44" s="9" t="inlineStr">
        <is>
          <t>Product G - Telford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</row>
    <row r="45">
      <c r="A45" s="9" t="inlineStr">
        <is>
          <t>Product G - Ulsan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</row>
    <row r="46">
      <c r="A46" s="9" t="inlineStr">
        <is>
          <t>Product G - Victoria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</row>
    <row r="47">
      <c r="A47" s="9" t="inlineStr">
        <is>
          <t>Product G - Westminster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</row>
    <row r="48">
      <c r="A48" s="9" t="inlineStr">
        <is>
          <t>Product G - Xinzhou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</row>
    <row r="49">
      <c r="A49" s="9" t="inlineStr">
        <is>
          <t>Product G - York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</row>
    <row r="50">
      <c r="A50" s="9" t="inlineStr">
        <is>
          <t>Product G - Zwolle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</row>
    <row r="51">
      <c r="A51" s="9" t="inlineStr">
        <is>
          <t>Product H - Telford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</row>
    <row r="52">
      <c r="A52" s="9" t="inlineStr">
        <is>
          <t>Product H - Ulsan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</row>
    <row r="53">
      <c r="A53" s="9" t="inlineStr">
        <is>
          <t>Product H - Victoria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</row>
    <row r="54">
      <c r="A54" s="9" t="inlineStr">
        <is>
          <t>Product H - Westminster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</row>
    <row r="55">
      <c r="A55" s="9" t="inlineStr">
        <is>
          <t>Product H - Xinzhou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</row>
    <row r="56">
      <c r="A56" s="9" t="inlineStr">
        <is>
          <t>Product H - York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</row>
    <row r="57">
      <c r="A57" s="9" t="inlineStr">
        <is>
          <t>Product H - Zwolle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2" customWidth="1" min="3" max="3"/>
    <col width="19" customWidth="1" min="4" max="4"/>
    <col width="20" customWidth="1" min="5" max="5"/>
    <col width="17" customWidth="1" min="6" max="6"/>
  </cols>
  <sheetData>
    <row r="1">
      <c r="A1" t="inlineStr">
        <is>
          <t>Q7: Product H Marginal Cost 2018</t>
        </is>
      </c>
    </row>
    <row r="2">
      <c r="A2" t="inlineStr">
        <is>
          <t>Factory</t>
        </is>
      </c>
      <c r="B2" t="inlineStr">
        <is>
          <t>Material Cost</t>
        </is>
      </c>
      <c r="C2" t="inlineStr">
        <is>
          <t>Metal Treatment Cost</t>
        </is>
      </c>
      <c r="D2" t="inlineStr">
        <is>
          <t>Machine Elec Cost</t>
        </is>
      </c>
      <c r="E2" t="inlineStr">
        <is>
          <t>Machine Labor Cost</t>
        </is>
      </c>
      <c r="F2" t="inlineStr">
        <is>
          <t>Total Var Cost</t>
        </is>
      </c>
    </row>
    <row r="3">
      <c r="A3" t="inlineStr">
        <is>
          <t>Telford</t>
        </is>
      </c>
      <c r="B3">
        <f>('model_Assumptions'!$B$44 * 'model_Assumptions'!$B$48 + 'model_Assumptions'!$C$44 * 'model_Assumptions'!$B$49 + 'model_Assumptions'!$D$44 * 'model_Assumptions'!$B$50) * 'model_Workings'!D5</f>
        <v/>
      </c>
      <c r="C3">
        <f>('model_Assumptions'!$C$44 * 2) * ('model_Assumptions'!C55 * 'model_Workings'!D5)</f>
        <v/>
      </c>
      <c r="D3">
        <f>('model_Assumptions'!$E$21 * 365 * 'model_Assumptions'!C55 * 'model_Workings'!D5) / IF(OR('model_Assumptions'!J4=0, 2018-'model_Assumptions'!J4+1 &lt; 1, 2018-'model_Assumptions'!J4+1 &gt; 'model_Assumptions'!C21), 0, 'model_Assumptions'!B21 - (2018-'model_Assumptions'!J4)*'model_Workings'!B37)</f>
        <v/>
      </c>
      <c r="E3">
        <f>('model_Assumptions'!$F$21 * 365 * 'model_Assumptions'!D55 * 'model_Workings'!D6) / IF(OR('model_Assumptions'!J4=0, 2018-'model_Assumptions'!J4+1 &lt; 1, 2018-'model_Assumptions'!J4+1 &gt; 'model_Assumptions'!C21), 0, 'model_Assumptions'!B21 - (2018-'model_Assumptions'!J4)*'model_Workings'!B37)</f>
        <v/>
      </c>
      <c r="F3" s="13">
        <f>B3 + C3 + D3 + E3</f>
        <v/>
      </c>
    </row>
    <row r="4">
      <c r="A4" t="inlineStr">
        <is>
          <t>Ulsan</t>
        </is>
      </c>
      <c r="B4">
        <f>('model_Assumptions'!$B$44 * 'model_Assumptions'!$B$48 + 'model_Assumptions'!$C$44 * 'model_Assumptions'!$B$49 + 'model_Assumptions'!$D$44 * 'model_Assumptions'!$B$50) * 'model_Workings'!D5</f>
        <v/>
      </c>
      <c r="C4">
        <f>('model_Assumptions'!$C$44 * 2) * ('model_Assumptions'!C56 * 'model_Workings'!D5)</f>
        <v/>
      </c>
      <c r="D4">
        <f>('model_Assumptions'!$E$21 * 365 * 'model_Assumptions'!C56 * 'model_Workings'!D5) / IF(OR('model_Assumptions'!J5=0, 2018-'model_Assumptions'!J5+1 &lt; 1, 2018-'model_Assumptions'!J5+1 &gt; 'model_Assumptions'!C21), 0, 'model_Assumptions'!B21 - (2018-'model_Assumptions'!J5)*'model_Workings'!B37)</f>
        <v/>
      </c>
      <c r="E4">
        <f>('model_Assumptions'!$F$21 * 365 * 'model_Assumptions'!D56 * 'model_Workings'!D6) / IF(OR('model_Assumptions'!J5=0, 2018-'model_Assumptions'!S5=0, 2018-'model_Assumptions'!J5+1 &lt; 1, 2018-'model_Assumptions'!J5+1 &gt; 'model_Assumptions'!C21), 0, 'model_Assumptions'!B21 - (2018-'model_Assumptions'!J5)*'model_Workings'!B37)</f>
        <v/>
      </c>
      <c r="F4" s="13">
        <f>B4 + C4 + D4 + E4</f>
        <v/>
      </c>
    </row>
    <row r="5">
      <c r="A5" t="inlineStr">
        <is>
          <t>Victoria</t>
        </is>
      </c>
      <c r="B5">
        <f>('model_Assumptions'!$B$44 * 'model_Assumptions'!$B$48 + 'model_Assumptions'!$C$44 * 'model_Assumptions'!$B$49 + 'model_Assumptions'!$D$44 * 'model_Assumptions'!$B$50) * 'model_Workings'!D5</f>
        <v/>
      </c>
      <c r="C5">
        <f>('model_Assumptions'!$C$44 * 2) * ('model_Assumptions'!C57 * 'model_Workings'!D5)</f>
        <v/>
      </c>
      <c r="D5">
        <f>('model_Assumptions'!$E$21 * 365 * 'model_Assumptions'!C57 * 'model_Workings'!D5) / IF(OR('model_Assumptions'!J6=0, 2018-'model_Assumptions'!J6+1 &lt; 1, 2018-'model_Assumptions'!J6+1 &gt; 'model_Assumptions'!C21), 0, 'model_Assumptions'!B21 - (2018-'model_Assumptions'!J6)*'model_Workings'!B37)</f>
        <v/>
      </c>
      <c r="E5">
        <f>('model_Assumptions'!$F$21 * 365 * 'model_Assumptions'!D57 * 'model_Workings'!D6) / IF(OR('model_Assumptions'!J6=0, 2018-'model_Assumptions'!J6+1 &lt; 1, 2018-'model_Assumptions'!J6+1 &gt; 'model_Assumptions'!C21), 0, 'model_Assumptions'!B21 - (2018-'model_Assumptions'!J6)*'model_Workings'!B37)</f>
        <v/>
      </c>
      <c r="F5" s="13">
        <f>B5 + C5 + D5 + E5</f>
        <v/>
      </c>
    </row>
    <row r="6">
      <c r="A6" t="inlineStr">
        <is>
          <t>Westminster</t>
        </is>
      </c>
      <c r="B6">
        <f>('model_Assumptions'!$B$44 * 'model_Assumptions'!$B$48 + 'model_Assumptions'!$C$44 * 'model_Assumptions'!$B$49 + 'model_Assumptions'!$D$44 * 'model_Assumptions'!$B$50) * 'model_Workings'!D5</f>
        <v/>
      </c>
      <c r="C6">
        <f>('model_Assumptions'!$C$44 * 2) * ('model_Assumptions'!C58 * 'model_Workings'!D5)</f>
        <v/>
      </c>
      <c r="D6">
        <f>('model_Assumptions'!$E$21 * 365 * 'model_Assumptions'!C58 * 'model_Workings'!D5) / IF(OR('model_Assumptions'!J7=0, 2018-'model_Assumptions'!J7+1 &lt; 1, 2018-'model_Assumptions'!J7+1 &gt; 'model_Assumptions'!C21), 0, 'model_Assumptions'!B21 - (2018-'model_Assumptions'!J7)*'model_Workings'!B37)</f>
        <v/>
      </c>
      <c r="E6">
        <f>('model_Assumptions'!$F$21 * 365 * 'model_Assumptions'!D58 * 'model_Workings'!D6) / IF(OR('model_Assumptions'!J7=0, 2018-'model_Assumptions'!J7+1 &lt; 1, 2018-'model_Assumptions'!J7+1 &gt; 'model_Assumptions'!C21), 0, 'model_Assumptions'!B21 - (2018-'model_Assumptions'!J7)*'model_Workings'!B37)</f>
        <v/>
      </c>
      <c r="F6" s="13">
        <f>B6 + C6 + D6 + E6</f>
        <v/>
      </c>
    </row>
    <row r="7">
      <c r="A7" t="inlineStr">
        <is>
          <t>Xinzhou</t>
        </is>
      </c>
      <c r="B7">
        <f>('model_Assumptions'!$B$44 * 'model_Assumptions'!$B$48 + 'model_Assumptions'!$C$44 * 'model_Assumptions'!$B$49 + 'model_Assumptions'!$D$44 * 'model_Assumptions'!$B$50) * 'model_Workings'!D5</f>
        <v/>
      </c>
      <c r="C7">
        <f>('model_Assumptions'!$C$44 * 2) * ('model_Assumptions'!C59 * 'model_Workings'!D5)</f>
        <v/>
      </c>
      <c r="D7">
        <f>('model_Assumptions'!$E$21 * 365 * 'model_Assumptions'!C59 * 'model_Workings'!D5) / IF(OR('model_Assumptions'!J8=0, 2018-'model_Assumptions'!J8+1 &lt; 1, 2018-'model_Assumptions'!J8+1 &gt; 'model_Assumptions'!C21), 0, 'model_Assumptions'!B21 - (2018-'model_Assumptions'!J8)*'model_Workings'!B37)</f>
        <v/>
      </c>
      <c r="E7">
        <f>('model_Assumptions'!$F$21 * 365 * 'model_Assumptions'!D59 * 'model_Workings'!D6) / IF(OR('model_Assumptions'!J8=0, 2018-'model_Assumptions'!J8+1 &lt; 1, 2018-'model_Assumptions'!J8+1 &gt; 'model_Assumptions'!C21), 0, 'model_Assumptions'!B21 - (2018-'model_Assumptions'!J8)*'model_Workings'!B37)</f>
        <v/>
      </c>
      <c r="F7" s="13">
        <f>B7 + C7 + D7 + E7</f>
        <v/>
      </c>
    </row>
    <row r="8">
      <c r="A8" t="inlineStr">
        <is>
          <t>York</t>
        </is>
      </c>
      <c r="B8">
        <f>('model_Assumptions'!$B$44 * 'model_Assumptions'!$B$48 + 'model_Assumptions'!$C$44 * 'model_Assumptions'!$B$49 + 'model_Assumptions'!$D$44 * 'model_Assumptions'!$B$50) * 'model_Workings'!D5</f>
        <v/>
      </c>
      <c r="C8">
        <f>('model_Assumptions'!$C$44 * 2) * ('model_Assumptions'!C60 * 'model_Workings'!D5)</f>
        <v/>
      </c>
      <c r="D8">
        <f>('model_Assumptions'!$E$21 * 365 * 'model_Assumptions'!C60 * 'model_Workings'!D5) / IF(OR('model_Assumptions'!J9=0, 2018-'model_Assumptions'!J9+1 &lt; 1, 2018-'model_Assumptions'!J9+1 &gt; 'model_Assumptions'!C21), 0, 'model_Assumptions'!B21 - (2018-'model_Assumptions'!J9)*'model_Workings'!B37)</f>
        <v/>
      </c>
      <c r="E8">
        <f>('model_Assumptions'!$F$21 * 365 * 'model_Assumptions'!D60 * 'model_Workings'!D6) / IF(OR('model_Assumptions'!J9=0, 2018-'model_Assumptions'!J9+1 &lt; 1, 2018-'model_Assumptions'!J9+1 &gt; 'model_Assumptions'!C21), 0, 'model_Assumptions'!B21 - (2018-'model_Assumptions'!J9)*'model_Workings'!B37)</f>
        <v/>
      </c>
      <c r="F8" s="13">
        <f>B8 + C8 + D8 + E8</f>
        <v/>
      </c>
    </row>
    <row r="9">
      <c r="A9" t="inlineStr">
        <is>
          <t>Zwolle</t>
        </is>
      </c>
      <c r="B9">
        <f>('model_Assumptions'!$B$44 * 'model_Assumptions'!$B$48 + 'model_Assumptions'!$C$44 * 'model_Assumptions'!$B$49 + 'model_Assumptions'!$D$44 * 'model_Assumptions'!$B$50) * 'model_Workings'!D5</f>
        <v/>
      </c>
      <c r="C9">
        <f>('model_Assumptions'!$C$44 * 2) * ('model_Assumptions'!C61 * 'model_Workings'!D5)</f>
        <v/>
      </c>
      <c r="D9">
        <f>('model_Assumptions'!$E$21 * 365 * 'model_Assumptions'!C61 * 'model_Workings'!D5) / IF(OR('model_Assumptions'!J10=0, 2018-'model_Assumptions'!J10+1 &lt; 1, 2018-'model_Assumptions'!J10+1 &gt; 'model_Assumptions'!C21), 0, 'model_Assumptions'!B21 - (2018-'model_Assumptions'!J10)*'model_Workings'!B37)</f>
        <v/>
      </c>
      <c r="E9">
        <f>('model_Assumptions'!$F$21 * 365 * 'model_Assumptions'!D61 * 'model_Workings'!D6) / IF(OR('model_Assumptions'!J10=0, 2018-'model_Assumptions'!J10+1 &lt; 1, 2018-'model_Assumptions'!J10+1 &gt; 'model_Assumptions'!C21), 0, 'model_Assumptions'!B21 - (2018-'model_Assumptions'!J10)*'model_Workings'!B37)</f>
        <v/>
      </c>
      <c r="F9" s="1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t="inlineStr">
        <is>
          <t>Product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</row>
    <row r="2">
      <c r="A2" t="inlineStr">
        <is>
          <t>Product A</t>
        </is>
      </c>
      <c r="B2" t="n">
        <v>258</v>
      </c>
      <c r="C2" t="n">
        <v>263</v>
      </c>
      <c r="D2" t="n">
        <v>267</v>
      </c>
      <c r="E2" t="n">
        <v>274</v>
      </c>
      <c r="F2" t="n">
        <v>277</v>
      </c>
      <c r="G2" t="n">
        <v>283</v>
      </c>
      <c r="H2" t="n">
        <v>291</v>
      </c>
      <c r="I2" t="n">
        <v>298</v>
      </c>
      <c r="J2" t="n">
        <v>301</v>
      </c>
      <c r="K2" t="n">
        <v>308</v>
      </c>
      <c r="L2" t="n">
        <v>316</v>
      </c>
      <c r="M2" t="n">
        <v>325</v>
      </c>
      <c r="N2" t="n">
        <v>331</v>
      </c>
      <c r="O2" t="n">
        <v>338</v>
      </c>
      <c r="P2" t="n">
        <v>346</v>
      </c>
      <c r="Q2" t="n">
        <v>356</v>
      </c>
      <c r="R2" t="n">
        <v>365</v>
      </c>
      <c r="S2" t="n">
        <v>373</v>
      </c>
      <c r="T2" t="n">
        <v>379</v>
      </c>
      <c r="U2" t="n">
        <v>387</v>
      </c>
      <c r="V2" t="n">
        <v>397</v>
      </c>
      <c r="W2" t="n">
        <v>408</v>
      </c>
      <c r="X2" t="n">
        <v>413</v>
      </c>
      <c r="Y2" t="n">
        <v>420</v>
      </c>
      <c r="Z2" t="n">
        <v>432</v>
      </c>
      <c r="AA2" t="n">
        <v>438</v>
      </c>
      <c r="AB2" t="n">
        <v>450</v>
      </c>
      <c r="AC2" t="n">
        <v>463</v>
      </c>
      <c r="AD2" t="n">
        <v>473</v>
      </c>
      <c r="AE2" t="n">
        <v>483</v>
      </c>
    </row>
    <row r="3">
      <c r="A3" t="inlineStr">
        <is>
          <t>Product B</t>
        </is>
      </c>
      <c r="B3" t="n">
        <v>333</v>
      </c>
      <c r="C3" t="n">
        <v>325</v>
      </c>
      <c r="D3" t="n">
        <v>320</v>
      </c>
      <c r="E3" t="n">
        <v>313</v>
      </c>
      <c r="F3" t="n">
        <v>304</v>
      </c>
      <c r="G3" t="n">
        <v>299</v>
      </c>
      <c r="H3" t="n">
        <v>292</v>
      </c>
      <c r="I3" t="n">
        <v>284</v>
      </c>
      <c r="J3" t="n">
        <v>279</v>
      </c>
      <c r="K3" t="n">
        <v>275</v>
      </c>
      <c r="L3" t="n">
        <v>268</v>
      </c>
      <c r="M3" t="n">
        <v>261</v>
      </c>
      <c r="N3" t="n">
        <v>256</v>
      </c>
      <c r="O3" t="n">
        <v>248</v>
      </c>
      <c r="P3" t="n">
        <v>242</v>
      </c>
      <c r="Q3" t="n">
        <v>239</v>
      </c>
      <c r="R3" t="n">
        <v>235</v>
      </c>
      <c r="S3" t="n">
        <v>233</v>
      </c>
      <c r="T3" t="n">
        <v>227</v>
      </c>
      <c r="U3" t="n">
        <v>225</v>
      </c>
      <c r="V3" t="n">
        <v>219</v>
      </c>
      <c r="W3" t="n">
        <v>214</v>
      </c>
      <c r="X3" t="n">
        <v>208</v>
      </c>
      <c r="Y3" t="n">
        <v>203</v>
      </c>
      <c r="Z3" t="n">
        <v>200</v>
      </c>
      <c r="AA3" t="n">
        <v>196</v>
      </c>
      <c r="AB3" t="n">
        <v>194</v>
      </c>
      <c r="AC3" t="n">
        <v>191</v>
      </c>
      <c r="AD3" t="n">
        <v>185</v>
      </c>
      <c r="AE3" t="n">
        <v>181</v>
      </c>
    </row>
    <row r="4">
      <c r="A4" t="inlineStr">
        <is>
          <t>Product C</t>
        </is>
      </c>
      <c r="B4" t="n">
        <v>301</v>
      </c>
      <c r="C4" t="n">
        <v>307</v>
      </c>
      <c r="D4" t="n">
        <v>313</v>
      </c>
      <c r="E4" t="n">
        <v>319</v>
      </c>
      <c r="F4" t="n">
        <v>324</v>
      </c>
      <c r="G4" t="n">
        <v>331</v>
      </c>
      <c r="H4" t="n">
        <v>338</v>
      </c>
      <c r="I4" t="n">
        <v>346</v>
      </c>
      <c r="J4" t="n">
        <v>357</v>
      </c>
      <c r="K4" t="n">
        <v>366</v>
      </c>
      <c r="L4" t="n">
        <v>370</v>
      </c>
      <c r="M4" t="n">
        <v>379</v>
      </c>
      <c r="N4" t="n">
        <v>383</v>
      </c>
      <c r="O4" t="n">
        <v>394</v>
      </c>
      <c r="P4" t="n">
        <v>402</v>
      </c>
      <c r="Q4" t="n">
        <v>409</v>
      </c>
      <c r="R4" t="n">
        <v>415</v>
      </c>
      <c r="S4" t="n">
        <v>425</v>
      </c>
      <c r="T4" t="n">
        <v>431</v>
      </c>
      <c r="U4" t="n">
        <v>435</v>
      </c>
      <c r="V4" t="n">
        <v>444</v>
      </c>
      <c r="W4" t="n">
        <v>455</v>
      </c>
      <c r="X4" t="n">
        <v>462</v>
      </c>
      <c r="Y4" t="n">
        <v>474</v>
      </c>
      <c r="Z4" t="n">
        <v>488</v>
      </c>
      <c r="AA4" t="n">
        <v>498</v>
      </c>
      <c r="AB4" t="n">
        <v>506</v>
      </c>
      <c r="AC4" t="n">
        <v>515</v>
      </c>
      <c r="AD4" t="n">
        <v>528</v>
      </c>
      <c r="AE4" t="n">
        <v>542</v>
      </c>
    </row>
    <row r="5">
      <c r="A5" t="inlineStr">
        <is>
          <t>Product D</t>
        </is>
      </c>
      <c r="B5" t="n">
        <v>256</v>
      </c>
      <c r="C5" t="n">
        <v>260</v>
      </c>
      <c r="D5" t="n">
        <v>267</v>
      </c>
      <c r="E5" t="n">
        <v>274</v>
      </c>
      <c r="F5" t="n">
        <v>277</v>
      </c>
      <c r="G5" t="n">
        <v>283</v>
      </c>
      <c r="H5" t="n">
        <v>287</v>
      </c>
      <c r="I5" t="n">
        <v>292</v>
      </c>
      <c r="J5" t="n">
        <v>295</v>
      </c>
      <c r="K5" t="n">
        <v>302</v>
      </c>
      <c r="L5" t="n">
        <v>306</v>
      </c>
      <c r="M5" t="n">
        <v>311</v>
      </c>
      <c r="N5" t="n">
        <v>320</v>
      </c>
      <c r="O5" t="n">
        <v>328</v>
      </c>
      <c r="P5" t="n">
        <v>336</v>
      </c>
      <c r="Q5" t="n">
        <v>343</v>
      </c>
      <c r="R5" t="n">
        <v>350</v>
      </c>
      <c r="S5" t="n">
        <v>360</v>
      </c>
      <c r="T5" t="n">
        <v>368</v>
      </c>
      <c r="U5" t="n">
        <v>376</v>
      </c>
      <c r="V5" t="n">
        <v>383</v>
      </c>
      <c r="W5" t="n">
        <v>387</v>
      </c>
      <c r="X5" t="n">
        <v>394</v>
      </c>
      <c r="Y5" t="n">
        <v>405</v>
      </c>
      <c r="Z5" t="n">
        <v>416</v>
      </c>
      <c r="AA5" t="n">
        <v>423</v>
      </c>
      <c r="AB5" t="n">
        <v>428</v>
      </c>
      <c r="AC5" t="n">
        <v>439</v>
      </c>
      <c r="AD5" t="n">
        <v>447</v>
      </c>
      <c r="AE5" t="n">
        <v>455</v>
      </c>
    </row>
    <row r="6">
      <c r="A6" t="inlineStr">
        <is>
          <t>Product E</t>
        </is>
      </c>
      <c r="B6" t="n">
        <v>326</v>
      </c>
      <c r="C6" t="n">
        <v>322</v>
      </c>
      <c r="D6" t="n">
        <v>314</v>
      </c>
      <c r="E6" t="n">
        <v>311</v>
      </c>
      <c r="F6" t="n">
        <v>305</v>
      </c>
      <c r="G6" t="n">
        <v>300</v>
      </c>
      <c r="H6" t="n">
        <v>292</v>
      </c>
      <c r="I6" t="n">
        <v>285</v>
      </c>
      <c r="J6" t="n">
        <v>279</v>
      </c>
      <c r="K6" t="n">
        <v>271</v>
      </c>
      <c r="L6" t="n">
        <v>267</v>
      </c>
      <c r="M6" t="n">
        <v>262</v>
      </c>
      <c r="N6" t="n">
        <v>257</v>
      </c>
      <c r="O6" t="n">
        <v>253</v>
      </c>
      <c r="P6" t="n">
        <v>246</v>
      </c>
      <c r="Q6" t="n">
        <v>239</v>
      </c>
      <c r="R6" t="n">
        <v>232</v>
      </c>
      <c r="S6" t="n">
        <v>228</v>
      </c>
      <c r="T6" t="n">
        <v>221</v>
      </c>
      <c r="U6" t="n">
        <v>215</v>
      </c>
      <c r="V6" t="n">
        <v>209</v>
      </c>
      <c r="W6" t="n">
        <v>205</v>
      </c>
      <c r="X6" t="n">
        <v>200</v>
      </c>
      <c r="Y6" t="n">
        <v>196</v>
      </c>
      <c r="Z6" t="n">
        <v>191</v>
      </c>
      <c r="AA6" t="n">
        <v>186</v>
      </c>
      <c r="AB6" t="n">
        <v>180</v>
      </c>
      <c r="AC6" t="n">
        <v>176</v>
      </c>
      <c r="AD6" t="n">
        <v>173</v>
      </c>
      <c r="AE6" t="n">
        <v>171</v>
      </c>
    </row>
    <row r="7">
      <c r="A7" t="inlineStr">
        <is>
          <t>Product F</t>
        </is>
      </c>
      <c r="B7" t="n">
        <v>346</v>
      </c>
      <c r="C7" t="n">
        <v>351</v>
      </c>
      <c r="D7" t="n">
        <v>358</v>
      </c>
      <c r="E7" t="n">
        <v>364</v>
      </c>
      <c r="F7" t="n">
        <v>369</v>
      </c>
      <c r="G7" t="n">
        <v>375</v>
      </c>
      <c r="H7" t="n">
        <v>380</v>
      </c>
      <c r="I7" t="n">
        <v>385</v>
      </c>
      <c r="J7" t="n">
        <v>396</v>
      </c>
      <c r="K7" t="n">
        <v>408</v>
      </c>
      <c r="L7" t="n">
        <v>419</v>
      </c>
      <c r="M7" t="n">
        <v>431</v>
      </c>
      <c r="N7" t="n">
        <v>439</v>
      </c>
      <c r="O7" t="n">
        <v>449</v>
      </c>
      <c r="P7" t="n">
        <v>461</v>
      </c>
      <c r="Q7" t="n">
        <v>468</v>
      </c>
      <c r="R7" t="n">
        <v>474</v>
      </c>
      <c r="S7" t="n">
        <v>482</v>
      </c>
      <c r="T7" t="n">
        <v>490</v>
      </c>
      <c r="U7" t="n">
        <v>501</v>
      </c>
      <c r="V7" t="n">
        <v>508</v>
      </c>
      <c r="W7" t="n">
        <v>518</v>
      </c>
      <c r="X7" t="n">
        <v>533</v>
      </c>
      <c r="Y7" t="n">
        <v>538</v>
      </c>
      <c r="Z7" t="n">
        <v>553</v>
      </c>
      <c r="AA7" t="n">
        <v>566</v>
      </c>
      <c r="AB7" t="n">
        <v>580</v>
      </c>
      <c r="AC7" t="n">
        <v>588</v>
      </c>
      <c r="AD7" t="n">
        <v>606</v>
      </c>
      <c r="AE7" t="n">
        <v>622</v>
      </c>
    </row>
    <row r="8">
      <c r="A8" t="inlineStr">
        <is>
          <t>Product G</t>
        </is>
      </c>
      <c r="B8" t="n">
        <v>304</v>
      </c>
      <c r="C8" t="n">
        <v>298</v>
      </c>
      <c r="D8" t="n">
        <v>294</v>
      </c>
      <c r="E8" t="n">
        <v>290</v>
      </c>
      <c r="F8" t="n">
        <v>285</v>
      </c>
      <c r="G8" t="n">
        <v>278</v>
      </c>
      <c r="H8" t="n">
        <v>271</v>
      </c>
      <c r="I8" t="n">
        <v>263</v>
      </c>
      <c r="J8" t="n">
        <v>260</v>
      </c>
      <c r="K8" t="n">
        <v>256</v>
      </c>
      <c r="L8" t="n">
        <v>252</v>
      </c>
      <c r="M8" t="n">
        <v>246</v>
      </c>
      <c r="N8" t="n">
        <v>238</v>
      </c>
      <c r="O8" t="n">
        <v>234</v>
      </c>
      <c r="P8" t="n">
        <v>231</v>
      </c>
      <c r="Q8" t="n">
        <v>224</v>
      </c>
      <c r="R8" t="n">
        <v>220</v>
      </c>
      <c r="S8" t="n">
        <v>214</v>
      </c>
      <c r="T8" t="n">
        <v>210</v>
      </c>
      <c r="U8" t="n">
        <v>205</v>
      </c>
      <c r="V8" t="n">
        <v>201</v>
      </c>
      <c r="W8" t="n">
        <v>198</v>
      </c>
      <c r="X8" t="n">
        <v>192</v>
      </c>
      <c r="Y8" t="n">
        <v>187</v>
      </c>
      <c r="Z8" t="n">
        <v>182</v>
      </c>
      <c r="AA8" t="n">
        <v>177</v>
      </c>
      <c r="AB8" t="n">
        <v>174</v>
      </c>
      <c r="AC8" t="n">
        <v>169</v>
      </c>
      <c r="AD8" t="n">
        <v>167</v>
      </c>
      <c r="AE8" t="n">
        <v>164</v>
      </c>
    </row>
    <row r="9">
      <c r="A9" t="inlineStr">
        <is>
          <t>Product H</t>
        </is>
      </c>
      <c r="B9" t="n">
        <v>351</v>
      </c>
      <c r="C9" t="n">
        <v>361</v>
      </c>
      <c r="D9" t="n">
        <v>371</v>
      </c>
      <c r="E9" t="n">
        <v>378</v>
      </c>
      <c r="F9" t="n">
        <v>388</v>
      </c>
      <c r="G9" t="n">
        <v>397</v>
      </c>
      <c r="H9" t="n">
        <v>408</v>
      </c>
      <c r="I9" t="n">
        <v>414</v>
      </c>
      <c r="J9" t="n">
        <v>419</v>
      </c>
      <c r="K9" t="n">
        <v>424</v>
      </c>
      <c r="L9" t="n">
        <v>429</v>
      </c>
      <c r="M9" t="n">
        <v>439</v>
      </c>
      <c r="N9" t="n">
        <v>448</v>
      </c>
      <c r="O9" t="n">
        <v>453</v>
      </c>
      <c r="P9" t="n">
        <v>466</v>
      </c>
      <c r="Q9" t="n">
        <v>473</v>
      </c>
      <c r="R9" t="n">
        <v>482</v>
      </c>
      <c r="S9" t="n">
        <v>496</v>
      </c>
      <c r="T9" t="n">
        <v>503</v>
      </c>
      <c r="U9" t="n">
        <v>511</v>
      </c>
      <c r="V9" t="n">
        <v>523</v>
      </c>
      <c r="W9" t="n">
        <v>538</v>
      </c>
      <c r="X9" t="n">
        <v>553</v>
      </c>
      <c r="Y9" t="n">
        <v>565</v>
      </c>
      <c r="Z9" t="n">
        <v>579</v>
      </c>
      <c r="AA9" t="n">
        <v>586</v>
      </c>
      <c r="AB9" t="n">
        <v>603</v>
      </c>
      <c r="AC9" t="n">
        <v>612</v>
      </c>
      <c r="AD9" t="n">
        <v>627</v>
      </c>
      <c r="AE9" t="n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2026-08-14T23:01:43Z</dcterms:created>
  <dcterms:modified xsi:type="dcterms:W3CDTF">2026-08-15T03:08:42Z</dcterms:modified>
</cp:coreProperties>
</file>