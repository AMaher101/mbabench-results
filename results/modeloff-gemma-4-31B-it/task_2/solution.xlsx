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Assumptions" sheetId="1" state="visible" r:id="rId1"/>
    <sheet name="model_Workings" sheetId="2" state="visible" r:id="rId2"/>
    <sheet name="answers_Q1" sheetId="3" state="visible" r:id="rId3"/>
    <sheet name="answers_Q2" sheetId="4" state="visible" r:id="rId4"/>
    <sheet name="answers_Q3" sheetId="5" state="visible" r:id="rId5"/>
    <sheet name="answers_Q4" sheetId="6" state="visible" r:id="rId6"/>
    <sheet name="answers_Q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"/>
    <numFmt numFmtId="165" formatCode="$#,##0.00"/>
    <numFmt numFmtId="166" formatCode="YYYY-MM-DD"/>
    <numFmt numFmtId="167" formatCode="0.0000"/>
    <numFmt numFmtId="168" formatCode="$#,##0_);($#,##0)"/>
    <numFmt numFmtId="169" formatCode="$#,##0.00_);($#,##0.00)"/>
  </numFmts>
  <fonts count="7">
    <font>
      <name val="Calibri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rgb="00FFFFFF"/>
      <sz val="11"/>
    </font>
    <font>
      <name val="Calibri"/>
      <b val="1"/>
      <color theme="1"/>
      <sz val="11"/>
    </font>
    <font>
      <name val="Calibri"/>
      <color rgb="000000FF"/>
      <sz val="11"/>
    </font>
    <font>
      <name val="Calibri"/>
      <color rgb="00008000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>
        <fgColor rgb="00002060"/>
        <bgColor rgb="00002060"/>
      </patternFill>
    </fill>
    <fill>
      <patternFill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0" fontId="4" fillId="0" borderId="0" pivotButton="0" quotePrefix="0" xfId="0"/>
    <xf numFmtId="165" fontId="4" fillId="0" borderId="0" pivotButton="0" quotePrefix="0" xfId="0"/>
    <xf numFmtId="166" fontId="1" fillId="0" borderId="0" pivotButton="0" quotePrefix="0" xfId="0"/>
    <xf numFmtId="167" fontId="4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2" fillId="3" borderId="0" applyAlignment="1" pivotButton="0" quotePrefix="0" xfId="0">
      <alignment horizontal="center"/>
    </xf>
    <xf numFmtId="3" fontId="5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167" fontId="4" fillId="0" borderId="0" applyAlignment="1" pivotButton="0" quotePrefix="0" xfId="0">
      <alignment horizontal="right"/>
    </xf>
    <xf numFmtId="3" fontId="6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69" fontId="6" fillId="0" borderId="0" applyAlignment="1" pivotButton="0" quotePrefix="0" xfId="0">
      <alignment horizontal="right"/>
    </xf>
    <xf numFmtId="166" fontId="5" fillId="0" borderId="0" pivotButton="0" quotePrefix="0" xfId="0"/>
    <xf numFmtId="168" fontId="5" fillId="0" borderId="0" applyAlignment="1" pivotButton="0" quotePrefix="0" xfId="0">
      <alignment horizontal="right"/>
    </xf>
    <xf numFmtId="169" fontId="5" fillId="0" borderId="0" applyAlignment="1" pivotButton="0" quotePrefix="0" xfId="0">
      <alignment horizontal="right"/>
    </xf>
    <xf numFmtId="0" fontId="5" fillId="0" borderId="0" pivotButton="0" quotePrefix="0" xfId="0"/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7" customWidth="1" min="1" max="1"/>
    <col width="17" customWidth="1" min="2" max="2"/>
    <col width="17" customWidth="1" min="3" max="3"/>
    <col width="10" customWidth="1" min="4" max="4"/>
    <col width="12" customWidth="1" min="5" max="5"/>
  </cols>
  <sheetData>
    <row r="1">
      <c r="A1" s="13" t="inlineStr">
        <is>
          <t>Operational Assumptions</t>
        </is>
      </c>
      <c r="B1" s="13" t="n"/>
      <c r="C1" s="13" t="n"/>
      <c r="D1" s="13" t="n"/>
      <c r="E1" s="13" t="n"/>
    </row>
    <row r="2">
      <c r="A2" s="3" t="inlineStr">
        <is>
          <t>Costs</t>
        </is>
      </c>
      <c r="B2" s="1" t="n"/>
      <c r="C2" s="1" t="n"/>
      <c r="D2" s="1" t="n"/>
      <c r="E2" s="1" t="n"/>
    </row>
    <row r="3">
      <c r="A3" s="1" t="inlineStr">
        <is>
          <t>Small system cost (USD) [US$]</t>
        </is>
      </c>
      <c r="B3" s="5" t="n">
        <v>5000</v>
      </c>
      <c r="C3" s="1" t="n"/>
      <c r="D3" s="1" t="n"/>
      <c r="E3" s="1" t="n"/>
    </row>
    <row r="4">
      <c r="A4" s="1" t="inlineStr">
        <is>
          <t>Large system cost (USD) [US$]</t>
        </is>
      </c>
      <c r="B4" s="5" t="n">
        <v>8000</v>
      </c>
      <c r="C4" s="1" t="n"/>
      <c r="D4" s="1" t="n"/>
      <c r="E4" s="1" t="n"/>
    </row>
    <row r="5">
      <c r="A5" s="1" t="inlineStr">
        <is>
          <t>Installation per system [AU$]</t>
        </is>
      </c>
      <c r="B5" s="5" t="n">
        <v>500</v>
      </c>
      <c r="C5" s="1" t="n"/>
      <c r="D5" s="1" t="n"/>
      <c r="E5" s="1" t="n"/>
    </row>
    <row r="6">
      <c r="A6" s="3" t="inlineStr">
        <is>
          <t>Capacity</t>
        </is>
      </c>
      <c r="B6" s="4" t="n"/>
      <c r="C6" s="1" t="n"/>
      <c r="D6" s="1" t="n"/>
      <c r="E6" s="1" t="n"/>
    </row>
    <row r="7">
      <c r="A7" s="1" t="inlineStr">
        <is>
          <t>Small system capacity [kW/system]</t>
        </is>
      </c>
      <c r="B7" s="4" t="n">
        <v>3</v>
      </c>
      <c r="C7" s="1" t="n"/>
      <c r="D7" s="1" t="n"/>
      <c r="E7" s="1" t="n"/>
    </row>
    <row r="8">
      <c r="A8" s="1" t="inlineStr">
        <is>
          <t>Large system capacity [kW/system]</t>
        </is>
      </c>
      <c r="B8" s="4" t="n">
        <v>5</v>
      </c>
      <c r="C8" s="1" t="n"/>
      <c r="D8" s="1" t="n"/>
      <c r="E8" s="1" t="n"/>
    </row>
    <row r="9">
      <c r="A9" s="3" t="inlineStr">
        <is>
          <t>Performance</t>
        </is>
      </c>
      <c r="B9" s="4" t="n"/>
      <c r="C9" s="1" t="n"/>
      <c r="D9" s="1" t="n"/>
      <c r="E9" s="1" t="n"/>
    </row>
    <row r="10">
      <c r="A10" s="1" t="inlineStr">
        <is>
          <t>Generation when new [kWh/kW/day]</t>
        </is>
      </c>
      <c r="B10" s="4" t="n">
        <v>4</v>
      </c>
      <c r="C10" s="1" t="n"/>
      <c r="D10" s="1" t="n"/>
      <c r="E10" s="1" t="n"/>
    </row>
    <row r="11">
      <c r="A11" s="1" t="inlineStr">
        <is>
          <t>Annual degradation [% p.a.]</t>
        </is>
      </c>
      <c r="B11" s="6" t="n">
        <v>0.01</v>
      </c>
      <c r="C11" s="1" t="n"/>
      <c r="D11" s="1" t="n"/>
      <c r="E11" s="1" t="n"/>
    </row>
    <row r="12">
      <c r="A12" s="3" t="inlineStr">
        <is>
          <t>Revenues</t>
        </is>
      </c>
      <c r="B12" s="4" t="n"/>
      <c r="C12" s="1" t="n"/>
      <c r="D12" s="1" t="n"/>
      <c r="E12" s="1" t="n"/>
    </row>
    <row r="13">
      <c r="A13" s="1" t="inlineStr">
        <is>
          <t>Small system: Tariff A usage [kWh/day/system]</t>
        </is>
      </c>
      <c r="B13" s="4" t="n">
        <v>10</v>
      </c>
      <c r="C13" s="1" t="n"/>
      <c r="D13" s="1" t="n"/>
      <c r="E13" s="1" t="n"/>
    </row>
    <row r="14">
      <c r="A14" s="1" t="inlineStr">
        <is>
          <t>Large system: Tariff A usage [kWh/day/system]</t>
        </is>
      </c>
      <c r="B14" s="4" t="n">
        <v>15</v>
      </c>
      <c r="C14" s="1" t="n"/>
      <c r="D14" s="1" t="n"/>
      <c r="E14" s="1" t="n"/>
    </row>
    <row r="15">
      <c r="A15" s="1" t="inlineStr">
        <is>
          <t>Tariff A price in base year [AU$/kWh]</t>
        </is>
      </c>
      <c r="B15" s="7" t="n">
        <v>0.25</v>
      </c>
      <c r="C15" s="1" t="n"/>
      <c r="D15" s="1" t="n"/>
      <c r="E15" s="1" t="n"/>
    </row>
    <row r="16">
      <c r="A16" s="1" t="inlineStr">
        <is>
          <t>Tariff B price in base year [AU$/kWh]</t>
        </is>
      </c>
      <c r="B16" s="7" t="n">
        <v>0.08</v>
      </c>
      <c r="C16" s="1" t="n"/>
      <c r="D16" s="1" t="n"/>
      <c r="E16" s="1" t="n"/>
    </row>
    <row r="17">
      <c r="A17" s="1" t="inlineStr">
        <is>
          <t>Tariff A escalation [ % p.a.]</t>
        </is>
      </c>
      <c r="B17" s="6" t="n">
        <v>0.02</v>
      </c>
      <c r="C17" s="1" t="n"/>
      <c r="D17" s="1" t="n"/>
      <c r="E17" s="1" t="n"/>
    </row>
    <row r="18">
      <c r="A18" s="1" t="inlineStr">
        <is>
          <t>Tariff B escalation [ % p.a.]</t>
        </is>
      </c>
      <c r="B18" s="6" t="n">
        <v>0</v>
      </c>
      <c r="C18" s="1" t="n"/>
      <c r="D18" s="1" t="n"/>
      <c r="E18" s="1" t="n"/>
    </row>
    <row r="19">
      <c r="A19" s="1" t="inlineStr">
        <is>
          <t>Monthly Degradation Rate</t>
        </is>
      </c>
      <c r="B19" s="4" t="n">
        <v>0.0008372</v>
      </c>
      <c r="C19" s="1" t="n"/>
      <c r="D19" s="1" t="n"/>
      <c r="E19" s="1" t="n"/>
    </row>
    <row r="20">
      <c r="A20" s="13" t="inlineStr">
        <is>
          <t>Month</t>
        </is>
      </c>
      <c r="B20" s="13" t="inlineStr">
        <is>
          <t>Small Installed</t>
        </is>
      </c>
      <c r="C20" s="13" t="inlineStr">
        <is>
          <t>Large Installed</t>
        </is>
      </c>
      <c r="D20" s="13" t="inlineStr">
        <is>
          <t>AUD:USD</t>
        </is>
      </c>
      <c r="E20" s="13" t="inlineStr">
        <is>
          <t>USD:AUD</t>
        </is>
      </c>
    </row>
    <row r="21">
      <c r="A21" s="8" t="inlineStr">
        <is>
          <t>2013-07-01</t>
        </is>
      </c>
      <c r="B21" s="18" t="n">
        <v>37</v>
      </c>
      <c r="C21" s="18" t="n">
        <v>33</v>
      </c>
      <c r="D21" s="19" t="n">
        <v>0.902</v>
      </c>
      <c r="E21" s="19" t="n">
        <v>1.10864745</v>
      </c>
    </row>
    <row r="22">
      <c r="A22" s="8" t="inlineStr">
        <is>
          <t>2013-08-01</t>
        </is>
      </c>
      <c r="B22" s="18" t="n">
        <v>40</v>
      </c>
      <c r="C22" s="18" t="n">
        <v>35</v>
      </c>
      <c r="D22" s="19" t="n">
        <v>0.86</v>
      </c>
      <c r="E22" s="19" t="n">
        <v>1.1627907</v>
      </c>
    </row>
    <row r="23">
      <c r="A23" s="8" t="inlineStr">
        <is>
          <t>2013-09-01</t>
        </is>
      </c>
      <c r="B23" s="18" t="n">
        <v>43</v>
      </c>
      <c r="C23" s="18" t="n">
        <v>37</v>
      </c>
      <c r="D23" s="19" t="n">
        <v>0.831</v>
      </c>
      <c r="E23" s="19" t="n">
        <v>1.20336943</v>
      </c>
    </row>
    <row r="24">
      <c r="A24" s="8" t="inlineStr">
        <is>
          <t>2013-10-01</t>
        </is>
      </c>
      <c r="B24" s="18" t="n">
        <v>46</v>
      </c>
      <c r="C24" s="18" t="n">
        <v>39</v>
      </c>
      <c r="D24" s="19" t="n">
        <v>0.848</v>
      </c>
      <c r="E24" s="19" t="n">
        <v>1.17924528</v>
      </c>
    </row>
    <row r="25">
      <c r="A25" s="8" t="inlineStr">
        <is>
          <t>2013-11-01</t>
        </is>
      </c>
      <c r="B25" s="18" t="n">
        <v>49</v>
      </c>
      <c r="C25" s="18" t="n">
        <v>41</v>
      </c>
      <c r="D25" s="19" t="n">
        <v>0.887</v>
      </c>
      <c r="E25" s="19" t="n">
        <v>1.12739572</v>
      </c>
    </row>
    <row r="26">
      <c r="A26" s="8" t="inlineStr">
        <is>
          <t>2013-12-01</t>
        </is>
      </c>
      <c r="B26" s="18" t="n">
        <v>52</v>
      </c>
      <c r="C26" s="18" t="n">
        <v>43</v>
      </c>
      <c r="D26" s="19" t="n">
        <v>0.866</v>
      </c>
      <c r="E26" s="19" t="n">
        <v>1.15473441</v>
      </c>
    </row>
    <row r="27">
      <c r="A27" s="8" t="inlineStr">
        <is>
          <t>2014-01-01</t>
        </is>
      </c>
      <c r="B27" s="18" t="n">
        <v>55</v>
      </c>
      <c r="C27" s="18" t="n">
        <v>45</v>
      </c>
      <c r="D27" s="19" t="n">
        <v>0.891</v>
      </c>
      <c r="E27" s="19" t="n">
        <v>1.12233446</v>
      </c>
    </row>
    <row r="28">
      <c r="A28" s="8" t="inlineStr">
        <is>
          <t>2014-02-01</t>
        </is>
      </c>
      <c r="B28" s="18" t="n">
        <v>58</v>
      </c>
      <c r="C28" s="18" t="n">
        <v>47</v>
      </c>
      <c r="D28" s="19" t="n">
        <v>0.849</v>
      </c>
      <c r="E28" s="19" t="n">
        <v>1.1778563</v>
      </c>
    </row>
    <row r="29">
      <c r="A29" s="8" t="inlineStr">
        <is>
          <t>2014-03-01</t>
        </is>
      </c>
      <c r="B29" s="18" t="n">
        <v>61</v>
      </c>
      <c r="C29" s="18" t="n">
        <v>49</v>
      </c>
      <c r="D29" s="19" t="n">
        <v>0.847</v>
      </c>
      <c r="E29" s="19" t="n">
        <v>1.18063754</v>
      </c>
    </row>
    <row r="30">
      <c r="A30" s="8" t="inlineStr">
        <is>
          <t>2014-04-01</t>
        </is>
      </c>
      <c r="B30" s="18" t="n">
        <v>64</v>
      </c>
      <c r="C30" s="18" t="n">
        <v>51</v>
      </c>
      <c r="D30" s="19" t="n">
        <v>0.8169999999999999</v>
      </c>
      <c r="E30" s="19" t="n">
        <v>1.22399021</v>
      </c>
    </row>
    <row r="31">
      <c r="A31" s="8" t="inlineStr">
        <is>
          <t>2014-05-01</t>
        </is>
      </c>
      <c r="B31" s="18" t="n">
        <v>67</v>
      </c>
      <c r="C31" s="18" t="n">
        <v>53</v>
      </c>
      <c r="D31" s="19" t="n">
        <v>0.849</v>
      </c>
      <c r="E31" s="19" t="n">
        <v>1.1778563</v>
      </c>
    </row>
    <row r="32">
      <c r="A32" s="8" t="inlineStr">
        <is>
          <t>2014-06-01</t>
        </is>
      </c>
      <c r="B32" s="18" t="n">
        <v>70</v>
      </c>
      <c r="C32" s="18" t="n">
        <v>55</v>
      </c>
      <c r="D32" s="19" t="n">
        <v>0.906</v>
      </c>
      <c r="E32" s="19" t="n">
        <v>1.10375276</v>
      </c>
    </row>
    <row r="33">
      <c r="A33" s="8" t="inlineStr">
        <is>
          <t>2014-07-01</t>
        </is>
      </c>
      <c r="B33" s="18" t="n">
        <v>72</v>
      </c>
      <c r="C33" s="18" t="n">
        <v>56</v>
      </c>
      <c r="D33" s="19" t="n">
        <v>0.894</v>
      </c>
      <c r="E33" s="19" t="n">
        <v>1.11856823</v>
      </c>
    </row>
    <row r="34">
      <c r="A34" s="8" t="inlineStr">
        <is>
          <t>2014-08-01</t>
        </is>
      </c>
      <c r="B34" s="18" t="n">
        <v>74</v>
      </c>
      <c r="C34" s="18" t="n">
        <v>57</v>
      </c>
      <c r="D34" s="19" t="n">
        <v>0.927</v>
      </c>
      <c r="E34" s="19" t="n">
        <v>1.07874865</v>
      </c>
    </row>
    <row r="35">
      <c r="A35" s="8" t="inlineStr">
        <is>
          <t>2014-09-01</t>
        </is>
      </c>
      <c r="B35" s="18" t="n">
        <v>76</v>
      </c>
      <c r="C35" s="18" t="n">
        <v>58</v>
      </c>
      <c r="D35" s="19" t="n">
        <v>0.989</v>
      </c>
      <c r="E35" s="19" t="n">
        <v>1.01112235</v>
      </c>
    </row>
    <row r="36">
      <c r="A36" s="8" t="inlineStr">
        <is>
          <t>2014-10-01</t>
        </is>
      </c>
      <c r="B36" s="18" t="n">
        <v>78</v>
      </c>
      <c r="C36" s="18" t="n">
        <v>59</v>
      </c>
      <c r="D36" s="19" t="n">
        <v>0.946</v>
      </c>
      <c r="E36" s="19" t="n">
        <v>1.05708245</v>
      </c>
    </row>
    <row r="37">
      <c r="A37" s="8" t="inlineStr">
        <is>
          <t>2014-11-01</t>
        </is>
      </c>
      <c r="B37" s="18" t="n">
        <v>80</v>
      </c>
      <c r="C37" s="18" t="n">
        <v>60</v>
      </c>
      <c r="D37" s="19" t="n">
        <v>1.001</v>
      </c>
      <c r="E37" s="19" t="n">
        <v>0.999001</v>
      </c>
    </row>
    <row r="38">
      <c r="A38" s="8" t="inlineStr">
        <is>
          <t>2014-12-01</t>
        </is>
      </c>
      <c r="B38" s="18" t="n">
        <v>82</v>
      </c>
      <c r="C38" s="18" t="n">
        <v>61</v>
      </c>
      <c r="D38" s="19" t="n">
        <v>1.05</v>
      </c>
      <c r="E38" s="19" t="n">
        <v>0.95238095</v>
      </c>
    </row>
    <row r="39">
      <c r="A39" s="8" t="inlineStr">
        <is>
          <t>2015-01-01</t>
        </is>
      </c>
      <c r="B39" s="18" t="n">
        <v>84</v>
      </c>
      <c r="C39" s="18" t="n">
        <v>62</v>
      </c>
      <c r="D39" s="19" t="n">
        <v>1.035</v>
      </c>
      <c r="E39" s="19" t="n">
        <v>0.96618357</v>
      </c>
    </row>
    <row r="40">
      <c r="A40" s="8" t="inlineStr">
        <is>
          <t>2015-02-01</t>
        </is>
      </c>
      <c r="B40" s="18" t="n">
        <v>86</v>
      </c>
      <c r="C40" s="18" t="n">
        <v>63</v>
      </c>
      <c r="D40" s="19" t="n">
        <v>1.017</v>
      </c>
      <c r="E40" s="19" t="n">
        <v>0.98328417</v>
      </c>
    </row>
    <row r="41">
      <c r="A41" s="8" t="inlineStr">
        <is>
          <t>2015-03-01</t>
        </is>
      </c>
      <c r="B41" s="18" t="n">
        <v>88</v>
      </c>
      <c r="C41" s="18" t="n">
        <v>64</v>
      </c>
      <c r="D41" s="19" t="n">
        <v>0.986</v>
      </c>
      <c r="E41" s="19" t="n">
        <v>1.01419878</v>
      </c>
    </row>
    <row r="42">
      <c r="A42" s="8" t="inlineStr">
        <is>
          <t>2015-04-01</t>
        </is>
      </c>
      <c r="B42" s="18" t="n">
        <v>90</v>
      </c>
      <c r="C42" s="18" t="n">
        <v>65</v>
      </c>
      <c r="D42" s="19" t="n">
        <v>1.042</v>
      </c>
      <c r="E42" s="19" t="n">
        <v>0.95969289</v>
      </c>
    </row>
    <row r="43">
      <c r="A43" s="8" t="inlineStr">
        <is>
          <t>2015-05-01</t>
        </is>
      </c>
      <c r="B43" s="18" t="n">
        <v>92</v>
      </c>
      <c r="C43" s="18" t="n">
        <v>66</v>
      </c>
      <c r="D43" s="19" t="n">
        <v>1.055</v>
      </c>
      <c r="E43" s="19" t="n">
        <v>0.9478673</v>
      </c>
    </row>
    <row r="44">
      <c r="A44" s="8" t="inlineStr">
        <is>
          <t>2015-06-01</t>
        </is>
      </c>
      <c r="B44" s="18" t="n">
        <v>94</v>
      </c>
      <c r="C44" s="18" t="n">
        <v>67</v>
      </c>
      <c r="D44" s="19" t="n">
        <v>1.052</v>
      </c>
      <c r="E44" s="19" t="n">
        <v>0.95057034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3" customWidth="1" min="2" max="2"/>
    <col width="17" customWidth="1" min="3" max="3"/>
    <col width="17" customWidth="1" min="4" max="4"/>
    <col width="17" customWidth="1" min="5" max="5"/>
    <col width="16" customWidth="1" min="6" max="6"/>
    <col width="16" customWidth="1" min="7" max="7"/>
    <col width="25" customWidth="1" min="8" max="8"/>
    <col width="23" customWidth="1" min="9" max="9"/>
    <col width="25" customWidth="1" min="10" max="10"/>
    <col width="29" customWidth="1" min="11" max="11"/>
    <col width="22" customWidth="1" min="12" max="12"/>
    <col width="22" customWidth="1" min="13" max="13"/>
    <col width="26" customWidth="1" min="14" max="14"/>
    <col width="26" customWidth="1" min="15" max="15"/>
    <col width="23" customWidth="1" min="16" max="16"/>
  </cols>
  <sheetData>
    <row r="1">
      <c r="A1" s="13" t="inlineStr">
        <is>
          <t>Date</t>
        </is>
      </c>
      <c r="B1" s="13" t="inlineStr">
        <is>
          <t>Month Index</t>
        </is>
      </c>
      <c r="C1" s="13" t="inlineStr">
        <is>
          <t>Days in Month</t>
        </is>
      </c>
      <c r="D1" s="13" t="inlineStr">
        <is>
          <t>Small New</t>
        </is>
      </c>
      <c r="E1" s="13" t="inlineStr">
        <is>
          <t>Large New</t>
        </is>
      </c>
      <c r="F1" s="13" t="inlineStr">
        <is>
          <t>Small Cum</t>
        </is>
      </c>
      <c r="G1" s="13" t="inlineStr">
        <is>
          <t>Large Cum</t>
        </is>
      </c>
      <c r="H1" s="13" t="inlineStr">
        <is>
          <t>Total Nom Capacity [kW]</t>
        </is>
      </c>
      <c r="I1" s="13" t="inlineStr">
        <is>
          <t>Purchasing Cost [AU$]</t>
        </is>
      </c>
      <c r="J1" s="13" t="inlineStr">
        <is>
          <t>Effective Capacity [kW]</t>
        </is>
      </c>
      <c r="K1" s="13" t="inlineStr">
        <is>
          <t>Electricity Generated [kWh]</t>
        </is>
      </c>
      <c r="L1" s="13" t="inlineStr">
        <is>
          <t>Tariff A Usage [kWh]</t>
        </is>
      </c>
      <c r="M1" s="13" t="inlineStr">
        <is>
          <t>Tariff B Usage [kWh]</t>
        </is>
      </c>
      <c r="N1" s="13" t="inlineStr">
        <is>
          <t>Tariff A Price [AU$/kWh]</t>
        </is>
      </c>
      <c r="O1" s="13" t="inlineStr">
        <is>
          <t>Tariff B Price [AU$/kWh]</t>
        </is>
      </c>
      <c r="P1" s="13" t="inlineStr">
        <is>
          <t>Monthly Revenue [AU$]</t>
        </is>
      </c>
    </row>
    <row r="2">
      <c r="A2" s="26">
        <f>DATE(2013, 7, 1)</f>
        <v/>
      </c>
      <c r="B2" s="14" t="n">
        <v>1</v>
      </c>
      <c r="C2" s="14">
        <f>DAY(EOMONTH(A2, 0))</f>
        <v/>
      </c>
      <c r="D2" s="14">
        <f>'model_Assumptions'!B21</f>
        <v/>
      </c>
      <c r="E2" s="14">
        <f>'model_Assumptions'!C21</f>
        <v/>
      </c>
      <c r="F2" s="14">
        <f>SUM($D$2:D2)</f>
        <v/>
      </c>
      <c r="G2" s="14">
        <f>SUM($E$2:E2)</f>
        <v/>
      </c>
      <c r="H2" s="14">
        <f>F2*'model_Assumptions'!$B$7 + G2*'model_Assumptions'!$B$8</f>
        <v/>
      </c>
      <c r="I2" s="27">
        <f>(D2*'model_Assumptions'!$B$3 + E2*'model_Assumptions'!$B$4)*'model_Assumptions'!E21 + (D2+E2)*'model_Assumptions'!$B$5</f>
        <v/>
      </c>
      <c r="J2" s="14">
        <f>H2</f>
        <v/>
      </c>
      <c r="K2" s="14">
        <f>J2*'model_Assumptions'!$B$10*C2</f>
        <v/>
      </c>
      <c r="L2" s="14">
        <f>(F2*'model_Assumptions'!$B$13 + G2*'model_Assumptions'!$B$14)*C2</f>
        <v/>
      </c>
      <c r="M2" s="14">
        <f>MAX(0, K2-L2)</f>
        <v/>
      </c>
      <c r="N2" s="28">
        <f>'model_Assumptions'!$B$15 * (1.02^INT((B2-1)/12))</f>
        <v/>
      </c>
      <c r="O2" s="28">
        <f>'model_Assumptions'!$B$16</f>
        <v/>
      </c>
      <c r="P2" s="27">
        <f>L2*N2 + M2*O2</f>
        <v/>
      </c>
    </row>
    <row r="3">
      <c r="A3" s="26">
        <f>EDATE(A2, 1)</f>
        <v/>
      </c>
      <c r="B3" s="14">
        <f>B2+1</f>
        <v/>
      </c>
      <c r="C3" s="14">
        <f>DAY(EOMONTH(A3, 0))</f>
        <v/>
      </c>
      <c r="D3" s="14">
        <f>'model_Assumptions'!B22</f>
        <v/>
      </c>
      <c r="E3" s="14">
        <f>'model_Assumptions'!C22</f>
        <v/>
      </c>
      <c r="F3" s="14">
        <f>SUM($D$2:D3)</f>
        <v/>
      </c>
      <c r="G3" s="14">
        <f>SUM($E$2:E3)</f>
        <v/>
      </c>
      <c r="H3" s="14">
        <f>F3*'model_Assumptions'!$B$7 + G3*'model_Assumptions'!$B$8</f>
        <v/>
      </c>
      <c r="I3" s="27">
        <f>(D3*'model_Assumptions'!$B$3 + E3*'model_Assumptions'!$B$4)*'model_Assumptions'!E22 + (D3+E3)*'model_Assumptions'!$B$5</f>
        <v/>
      </c>
      <c r="J3" s="14">
        <f>J2*(1-'model_Assumptions'!$B$19) + (D3*'model_Assumptions'!$B$7 + E3*'model_Assumptions'!$B$8)</f>
        <v/>
      </c>
      <c r="K3" s="14">
        <f>J3*'model_Assumptions'!$B$10*C3</f>
        <v/>
      </c>
      <c r="L3" s="14">
        <f>(F3*'model_Assumptions'!$B$13 + G3*'model_Assumptions'!$B$14)*C3</f>
        <v/>
      </c>
      <c r="M3" s="14">
        <f>MAX(0, K3-L3)</f>
        <v/>
      </c>
      <c r="N3" s="28">
        <f>'model_Assumptions'!$B$15 * (1.02^INT((B3-1)/12))</f>
        <v/>
      </c>
      <c r="O3" s="28">
        <f>'model_Assumptions'!$B$16</f>
        <v/>
      </c>
      <c r="P3" s="27">
        <f>L3*N3 + M3*O3</f>
        <v/>
      </c>
    </row>
    <row r="4">
      <c r="A4" s="26">
        <f>EDATE(A3, 1)</f>
        <v/>
      </c>
      <c r="B4" s="14">
        <f>B3+1</f>
        <v/>
      </c>
      <c r="C4" s="14">
        <f>DAY(EOMONTH(A4, 0))</f>
        <v/>
      </c>
      <c r="D4" s="14">
        <f>'model_Assumptions'!B23</f>
        <v/>
      </c>
      <c r="E4" s="14">
        <f>'model_Assumptions'!C23</f>
        <v/>
      </c>
      <c r="F4" s="14">
        <f>SUM($D$2:D4)</f>
        <v/>
      </c>
      <c r="G4" s="14">
        <f>SUM($E$2:E4)</f>
        <v/>
      </c>
      <c r="H4" s="14">
        <f>F4*'model_Assumptions'!$B$7 + G4*'model_Assumptions'!$B$8</f>
        <v/>
      </c>
      <c r="I4" s="27">
        <f>(D4*'model_Assumptions'!$B$3 + E4*'model_Assumptions'!$B$4)*'model_Assumptions'!E24 + (D4+E4)*'model_Assumptions'!$B$5</f>
        <v/>
      </c>
      <c r="J4" s="14">
        <f>J3*(1-'model_Assumptions'!$B$19) + (D4*'model_Assumptions'!$B$7 + E4*'model_Assumptions'!$B$8)</f>
        <v/>
      </c>
      <c r="K4" s="14">
        <f>J4*'model_Assumptions'!$B$10*C4</f>
        <v/>
      </c>
      <c r="L4" s="14">
        <f>(F4*'model_Assumptions'!$B$13 + G4*'model_Assumptions'!$B$14)*C4</f>
        <v/>
      </c>
      <c r="M4" s="14">
        <f>MAX(0, K4-L4)</f>
        <v/>
      </c>
      <c r="N4" s="28">
        <f>'model_Assumptions'!$B$15 * (1.02^INT((B4-1)/12))</f>
        <v/>
      </c>
      <c r="O4" s="28">
        <f>'model_Assumptions'!$B$16</f>
        <v/>
      </c>
      <c r="P4" s="27">
        <f>L4*N4 + M4*O4</f>
        <v/>
      </c>
    </row>
    <row r="5">
      <c r="A5" s="26">
        <f>EDATE(A4, 1)</f>
        <v/>
      </c>
      <c r="B5" s="14">
        <f>B4+1</f>
        <v/>
      </c>
      <c r="C5" s="14">
        <f>DAY(EOMONTH(A5, 0))</f>
        <v/>
      </c>
      <c r="D5" s="14">
        <f>'model_Assumptions'!B24</f>
        <v/>
      </c>
      <c r="E5" s="14">
        <f>'model_Assumptions'!C24</f>
        <v/>
      </c>
      <c r="F5" s="14">
        <f>SUM($D$2:D5)</f>
        <v/>
      </c>
      <c r="G5" s="14">
        <f>SUM($E$2:E5)</f>
        <v/>
      </c>
      <c r="H5" s="14">
        <f>F5*'model_Assumptions'!$B$7 + G5*'model_Assumptions'!$B$8</f>
        <v/>
      </c>
      <c r="I5" s="27">
        <f>(D5*'model_Assumptions'!$B$3 + E5*'model_Assumptions'!$B$4)*'model_Assumptions'!E25 + (D5+E5)*'model_Assumptions'!$B$5</f>
        <v/>
      </c>
      <c r="J5" s="14">
        <f>J4*(1-'model_Assumptions'!$B$19) + (D5*'model_Assumptions'!$B$7 + E5*'model_Assumptions'!$B$8)</f>
        <v/>
      </c>
      <c r="K5" s="14">
        <f>J5*'model_Assumptions'!$B$10*C5</f>
        <v/>
      </c>
      <c r="L5" s="14">
        <f>(F5*'model_Assumptions'!$B$13 + G5*'model_Assumptions'!$B$14)*C5</f>
        <v/>
      </c>
      <c r="M5" s="14">
        <f>MAX(0, K5-L5)</f>
        <v/>
      </c>
      <c r="N5" s="28">
        <f>'model_Assumptions'!$B$15 * (1.02^INT((B5-1)/12))</f>
        <v/>
      </c>
      <c r="O5" s="28">
        <f>'model_Assumptions'!$B$16</f>
        <v/>
      </c>
      <c r="P5" s="27">
        <f>L5*N5 + M5*O5</f>
        <v/>
      </c>
    </row>
    <row r="6">
      <c r="A6" s="26">
        <f>EDATE(A5, 1)</f>
        <v/>
      </c>
      <c r="B6" s="14">
        <f>B5+1</f>
        <v/>
      </c>
      <c r="C6" s="14">
        <f>DAY(EOMONTH(A6, 0))</f>
        <v/>
      </c>
      <c r="D6" s="14">
        <f>'model_Assumptions'!B25</f>
        <v/>
      </c>
      <c r="E6" s="14">
        <f>'model_Assumptions'!C25</f>
        <v/>
      </c>
      <c r="F6" s="14">
        <f>SUM($D$2:D6)</f>
        <v/>
      </c>
      <c r="G6" s="14">
        <f>SUM($E$2:E6)</f>
        <v/>
      </c>
      <c r="H6" s="14">
        <f>F6*'model_Assumptions'!$B$7 + G6*'model_Assumptions'!$B$8</f>
        <v/>
      </c>
      <c r="I6" s="27">
        <f>(D6*'model_Assumptions'!$B$3 + E6*'model_Assumptions'!$B$4)*'model_Assumptions'!E26 + (D6+E6)*'model_Assumptions'!$B$5</f>
        <v/>
      </c>
      <c r="J6" s="14">
        <f>J5*(1-'model_Assumptions'!$B$19) + (D6*'model_Assumptions'!$B$7 + E6*'model_Assumptions'!$B$8)</f>
        <v/>
      </c>
      <c r="K6" s="14">
        <f>J6*'model_Assumptions'!$B$10*C6</f>
        <v/>
      </c>
      <c r="L6" s="14">
        <f>(F6*'model_Assumptions'!$B$13 + G6*'model_Assumptions'!$B$14)*C6</f>
        <v/>
      </c>
      <c r="M6" s="14">
        <f>MAX(0, K6-L6)</f>
        <v/>
      </c>
      <c r="N6" s="28">
        <f>'model_Assumptions'!$B$15 * (1.02^INT((B6-1)/12))</f>
        <v/>
      </c>
      <c r="O6" s="28">
        <f>'model_Assumptions'!$B$16</f>
        <v/>
      </c>
      <c r="P6" s="27">
        <f>L6*N6 + M6*O6</f>
        <v/>
      </c>
    </row>
    <row r="7">
      <c r="A7" s="26">
        <f>EDATE(A6, 1)</f>
        <v/>
      </c>
      <c r="B7" s="14">
        <f>B6+1</f>
        <v/>
      </c>
      <c r="C7" s="14">
        <f>DAY(EOMONTH(A7, 0))</f>
        <v/>
      </c>
      <c r="D7" s="14">
        <f>'model_Assumptions'!B26</f>
        <v/>
      </c>
      <c r="E7" s="14">
        <f>'model_Assumptions'!C26</f>
        <v/>
      </c>
      <c r="F7" s="14">
        <f>SUM($D$2:D7)</f>
        <v/>
      </c>
      <c r="G7" s="14">
        <f>SUM($E$2:E7)</f>
        <v/>
      </c>
      <c r="H7" s="14">
        <f>F7*'model_Assumptions'!$B$7 + G7*'model_Assumptions'!$B$8</f>
        <v/>
      </c>
      <c r="I7" s="27">
        <f>(D7*'model_Assumptions'!$B$3 + E7*'model_Assumptions'!$B$4)*'model_Assumptions'!E27 + (D7+E7)*'model_Assumptions'!$B$5</f>
        <v/>
      </c>
      <c r="J7" s="14">
        <f>J6*(1-'model_Assumptions'!$B$19) + (D7*'model_Assumptions'!$B$7 + E7*'model_Assumptions'!$B$8)</f>
        <v/>
      </c>
      <c r="K7" s="14">
        <f>J7*'model_Assumptions'!$B$10*C7</f>
        <v/>
      </c>
      <c r="L7" s="14">
        <f>(F7*'model_Assumptions'!$B$13 + G7*'model_Assumptions'!$B$14)*C7</f>
        <v/>
      </c>
      <c r="M7" s="14">
        <f>MAX(0, K7-L7)</f>
        <v/>
      </c>
      <c r="N7" s="28">
        <f>'model_Assumptions'!$B$15 * (1.02^INT((B7-1)/12))</f>
        <v/>
      </c>
      <c r="O7" s="28">
        <f>'model_Assumptions'!$B$16</f>
        <v/>
      </c>
      <c r="P7" s="27">
        <f>L7*N7 + M7*O7</f>
        <v/>
      </c>
    </row>
    <row r="8">
      <c r="A8" s="26">
        <f>EDATE(A7, 1)</f>
        <v/>
      </c>
      <c r="B8" s="14">
        <f>B7+1</f>
        <v/>
      </c>
      <c r="C8" s="14">
        <f>DAY(EOMONTH(A8, 0))</f>
        <v/>
      </c>
      <c r="D8" s="14">
        <f>'model_Assumptions'!B27</f>
        <v/>
      </c>
      <c r="E8" s="14">
        <f>'model_Assumptions'!C27</f>
        <v/>
      </c>
      <c r="F8" s="14">
        <f>SUM($D$2:D8)</f>
        <v/>
      </c>
      <c r="G8" s="14">
        <f>SUM($E$2:E8)</f>
        <v/>
      </c>
      <c r="H8" s="14">
        <f>F8*'model_Assumptions'!$B$7 + G8*'model_Assumptions'!$B$8</f>
        <v/>
      </c>
      <c r="I8" s="27">
        <f>(D8*'model_Assumptions'!$B$3 + E8*'model_Assumptions'!$B$4)*'model_Assumptions'!E28 + (D8+E8)*'model_Assumptions'!$B$5</f>
        <v/>
      </c>
      <c r="J8" s="14">
        <f>J7*(1-'model_Assumptions'!$B$19) + (D8*'model_Assumptions'!$B$7 + E8*'model_Assumptions'!$B$8)</f>
        <v/>
      </c>
      <c r="K8" s="14">
        <f>J8*'model_Assumptions'!$B$10*C8</f>
        <v/>
      </c>
      <c r="L8" s="14">
        <f>(F8*'model_Assumptions'!$B$13 + G8*'model_Assumptions'!$B$14)*C8</f>
        <v/>
      </c>
      <c r="M8" s="14">
        <f>MAX(0, K8-L8)</f>
        <v/>
      </c>
      <c r="N8" s="28">
        <f>'model_Assumptions'!$B$15 * (1.02^INT((B8-1)/12))</f>
        <v/>
      </c>
      <c r="O8" s="28">
        <f>'model_Assumptions'!$B$16</f>
        <v/>
      </c>
      <c r="P8" s="27">
        <f>L8*N8 + M8*O8</f>
        <v/>
      </c>
    </row>
    <row r="9">
      <c r="A9" s="26">
        <f>EDATE(A8, 1)</f>
        <v/>
      </c>
      <c r="B9" s="14">
        <f>B8+1</f>
        <v/>
      </c>
      <c r="C9" s="14" t="n"/>
      <c r="D9" s="14">
        <f>'model_Assumptions'!B28</f>
        <v/>
      </c>
      <c r="E9" s="14">
        <f>'model_Assumptions'!C28</f>
        <v/>
      </c>
      <c r="F9" s="14">
        <f>SUM($D$2:D9)</f>
        <v/>
      </c>
      <c r="G9" s="14">
        <f>SUM($E$2:E9)</f>
        <v/>
      </c>
      <c r="H9" s="14">
        <f>F9*'model_Assumptions'!$B$7 + G9*'model_Assumptions'!$B$8</f>
        <v/>
      </c>
      <c r="I9" s="27">
        <f>(D9*'model_Assumptions'!$B$3 + E9*'model_Assumptions'!$B$4)*'model_Assumptions'!E29 + (D9+E9)*'model_Assumptions'!$B$5</f>
        <v/>
      </c>
      <c r="J9" s="14">
        <f>J8*(1-'model_Assumptions'!$B$19) + (D9*'model_Assumptions'!$B$7 + E9*'model_Assumptions'!$B$8)</f>
        <v/>
      </c>
      <c r="K9" s="14">
        <f>J9*'model_Assumptions'!$B$10*C9</f>
        <v/>
      </c>
      <c r="L9" s="14">
        <f>(F9*'model_Assumptions'!$B$13 + G9*'model_Assumptions'!$B$14)*C9</f>
        <v/>
      </c>
      <c r="M9" s="14">
        <f>MAX(0, K9-L9)</f>
        <v/>
      </c>
      <c r="N9" s="28">
        <f>'model_Assumptions'!$B$15 * (1.02^INT((B9-1)/12))</f>
        <v/>
      </c>
      <c r="O9" s="28">
        <f>'model_Assumptions'!$B$16</f>
        <v/>
      </c>
      <c r="P9" s="27">
        <f>L9*N9 + M9*O9</f>
        <v/>
      </c>
    </row>
    <row r="10">
      <c r="A10" s="26">
        <f>EDATE(A9, 1)</f>
        <v/>
      </c>
      <c r="B10" s="14">
        <f>B9+1</f>
        <v/>
      </c>
      <c r="C10" s="14" t="n"/>
      <c r="D10" s="14">
        <f>'model_Assumptions'!B29</f>
        <v/>
      </c>
      <c r="E10" s="14">
        <f>'model_Assumptions'!C29</f>
        <v/>
      </c>
      <c r="F10" s="14">
        <f>SUM($D$2:D10)</f>
        <v/>
      </c>
      <c r="G10" s="14">
        <f>SUM($E$2:E10)</f>
        <v/>
      </c>
      <c r="H10" s="14">
        <f>F10*'model_Assumptions'!$B$7 + G10*'model_Assumptions'!$B$8</f>
        <v/>
      </c>
      <c r="I10" s="27">
        <f>(D10*'model_Assumptions'!$B$3 + E10*'model_Assumptions'!$B$4)*'model_Assumptions'!E30 + (D10+E10)*'model_Assumptions'!$B$5</f>
        <v/>
      </c>
      <c r="J10" s="14">
        <f>J9*(1-'model_Assumptions'!$B$19) + (D10*'model_Assumptions'!$B$7 + E10*'model_Assumptions'!$B$8)</f>
        <v/>
      </c>
      <c r="K10" s="14">
        <f>J10*'model_Assumptions'!$B$10*C10</f>
        <v/>
      </c>
      <c r="L10" s="14">
        <f>(F10*'model_Assumptions'!$B$13 + G10*'model_Assumptions'!$B$14)*C10</f>
        <v/>
      </c>
      <c r="M10" s="14">
        <f>MAX(0, K10-L10)</f>
        <v/>
      </c>
      <c r="N10" s="28">
        <f>'model_Assumptions'!$B$15 * (1.02^INT((B10-1)/12))</f>
        <v/>
      </c>
      <c r="O10" s="28">
        <f>'model_Assumptions'!$B$16</f>
        <v/>
      </c>
      <c r="P10" s="27">
        <f>L10*N10 + M10*O10</f>
        <v/>
      </c>
    </row>
    <row r="11">
      <c r="A11" s="26">
        <f>EDATE(A10, 1)</f>
        <v/>
      </c>
      <c r="B11" s="14">
        <f>B10+1</f>
        <v/>
      </c>
      <c r="C11" s="14" t="n"/>
      <c r="D11" s="14">
        <f>'model_Assumptions'!B30</f>
        <v/>
      </c>
      <c r="E11" s="14">
        <f>'model_Assumptions'!C30</f>
        <v/>
      </c>
      <c r="F11" s="14">
        <f>SUM($D$2:D11)</f>
        <v/>
      </c>
      <c r="G11" s="14">
        <f>SUM($E$2:E11)</f>
        <v/>
      </c>
      <c r="H11" s="14">
        <f>F11*'model_Assumptions'!$B$7 + G11*'model_Assumptions'!$B$8</f>
        <v/>
      </c>
      <c r="I11" s="27">
        <f>(D11*'model_Assumptions'!$B$3 + E11*'model_Assumptions'!$B$4)*'model_Assumptions'!E31 + (D11+E11)*'model_Assumptions'!$B$5</f>
        <v/>
      </c>
      <c r="J11" s="14">
        <f>J10*(1-'model_Assumptions'!$B$19) + (D11*'model_Assumptions'!$B$7 + E11*'model_Assumptions'!$B$8)</f>
        <v/>
      </c>
      <c r="K11" s="14">
        <f>J11*'model_Assumptions'!$B$10*C11</f>
        <v/>
      </c>
      <c r="L11" s="14">
        <f>(F11*'model_Assumptions'!$B$13 + G11*'model_Assumptions'!$B$14)*C11</f>
        <v/>
      </c>
      <c r="M11" s="14">
        <f>MAX(0, K11-L11)</f>
        <v/>
      </c>
      <c r="N11" s="28">
        <f>'model_Assumptions'!$B$15 * (1.02^INT((B11-1)/12))</f>
        <v/>
      </c>
      <c r="O11" s="28">
        <f>'model_Assumptions'!$B$16</f>
        <v/>
      </c>
      <c r="P11" s="27">
        <f>L11*N11 + M11*O11</f>
        <v/>
      </c>
    </row>
    <row r="12">
      <c r="A12" s="26">
        <f>EDATE(A11, 1)</f>
        <v/>
      </c>
      <c r="B12" s="14">
        <f>B11+1</f>
        <v/>
      </c>
      <c r="C12" s="14">
        <f>DAY(EOMONTH(A12,0))</f>
        <v/>
      </c>
      <c r="D12" s="14">
        <f>'model_Assumptions'!B31</f>
        <v/>
      </c>
      <c r="E12" s="14">
        <f>'model_Assumptions'!C31</f>
        <v/>
      </c>
      <c r="F12" s="14">
        <f>SUM($D$2:D12)</f>
        <v/>
      </c>
      <c r="G12" s="14">
        <f>SUM($E$2:E12)</f>
        <v/>
      </c>
      <c r="H12" s="14">
        <f>F12*'model_Assumptions'!$B$7 + G12*'model_Assumptions'!$B$8</f>
        <v/>
      </c>
      <c r="I12" s="27">
        <f>(D12*'model_Assumptions'!$B$3 + E12*'model_Assumptions'!$B$4)*'model_Assumptions'!E32 + (D12+E12)*'model_Assumptions'!$B$5</f>
        <v/>
      </c>
      <c r="J12" s="14">
        <f>J11*(1-'model_Assumptions'!$B$19) + (D12*'model_Assumptions'!$B$7 + E12*'model_Assumptions'!$B$8)</f>
        <v/>
      </c>
      <c r="K12" s="14">
        <f>J12*'model_Assumptions'!$B$10*C12</f>
        <v/>
      </c>
      <c r="L12" s="14">
        <f>(F12*'model_Assumptions'!$B$13 + G12*'model_Assumptions'!$B$14)*C12</f>
        <v/>
      </c>
      <c r="M12" s="14">
        <f>MAX(0, K12-L12)</f>
        <v/>
      </c>
      <c r="N12" s="28">
        <f>'model_Assumptions'!$B$15 * (1.02^INT((B12-1)/12))</f>
        <v/>
      </c>
      <c r="O12" s="28">
        <f>'model_Assumptions'!$B$16</f>
        <v/>
      </c>
      <c r="P12" s="27">
        <f>L12*N12 + M12*O12</f>
        <v/>
      </c>
    </row>
    <row r="13">
      <c r="A13" s="26">
        <f>EDATE(A12, 1)</f>
        <v/>
      </c>
      <c r="B13" s="14">
        <f>B12+1</f>
        <v/>
      </c>
      <c r="C13" s="14">
        <f>DAY(EOMONTH(A13,0))</f>
        <v/>
      </c>
      <c r="D13" s="14">
        <f>'model_Assumptions'!B32</f>
        <v/>
      </c>
      <c r="E13" s="14">
        <f>'model_Assumptions'!C32</f>
        <v/>
      </c>
      <c r="F13" s="14">
        <f>SUM($D$2:D13)</f>
        <v/>
      </c>
      <c r="G13" s="14">
        <f>SUM($E$2:E13)</f>
        <v/>
      </c>
      <c r="H13" s="14">
        <f>F13*'model_Assumptions'!$B$7 + G13*'model_Assumptions'!$B$8</f>
        <v/>
      </c>
      <c r="I13" s="27">
        <f>(D13*'model_Assumptions'!$B$3 + E13*'model_Assumptions'!$B$4)*'model_Assumptions'!E33 + (D13+E13)*'model_Assumptions'!$B$5</f>
        <v/>
      </c>
      <c r="J13" s="14">
        <f>J12*(1-'model_Assumptions'!$B$19) + (D13*'model_Assumptions'!$B$7 + E13*'model_Assumptions'!$B$8)</f>
        <v/>
      </c>
      <c r="K13" s="14">
        <f>J13*'model_Assumptions'!$B$10*C13</f>
        <v/>
      </c>
      <c r="L13" s="14">
        <f>(F13*'model_Assumptions'!$B$13 + G13*'model_Assumptions'!$B$14)*C13</f>
        <v/>
      </c>
      <c r="M13" s="14">
        <f>MAX(0, K13-L13)</f>
        <v/>
      </c>
      <c r="N13" s="28">
        <f>'model_Assumptions'!$B$15 * (1.02^INT((B13-1)/12))</f>
        <v/>
      </c>
      <c r="O13" s="28">
        <f>'model_Assumptions'!$B$16</f>
        <v/>
      </c>
      <c r="P13" s="27">
        <f>L13*N13 + M13*O13</f>
        <v/>
      </c>
    </row>
    <row r="14">
      <c r="A14" s="26">
        <f>EDATE(A13,1)</f>
        <v/>
      </c>
      <c r="B14" s="14">
        <f>B13+1</f>
        <v/>
      </c>
      <c r="C14" s="14" t="n"/>
      <c r="D14" s="14">
        <f>'model_Assumptions'!B33</f>
        <v/>
      </c>
      <c r="E14" s="14">
        <f>'model_Assumptions'!C33</f>
        <v/>
      </c>
      <c r="F14" s="14">
        <f>SUM($D$2:D14)</f>
        <v/>
      </c>
      <c r="G14" s="14">
        <f>SUM($E$2:E14)</f>
        <v/>
      </c>
      <c r="H14" s="14">
        <f>F14*'model_Assumptions'!$B$7 + G14*'model_Assumptions'!$B$8</f>
        <v/>
      </c>
      <c r="I14" s="27">
        <f>(D14*'model_Assumptions'!$B$3 + E14*'model_Assumptions'!$B$4)*'model_Assumptions'!E33 + (D14+E14)*'model_Assumptions'!$B$5</f>
        <v/>
      </c>
      <c r="J14" s="14">
        <f>J13*(1-'model_Assumptions'!$B$19) + (D14*'model_Assumptions'!$B$7 + E14*'model_Assumptions'!$B$8)</f>
        <v/>
      </c>
      <c r="K14" s="14">
        <f>J14*'model_Assumptions'!$B$10*C14</f>
        <v/>
      </c>
      <c r="L14" s="14">
        <f>(F14*'model_Assumptions'!$B$13 + G14*'model_Assumptions'!$B$14)*C14</f>
        <v/>
      </c>
      <c r="M14" s="14">
        <f>MAX(0, K14-L14)</f>
        <v/>
      </c>
      <c r="N14" s="28">
        <f>'model_Assumptions'!$B$15 * (1.02^INT((B14-1)/12))</f>
        <v/>
      </c>
      <c r="O14" s="28">
        <f>'model_Assumptions'!$B$16</f>
        <v/>
      </c>
      <c r="P14" s="27">
        <f>L14*N14 + M14*O14</f>
        <v/>
      </c>
    </row>
    <row r="15">
      <c r="A15" s="26">
        <f>EDATE(A14,1)</f>
        <v/>
      </c>
      <c r="B15" s="14">
        <f>B14+1</f>
        <v/>
      </c>
      <c r="C15" s="14">
        <f>DAY(EOMONTH(A15,0))</f>
        <v/>
      </c>
      <c r="D15" s="14">
        <f>'model_Assumptions'!B34</f>
        <v/>
      </c>
      <c r="E15" s="14">
        <f>'model_Assumptions'!C34</f>
        <v/>
      </c>
      <c r="F15" s="14">
        <f>SUM($D$2:D15)</f>
        <v/>
      </c>
      <c r="G15" s="14">
        <f>SUM($E$2:E15)</f>
        <v/>
      </c>
      <c r="H15" s="14">
        <f>F15*'model_Assumptions'!$B$7 + G15*'model_Assumptions'!$B$8</f>
        <v/>
      </c>
      <c r="I15" s="27">
        <f>(D15*'model_Assumptions'!$B$3 + E15*'model_Assumptions'!$B$4)*'model_Assumptions'!E34 + (D15+E15)*'model_Assumptions'!$B$5</f>
        <v/>
      </c>
      <c r="J15" s="14">
        <f>J14*(1-'model_Assumptions'!$B$19) + (D15*'model_Assumptions'!$B$7 + E15*'model_Assumptions'!$B$8)</f>
        <v/>
      </c>
      <c r="K15" s="14">
        <f>J15*'model_Assumptions'!$B$10*C15</f>
        <v/>
      </c>
      <c r="L15" s="14">
        <f>(F15*'model_Assumptions'!$B$13 + G15*'model_Assumptions'!$B$14)*C15</f>
        <v/>
      </c>
      <c r="M15" s="14">
        <f>MAX(0, K15-L15)</f>
        <v/>
      </c>
      <c r="N15" s="28">
        <f>'model_Assumptions'!$B$15 * (1 + 'model_Assumptions'!$B$17)^INT((B15-1)/12)</f>
        <v/>
      </c>
      <c r="O15" s="28">
        <f>'model_Assumptions'!$B$16</f>
        <v/>
      </c>
      <c r="P15" s="27">
        <f>L15*N15 + M15*O15</f>
        <v/>
      </c>
    </row>
    <row r="16">
      <c r="A16" s="26">
        <f>EDATE(A15,1)</f>
        <v/>
      </c>
      <c r="B16" s="14">
        <f>B15+1</f>
        <v/>
      </c>
      <c r="C16" s="14">
        <f>DAY(EOMONTH(A16,0))</f>
        <v/>
      </c>
      <c r="D16" s="14">
        <f>'model_Assumptions'!B35</f>
        <v/>
      </c>
      <c r="E16" s="14">
        <f>'model_Assumptions'!C35</f>
        <v/>
      </c>
      <c r="F16" s="14">
        <f>SUM($D$2:D16)</f>
        <v/>
      </c>
      <c r="G16" s="14">
        <f>SUM($E$2:E16)</f>
        <v/>
      </c>
      <c r="H16" s="14">
        <f>F16*'model_Assumptions'!$B$7 + G16*'model_Assumptions'!$B$8</f>
        <v/>
      </c>
      <c r="I16" s="27">
        <f>(D16*'model_Assumptions'!$B$3 + E16*'model_Assumptions'!$B$4)*'model_Assumptions'!E35 + (D16+E16)*'model_Assumptions'!$B$5</f>
        <v/>
      </c>
      <c r="J16" s="14">
        <f>J15*(1-'model_Assumptions'!$B$19) + (D16*'model_Assumptions'!$B$7 + E16*'model_Assumptions'!$B$8)</f>
        <v/>
      </c>
      <c r="K16" s="14">
        <f>J16*'model_Assumptions'!$B$10*C16</f>
        <v/>
      </c>
      <c r="L16" s="14">
        <f>(F16*'model_Assumptions'!$B$13 + G16*'model_Assumptions'!$B$14)*C16</f>
        <v/>
      </c>
      <c r="M16" s="14">
        <f>MAX(0, K16-L16)</f>
        <v/>
      </c>
      <c r="N16" s="28">
        <f>'model_Assumptions'!$B$15 * (1 + 'model_Assumptions'!$B$17)^INT((B16-1)/12)</f>
        <v/>
      </c>
      <c r="O16" s="28">
        <f>'model_Assumptions'!$B$16</f>
        <v/>
      </c>
      <c r="P16" s="27">
        <f>L16*N16 + M16*O16</f>
        <v/>
      </c>
    </row>
    <row r="17">
      <c r="A17" s="26">
        <f>EDATE(A16,1)</f>
        <v/>
      </c>
      <c r="B17" s="14">
        <f>B16+1</f>
        <v/>
      </c>
      <c r="C17" s="14">
        <f>DAY(EOMONTH(A17,0))</f>
        <v/>
      </c>
      <c r="D17" s="14">
        <f>'model_Assumptions'!B36</f>
        <v/>
      </c>
      <c r="E17" s="14">
        <f>'model_Assumptions'!C36</f>
        <v/>
      </c>
      <c r="F17" s="14">
        <f>SUM($D$2:D17)</f>
        <v/>
      </c>
      <c r="G17" s="14">
        <f>SUM($E$2:E17)</f>
        <v/>
      </c>
      <c r="H17" s="14">
        <f>F17*'model_Assumptions'!$B$7 + G17*'model_Assumptions'!$B$8</f>
        <v/>
      </c>
      <c r="I17" s="27">
        <f>(D17*'model_Assumptions'!$B$3 + E17*'model_Assumptions'!$B$4)*'model_Assumptions'!E36 + (D17+E17)*'model_Assumptions'!$B$5</f>
        <v/>
      </c>
      <c r="J17" s="14">
        <f>J16*(1-'model_Assumptions'!$B$19) + (D17*'model_Assumptions'!$B$7 + E17*'model_Assumptions'!$B$8)</f>
        <v/>
      </c>
      <c r="K17" s="14">
        <f>J17*'model_Assumptions'!$B$10*C17</f>
        <v/>
      </c>
      <c r="L17" s="14">
        <f>(F17*'model_Assumptions'!$B$13 + G17*'model_Assumptions'!$B$14)*C17</f>
        <v/>
      </c>
      <c r="M17" s="14">
        <f>MAX(0, K17-L17)</f>
        <v/>
      </c>
      <c r="N17" s="28">
        <f>'model_Assumptions'!$B$15 * (1 + 'model_Assumptions'!$B$17)^INT((B17-1)/12)</f>
        <v/>
      </c>
      <c r="O17" s="28">
        <f>'model_Assumptions'!$B$16</f>
        <v/>
      </c>
      <c r="P17" s="27">
        <f>L17*N17 + M17*O17</f>
        <v/>
      </c>
    </row>
    <row r="18">
      <c r="A18" s="26">
        <f>EDATE(A17,1)</f>
        <v/>
      </c>
      <c r="B18" s="14">
        <f>B17+1</f>
        <v/>
      </c>
      <c r="C18" s="14">
        <f>DAY(EOMONTH(A18,0))</f>
        <v/>
      </c>
      <c r="D18" s="14">
        <f>'model_Assumptions'!B37</f>
        <v/>
      </c>
      <c r="E18" s="14">
        <f>'model_Assumptions'!C37</f>
        <v/>
      </c>
      <c r="F18" s="14">
        <f>SUM($D$2:D18)</f>
        <v/>
      </c>
      <c r="G18" s="14">
        <f>SUM($E$2:E18)</f>
        <v/>
      </c>
      <c r="H18" s="14">
        <f>F18*'model_Assumptions'!$B$7 + G18*'model_Assumptions'!$B$8</f>
        <v/>
      </c>
      <c r="I18" s="27">
        <f>(D18*'model_Assumptions'!$B$3 + E18*'model_Assumptions'!$B$4)*'model_Assumptions'!E37 + (D18+E18)*'model_Assumptions'!$B$5</f>
        <v/>
      </c>
      <c r="J18" s="14">
        <f>J17*(1-'model_Assumptions'!$B$19) + (D18*'model_Assumptions'!$B$7 + E18*'model_Assumptions'!$B$8)</f>
        <v/>
      </c>
      <c r="K18" s="14">
        <f>J18*'model_Assumptions'!$B$10*C18</f>
        <v/>
      </c>
      <c r="L18" s="14">
        <f>(F18*'model_Assumptions'!$B$13 + G18*'model_Assumptions'!$B$14)*C18</f>
        <v/>
      </c>
      <c r="M18" s="14">
        <f>MAX(0, K18-L18)</f>
        <v/>
      </c>
      <c r="N18" s="28">
        <f>'model_Assumptions'!$B$15 * (1 + 'model_Assumptions'!$B$17)^INT((B18-1)/12)</f>
        <v/>
      </c>
      <c r="O18" s="28">
        <f>'model_Assumptions'!$B$16</f>
        <v/>
      </c>
      <c r="P18" s="27">
        <f>L18*N18 + M18*O18</f>
        <v/>
      </c>
    </row>
    <row r="19">
      <c r="A19" s="26">
        <f>EDATE(A18,1)</f>
        <v/>
      </c>
      <c r="B19" s="14">
        <f>B18+1</f>
        <v/>
      </c>
      <c r="C19" s="14">
        <f>DAY(EOMONTH(A19,0))</f>
        <v/>
      </c>
      <c r="D19" s="14">
        <f>'model_Assumptions'!B38</f>
        <v/>
      </c>
      <c r="E19" s="14">
        <f>'model_Assumptions'!C38</f>
        <v/>
      </c>
      <c r="F19" s="14">
        <f>SUM($D$2:D19)</f>
        <v/>
      </c>
      <c r="G19" s="14">
        <f>SUM($E$2:E19)</f>
        <v/>
      </c>
      <c r="H19" s="14">
        <f>F19*'model_Assumptions'!$B$7 + G19*'model_Assumptions'!$B$8</f>
        <v/>
      </c>
      <c r="I19" s="27">
        <f>(D19*'model_Assumptions'!$B$3 + E19*'model_Assumptions'!$B$4)*'model_Assumptions'!E38 + (D19+E19)*'model_Assumptions'!$B$5</f>
        <v/>
      </c>
      <c r="J19" s="14">
        <f>J18*(1-'model_Assumptions'!$B$19) + (D19*'model_Assumptions'!$B$7 + E19*'model_Assumptions'!$B$8)</f>
        <v/>
      </c>
      <c r="K19" s="14">
        <f>J19*'model_Assumptions'!$B$10*C19</f>
        <v/>
      </c>
      <c r="L19" s="14">
        <f>(F19*'model_Assumptions'!$B$13 + G19*'model_Assumptions'!$B$14)*C19</f>
        <v/>
      </c>
      <c r="M19" s="14">
        <f>MAX(0, K19-L19)</f>
        <v/>
      </c>
      <c r="N19" s="28">
        <f>'model_Assumptions'!$B$15 * (1.02^INT((B19-1)/12))</f>
        <v/>
      </c>
      <c r="O19" s="28">
        <f>'model_Assumptions'!$B$16</f>
        <v/>
      </c>
      <c r="P19" s="27">
        <f>L19*N19 + M19*O19</f>
        <v/>
      </c>
    </row>
    <row r="20">
      <c r="A20" s="26" t="inlineStr">
        <is>
          <t>2015-01-01</t>
        </is>
      </c>
      <c r="B20" s="14" t="n"/>
      <c r="C20" s="14" t="n"/>
      <c r="D20" s="14">
        <f>'model_Assumptions'!B39</f>
        <v/>
      </c>
      <c r="E20" s="14">
        <f>'model_Assumptions'!C39</f>
        <v/>
      </c>
      <c r="F20" s="14">
        <f>SUM($D$2:D20)</f>
        <v/>
      </c>
      <c r="G20" s="14">
        <f>SUM($E$2:E20)</f>
        <v/>
      </c>
      <c r="H20" s="14">
        <f>F20*'model_Assumptions'!$B$7 + G20*'model_Assumptions'!$B$8</f>
        <v/>
      </c>
      <c r="I20" s="27">
        <f>(D20*'model_Assumptions'!$B$3 + E20*'model_Assumptions'!$B$4)*'model_Assumptions'!E39 + (D20+E20)*'model_Assumptions'!$B$5</f>
        <v/>
      </c>
      <c r="J20" s="14">
        <f>J19*(1-'model_Assumptions'!$B$19) + (D20*'model_Assumptions'!$B$7 + E20*'model_Assumptions'!$B$8)</f>
        <v/>
      </c>
      <c r="K20" s="14">
        <f>J20*'model_Assumptions'!$B$10*C20</f>
        <v/>
      </c>
      <c r="L20" s="14">
        <f>(F20*'model_Assumptions'!$B$13 + G20*'model_Assumptions'!$B$14)*C20</f>
        <v/>
      </c>
      <c r="M20" s="14">
        <f>MAX(0, K20-L20)</f>
        <v/>
      </c>
      <c r="N20" s="28">
        <f>'model_Assumptions'!$B$15 * (1.02^INT((B20-1)/12))</f>
        <v/>
      </c>
      <c r="O20" s="28">
        <f>'model_Assumptions'!$B$16</f>
        <v/>
      </c>
      <c r="P20" s="27">
        <f>L20*N20 + M20*O20</f>
        <v/>
      </c>
    </row>
    <row r="21">
      <c r="A21" s="26" t="inlineStr">
        <is>
          <t>2015-02-01</t>
        </is>
      </c>
      <c r="B21" s="14">
        <f>B20+1</f>
        <v/>
      </c>
      <c r="C21" s="14" t="n"/>
      <c r="D21" s="14">
        <f>'model_Assumptions'!B40</f>
        <v/>
      </c>
      <c r="E21" s="14">
        <f>'model_Assumptions'!C40</f>
        <v/>
      </c>
      <c r="F21" s="14">
        <f>SUM($D$2:D21)</f>
        <v/>
      </c>
      <c r="G21" s="14">
        <f>SUM($E$2:E21)</f>
        <v/>
      </c>
      <c r="H21" s="14">
        <f>F21*'model_Assumptions'!$B$7 + G21*'model_Assumptions'!$B$8</f>
        <v/>
      </c>
      <c r="I21" s="27">
        <f>(D21*'model_Assumptions'!$B$3 + E21*'model_Assumptions'!$B$4)*'model_Assumptions'!E40 + (D21+E21)*'model_Assumptions'!$B$5</f>
        <v/>
      </c>
      <c r="J21" s="14">
        <f>J20*(1-'model_Assumptions'!$B$19) + (D21*'model_Assumptions'!$B$7 + E21*'model_Assumptions'!$B$8)</f>
        <v/>
      </c>
      <c r="K21" s="14">
        <f>J21*'model_Assumptions'!$B$10*C21</f>
        <v/>
      </c>
      <c r="L21" s="14">
        <f>(F21*'model_Assumptions'!$B$13 + G21*'model_Assumptions'!$B$14)*C21</f>
        <v/>
      </c>
      <c r="M21" s="14">
        <f>MAX(0, K21-L21)</f>
        <v/>
      </c>
      <c r="N21" s="28">
        <f>'model_Assumptions'!$B$15 * (1 + 'model_Assumptions'!$B$17)^INT((B21-1)/12)</f>
        <v/>
      </c>
      <c r="O21" s="28">
        <f>'model_Assumptions'!$B$16</f>
        <v/>
      </c>
      <c r="P21" s="27">
        <f>L21*N21 + M21*O21</f>
        <v/>
      </c>
    </row>
    <row r="22">
      <c r="A22" s="26" t="inlineStr">
        <is>
          <t>2015-03-01</t>
        </is>
      </c>
      <c r="B22" s="14">
        <f>B21+1</f>
        <v/>
      </c>
      <c r="C22" s="14" t="n"/>
      <c r="D22" s="14">
        <f>'model_Assumptions'!B41</f>
        <v/>
      </c>
      <c r="E22" s="14">
        <f>'model_Assumptions'!C41</f>
        <v/>
      </c>
      <c r="F22" s="14">
        <f>SUM($D$2:D22)</f>
        <v/>
      </c>
      <c r="G22" s="14">
        <f>SUM($E$2:E22)</f>
        <v/>
      </c>
      <c r="H22" s="14">
        <f>F22*'model_Assumptions'!$B$7 + G22*'model_Assumptions'!$B$8</f>
        <v/>
      </c>
      <c r="I22" s="27">
        <f>(D22*'model_Assumptions'!$B$3 + E22*'model_Assumptions'!$B$4)*'model_Assumptions'!E41 + (D22+E22)*'model_Assumptions'!$B$5</f>
        <v/>
      </c>
      <c r="J22" s="14">
        <f>J21*(1-'model_Assumptions'!$B$19) + (D22*'model_Assumptions'!$B$7 + E22*'model_Assumptions'!$B$8)</f>
        <v/>
      </c>
      <c r="K22" s="14">
        <f>J22*'model_Assumptions'!$B$10*C22</f>
        <v/>
      </c>
      <c r="L22" s="14">
        <f>(F22*'model_Assumptions'!$B$13 + G22*'model_Assumptions'!$B$14)*C22</f>
        <v/>
      </c>
      <c r="M22" s="14">
        <f>MAX(0, K22-L22)</f>
        <v/>
      </c>
      <c r="N22" s="28">
        <f>'model_Assumptions'!$B$15 * (1 + 'model_Assumptions'!$B$17)^INT((B22-1)/12)</f>
        <v/>
      </c>
      <c r="O22" s="28">
        <f>'model_Assumptions'!$B$16</f>
        <v/>
      </c>
      <c r="P22" s="27">
        <f>L22*N22 + M22*O22</f>
        <v/>
      </c>
    </row>
    <row r="23">
      <c r="A23" s="26" t="inlineStr">
        <is>
          <t>2015-04-01</t>
        </is>
      </c>
      <c r="B23" s="14">
        <f>B22+1</f>
        <v/>
      </c>
      <c r="C23" s="14" t="n"/>
      <c r="D23" s="14">
        <f>'model_Assumptions'!B42</f>
        <v/>
      </c>
      <c r="E23" s="14">
        <f>'model_Assumptions'!C42</f>
        <v/>
      </c>
      <c r="F23" s="14">
        <f>SUM($D$2:D23)</f>
        <v/>
      </c>
      <c r="G23" s="14">
        <f>SUM($E$2:E23)</f>
        <v/>
      </c>
      <c r="H23" s="14">
        <f>F23*'model_Assumptions'!$B$7 + G23*'model_Assumptions'!$B$8</f>
        <v/>
      </c>
      <c r="I23" s="27">
        <f>(D23*'model_Assumptions'!$B$3 + E23*'model_Assumptions'!$B$4)*'model_Assumptions'!E42 + (D23+E23)*'model_Assumptions'!$B$5</f>
        <v/>
      </c>
      <c r="J23" s="14">
        <f>J22*(1-'model_Assumptions'!$B$19) + (D23*'model_Assumptions'!$B$7 + E23*'model_Assumptions'!$B$8)</f>
        <v/>
      </c>
      <c r="K23" s="14">
        <f>J23*'model_Assumptions'!$B$10*C23</f>
        <v/>
      </c>
      <c r="L23" s="14">
        <f>(F23*'model_Assumptions'!$B$13 + G23*'model_Assumptions'!$B$14)*C23</f>
        <v/>
      </c>
      <c r="M23" s="14">
        <f>MAX(0, K23-L23)</f>
        <v/>
      </c>
      <c r="N23" s="28">
        <f>'model_Assumptions'!$B$15 * (1 + 'model_Assumptions'!$B$17)^INT((B23-1)/12)</f>
        <v/>
      </c>
      <c r="O23" s="28">
        <f>'model_Assumptions'!$B$16</f>
        <v/>
      </c>
      <c r="P23" s="27">
        <f>L23*N23 + M23*O23</f>
        <v/>
      </c>
    </row>
    <row r="24">
      <c r="A24" s="26" t="inlineStr">
        <is>
          <t>2015-05-01</t>
        </is>
      </c>
      <c r="B24" s="14">
        <f>B23+1</f>
        <v/>
      </c>
      <c r="C24" s="14" t="n"/>
      <c r="D24" s="14">
        <f>'model_Assumptions'!B43</f>
        <v/>
      </c>
      <c r="E24" s="14">
        <f>'model_Assumptions'!C43</f>
        <v/>
      </c>
      <c r="F24" s="14">
        <f>SUM($D$2:D24)</f>
        <v/>
      </c>
      <c r="G24" s="14">
        <f>SUM($E$2:E24)</f>
        <v/>
      </c>
      <c r="H24" s="14">
        <f>F24*'model_Assumptions'!$B$7 + G24*'model_Assumptions'!$B$8</f>
        <v/>
      </c>
      <c r="I24" s="27">
        <f>(D24*'model_Assumptions'!$B$3 + E24*'model_Assumptions'!$B$4)*'model_Assumptions'!E43 + (D24+E24)*'model_Assumptions'!$B$5</f>
        <v/>
      </c>
      <c r="J24" s="14">
        <f>J23*(1-'model_Assumptions'!$B$19) + (D24*'model_Assumptions'!$B$7 + E24*'model_Assumptions'!$B$8)</f>
        <v/>
      </c>
      <c r="K24" s="14">
        <f>J24*'model_Assumptions'!$B$10*C24</f>
        <v/>
      </c>
      <c r="L24" s="14">
        <f>(F24*'model_Assumptions'!$B$13 + G24*'model_Assumptions'!$B$14)*C24</f>
        <v/>
      </c>
      <c r="M24" s="14">
        <f>MAX(0, K24-L24)</f>
        <v/>
      </c>
      <c r="N24" s="28">
        <f>'model_Assumptions'!$B$15 * (1 + 'model_Assumptions'!$B$17)^INT((B24-1)/12)</f>
        <v/>
      </c>
      <c r="O24" s="28">
        <f>'model_Assumptions'!$B$16</f>
        <v/>
      </c>
      <c r="P24" s="27" t="n"/>
    </row>
    <row r="25">
      <c r="A25" s="26" t="inlineStr">
        <is>
          <t>2015-06-01</t>
        </is>
      </c>
      <c r="B25" s="14" t="n"/>
      <c r="C25" s="14" t="n"/>
      <c r="D25" s="14">
        <f>'model_Assumptions'!B44</f>
        <v/>
      </c>
      <c r="E25" s="14">
        <f>'model_Assumptions'!C44</f>
        <v/>
      </c>
      <c r="F25" s="14" t="n"/>
      <c r="G25" s="14" t="n"/>
      <c r="H25" s="14" t="n"/>
      <c r="I25" s="27" t="n"/>
      <c r="J25" s="14" t="n"/>
      <c r="K25" s="14" t="n"/>
      <c r="L25" s="14" t="n"/>
      <c r="M25" s="14" t="n"/>
      <c r="N25" s="28" t="n"/>
      <c r="O25" s="28" t="n"/>
      <c r="P25" s="27" t="n"/>
    </row>
    <row r="26">
      <c r="A26" s="29" t="inlineStr">
        <is>
          <t>2015-07-01</t>
        </is>
      </c>
      <c r="B26" s="17" t="n"/>
      <c r="C26" s="17" t="n"/>
      <c r="D26" s="17" t="n"/>
      <c r="E26" s="17" t="n"/>
      <c r="F26" s="17" t="n"/>
      <c r="G26" s="17" t="n"/>
      <c r="H26" s="17" t="n"/>
      <c r="I26" s="27" t="n"/>
      <c r="J26" s="17" t="n"/>
      <c r="K26" s="17" t="n"/>
      <c r="L26" s="17" t="n"/>
      <c r="M26" s="17" t="n"/>
      <c r="N26" s="28" t="n"/>
      <c r="O26" s="28" t="n"/>
      <c r="P26" s="27" t="n"/>
    </row>
    <row r="27">
      <c r="A27" s="29" t="inlineStr">
        <is>
          <t>2015-08-01</t>
        </is>
      </c>
      <c r="B27" s="17" t="n"/>
      <c r="C27" s="17" t="n"/>
      <c r="D27" s="17" t="n"/>
      <c r="E27" s="17" t="n"/>
      <c r="F27" s="17" t="n"/>
      <c r="G27" s="17" t="n"/>
      <c r="H27" s="17" t="n"/>
      <c r="I27" s="27" t="n"/>
      <c r="J27" s="17" t="n"/>
      <c r="K27" s="17" t="n"/>
      <c r="L27" s="17" t="n"/>
      <c r="M27" s="17" t="n"/>
      <c r="N27" s="28" t="n"/>
      <c r="O27" s="28" t="n"/>
      <c r="P27" s="27" t="n"/>
    </row>
    <row r="28">
      <c r="A28" s="29" t="inlineStr">
        <is>
          <t>2015-09-01</t>
        </is>
      </c>
      <c r="B28" s="17" t="n"/>
      <c r="C28" s="17" t="n"/>
      <c r="D28" s="17" t="n"/>
      <c r="E28" s="17" t="n"/>
      <c r="F28" s="17" t="n"/>
      <c r="G28" s="17" t="n"/>
      <c r="H28" s="17" t="n"/>
      <c r="I28" s="27" t="n"/>
      <c r="J28" s="17" t="n"/>
      <c r="K28" s="17" t="n"/>
      <c r="L28" s="17" t="n"/>
      <c r="M28" s="17" t="n"/>
      <c r="N28" s="28" t="n"/>
      <c r="O28" s="28" t="n"/>
      <c r="P28" s="27" t="n"/>
    </row>
    <row r="29">
      <c r="A29" s="29" t="inlineStr">
        <is>
          <t>2015-10-01</t>
        </is>
      </c>
      <c r="B29" s="17" t="n"/>
      <c r="C29" s="17" t="n"/>
      <c r="D29" s="17" t="n"/>
      <c r="E29" s="17" t="n"/>
      <c r="F29" s="17" t="n"/>
      <c r="G29" s="17" t="n"/>
      <c r="H29" s="17" t="n"/>
      <c r="I29" s="27" t="n"/>
      <c r="J29" s="17" t="n"/>
      <c r="K29" s="17" t="n"/>
      <c r="L29" s="17" t="n"/>
      <c r="M29" s="17" t="n"/>
      <c r="N29" s="28" t="n"/>
      <c r="O29" s="28" t="n"/>
      <c r="P29" s="27" t="n"/>
    </row>
    <row r="30">
      <c r="A30" s="29" t="inlineStr">
        <is>
          <t>2015-11-01</t>
        </is>
      </c>
      <c r="B30" s="17" t="n"/>
      <c r="C30" s="17" t="n"/>
      <c r="D30" s="17" t="n"/>
      <c r="E30" s="17" t="n"/>
      <c r="F30" s="17" t="n"/>
      <c r="G30" s="17" t="n"/>
      <c r="H30" s="17" t="n"/>
      <c r="I30" s="27" t="n"/>
      <c r="J30" s="17" t="n"/>
      <c r="K30" s="17" t="n"/>
      <c r="L30" s="17" t="n"/>
      <c r="M30" s="17" t="n"/>
      <c r="N30" s="28" t="n"/>
      <c r="O30" s="28" t="n"/>
      <c r="P30" s="27" t="n"/>
    </row>
    <row r="31">
      <c r="A31" s="29" t="inlineStr">
        <is>
          <t>2015-12-01</t>
        </is>
      </c>
      <c r="B31" s="17" t="n"/>
      <c r="C31" s="17" t="n"/>
      <c r="D31" s="17" t="n"/>
      <c r="E31" s="17" t="n"/>
      <c r="F31" s="17" t="n"/>
      <c r="G31" s="17" t="n"/>
      <c r="H31" s="17" t="n"/>
      <c r="I31" s="27" t="n"/>
      <c r="J31" s="17" t="n"/>
      <c r="K31" s="17" t="n"/>
      <c r="L31" s="17" t="n"/>
      <c r="M31" s="17" t="n"/>
      <c r="N31" s="28" t="n"/>
      <c r="O31" s="28" t="n"/>
      <c r="P31" s="27" t="n"/>
    </row>
    <row r="32">
      <c r="A32" s="29" t="inlineStr">
        <is>
          <t>2016-01-01</t>
        </is>
      </c>
      <c r="B32" s="17" t="n"/>
      <c r="C32" s="17" t="n"/>
      <c r="D32" s="17" t="n"/>
      <c r="E32" s="17" t="n"/>
      <c r="F32" s="17" t="n"/>
      <c r="G32" s="17" t="n"/>
      <c r="H32" s="17" t="n"/>
      <c r="I32" s="27" t="n"/>
      <c r="J32" s="17" t="n"/>
      <c r="K32" s="17" t="n"/>
      <c r="L32" s="17" t="n"/>
      <c r="M32" s="17" t="n"/>
      <c r="N32" s="28" t="n"/>
      <c r="O32" s="28" t="n"/>
      <c r="P32" s="27" t="n"/>
    </row>
    <row r="33">
      <c r="A33" s="29" t="inlineStr">
        <is>
          <t>2016-02-01</t>
        </is>
      </c>
      <c r="B33" s="17" t="n"/>
      <c r="C33" s="17" t="n"/>
      <c r="D33" s="17" t="n"/>
      <c r="E33" s="17" t="n"/>
      <c r="F33" s="17" t="n"/>
      <c r="G33" s="17" t="n"/>
      <c r="H33" s="17" t="n"/>
      <c r="I33" s="27" t="n"/>
      <c r="J33" s="17" t="n"/>
      <c r="K33" s="17" t="n"/>
      <c r="L33" s="17" t="n"/>
      <c r="M33" s="17" t="n"/>
      <c r="N33" s="28" t="n"/>
      <c r="O33" s="28" t="n"/>
      <c r="P33" s="27" t="n"/>
    </row>
    <row r="34">
      <c r="A34" s="29" t="inlineStr">
        <is>
          <t>2016-03-01</t>
        </is>
      </c>
      <c r="B34" s="17" t="n"/>
      <c r="C34" s="17" t="n"/>
      <c r="D34" s="17" t="n"/>
      <c r="E34" s="17" t="n"/>
      <c r="F34" s="17" t="n"/>
      <c r="G34" s="17" t="n"/>
      <c r="H34" s="17" t="n"/>
      <c r="I34" s="27" t="n"/>
      <c r="J34" s="17" t="n"/>
      <c r="K34" s="17" t="n"/>
      <c r="L34" s="17" t="n"/>
      <c r="M34" s="17" t="n"/>
      <c r="N34" s="28" t="n"/>
      <c r="O34" s="28" t="n"/>
      <c r="P34" s="27" t="n"/>
    </row>
    <row r="35">
      <c r="A35" s="29" t="inlineStr">
        <is>
          <t>2016-04-01</t>
        </is>
      </c>
      <c r="B35" s="17" t="n"/>
      <c r="C35" s="17" t="n"/>
      <c r="D35" s="17" t="n"/>
      <c r="E35" s="17" t="n"/>
      <c r="F35" s="17" t="n"/>
      <c r="G35" s="17" t="n"/>
      <c r="H35" s="17" t="n"/>
      <c r="I35" s="27" t="n"/>
      <c r="J35" s="17" t="n"/>
      <c r="K35" s="17" t="n"/>
      <c r="L35" s="17" t="n"/>
      <c r="M35" s="17" t="n"/>
      <c r="N35" s="28" t="n"/>
      <c r="O35" s="28" t="n"/>
      <c r="P35" s="27" t="n"/>
    </row>
    <row r="36">
      <c r="A36" s="29" t="inlineStr">
        <is>
          <t>2016-05-01</t>
        </is>
      </c>
      <c r="B36" s="17" t="n"/>
      <c r="C36" s="17" t="n"/>
      <c r="D36" s="17" t="n"/>
      <c r="E36" s="17" t="n"/>
      <c r="F36" s="17" t="n"/>
      <c r="G36" s="17" t="n"/>
      <c r="H36" s="17" t="n"/>
      <c r="I36" s="27" t="n"/>
      <c r="J36" s="17" t="n"/>
      <c r="K36" s="17" t="n"/>
      <c r="L36" s="17" t="n"/>
      <c r="M36" s="17" t="n"/>
      <c r="N36" s="28" t="n"/>
      <c r="O36" s="28" t="n"/>
      <c r="P36" s="27" t="n"/>
    </row>
    <row r="37">
      <c r="A37" s="29" t="inlineStr">
        <is>
          <t>2016-06-01</t>
        </is>
      </c>
      <c r="B37" s="17" t="n"/>
      <c r="C37" s="17" t="n"/>
      <c r="D37" s="17" t="n"/>
      <c r="E37" s="17" t="n"/>
      <c r="F37" s="17" t="n"/>
      <c r="G37" s="17" t="n"/>
      <c r="H37" s="17" t="n"/>
      <c r="I37" s="27" t="n"/>
      <c r="J37" s="17" t="n"/>
      <c r="K37" s="17" t="n"/>
      <c r="L37" s="17" t="n"/>
      <c r="M37" s="17" t="n"/>
      <c r="N37" s="28" t="n"/>
      <c r="O37" s="28" t="n"/>
      <c r="P37" s="27" t="n"/>
    </row>
    <row r="38">
      <c r="A38" s="29" t="inlineStr">
        <is>
          <t>2016-07-01</t>
        </is>
      </c>
      <c r="B38" s="17" t="n"/>
      <c r="C38" s="17" t="n"/>
      <c r="D38" s="17" t="n"/>
      <c r="E38" s="17" t="n"/>
      <c r="F38" s="17" t="n"/>
      <c r="G38" s="17" t="n"/>
      <c r="H38" s="17" t="n"/>
      <c r="I38" s="27" t="n"/>
      <c r="J38" s="17" t="n"/>
      <c r="K38" s="17" t="n"/>
      <c r="L38" s="17" t="n"/>
      <c r="M38" s="17" t="n"/>
      <c r="N38" s="28" t="n"/>
      <c r="O38" s="28" t="n"/>
      <c r="P38" s="27" t="n"/>
    </row>
    <row r="39">
      <c r="A39" s="29" t="inlineStr">
        <is>
          <t>2016-08-01</t>
        </is>
      </c>
      <c r="B39" s="17" t="n"/>
      <c r="C39" s="17" t="n"/>
      <c r="D39" s="17" t="n"/>
      <c r="E39" s="17" t="n"/>
      <c r="F39" s="17" t="n"/>
      <c r="G39" s="17" t="n"/>
      <c r="H39" s="17" t="n"/>
      <c r="I39" s="27" t="n"/>
      <c r="J39" s="17" t="n"/>
      <c r="K39" s="17" t="n"/>
      <c r="L39" s="17" t="n"/>
      <c r="M39" s="17" t="n"/>
      <c r="N39" s="28" t="n"/>
      <c r="O39" s="28" t="n"/>
      <c r="P39" s="27" t="n"/>
    </row>
    <row r="40">
      <c r="A40" s="29" t="inlineStr">
        <is>
          <t>2016-09-01</t>
        </is>
      </c>
      <c r="B40" s="17" t="n"/>
      <c r="C40" s="17" t="n"/>
      <c r="D40" s="17" t="n"/>
      <c r="E40" s="17" t="n"/>
      <c r="F40" s="17" t="n"/>
      <c r="G40" s="17" t="n"/>
      <c r="H40" s="17" t="n"/>
      <c r="I40" s="27" t="n"/>
      <c r="J40" s="17" t="n"/>
      <c r="K40" s="17" t="n"/>
      <c r="L40" s="17" t="n"/>
      <c r="M40" s="17" t="n"/>
      <c r="N40" s="28" t="n"/>
      <c r="O40" s="28" t="n"/>
      <c r="P40" s="27" t="n"/>
    </row>
    <row r="41">
      <c r="A41" s="29" t="inlineStr">
        <is>
          <t>2016-10-01</t>
        </is>
      </c>
      <c r="B41" s="17" t="n"/>
      <c r="C41" s="17" t="n"/>
      <c r="D41" s="17" t="n"/>
      <c r="E41" s="17" t="n"/>
      <c r="F41" s="17" t="n"/>
      <c r="G41" s="17" t="n"/>
      <c r="H41" s="17" t="n"/>
      <c r="I41" s="27" t="n"/>
      <c r="J41" s="17" t="n"/>
      <c r="K41" s="17" t="n"/>
      <c r="L41" s="17" t="n"/>
      <c r="M41" s="17" t="n"/>
      <c r="N41" s="28" t="n"/>
      <c r="O41" s="28" t="n"/>
      <c r="P41" s="27" t="n"/>
    </row>
    <row r="42">
      <c r="A42" s="29" t="inlineStr">
        <is>
          <t>2016-11-01</t>
        </is>
      </c>
      <c r="B42" s="17" t="n"/>
      <c r="C42" s="17" t="n"/>
      <c r="D42" s="17" t="n"/>
      <c r="E42" s="17" t="n"/>
      <c r="F42" s="17" t="n"/>
      <c r="G42" s="17" t="n"/>
      <c r="H42" s="17" t="n"/>
      <c r="I42" s="27" t="n"/>
      <c r="J42" s="17" t="n"/>
      <c r="K42" s="17" t="n"/>
      <c r="L42" s="17" t="n"/>
      <c r="M42" s="17" t="n"/>
      <c r="N42" s="28" t="n"/>
      <c r="O42" s="28" t="n"/>
      <c r="P42" s="27" t="n"/>
    </row>
    <row r="43">
      <c r="A43" s="29" t="inlineStr">
        <is>
          <t>2016-12-01</t>
        </is>
      </c>
      <c r="B43" s="17" t="n"/>
      <c r="C43" s="17" t="n"/>
      <c r="D43" s="17" t="n"/>
      <c r="E43" s="17" t="n"/>
      <c r="F43" s="17" t="n"/>
      <c r="G43" s="17" t="n"/>
      <c r="H43" s="17" t="n"/>
      <c r="I43" s="27" t="n"/>
      <c r="J43" s="17" t="n"/>
      <c r="K43" s="17" t="n"/>
      <c r="L43" s="17" t="n"/>
      <c r="M43" s="17" t="n"/>
      <c r="N43" s="28" t="n"/>
      <c r="O43" s="28" t="n"/>
      <c r="P43" s="27" t="n"/>
    </row>
    <row r="44">
      <c r="A44" s="29" t="inlineStr">
        <is>
          <t>2017-01-01</t>
        </is>
      </c>
      <c r="B44" s="17" t="n"/>
      <c r="C44" s="17" t="n"/>
      <c r="D44" s="17" t="n"/>
      <c r="E44" s="17" t="n"/>
      <c r="F44" s="17" t="n"/>
      <c r="G44" s="17" t="n"/>
      <c r="H44" s="17" t="n"/>
      <c r="I44" s="27" t="n"/>
      <c r="J44" s="17" t="n"/>
      <c r="K44" s="17" t="n"/>
      <c r="L44" s="17" t="n"/>
      <c r="M44" s="17" t="n"/>
      <c r="N44" s="28" t="n"/>
      <c r="O44" s="28" t="n"/>
      <c r="P44" s="27" t="n"/>
    </row>
    <row r="45">
      <c r="A45" s="29" t="inlineStr">
        <is>
          <t>2017-02-01</t>
        </is>
      </c>
      <c r="B45" s="17" t="n"/>
      <c r="C45" s="17" t="n"/>
      <c r="D45" s="17" t="n"/>
      <c r="E45" s="17" t="n"/>
      <c r="F45" s="17" t="n"/>
      <c r="G45" s="17" t="n"/>
      <c r="H45" s="17" t="n"/>
      <c r="I45" s="27" t="n"/>
      <c r="J45" s="17" t="n"/>
      <c r="K45" s="17" t="n"/>
      <c r="L45" s="17" t="n"/>
      <c r="M45" s="17" t="n"/>
      <c r="N45" s="28" t="n"/>
      <c r="O45" s="28" t="n"/>
      <c r="P45" s="27" t="n"/>
    </row>
    <row r="46">
      <c r="A46" s="29" t="inlineStr">
        <is>
          <t>2017-03-01</t>
        </is>
      </c>
      <c r="B46" s="17" t="n"/>
      <c r="C46" s="17" t="n"/>
      <c r="D46" s="17" t="n"/>
      <c r="E46" s="17" t="n"/>
      <c r="F46" s="17" t="n"/>
      <c r="G46" s="17" t="n"/>
      <c r="H46" s="17" t="n"/>
      <c r="I46" s="27" t="n"/>
      <c r="J46" s="17" t="n"/>
      <c r="K46" s="17" t="n"/>
      <c r="L46" s="17" t="n"/>
      <c r="M46" s="17" t="n"/>
      <c r="N46" s="28" t="n"/>
      <c r="O46" s="28" t="n"/>
      <c r="P46" s="27" t="n"/>
    </row>
    <row r="47">
      <c r="A47" s="29" t="inlineStr">
        <is>
          <t>2017-04-01</t>
        </is>
      </c>
      <c r="B47" s="17" t="n"/>
      <c r="C47" s="17" t="n"/>
      <c r="D47" s="17" t="n"/>
      <c r="E47" s="17" t="n"/>
      <c r="F47" s="17" t="n"/>
      <c r="G47" s="17" t="n"/>
      <c r="H47" s="17" t="n"/>
      <c r="I47" s="27" t="n"/>
      <c r="J47" s="17" t="n"/>
      <c r="K47" s="17" t="n"/>
      <c r="L47" s="17" t="n"/>
      <c r="M47" s="17" t="n"/>
      <c r="N47" s="28" t="n"/>
      <c r="O47" s="28" t="n"/>
      <c r="P47" s="27" t="n"/>
    </row>
    <row r="48">
      <c r="A48" s="29" t="inlineStr">
        <is>
          <t>2017-05-01</t>
        </is>
      </c>
      <c r="B48" s="17" t="n"/>
      <c r="C48" s="17" t="n"/>
      <c r="D48" s="17" t="n"/>
      <c r="E48" s="17" t="n"/>
      <c r="F48" s="17" t="n"/>
      <c r="G48" s="17" t="n"/>
      <c r="H48" s="17" t="n"/>
      <c r="I48" s="27" t="n"/>
      <c r="J48" s="17" t="n"/>
      <c r="K48" s="17" t="n"/>
      <c r="L48" s="17" t="n"/>
      <c r="M48" s="17" t="n"/>
      <c r="N48" s="28" t="n"/>
      <c r="O48" s="28" t="n"/>
      <c r="P48" s="27" t="n"/>
    </row>
    <row r="49">
      <c r="A49" s="29" t="inlineStr">
        <is>
          <t>2017-06-01</t>
        </is>
      </c>
      <c r="B49" s="17" t="n"/>
      <c r="C49" s="17" t="n"/>
      <c r="D49" s="17" t="n"/>
      <c r="E49" s="17" t="n"/>
      <c r="F49" s="17" t="n"/>
      <c r="G49" s="17" t="n"/>
      <c r="H49" s="17" t="n"/>
      <c r="I49" s="27" t="n"/>
      <c r="J49" s="17" t="n"/>
      <c r="K49" s="17" t="n"/>
      <c r="L49" s="17" t="n"/>
      <c r="M49" s="17" t="n"/>
      <c r="N49" s="28" t="n"/>
      <c r="O49" s="28" t="n"/>
      <c r="P49" s="27" t="n"/>
    </row>
    <row r="50">
      <c r="A50" s="29" t="inlineStr">
        <is>
          <t>2017-07-01</t>
        </is>
      </c>
      <c r="B50" s="17" t="n"/>
      <c r="C50" s="17" t="n"/>
      <c r="D50" s="17" t="n"/>
      <c r="E50" s="17" t="n"/>
      <c r="F50" s="17" t="n"/>
      <c r="G50" s="17" t="n"/>
      <c r="H50" s="17" t="n"/>
      <c r="I50" s="27" t="n"/>
      <c r="J50" s="17" t="n"/>
      <c r="K50" s="17" t="n"/>
      <c r="L50" s="17" t="n"/>
      <c r="M50" s="17" t="n"/>
      <c r="N50" s="28" t="n"/>
      <c r="O50" s="28" t="n"/>
      <c r="P50" s="27" t="n"/>
    </row>
    <row r="51">
      <c r="A51" s="29" t="inlineStr">
        <is>
          <t>2017-08-01</t>
        </is>
      </c>
      <c r="B51" s="17" t="n"/>
      <c r="C51" s="17" t="n"/>
      <c r="D51" s="17" t="n"/>
      <c r="E51" s="17" t="n"/>
      <c r="F51" s="17" t="n"/>
      <c r="G51" s="17" t="n"/>
      <c r="H51" s="17" t="n"/>
      <c r="I51" s="27" t="n"/>
      <c r="J51" s="17" t="n"/>
      <c r="K51" s="17" t="n"/>
      <c r="L51" s="17" t="n"/>
      <c r="M51" s="17" t="n"/>
      <c r="N51" s="28" t="n"/>
      <c r="O51" s="28" t="n"/>
      <c r="P51" s="27" t="n"/>
    </row>
    <row r="52">
      <c r="A52" s="29" t="inlineStr">
        <is>
          <t>2017-09-01</t>
        </is>
      </c>
      <c r="B52" s="17" t="n"/>
      <c r="C52" s="17" t="n"/>
      <c r="D52" s="17" t="n"/>
      <c r="E52" s="17" t="n"/>
      <c r="F52" s="17" t="n"/>
      <c r="G52" s="17" t="n"/>
      <c r="H52" s="17" t="n"/>
      <c r="I52" s="27" t="n"/>
      <c r="J52" s="17" t="n"/>
      <c r="K52" s="17" t="n"/>
      <c r="L52" s="17" t="n"/>
      <c r="M52" s="17" t="n"/>
      <c r="N52" s="28" t="n"/>
      <c r="O52" s="28" t="n"/>
      <c r="P52" s="27" t="n"/>
    </row>
    <row r="53">
      <c r="A53" s="29" t="inlineStr">
        <is>
          <t>2017-10-01</t>
        </is>
      </c>
      <c r="B53" s="17" t="n"/>
      <c r="C53" s="17" t="n"/>
      <c r="D53" s="17" t="n"/>
      <c r="E53" s="17" t="n"/>
      <c r="F53" s="17" t="n"/>
      <c r="G53" s="17" t="n"/>
      <c r="H53" s="17" t="n"/>
      <c r="I53" s="27" t="n"/>
      <c r="J53" s="17" t="n"/>
      <c r="K53" s="17" t="n"/>
      <c r="L53" s="17" t="n"/>
      <c r="M53" s="17" t="n"/>
      <c r="N53" s="28" t="n"/>
      <c r="O53" s="28" t="n"/>
      <c r="P53" s="27" t="n"/>
    </row>
    <row r="54">
      <c r="A54" s="29" t="inlineStr">
        <is>
          <t>2017-11-01</t>
        </is>
      </c>
      <c r="B54" s="17" t="n"/>
      <c r="C54" s="17" t="n"/>
      <c r="D54" s="17" t="n"/>
      <c r="E54" s="17" t="n"/>
      <c r="F54" s="17" t="n"/>
      <c r="G54" s="17" t="n"/>
      <c r="H54" s="17" t="n"/>
      <c r="I54" s="27" t="n"/>
      <c r="J54" s="17" t="n"/>
      <c r="K54" s="17" t="n"/>
      <c r="L54" s="17" t="n"/>
      <c r="M54" s="17" t="n"/>
      <c r="N54" s="28" t="n"/>
      <c r="O54" s="28" t="n"/>
      <c r="P54" s="27" t="n"/>
    </row>
    <row r="55">
      <c r="A55" s="29" t="inlineStr">
        <is>
          <t>2017-12-01</t>
        </is>
      </c>
      <c r="B55" s="17" t="n"/>
      <c r="C55" s="17" t="n"/>
      <c r="D55" s="17" t="n"/>
      <c r="E55" s="17" t="n"/>
      <c r="F55" s="17" t="n"/>
      <c r="G55" s="17" t="n"/>
      <c r="H55" s="17" t="n"/>
      <c r="I55" s="27" t="n"/>
      <c r="J55" s="17" t="n"/>
      <c r="K55" s="17" t="n"/>
      <c r="L55" s="17" t="n"/>
      <c r="M55" s="17" t="n"/>
      <c r="N55" s="28" t="n"/>
      <c r="O55" s="28" t="n"/>
      <c r="P55" s="27" t="n"/>
    </row>
    <row r="56">
      <c r="A56" s="29" t="inlineStr">
        <is>
          <t>2018-01-01</t>
        </is>
      </c>
      <c r="B56" s="17" t="n"/>
      <c r="C56" s="17" t="n"/>
      <c r="D56" s="17" t="n"/>
      <c r="E56" s="17" t="n"/>
      <c r="F56" s="17" t="n"/>
      <c r="G56" s="17" t="n"/>
      <c r="H56" s="17" t="n"/>
      <c r="I56" s="27" t="n"/>
      <c r="J56" s="17" t="n"/>
      <c r="K56" s="17" t="n"/>
      <c r="L56" s="17" t="n"/>
      <c r="M56" s="17" t="n"/>
      <c r="N56" s="28" t="n"/>
      <c r="O56" s="28" t="n"/>
      <c r="P56" s="27" t="n"/>
    </row>
    <row r="57">
      <c r="A57" s="29" t="inlineStr">
        <is>
          <t>2018-02-01</t>
        </is>
      </c>
      <c r="B57" s="17" t="n"/>
      <c r="C57" s="17" t="n"/>
      <c r="D57" s="17" t="n"/>
      <c r="E57" s="17" t="n"/>
      <c r="F57" s="17" t="n"/>
      <c r="G57" s="17" t="n"/>
      <c r="H57" s="17" t="n"/>
      <c r="I57" s="27" t="n"/>
      <c r="J57" s="17" t="n"/>
      <c r="K57" s="17" t="n"/>
      <c r="L57" s="17" t="n"/>
      <c r="M57" s="17" t="n"/>
      <c r="N57" s="28" t="n"/>
      <c r="O57" s="28" t="n"/>
      <c r="P57" s="27" t="n"/>
    </row>
    <row r="58">
      <c r="A58" s="29" t="inlineStr">
        <is>
          <t>2018-03-01</t>
        </is>
      </c>
      <c r="B58" s="17" t="n"/>
      <c r="C58" s="17" t="n"/>
      <c r="D58" s="17" t="n"/>
      <c r="E58" s="17" t="n"/>
      <c r="F58" s="17" t="n"/>
      <c r="G58" s="17" t="n"/>
      <c r="H58" s="17" t="n"/>
      <c r="I58" s="27" t="n"/>
      <c r="J58" s="17" t="n"/>
      <c r="K58" s="17" t="n"/>
      <c r="L58" s="17" t="n"/>
      <c r="M58" s="17" t="n"/>
      <c r="N58" s="28" t="n"/>
      <c r="O58" s="28" t="n"/>
      <c r="P58" s="27" t="n"/>
    </row>
    <row r="59">
      <c r="A59" s="29" t="inlineStr">
        <is>
          <t>2018-04-01</t>
        </is>
      </c>
      <c r="B59" s="17" t="n"/>
      <c r="C59" s="17" t="n"/>
      <c r="D59" s="17" t="n"/>
      <c r="E59" s="17" t="n"/>
      <c r="F59" s="17" t="n"/>
      <c r="G59" s="17" t="n"/>
      <c r="H59" s="17" t="n"/>
      <c r="I59" s="27" t="n"/>
      <c r="J59" s="17" t="n"/>
      <c r="K59" s="17" t="n"/>
      <c r="L59" s="17" t="n"/>
      <c r="M59" s="17" t="n"/>
      <c r="N59" s="28" t="n"/>
      <c r="O59" s="28" t="n"/>
      <c r="P59" s="27" t="n"/>
    </row>
    <row r="60">
      <c r="A60" s="29" t="inlineStr">
        <is>
          <t>2018-05-01</t>
        </is>
      </c>
      <c r="B60" s="17" t="n"/>
      <c r="C60" s="17" t="n"/>
      <c r="D60" s="17" t="n"/>
      <c r="E60" s="17" t="n"/>
      <c r="F60" s="17" t="n"/>
      <c r="G60" s="17" t="n"/>
      <c r="H60" s="17" t="n"/>
      <c r="I60" s="27" t="n"/>
      <c r="J60" s="17" t="n"/>
      <c r="K60" s="17" t="n"/>
      <c r="L60" s="17" t="n"/>
      <c r="M60" s="17" t="n"/>
      <c r="N60" s="28" t="n"/>
      <c r="O60" s="28" t="n"/>
      <c r="P60" s="27" t="n"/>
    </row>
    <row r="61">
      <c r="A61" s="29" t="inlineStr">
        <is>
          <t>2018-06-01</t>
        </is>
      </c>
      <c r="B61" s="17" t="n"/>
      <c r="C61" s="17" t="n"/>
      <c r="D61" s="17" t="n"/>
      <c r="E61" s="17" t="n"/>
      <c r="F61" s="17" t="n"/>
      <c r="G61" s="17" t="n"/>
      <c r="H61" s="17" t="n"/>
      <c r="I61" s="27" t="n"/>
      <c r="J61" s="17" t="n"/>
      <c r="K61" s="17" t="n"/>
      <c r="L61" s="17" t="n"/>
      <c r="M61" s="17" t="n"/>
      <c r="N61" s="28" t="n"/>
      <c r="O61" s="28" t="n"/>
      <c r="P61" s="27" t="n"/>
    </row>
    <row r="62">
      <c r="A62" s="29" t="inlineStr">
        <is>
          <t>2018-07-01</t>
        </is>
      </c>
      <c r="B62" s="17" t="n"/>
      <c r="C62" s="17" t="n"/>
      <c r="D62" s="17" t="n"/>
      <c r="E62" s="17" t="n"/>
      <c r="F62" s="17" t="n"/>
      <c r="G62" s="17" t="n"/>
      <c r="H62" s="17" t="n"/>
      <c r="I62" s="27" t="n"/>
      <c r="J62" s="17" t="n"/>
      <c r="K62" s="17" t="n"/>
      <c r="L62" s="17" t="n"/>
      <c r="M62" s="17" t="n"/>
      <c r="N62" s="28" t="n"/>
      <c r="O62" s="28" t="n"/>
      <c r="P62" s="27" t="n"/>
    </row>
    <row r="63">
      <c r="A63" s="29" t="inlineStr">
        <is>
          <t>2018-08-01</t>
        </is>
      </c>
      <c r="B63" s="17" t="n"/>
      <c r="C63" s="17" t="n"/>
      <c r="D63" s="17" t="n"/>
      <c r="E63" s="17" t="n"/>
      <c r="F63" s="17" t="n"/>
      <c r="G63" s="17" t="n"/>
      <c r="H63" s="17" t="n"/>
      <c r="I63" s="27" t="n"/>
      <c r="J63" s="17" t="n"/>
      <c r="K63" s="17" t="n"/>
      <c r="L63" s="17" t="n"/>
      <c r="M63" s="17" t="n"/>
      <c r="N63" s="28" t="n"/>
      <c r="O63" s="28" t="n"/>
      <c r="P63" s="27" t="n"/>
    </row>
    <row r="64">
      <c r="A64" s="29" t="inlineStr">
        <is>
          <t>2018-09-01</t>
        </is>
      </c>
      <c r="B64" s="17" t="n"/>
      <c r="C64" s="17" t="n"/>
      <c r="D64" s="17" t="n"/>
      <c r="E64" s="17" t="n"/>
      <c r="F64" s="17" t="n"/>
      <c r="G64" s="17" t="n"/>
      <c r="H64" s="17" t="n"/>
      <c r="I64" s="27" t="n"/>
      <c r="J64" s="17" t="n"/>
      <c r="K64" s="17" t="n"/>
      <c r="L64" s="17" t="n"/>
      <c r="M64" s="17" t="n"/>
      <c r="N64" s="28" t="n"/>
      <c r="O64" s="28" t="n"/>
      <c r="P64" s="27" t="n"/>
    </row>
    <row r="65">
      <c r="A65" s="29" t="inlineStr">
        <is>
          <t>2018-10-01</t>
        </is>
      </c>
      <c r="B65" s="17" t="n"/>
      <c r="C65" s="17" t="n"/>
      <c r="D65" s="17" t="n"/>
      <c r="E65" s="17" t="n"/>
      <c r="F65" s="17" t="n"/>
      <c r="G65" s="17" t="n"/>
      <c r="H65" s="17" t="n"/>
      <c r="I65" s="27" t="n"/>
      <c r="J65" s="17" t="n"/>
      <c r="K65" s="17" t="n"/>
      <c r="L65" s="17" t="n"/>
      <c r="M65" s="17" t="n"/>
      <c r="N65" s="28" t="n"/>
      <c r="O65" s="28" t="n"/>
      <c r="P65" s="27" t="n"/>
    </row>
    <row r="66">
      <c r="A66" s="29" t="inlineStr">
        <is>
          <t>2018-11-01</t>
        </is>
      </c>
      <c r="B66" s="17" t="n"/>
      <c r="C66" s="17" t="n"/>
      <c r="D66" s="17" t="n"/>
      <c r="E66" s="17" t="n"/>
      <c r="F66" s="17" t="n"/>
      <c r="G66" s="17" t="n"/>
      <c r="H66" s="17" t="n"/>
      <c r="I66" s="27" t="n"/>
      <c r="J66" s="17" t="n"/>
      <c r="K66" s="17" t="n"/>
      <c r="L66" s="17" t="n"/>
      <c r="M66" s="17" t="n"/>
      <c r="N66" s="28" t="n"/>
      <c r="O66" s="28" t="n"/>
      <c r="P66" s="27" t="n"/>
    </row>
    <row r="67">
      <c r="A67" s="29" t="inlineStr">
        <is>
          <t>2018-12-01</t>
        </is>
      </c>
      <c r="B67" s="17" t="n"/>
      <c r="C67" s="17" t="n"/>
      <c r="D67" s="17" t="n"/>
      <c r="E67" s="17" t="n"/>
      <c r="F67" s="17" t="n"/>
      <c r="G67" s="17" t="n"/>
      <c r="H67" s="17" t="n"/>
      <c r="I67" s="27" t="n"/>
      <c r="J67" s="17" t="n"/>
      <c r="K67" s="17" t="n"/>
      <c r="L67" s="17" t="n"/>
      <c r="M67" s="17" t="n"/>
      <c r="N67" s="28" t="n"/>
      <c r="O67" s="28" t="n"/>
      <c r="P67" s="27" t="n"/>
    </row>
    <row r="68">
      <c r="A68" s="29" t="inlineStr">
        <is>
          <t>2019-01-01</t>
        </is>
      </c>
      <c r="B68" s="17" t="n"/>
      <c r="C68" s="17" t="n"/>
      <c r="D68" s="17" t="n"/>
      <c r="E68" s="17" t="n"/>
      <c r="F68" s="17" t="n"/>
      <c r="G68" s="17" t="n"/>
      <c r="H68" s="17" t="n"/>
      <c r="I68" s="27" t="n"/>
      <c r="J68" s="17" t="n"/>
      <c r="K68" s="17" t="n"/>
      <c r="L68" s="17" t="n"/>
      <c r="M68" s="17" t="n"/>
      <c r="N68" s="28" t="n"/>
      <c r="O68" s="28" t="n"/>
      <c r="P68" s="27" t="n"/>
    </row>
    <row r="69">
      <c r="A69" s="29" t="inlineStr">
        <is>
          <t>2019-02-01</t>
        </is>
      </c>
      <c r="B69" s="17" t="n"/>
      <c r="C69" s="17" t="n"/>
      <c r="D69" s="17" t="n"/>
      <c r="E69" s="17" t="n"/>
      <c r="F69" s="17" t="n"/>
      <c r="G69" s="17" t="n"/>
      <c r="H69" s="17" t="n"/>
      <c r="I69" s="27" t="n"/>
      <c r="J69" s="17" t="n"/>
      <c r="K69" s="17" t="n"/>
      <c r="L69" s="17" t="n"/>
      <c r="M69" s="17" t="n"/>
      <c r="N69" s="28" t="n"/>
      <c r="O69" s="28" t="n"/>
      <c r="P69" s="27" t="n"/>
    </row>
    <row r="70">
      <c r="A70" s="29" t="inlineStr">
        <is>
          <t>2019-03-01</t>
        </is>
      </c>
      <c r="B70" s="17" t="n"/>
      <c r="C70" s="17" t="n"/>
      <c r="D70" s="17" t="n"/>
      <c r="E70" s="17" t="n"/>
      <c r="F70" s="17" t="n"/>
      <c r="G70" s="17" t="n"/>
      <c r="H70" s="17" t="n"/>
      <c r="I70" s="27" t="n"/>
      <c r="J70" s="17" t="n"/>
      <c r="K70" s="17" t="n"/>
      <c r="L70" s="17" t="n"/>
      <c r="M70" s="17" t="n"/>
      <c r="N70" s="28" t="n"/>
      <c r="O70" s="28" t="n"/>
      <c r="P70" s="27" t="n"/>
    </row>
    <row r="71">
      <c r="A71" s="29" t="inlineStr">
        <is>
          <t>2019-04-01</t>
        </is>
      </c>
      <c r="B71" s="17" t="n"/>
      <c r="C71" s="17" t="n"/>
      <c r="D71" s="17" t="n"/>
      <c r="E71" s="17" t="n"/>
      <c r="F71" s="17" t="n"/>
      <c r="G71" s="17" t="n"/>
      <c r="H71" s="17" t="n"/>
      <c r="I71" s="27" t="n"/>
      <c r="J71" s="17" t="n"/>
      <c r="K71" s="17" t="n"/>
      <c r="L71" s="17" t="n"/>
      <c r="M71" s="17" t="n"/>
      <c r="N71" s="28" t="n"/>
      <c r="O71" s="28" t="n"/>
      <c r="P71" s="27" t="n"/>
    </row>
    <row r="72">
      <c r="A72" s="29" t="inlineStr">
        <is>
          <t>2019-05-01</t>
        </is>
      </c>
      <c r="B72" s="17" t="n"/>
      <c r="C72" s="17" t="n"/>
      <c r="D72" s="17" t="n"/>
      <c r="E72" s="17" t="n"/>
      <c r="F72" s="17" t="n"/>
      <c r="G72" s="17" t="n"/>
      <c r="H72" s="17" t="n"/>
      <c r="I72" s="27" t="n"/>
      <c r="J72" s="17" t="n"/>
      <c r="K72" s="17" t="n"/>
      <c r="L72" s="17" t="n"/>
      <c r="M72" s="17" t="n"/>
      <c r="N72" s="28" t="n"/>
      <c r="O72" s="28" t="n"/>
      <c r="P72" s="27" t="n"/>
    </row>
    <row r="73">
      <c r="A73" s="29" t="inlineStr">
        <is>
          <t>2019-06-01</t>
        </is>
      </c>
      <c r="B73" s="17" t="n"/>
      <c r="C73" s="17" t="n"/>
      <c r="D73" s="17" t="n"/>
      <c r="E73" s="17" t="n"/>
      <c r="F73" s="17" t="n"/>
      <c r="G73" s="17" t="n"/>
      <c r="H73" s="17" t="n"/>
      <c r="I73" s="27" t="n"/>
      <c r="J73" s="17" t="n"/>
      <c r="K73" s="17" t="n"/>
      <c r="L73" s="17" t="n"/>
      <c r="M73" s="17" t="n"/>
      <c r="N73" s="28" t="n"/>
      <c r="O73" s="28" t="n"/>
      <c r="P73" s="27" t="n"/>
    </row>
    <row r="74">
      <c r="A74" s="29" t="inlineStr">
        <is>
          <t>2019-07-01</t>
        </is>
      </c>
      <c r="B74" s="17" t="n"/>
      <c r="C74" s="17" t="n"/>
      <c r="D74" s="17" t="n"/>
      <c r="E74" s="17" t="n"/>
      <c r="F74" s="17" t="n"/>
      <c r="G74" s="17" t="n"/>
      <c r="H74" s="17" t="n"/>
      <c r="I74" s="27" t="n"/>
      <c r="J74" s="17" t="n"/>
      <c r="K74" s="17" t="n"/>
      <c r="L74" s="17" t="n"/>
      <c r="M74" s="17" t="n"/>
      <c r="N74" s="28" t="n"/>
      <c r="O74" s="28" t="n"/>
      <c r="P74" s="27" t="n"/>
    </row>
    <row r="75">
      <c r="A75" s="29" t="inlineStr">
        <is>
          <t>2019-08-01</t>
        </is>
      </c>
      <c r="B75" s="17" t="n"/>
      <c r="C75" s="17" t="n"/>
      <c r="D75" s="17" t="n"/>
      <c r="E75" s="17" t="n"/>
      <c r="F75" s="17" t="n"/>
      <c r="G75" s="17" t="n"/>
      <c r="H75" s="17" t="n"/>
      <c r="I75" s="27" t="n"/>
      <c r="J75" s="17" t="n"/>
      <c r="K75" s="17" t="n"/>
      <c r="L75" s="17" t="n"/>
      <c r="M75" s="17" t="n"/>
      <c r="N75" s="28" t="n"/>
      <c r="O75" s="28" t="n"/>
      <c r="P75" s="27" t="n"/>
    </row>
    <row r="76">
      <c r="A76" s="29" t="inlineStr">
        <is>
          <t>2019-09-01</t>
        </is>
      </c>
      <c r="B76" s="17" t="n"/>
      <c r="C76" s="17" t="n"/>
      <c r="D76" s="17" t="n"/>
      <c r="E76" s="17" t="n"/>
      <c r="F76" s="17" t="n"/>
      <c r="G76" s="17" t="n"/>
      <c r="H76" s="17" t="n"/>
      <c r="I76" s="27" t="n"/>
      <c r="J76" s="17" t="n"/>
      <c r="K76" s="17" t="n"/>
      <c r="L76" s="17" t="n"/>
      <c r="M76" s="17" t="n"/>
      <c r="N76" s="28" t="n"/>
      <c r="O76" s="28" t="n"/>
      <c r="P76" s="27" t="n"/>
    </row>
    <row r="77">
      <c r="A77" s="29" t="inlineStr">
        <is>
          <t>2019-10-01</t>
        </is>
      </c>
      <c r="B77" s="17" t="n"/>
      <c r="C77" s="17" t="n"/>
      <c r="D77" s="17" t="n"/>
      <c r="E77" s="17" t="n"/>
      <c r="F77" s="17" t="n"/>
      <c r="G77" s="17" t="n"/>
      <c r="H77" s="17" t="n"/>
      <c r="I77" s="27" t="n"/>
      <c r="J77" s="17" t="n"/>
      <c r="K77" s="17" t="n"/>
      <c r="L77" s="17" t="n"/>
      <c r="M77" s="17" t="n"/>
      <c r="N77" s="28" t="n"/>
      <c r="O77" s="28" t="n"/>
      <c r="P77" s="27" t="n"/>
    </row>
    <row r="78">
      <c r="A78" s="29" t="inlineStr">
        <is>
          <t>2019-11-01</t>
        </is>
      </c>
      <c r="B78" s="17" t="n"/>
      <c r="C78" s="17" t="n"/>
      <c r="D78" s="17" t="n"/>
      <c r="E78" s="17" t="n"/>
      <c r="F78" s="17" t="n"/>
      <c r="G78" s="17" t="n"/>
      <c r="H78" s="17" t="n"/>
      <c r="I78" s="27" t="n"/>
      <c r="J78" s="17" t="n"/>
      <c r="K78" s="17" t="n"/>
      <c r="L78" s="17" t="n"/>
      <c r="M78" s="17" t="n"/>
      <c r="N78" s="28" t="n"/>
      <c r="O78" s="28" t="n"/>
      <c r="P78" s="27" t="n"/>
    </row>
    <row r="79">
      <c r="A79" s="29" t="inlineStr">
        <is>
          <t>2019-12-01</t>
        </is>
      </c>
      <c r="B79" s="17" t="n"/>
      <c r="C79" s="17" t="n"/>
      <c r="D79" s="17" t="n"/>
      <c r="E79" s="17" t="n"/>
      <c r="F79" s="17" t="n"/>
      <c r="G79" s="17" t="n"/>
      <c r="H79" s="17" t="n"/>
      <c r="I79" s="27" t="n"/>
      <c r="J79" s="17" t="n"/>
      <c r="K79" s="17" t="n"/>
      <c r="L79" s="17" t="n"/>
      <c r="M79" s="17" t="n"/>
      <c r="N79" s="28" t="n"/>
      <c r="O79" s="28" t="n"/>
      <c r="P79" s="27" t="n"/>
    </row>
    <row r="80">
      <c r="A80" s="29" t="inlineStr">
        <is>
          <t>2020-01-01</t>
        </is>
      </c>
      <c r="B80" s="17" t="n"/>
      <c r="C80" s="17" t="n"/>
      <c r="D80" s="17" t="n"/>
      <c r="E80" s="17" t="n"/>
      <c r="F80" s="17" t="n"/>
      <c r="G80" s="17" t="n"/>
      <c r="H80" s="17" t="n"/>
      <c r="I80" s="27" t="n"/>
      <c r="J80" s="17" t="n"/>
      <c r="K80" s="17" t="n"/>
      <c r="L80" s="17" t="n"/>
      <c r="M80" s="17" t="n"/>
      <c r="N80" s="28" t="n"/>
      <c r="O80" s="28" t="n"/>
      <c r="P80" s="27" t="n"/>
    </row>
    <row r="81">
      <c r="A81" s="29" t="inlineStr">
        <is>
          <t>2020-02-01</t>
        </is>
      </c>
      <c r="B81" s="17" t="n"/>
      <c r="C81" s="17" t="n"/>
      <c r="D81" s="17" t="n"/>
      <c r="E81" s="17" t="n"/>
      <c r="F81" s="17" t="n"/>
      <c r="G81" s="17" t="n"/>
      <c r="H81" s="17" t="n"/>
      <c r="I81" s="27" t="n"/>
      <c r="J81" s="17" t="n"/>
      <c r="K81" s="17" t="n"/>
      <c r="L81" s="17" t="n"/>
      <c r="M81" s="17" t="n"/>
      <c r="N81" s="28" t="n"/>
      <c r="O81" s="28" t="n"/>
      <c r="P81" s="27" t="n"/>
    </row>
    <row r="82">
      <c r="A82" s="29" t="inlineStr">
        <is>
          <t>2020-03-01</t>
        </is>
      </c>
      <c r="B82" s="17" t="n"/>
      <c r="C82" s="17" t="n"/>
      <c r="D82" s="17" t="n"/>
      <c r="E82" s="17" t="n"/>
      <c r="F82" s="17" t="n"/>
      <c r="G82" s="17" t="n"/>
      <c r="H82" s="17" t="n"/>
      <c r="I82" s="27" t="n"/>
      <c r="J82" s="17" t="n"/>
      <c r="K82" s="17" t="n"/>
      <c r="L82" s="17" t="n"/>
      <c r="M82" s="17" t="n"/>
      <c r="N82" s="28" t="n"/>
      <c r="O82" s="28" t="n"/>
      <c r="P82" s="27" t="n"/>
    </row>
    <row r="83">
      <c r="A83" s="29" t="inlineStr">
        <is>
          <t>2020-04-01</t>
        </is>
      </c>
      <c r="B83" s="17" t="n"/>
      <c r="C83" s="17" t="n"/>
      <c r="D83" s="17" t="n"/>
      <c r="E83" s="17" t="n"/>
      <c r="F83" s="17" t="n"/>
      <c r="G83" s="17" t="n"/>
      <c r="H83" s="17" t="n"/>
      <c r="I83" s="27" t="n"/>
      <c r="J83" s="17" t="n"/>
      <c r="K83" s="17" t="n"/>
      <c r="L83" s="17" t="n"/>
      <c r="M83" s="17" t="n"/>
      <c r="N83" s="28" t="n"/>
      <c r="O83" s="28" t="n"/>
      <c r="P83" s="27" t="n"/>
    </row>
    <row r="84">
      <c r="A84" s="29" t="inlineStr">
        <is>
          <t>2020-05-01</t>
        </is>
      </c>
      <c r="B84" s="17" t="n"/>
      <c r="C84" s="17" t="n"/>
      <c r="D84" s="17" t="n"/>
      <c r="E84" s="17" t="n"/>
      <c r="F84" s="17" t="n"/>
      <c r="G84" s="17" t="n"/>
      <c r="H84" s="17" t="n"/>
      <c r="I84" s="27" t="n"/>
      <c r="J84" s="17" t="n"/>
      <c r="K84" s="17" t="n"/>
      <c r="L84" s="17" t="n"/>
      <c r="M84" s="17" t="n"/>
      <c r="N84" s="28" t="n"/>
      <c r="O84" s="28" t="n"/>
      <c r="P84" s="27" t="n"/>
    </row>
    <row r="85">
      <c r="A85" s="29" t="inlineStr">
        <is>
          <t>2020-06-01</t>
        </is>
      </c>
      <c r="B85" s="17" t="n"/>
      <c r="C85" s="17" t="n"/>
      <c r="D85" s="17" t="n"/>
      <c r="E85" s="17" t="n"/>
      <c r="F85" s="17" t="n"/>
      <c r="G85" s="17" t="n"/>
      <c r="H85" s="17" t="n"/>
      <c r="I85" s="27" t="n"/>
      <c r="J85" s="17" t="n"/>
      <c r="K85" s="17" t="n"/>
      <c r="L85" s="17" t="n"/>
      <c r="M85" s="17" t="n"/>
      <c r="N85" s="28" t="n"/>
      <c r="O85" s="28" t="n"/>
      <c r="P85" s="27" t="n"/>
    </row>
    <row r="86">
      <c r="A86" s="29" t="inlineStr">
        <is>
          <t>2020-07-01</t>
        </is>
      </c>
      <c r="B86" s="17" t="n"/>
      <c r="C86" s="17" t="n"/>
      <c r="D86" s="17" t="n"/>
      <c r="E86" s="17" t="n"/>
      <c r="F86" s="17" t="n"/>
      <c r="G86" s="17" t="n"/>
      <c r="H86" s="17" t="n"/>
      <c r="I86" s="27" t="n"/>
      <c r="J86" s="17" t="n"/>
      <c r="K86" s="17" t="n"/>
      <c r="L86" s="17" t="n"/>
      <c r="M86" s="17" t="n"/>
      <c r="N86" s="28" t="n"/>
      <c r="O86" s="28" t="n"/>
      <c r="P86" s="27" t="n"/>
    </row>
    <row r="87">
      <c r="A87" s="29" t="inlineStr">
        <is>
          <t>2020-08-01</t>
        </is>
      </c>
      <c r="B87" s="17" t="n"/>
      <c r="C87" s="17" t="n"/>
      <c r="D87" s="17" t="n"/>
      <c r="E87" s="17" t="n"/>
      <c r="F87" s="17" t="n"/>
      <c r="G87" s="17" t="n"/>
      <c r="H87" s="17" t="n"/>
      <c r="I87" s="27" t="n"/>
      <c r="J87" s="17" t="n"/>
      <c r="K87" s="17" t="n"/>
      <c r="L87" s="17" t="n"/>
      <c r="M87" s="17" t="n"/>
      <c r="N87" s="28" t="n"/>
      <c r="O87" s="28" t="n"/>
      <c r="P87" s="27" t="n"/>
    </row>
    <row r="88">
      <c r="A88" s="29" t="inlineStr">
        <is>
          <t>2020-09-01</t>
        </is>
      </c>
      <c r="B88" s="17" t="n"/>
      <c r="C88" s="17" t="n"/>
      <c r="D88" s="17" t="n"/>
      <c r="E88" s="17" t="n"/>
      <c r="F88" s="17" t="n"/>
      <c r="G88" s="17" t="n"/>
      <c r="H88" s="17" t="n"/>
      <c r="I88" s="27" t="n"/>
      <c r="J88" s="17" t="n"/>
      <c r="K88" s="17" t="n"/>
      <c r="L88" s="17" t="n"/>
      <c r="M88" s="17" t="n"/>
      <c r="N88" s="28" t="n"/>
      <c r="O88" s="28" t="n"/>
      <c r="P88" s="27" t="n"/>
    </row>
    <row r="89">
      <c r="A89" s="29" t="inlineStr">
        <is>
          <t>2020-10-01</t>
        </is>
      </c>
      <c r="B89" s="17" t="n"/>
      <c r="C89" s="17" t="n"/>
      <c r="D89" s="17" t="n"/>
      <c r="E89" s="17" t="n"/>
      <c r="F89" s="17" t="n"/>
      <c r="G89" s="17" t="n"/>
      <c r="H89" s="17" t="n"/>
      <c r="I89" s="27" t="n"/>
      <c r="J89" s="17" t="n"/>
      <c r="K89" s="17" t="n"/>
      <c r="L89" s="17" t="n"/>
      <c r="M89" s="17" t="n"/>
      <c r="N89" s="28" t="n"/>
      <c r="O89" s="28" t="n"/>
      <c r="P89" s="27" t="n"/>
    </row>
    <row r="90">
      <c r="A90" s="29" t="inlineStr">
        <is>
          <t>2020-11-01</t>
        </is>
      </c>
      <c r="B90" s="17" t="n"/>
      <c r="C90" s="17" t="n"/>
      <c r="D90" s="17" t="n"/>
      <c r="E90" s="17" t="n"/>
      <c r="F90" s="17" t="n"/>
      <c r="G90" s="17" t="n"/>
      <c r="H90" s="17" t="n"/>
      <c r="I90" s="27" t="n"/>
      <c r="J90" s="17" t="n"/>
      <c r="K90" s="17" t="n"/>
      <c r="L90" s="17" t="n"/>
      <c r="M90" s="17" t="n"/>
      <c r="N90" s="28" t="n"/>
      <c r="O90" s="28" t="n"/>
      <c r="P90" s="27" t="n"/>
    </row>
    <row r="91">
      <c r="A91" s="29" t="inlineStr">
        <is>
          <t>2020-12-01</t>
        </is>
      </c>
      <c r="B91" s="17" t="n"/>
      <c r="C91" s="17" t="n"/>
      <c r="D91" s="17" t="n"/>
      <c r="E91" s="17" t="n"/>
      <c r="F91" s="17" t="n"/>
      <c r="G91" s="17" t="n"/>
      <c r="H91" s="17" t="n"/>
      <c r="I91" s="27" t="n"/>
      <c r="J91" s="17" t="n"/>
      <c r="K91" s="17" t="n"/>
      <c r="L91" s="17" t="n"/>
      <c r="M91" s="17" t="n"/>
      <c r="N91" s="28" t="n"/>
      <c r="O91" s="28" t="n"/>
      <c r="P91" s="27" t="n"/>
    </row>
    <row r="92">
      <c r="A92" s="29" t="inlineStr">
        <is>
          <t>2021-01-01</t>
        </is>
      </c>
      <c r="B92" s="17" t="n"/>
      <c r="C92" s="17" t="n"/>
      <c r="D92" s="17" t="n"/>
      <c r="E92" s="17" t="n"/>
      <c r="F92" s="17" t="n"/>
      <c r="G92" s="17" t="n"/>
      <c r="H92" s="17" t="n"/>
      <c r="I92" s="27" t="n"/>
      <c r="J92" s="17" t="n"/>
      <c r="K92" s="17" t="n"/>
      <c r="L92" s="17" t="n"/>
      <c r="M92" s="17" t="n"/>
      <c r="N92" s="28" t="n"/>
      <c r="O92" s="28" t="n"/>
      <c r="P92" s="27" t="n"/>
    </row>
    <row r="93">
      <c r="A93" s="29" t="inlineStr">
        <is>
          <t>2021-02-01</t>
        </is>
      </c>
      <c r="B93" s="17" t="n"/>
      <c r="C93" s="17" t="n"/>
      <c r="D93" s="17" t="n"/>
      <c r="E93" s="17" t="n"/>
      <c r="F93" s="17" t="n"/>
      <c r="G93" s="17" t="n"/>
      <c r="H93" s="17" t="n"/>
      <c r="I93" s="27" t="n"/>
      <c r="J93" s="17" t="n"/>
      <c r="K93" s="17" t="n"/>
      <c r="L93" s="17" t="n"/>
      <c r="M93" s="17" t="n"/>
      <c r="N93" s="28" t="n"/>
      <c r="O93" s="28" t="n"/>
      <c r="P93" s="27" t="n"/>
    </row>
    <row r="94">
      <c r="A94" s="29" t="inlineStr">
        <is>
          <t>2021-03-01</t>
        </is>
      </c>
      <c r="B94" s="17" t="n"/>
      <c r="C94" s="17" t="n"/>
      <c r="D94" s="17" t="n"/>
      <c r="E94" s="17" t="n"/>
      <c r="F94" s="17" t="n"/>
      <c r="G94" s="17" t="n"/>
      <c r="H94" s="17" t="n"/>
      <c r="I94" s="27" t="n"/>
      <c r="J94" s="17" t="n"/>
      <c r="K94" s="17" t="n"/>
      <c r="L94" s="17" t="n"/>
      <c r="M94" s="17" t="n"/>
      <c r="N94" s="28" t="n"/>
      <c r="O94" s="28" t="n"/>
      <c r="P94" s="27" t="n"/>
    </row>
    <row r="95">
      <c r="A95" s="29" t="inlineStr">
        <is>
          <t>2021-04-01</t>
        </is>
      </c>
      <c r="B95" s="17" t="n"/>
      <c r="C95" s="17" t="n"/>
      <c r="D95" s="17" t="n"/>
      <c r="E95" s="17" t="n"/>
      <c r="F95" s="17" t="n"/>
      <c r="G95" s="17" t="n"/>
      <c r="H95" s="17" t="n"/>
      <c r="I95" s="27" t="n"/>
      <c r="J95" s="17" t="n"/>
      <c r="K95" s="17" t="n"/>
      <c r="L95" s="17" t="n"/>
      <c r="M95" s="17" t="n"/>
      <c r="N95" s="28" t="n"/>
      <c r="O95" s="28" t="n"/>
      <c r="P95" s="27" t="n"/>
    </row>
    <row r="96">
      <c r="A96" s="29" t="inlineStr">
        <is>
          <t>2021-05-01</t>
        </is>
      </c>
      <c r="B96" s="17" t="n"/>
      <c r="C96" s="17" t="n"/>
      <c r="D96" s="17" t="n"/>
      <c r="E96" s="17" t="n"/>
      <c r="F96" s="17" t="n"/>
      <c r="G96" s="17" t="n"/>
      <c r="H96" s="17" t="n"/>
      <c r="I96" s="27" t="n"/>
      <c r="J96" s="17" t="n"/>
      <c r="K96" s="17" t="n"/>
      <c r="L96" s="17" t="n"/>
      <c r="M96" s="17" t="n"/>
      <c r="N96" s="28" t="n"/>
      <c r="O96" s="28" t="n"/>
      <c r="P96" s="27" t="n"/>
    </row>
    <row r="97">
      <c r="A97" s="29" t="inlineStr">
        <is>
          <t>2021-06-01</t>
        </is>
      </c>
      <c r="B97" s="17" t="n"/>
      <c r="C97" s="17" t="n"/>
      <c r="D97" s="17" t="n"/>
      <c r="E97" s="17" t="n"/>
      <c r="F97" s="17" t="n"/>
      <c r="G97" s="17" t="n"/>
      <c r="H97" s="17" t="n"/>
      <c r="I97" s="27" t="n"/>
      <c r="J97" s="17" t="n"/>
      <c r="K97" s="17" t="n"/>
      <c r="L97" s="17" t="n"/>
      <c r="M97" s="17" t="n"/>
      <c r="N97" s="28" t="n"/>
      <c r="O97" s="28" t="n"/>
      <c r="P97" s="27" t="n"/>
    </row>
    <row r="98">
      <c r="A98" s="29" t="inlineStr">
        <is>
          <t>2021-07-01</t>
        </is>
      </c>
      <c r="B98" s="17" t="n"/>
      <c r="C98" s="17" t="n"/>
      <c r="D98" s="17" t="n"/>
      <c r="E98" s="17" t="n"/>
      <c r="F98" s="17" t="n"/>
      <c r="G98" s="17" t="n"/>
      <c r="H98" s="17" t="n"/>
      <c r="I98" s="27" t="n"/>
      <c r="J98" s="17" t="n"/>
      <c r="K98" s="17" t="n"/>
      <c r="L98" s="17" t="n"/>
      <c r="M98" s="17" t="n"/>
      <c r="N98" s="28" t="n"/>
      <c r="O98" s="28" t="n"/>
      <c r="P98" s="27" t="n"/>
    </row>
    <row r="99">
      <c r="A99" s="29" t="inlineStr">
        <is>
          <t>2021-08-01</t>
        </is>
      </c>
      <c r="B99" s="17" t="n"/>
      <c r="C99" s="17" t="n"/>
      <c r="D99" s="17" t="n"/>
      <c r="E99" s="17" t="n"/>
      <c r="F99" s="17" t="n"/>
      <c r="G99" s="17" t="n"/>
      <c r="H99" s="17" t="n"/>
      <c r="I99" s="27" t="n"/>
      <c r="J99" s="17" t="n"/>
      <c r="K99" s="17" t="n"/>
      <c r="L99" s="17" t="n"/>
      <c r="M99" s="17" t="n"/>
      <c r="N99" s="28" t="n"/>
      <c r="O99" s="28" t="n"/>
      <c r="P99" s="27" t="n"/>
    </row>
    <row r="100">
      <c r="A100" s="29" t="inlineStr">
        <is>
          <t>2021-09-01</t>
        </is>
      </c>
      <c r="B100" s="17" t="n"/>
      <c r="C100" s="17" t="n"/>
      <c r="D100" s="17" t="n"/>
      <c r="E100" s="17" t="n"/>
      <c r="F100" s="17" t="n"/>
      <c r="G100" s="17" t="n"/>
      <c r="H100" s="17" t="n"/>
      <c r="I100" s="27" t="n"/>
      <c r="J100" s="17" t="n"/>
      <c r="K100" s="17" t="n"/>
      <c r="L100" s="17" t="n"/>
      <c r="M100" s="17" t="n"/>
      <c r="N100" s="28" t="n"/>
      <c r="O100" s="28" t="n"/>
      <c r="P100" s="27" t="n"/>
    </row>
    <row r="101">
      <c r="A101" s="29" t="inlineStr">
        <is>
          <t>2021-10-01</t>
        </is>
      </c>
      <c r="B101" s="17" t="n"/>
      <c r="C101" s="17" t="n"/>
      <c r="D101" s="17" t="n"/>
      <c r="E101" s="17" t="n"/>
      <c r="F101" s="17" t="n"/>
      <c r="G101" s="17" t="n"/>
      <c r="H101" s="17" t="n"/>
      <c r="I101" s="27" t="n"/>
      <c r="J101" s="17" t="n"/>
      <c r="K101" s="17" t="n"/>
      <c r="L101" s="17" t="n"/>
      <c r="M101" s="17" t="n"/>
      <c r="N101" s="28" t="n"/>
      <c r="O101" s="28" t="n"/>
      <c r="P101" s="27" t="n"/>
    </row>
    <row r="102">
      <c r="A102" s="29" t="inlineStr">
        <is>
          <t>2021-11-01</t>
        </is>
      </c>
      <c r="B102" s="17" t="n"/>
      <c r="C102" s="17" t="n"/>
      <c r="D102" s="17" t="n"/>
      <c r="E102" s="17" t="n"/>
      <c r="F102" s="17" t="n"/>
      <c r="G102" s="17" t="n"/>
      <c r="H102" s="17" t="n"/>
      <c r="I102" s="27" t="n"/>
      <c r="J102" s="17" t="n"/>
      <c r="K102" s="17" t="n"/>
      <c r="L102" s="17" t="n"/>
      <c r="M102" s="17" t="n"/>
      <c r="N102" s="28" t="n"/>
      <c r="O102" s="28" t="n"/>
      <c r="P102" s="27" t="n"/>
    </row>
    <row r="103">
      <c r="A103" s="29" t="inlineStr">
        <is>
          <t>2021-12-01</t>
        </is>
      </c>
      <c r="B103" s="17" t="n"/>
      <c r="C103" s="17" t="n"/>
      <c r="D103" s="17" t="n"/>
      <c r="E103" s="17" t="n"/>
      <c r="F103" s="17" t="n"/>
      <c r="G103" s="17" t="n"/>
      <c r="H103" s="17" t="n"/>
      <c r="I103" s="27" t="n"/>
      <c r="J103" s="17" t="n"/>
      <c r="K103" s="17" t="n"/>
      <c r="L103" s="17" t="n"/>
      <c r="M103" s="17" t="n"/>
      <c r="N103" s="28" t="n"/>
      <c r="O103" s="28" t="n"/>
      <c r="P103" s="27" t="n"/>
    </row>
    <row r="104">
      <c r="A104" s="29" t="inlineStr">
        <is>
          <t>2022-01-01</t>
        </is>
      </c>
      <c r="B104" s="17" t="n"/>
      <c r="C104" s="17" t="n"/>
      <c r="D104" s="17" t="n"/>
      <c r="E104" s="17" t="n"/>
      <c r="F104" s="17" t="n"/>
      <c r="G104" s="17" t="n"/>
      <c r="H104" s="17" t="n"/>
      <c r="I104" s="27" t="n"/>
      <c r="J104" s="17" t="n"/>
      <c r="K104" s="17" t="n"/>
      <c r="L104" s="17" t="n"/>
      <c r="M104" s="17" t="n"/>
      <c r="N104" s="28" t="n"/>
      <c r="O104" s="28" t="n"/>
      <c r="P104" s="27" t="n"/>
    </row>
    <row r="105">
      <c r="A105" s="29" t="inlineStr">
        <is>
          <t>2022-02-01</t>
        </is>
      </c>
      <c r="B105" s="17" t="n"/>
      <c r="C105" s="17" t="n"/>
      <c r="D105" s="17" t="n"/>
      <c r="E105" s="17" t="n"/>
      <c r="F105" s="17" t="n"/>
      <c r="G105" s="17" t="n"/>
      <c r="H105" s="17" t="n"/>
      <c r="I105" s="27" t="n"/>
      <c r="J105" s="17" t="n"/>
      <c r="K105" s="17" t="n"/>
      <c r="L105" s="17" t="n"/>
      <c r="M105" s="17" t="n"/>
      <c r="N105" s="28" t="n"/>
      <c r="O105" s="28" t="n"/>
      <c r="P105" s="27" t="n"/>
    </row>
    <row r="106">
      <c r="A106" s="29" t="inlineStr">
        <is>
          <t>2022-03-01</t>
        </is>
      </c>
      <c r="B106" s="17" t="n"/>
      <c r="C106" s="17" t="n"/>
      <c r="D106" s="17" t="n"/>
      <c r="E106" s="17" t="n"/>
      <c r="F106" s="17" t="n"/>
      <c r="G106" s="17" t="n"/>
      <c r="H106" s="17" t="n"/>
      <c r="I106" s="27" t="n"/>
      <c r="J106" s="17" t="n"/>
      <c r="K106" s="17" t="n"/>
      <c r="L106" s="17" t="n"/>
      <c r="M106" s="17" t="n"/>
      <c r="N106" s="28" t="n"/>
      <c r="O106" s="28" t="n"/>
      <c r="P106" s="27" t="n"/>
    </row>
    <row r="107">
      <c r="A107" s="29" t="inlineStr">
        <is>
          <t>2022-04-01</t>
        </is>
      </c>
      <c r="B107" s="17" t="n"/>
      <c r="C107" s="17" t="n"/>
      <c r="D107" s="17" t="n"/>
      <c r="E107" s="17" t="n"/>
      <c r="F107" s="17" t="n"/>
      <c r="G107" s="17" t="n"/>
      <c r="H107" s="17" t="n"/>
      <c r="I107" s="27" t="n"/>
      <c r="J107" s="17" t="n"/>
      <c r="K107" s="17" t="n"/>
      <c r="L107" s="17" t="n"/>
      <c r="M107" s="17" t="n"/>
      <c r="N107" s="28" t="n"/>
      <c r="O107" s="28" t="n"/>
      <c r="P107" s="27" t="n"/>
    </row>
    <row r="108">
      <c r="A108" s="29" t="inlineStr">
        <is>
          <t>2022-05-01</t>
        </is>
      </c>
      <c r="B108" s="17" t="n"/>
      <c r="C108" s="17" t="n"/>
      <c r="D108" s="17" t="n"/>
      <c r="E108" s="17" t="n"/>
      <c r="F108" s="17" t="n"/>
      <c r="G108" s="17" t="n"/>
      <c r="H108" s="17" t="n"/>
      <c r="I108" s="27" t="n"/>
      <c r="J108" s="17" t="n"/>
      <c r="K108" s="17" t="n"/>
      <c r="L108" s="17" t="n"/>
      <c r="M108" s="17" t="n"/>
      <c r="N108" s="28" t="n"/>
      <c r="O108" s="28" t="n"/>
      <c r="P108" s="27" t="n"/>
    </row>
    <row r="109">
      <c r="A109" s="29" t="inlineStr">
        <is>
          <t>2022-06-01</t>
        </is>
      </c>
      <c r="B109" s="17" t="n"/>
      <c r="C109" s="17" t="n"/>
      <c r="D109" s="17" t="n"/>
      <c r="E109" s="17" t="n"/>
      <c r="F109" s="17" t="n"/>
      <c r="G109" s="17" t="n"/>
      <c r="H109" s="17" t="n"/>
      <c r="I109" s="27" t="n"/>
      <c r="J109" s="17" t="n"/>
      <c r="K109" s="17" t="n"/>
      <c r="L109" s="17" t="n"/>
      <c r="M109" s="17" t="n"/>
      <c r="N109" s="28" t="n"/>
      <c r="O109" s="28" t="n"/>
      <c r="P109" s="27" t="n"/>
    </row>
    <row r="110">
      <c r="A110" s="29" t="inlineStr">
        <is>
          <t>2022-07-01</t>
        </is>
      </c>
      <c r="B110" s="17" t="n"/>
      <c r="C110" s="17" t="n"/>
      <c r="D110" s="17" t="n"/>
      <c r="E110" s="17" t="n"/>
      <c r="F110" s="17" t="n"/>
      <c r="G110" s="17" t="n"/>
      <c r="H110" s="17" t="n"/>
      <c r="I110" s="27" t="n"/>
      <c r="J110" s="17" t="n"/>
      <c r="K110" s="17" t="n"/>
      <c r="L110" s="17" t="n"/>
      <c r="M110" s="17" t="n"/>
      <c r="N110" s="28" t="n"/>
      <c r="O110" s="28" t="n"/>
      <c r="P110" s="27" t="n"/>
    </row>
    <row r="111">
      <c r="A111" s="29" t="inlineStr">
        <is>
          <t>2022-08-01</t>
        </is>
      </c>
      <c r="B111" s="17" t="n"/>
      <c r="C111" s="17" t="n"/>
      <c r="D111" s="17" t="n"/>
      <c r="E111" s="17" t="n"/>
      <c r="F111" s="17" t="n"/>
      <c r="G111" s="17" t="n"/>
      <c r="H111" s="17" t="n"/>
      <c r="I111" s="27" t="n"/>
      <c r="J111" s="17" t="n"/>
      <c r="K111" s="17" t="n"/>
      <c r="L111" s="17" t="n"/>
      <c r="M111" s="17" t="n"/>
      <c r="N111" s="28" t="n"/>
      <c r="O111" s="28" t="n"/>
      <c r="P111" s="27" t="n"/>
    </row>
    <row r="112">
      <c r="A112" s="29" t="inlineStr">
        <is>
          <t>2022-09-01</t>
        </is>
      </c>
      <c r="B112" s="17" t="n"/>
      <c r="C112" s="17" t="n"/>
      <c r="D112" s="17" t="n"/>
      <c r="E112" s="17" t="n"/>
      <c r="F112" s="17" t="n"/>
      <c r="G112" s="17" t="n"/>
      <c r="H112" s="17" t="n"/>
      <c r="I112" s="27" t="n"/>
      <c r="J112" s="17" t="n"/>
      <c r="K112" s="17" t="n"/>
      <c r="L112" s="17" t="n"/>
      <c r="M112" s="17" t="n"/>
      <c r="N112" s="28" t="n"/>
      <c r="O112" s="28" t="n"/>
      <c r="P112" s="27" t="n"/>
    </row>
    <row r="113">
      <c r="A113" s="29" t="inlineStr">
        <is>
          <t>2022-10-01</t>
        </is>
      </c>
      <c r="B113" s="17" t="n"/>
      <c r="C113" s="17" t="n"/>
      <c r="D113" s="17" t="n"/>
      <c r="E113" s="17" t="n"/>
      <c r="F113" s="17" t="n"/>
      <c r="G113" s="17" t="n"/>
      <c r="H113" s="17" t="n"/>
      <c r="I113" s="27" t="n"/>
      <c r="J113" s="17" t="n"/>
      <c r="K113" s="17" t="n"/>
      <c r="L113" s="17" t="n"/>
      <c r="M113" s="17" t="n"/>
      <c r="N113" s="28" t="n"/>
      <c r="O113" s="28" t="n"/>
      <c r="P113" s="27" t="n"/>
    </row>
    <row r="114">
      <c r="A114" s="29" t="inlineStr">
        <is>
          <t>2022-11-01</t>
        </is>
      </c>
      <c r="B114" s="17" t="n"/>
      <c r="C114" s="17" t="n"/>
      <c r="D114" s="17" t="n"/>
      <c r="E114" s="17" t="n"/>
      <c r="F114" s="17" t="n"/>
      <c r="G114" s="17" t="n"/>
      <c r="H114" s="17" t="n"/>
      <c r="I114" s="27" t="n"/>
      <c r="J114" s="17" t="n"/>
      <c r="K114" s="17" t="n"/>
      <c r="L114" s="17" t="n"/>
      <c r="M114" s="17" t="n"/>
      <c r="N114" s="28" t="n"/>
      <c r="O114" s="28" t="n"/>
      <c r="P114" s="27" t="n"/>
    </row>
    <row r="115">
      <c r="A115" s="29" t="inlineStr">
        <is>
          <t>2022-12-01</t>
        </is>
      </c>
      <c r="B115" s="17" t="n"/>
      <c r="C115" s="17" t="n"/>
      <c r="D115" s="17" t="n"/>
      <c r="E115" s="17" t="n"/>
      <c r="F115" s="17" t="n"/>
      <c r="G115" s="17" t="n"/>
      <c r="H115" s="17" t="n"/>
      <c r="I115" s="27" t="n"/>
      <c r="J115" s="17" t="n"/>
      <c r="K115" s="17" t="n"/>
      <c r="L115" s="17" t="n"/>
      <c r="M115" s="17" t="n"/>
      <c r="N115" s="28" t="n"/>
      <c r="O115" s="28" t="n"/>
      <c r="P115" s="27" t="n"/>
    </row>
    <row r="116">
      <c r="A116" s="29" t="inlineStr">
        <is>
          <t>2023-01-01</t>
        </is>
      </c>
      <c r="B116" s="17" t="n"/>
      <c r="C116" s="17" t="n"/>
      <c r="D116" s="17" t="n"/>
      <c r="E116" s="17" t="n"/>
      <c r="F116" s="17" t="n"/>
      <c r="G116" s="17" t="n"/>
      <c r="H116" s="17" t="n"/>
      <c r="I116" s="27" t="n"/>
      <c r="J116" s="17" t="n"/>
      <c r="K116" s="17" t="n"/>
      <c r="L116" s="17" t="n"/>
      <c r="M116" s="17" t="n"/>
      <c r="N116" s="28" t="n"/>
      <c r="O116" s="28" t="n"/>
      <c r="P116" s="27" t="n"/>
    </row>
    <row r="117">
      <c r="A117" s="29" t="inlineStr">
        <is>
          <t>2023-02-01</t>
        </is>
      </c>
      <c r="B117" s="17" t="n"/>
      <c r="C117" s="17" t="n"/>
      <c r="D117" s="17" t="n"/>
      <c r="E117" s="17" t="n"/>
      <c r="F117" s="17" t="n"/>
      <c r="G117" s="17" t="n"/>
      <c r="H117" s="17" t="n"/>
      <c r="I117" s="27" t="n"/>
      <c r="J117" s="17" t="n"/>
      <c r="K117" s="17" t="n"/>
      <c r="L117" s="17" t="n"/>
      <c r="M117" s="17" t="n"/>
      <c r="N117" s="28" t="n"/>
      <c r="O117" s="28" t="n"/>
      <c r="P117" s="27" t="n"/>
    </row>
    <row r="118">
      <c r="A118" s="29" t="inlineStr">
        <is>
          <t>2023-03-01</t>
        </is>
      </c>
      <c r="B118" s="17" t="n"/>
      <c r="C118" s="17" t="n"/>
      <c r="D118" s="17" t="n"/>
      <c r="E118" s="17" t="n"/>
      <c r="F118" s="17" t="n"/>
      <c r="G118" s="17" t="n"/>
      <c r="H118" s="17" t="n"/>
      <c r="I118" s="27" t="n"/>
      <c r="J118" s="17" t="n"/>
      <c r="K118" s="17" t="n"/>
      <c r="L118" s="17" t="n"/>
      <c r="M118" s="17" t="n"/>
      <c r="N118" s="28" t="n"/>
      <c r="O118" s="28" t="n"/>
      <c r="P118" s="27" t="n"/>
    </row>
    <row r="119">
      <c r="A119" s="29" t="inlineStr">
        <is>
          <t>2023-04-01</t>
        </is>
      </c>
      <c r="B119" s="17" t="n"/>
      <c r="C119" s="17" t="n"/>
      <c r="D119" s="17" t="n"/>
      <c r="E119" s="17" t="n"/>
      <c r="F119" s="17" t="n"/>
      <c r="G119" s="17" t="n"/>
      <c r="H119" s="17" t="n"/>
      <c r="I119" s="27" t="n"/>
      <c r="J119" s="17" t="n"/>
      <c r="K119" s="17" t="n"/>
      <c r="L119" s="17" t="n"/>
      <c r="M119" s="17" t="n"/>
      <c r="N119" s="28" t="n"/>
      <c r="O119" s="28" t="n"/>
      <c r="P119" s="27" t="n"/>
    </row>
    <row r="120">
      <c r="A120" s="29" t="inlineStr">
        <is>
          <t>2023-05-01</t>
        </is>
      </c>
      <c r="B120" s="17" t="n"/>
      <c r="C120" s="17" t="n"/>
      <c r="D120" s="17" t="n"/>
      <c r="E120" s="17" t="n"/>
      <c r="F120" s="17" t="n"/>
      <c r="G120" s="17" t="n"/>
      <c r="H120" s="17" t="n"/>
      <c r="I120" s="27" t="n"/>
      <c r="J120" s="17" t="n"/>
      <c r="K120" s="17" t="n"/>
      <c r="L120" s="17" t="n"/>
      <c r="M120" s="17" t="n"/>
      <c r="N120" s="28" t="n"/>
      <c r="O120" s="28" t="n"/>
      <c r="P120" s="27" t="n"/>
    </row>
    <row r="121">
      <c r="A121" s="29" t="inlineStr">
        <is>
          <t>2023-06-01</t>
        </is>
      </c>
      <c r="B121" s="17" t="n"/>
      <c r="C121" s="17" t="n"/>
      <c r="D121" s="17" t="n"/>
      <c r="E121" s="17" t="n"/>
      <c r="F121" s="17" t="n"/>
      <c r="G121" s="17" t="n"/>
      <c r="H121" s="17" t="n"/>
      <c r="I121" s="27" t="n"/>
      <c r="J121" s="17" t="n"/>
      <c r="K121" s="17" t="n"/>
      <c r="L121" s="17" t="n"/>
      <c r="M121" s="17" t="n"/>
      <c r="N121" s="28" t="n"/>
      <c r="O121" s="28" t="n"/>
      <c r="P121" s="2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3" t="inlineStr">
        <is>
          <t>Total cumulative rated capacity (pre-degradation) as at 15 September 2014</t>
        </is>
      </c>
      <c r="B1" s="30" t="n"/>
      <c r="C1" s="1" t="n"/>
    </row>
    <row r="2">
      <c r="A2" s="1" t="n"/>
      <c r="B2" s="30" t="n"/>
      <c r="C2" s="1" t="n"/>
    </row>
    <row r="3">
      <c r="A3" s="1" t="n"/>
      <c r="B3" s="30" t="n"/>
      <c r="C3" s="1" t="n"/>
    </row>
    <row r="4">
      <c r="A4" s="1" t="n"/>
      <c r="B4" s="30" t="n"/>
      <c r="C4" s="1" t="n"/>
    </row>
    <row r="5">
      <c r="A5" s="1" t="n"/>
      <c r="B5" s="30" t="n"/>
      <c r="C5" s="1" t="n"/>
    </row>
    <row r="6">
      <c r="A6" s="1" t="n"/>
      <c r="B6" s="30" t="n"/>
      <c r="C6" s="1" t="n"/>
    </row>
    <row r="7">
      <c r="A7" s="1" t="n"/>
      <c r="B7" s="30" t="n"/>
      <c r="C7" s="1" t="n"/>
    </row>
    <row r="8">
      <c r="A8" s="1" t="n"/>
      <c r="B8" s="30" t="n"/>
      <c r="C8" s="1" t="n"/>
    </row>
    <row r="9">
      <c r="A9" s="1" t="n"/>
      <c r="B9" s="30" t="n"/>
      <c r="C9" s="1" t="n"/>
    </row>
    <row r="10">
      <c r="A10" s="1" t="n"/>
      <c r="B10" s="30" t="n"/>
      <c r="C10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1" t="inlineStr">
        <is>
          <t>Total purchasing and installation costs (in AUD) for the business</t>
        </is>
      </c>
      <c r="B1" s="30" t="n"/>
      <c r="C1" s="1" t="n"/>
    </row>
    <row r="2">
      <c r="A2" s="1" t="n"/>
      <c r="B2" s="30" t="n"/>
      <c r="C2" s="1" t="n"/>
    </row>
    <row r="3">
      <c r="A3" s="1" t="n"/>
      <c r="B3" s="30" t="n"/>
      <c r="C3" s="1" t="n"/>
    </row>
    <row r="4">
      <c r="A4" s="1" t="n"/>
      <c r="B4" s="30" t="n"/>
      <c r="C4" s="1" t="n"/>
    </row>
    <row r="5">
      <c r="A5" s="1" t="n"/>
      <c r="B5" s="30" t="n"/>
      <c r="C5" s="1" t="n"/>
    </row>
    <row r="6">
      <c r="A6" s="1" t="n"/>
      <c r="B6" s="30" t="n"/>
      <c r="C6" s="1" t="n"/>
    </row>
    <row r="7">
      <c r="A7" s="1" t="n"/>
      <c r="B7" s="30" t="n"/>
      <c r="C7" s="1" t="n"/>
    </row>
    <row r="8">
      <c r="A8" s="1" t="n"/>
      <c r="B8" s="30" t="n"/>
      <c r="C8" s="1" t="n"/>
    </row>
    <row r="9">
      <c r="A9" s="1" t="n"/>
      <c r="B9" s="30" t="n"/>
      <c r="C9" s="1" t="n"/>
    </row>
    <row r="10">
      <c r="A10" s="1" t="n"/>
      <c r="B10" s="30" t="n"/>
      <c r="C10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1" t="inlineStr">
        <is>
          <t>Total electricity generated (post-degradation) in calendar year 2016</t>
        </is>
      </c>
      <c r="B1" s="30" t="n"/>
      <c r="C1" s="1" t="n"/>
    </row>
    <row r="2">
      <c r="A2" s="1" t="n"/>
      <c r="B2" s="30" t="n"/>
      <c r="C2" s="1" t="n"/>
    </row>
    <row r="3">
      <c r="A3" s="1" t="n"/>
      <c r="B3" s="30" t="n"/>
      <c r="C3" s="1" t="n"/>
    </row>
    <row r="4">
      <c r="A4" s="1" t="n"/>
      <c r="B4" s="30" t="n"/>
      <c r="C4" s="1" t="n"/>
    </row>
    <row r="5">
      <c r="A5" s="1" t="n"/>
      <c r="B5" s="30" t="n"/>
      <c r="C5" s="1" t="n"/>
    </row>
    <row r="6">
      <c r="A6" s="1" t="n"/>
      <c r="B6" s="30" t="n"/>
      <c r="C6" s="1" t="n"/>
    </row>
    <row r="7">
      <c r="A7" s="1" t="n"/>
      <c r="B7" s="30" t="n"/>
      <c r="C7" s="1" t="n"/>
    </row>
    <row r="8">
      <c r="A8" s="1" t="n"/>
      <c r="B8" s="30" t="n"/>
      <c r="C8" s="1" t="n"/>
    </row>
    <row r="9">
      <c r="A9" s="1" t="n"/>
      <c r="B9" s="30" t="n"/>
      <c r="C9" s="1" t="n"/>
    </row>
    <row r="10">
      <c r="A10" s="1" t="n"/>
      <c r="B10" s="30" t="n"/>
      <c r="C10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1" t="inlineStr">
        <is>
          <t>Tariff A price per kWh in February 2020</t>
        </is>
      </c>
      <c r="B1" s="30" t="n"/>
      <c r="C1" s="1" t="n"/>
    </row>
    <row r="2">
      <c r="A2" s="1" t="n"/>
      <c r="B2" s="30" t="n"/>
      <c r="C2" s="1" t="n"/>
    </row>
    <row r="3">
      <c r="A3" s="1" t="n"/>
      <c r="B3" s="30" t="n"/>
      <c r="C3" s="1" t="n"/>
    </row>
    <row r="4">
      <c r="A4" s="1" t="n"/>
      <c r="B4" s="30" t="n"/>
      <c r="C4" s="1" t="n"/>
    </row>
    <row r="5">
      <c r="A5" s="1" t="n"/>
      <c r="B5" s="30" t="n"/>
      <c r="C5" s="1" t="n"/>
    </row>
    <row r="6">
      <c r="A6" s="1" t="n"/>
      <c r="B6" s="30" t="n"/>
      <c r="C6" s="1" t="n"/>
    </row>
    <row r="7">
      <c r="A7" s="1" t="n"/>
      <c r="B7" s="30" t="n"/>
      <c r="C7" s="1" t="n"/>
    </row>
    <row r="8">
      <c r="A8" s="1" t="n"/>
      <c r="B8" s="30" t="n"/>
      <c r="C8" s="1" t="n"/>
    </row>
    <row r="9">
      <c r="A9" s="1" t="n"/>
      <c r="B9" s="30" t="n"/>
      <c r="C9" s="1" t="n"/>
    </row>
    <row r="10">
      <c r="A10" s="1" t="n"/>
      <c r="B10" s="30" t="n"/>
      <c r="C10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1" t="inlineStr">
        <is>
          <t>Total revenue earned from Tariffs in December 2019</t>
        </is>
      </c>
      <c r="B1" s="30" t="n"/>
      <c r="C1" s="1" t="n"/>
    </row>
    <row r="2">
      <c r="A2" s="1" t="n"/>
      <c r="B2" s="30" t="n"/>
      <c r="C2" s="1" t="n"/>
    </row>
    <row r="3">
      <c r="A3" s="1" t="n"/>
      <c r="B3" s="30" t="n"/>
      <c r="C3" s="1" t="n"/>
    </row>
    <row r="4">
      <c r="A4" s="1" t="n"/>
      <c r="B4" s="30" t="n"/>
      <c r="C4" s="1" t="n"/>
    </row>
    <row r="5">
      <c r="A5" s="1" t="n"/>
      <c r="B5" s="30" t="n"/>
      <c r="C5" s="1" t="n"/>
    </row>
    <row r="6">
      <c r="A6" s="1" t="n"/>
      <c r="B6" s="30" t="n"/>
      <c r="C6" s="1" t="n"/>
    </row>
    <row r="7">
      <c r="A7" s="1" t="n"/>
      <c r="B7" s="30" t="n"/>
      <c r="C7" s="1" t="n"/>
    </row>
    <row r="8">
      <c r="A8" s="1" t="n"/>
      <c r="B8" s="30" t="n"/>
      <c r="C8" s="1" t="n"/>
    </row>
    <row r="9">
      <c r="A9" s="1" t="n"/>
      <c r="B9" s="30" t="n"/>
      <c r="C9" s="1" t="n"/>
    </row>
    <row r="10">
      <c r="A10" s="1" t="n"/>
      <c r="B10" s="30" t="n"/>
      <c r="C1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2026-08-15T08:47:52Z</dcterms:created>
  <dcterms:modified xsi:type="dcterms:W3CDTF">2026-08-15T12:58:40Z</dcterms:modified>
</cp:coreProperties>
</file>