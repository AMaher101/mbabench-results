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Assumptions" sheetId="1" state="visible" r:id="rId1"/>
    <sheet name="model_Workings" sheetId="2" state="visible" r:id="rId2"/>
    <sheet name="answers_Q1" sheetId="3" state="visible" r:id="rId3"/>
    <sheet name="answers_Q2" sheetId="4" state="visible" r:id="rId4"/>
    <sheet name="answers_Q3" sheetId="5" state="visible" r:id="rId5"/>
    <sheet name="answers_Q4" sheetId="6" state="visible" r:id="rId6"/>
    <sheet name="answers_Q5" sheetId="7" state="visible" r:id="rId7"/>
    <sheet name="answers_Q6" sheetId="8" state="visible" r:id="rId8"/>
    <sheet name="answers_Q7" sheetId="9" state="visible" r:id="rId9"/>
    <sheet name="answers_Q8" sheetId="10" state="visible" r:id="rId10"/>
    <sheet name="answers_Q9" sheetId="11" state="visible" r:id="rId11"/>
    <sheet name="answers_Q10" sheetId="12" state="visible" r:id="rId12"/>
    <sheet name="answers_Q11" sheetId="13" state="visible" r:id="rId13"/>
    <sheet name="answers_Q12" sheetId="14" state="visible" r:id="rId14"/>
    <sheet name="answers_Q13" sheetId="15" state="visible" r:id="rId15"/>
    <sheet name="answers_Q14" sheetId="16" state="visible" r:id="rId16"/>
    <sheet name="answers_Q15" sheetId="17" state="visible" r:id="rId17"/>
    <sheet name="answers_Q16" sheetId="18" state="visible" r:id="rId18"/>
    <sheet name="answers_Q17" sheetId="19" state="visible" r:id="rId19"/>
    <sheet name="answers_Q18" sheetId="20" state="visible" r:id="rId20"/>
    <sheet name="answers_Q19" sheetId="21" state="visible" r:id="rId21"/>
    <sheet name="answers_Q2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($#,##0)"/>
  </numFmts>
  <fonts count="6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rgb="000000FF"/>
      <sz val="11"/>
    </font>
    <font>
      <name val="Calibri"/>
      <b val="1"/>
      <color theme="1"/>
      <sz val="11"/>
    </font>
    <font>
      <name val="Calibri"/>
      <b val="1"/>
      <color rgb="00FFFFFF"/>
      <sz val="11"/>
    </font>
    <font>
      <name val="Calibri"/>
      <color rgb="00008000"/>
      <sz val="11"/>
    </font>
  </fonts>
  <fills count="4">
    <fill>
      <patternFill/>
    </fill>
    <fill>
      <patternFill patternType="gray125"/>
    </fill>
    <fill>
      <patternFill>
        <fgColor rgb="001F4E78"/>
        <bgColor rgb="001F4E78"/>
      </patternFill>
    </fill>
    <fill>
      <patternFill>
        <fgColor rgb="00002060"/>
        <bgColor rgb="00002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2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3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  <col width="18" customWidth="1" min="4" max="4"/>
    <col width="10" customWidth="1" min="5" max="5"/>
    <col width="3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8" t="inlineStr">
        <is>
          <t>Scenario Selector</t>
        </is>
      </c>
      <c r="B1" s="15" t="n">
        <v>1</v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</row>
    <row r="2">
      <c r="A2" s="1" t="inlineStr">
        <is>
          <t>Tax Rate [%]</t>
        </is>
      </c>
      <c r="B2" s="3" t="n">
        <v>0.32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>
      <c r="A3" s="1" t="inlineStr">
        <is>
          <t>Price Inflation [%]</t>
        </is>
      </c>
      <c r="B3" s="3" t="n">
        <v>0.02</v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>
      <c r="A4" s="1" t="inlineStr">
        <is>
          <t>Cost Inflation [%]</t>
        </is>
      </c>
      <c r="B4" s="3" t="n">
        <v>0.025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</row>
    <row r="6">
      <c r="A6" s="6" t="inlineStr">
        <is>
          <t>Vessel Specifications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</row>
    <row r="7">
      <c r="A7" s="8" t="inlineStr">
        <is>
          <t>Vessel Type</t>
        </is>
      </c>
      <c r="B7" s="8" t="inlineStr">
        <is>
          <t>Price [Real $m]</t>
        </is>
      </c>
      <c r="C7" s="8" t="inlineStr">
        <is>
          <t>COGS [%]</t>
        </is>
      </c>
      <c r="D7" s="8" t="inlineStr">
        <is>
          <t>Duration [Years]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</row>
    <row r="8">
      <c r="A8" s="1" t="inlineStr">
        <is>
          <t>Platinum</t>
        </is>
      </c>
      <c r="B8" s="4" t="n">
        <v>600</v>
      </c>
      <c r="C8" s="3" t="n">
        <v>0.6</v>
      </c>
      <c r="D8" s="5" t="n">
        <v>5</v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</row>
    <row r="9">
      <c r="A9" s="1" t="inlineStr">
        <is>
          <t>Ruby</t>
        </is>
      </c>
      <c r="B9" s="4" t="n">
        <v>375</v>
      </c>
      <c r="C9" s="3" t="n">
        <v>0.625</v>
      </c>
      <c r="D9" s="5" t="n">
        <v>4</v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</row>
    <row r="10">
      <c r="A10" s="1" t="inlineStr">
        <is>
          <t>Emerald</t>
        </is>
      </c>
      <c r="B10" s="4" t="n">
        <v>270</v>
      </c>
      <c r="C10" s="3" t="n">
        <v>0.65</v>
      </c>
      <c r="D10" s="5" t="n">
        <v>4</v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>
      <c r="A11" s="1" t="inlineStr">
        <is>
          <t>Gold</t>
        </is>
      </c>
      <c r="B11" s="4" t="n">
        <v>180</v>
      </c>
      <c r="C11" s="3" t="n">
        <v>0.7</v>
      </c>
      <c r="D11" s="5" t="n">
        <v>3</v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>
      <c r="A12" s="1" t="inlineStr">
        <is>
          <t>Sapphire</t>
        </is>
      </c>
      <c r="B12" s="4" t="n">
        <v>120</v>
      </c>
      <c r="C12" s="3" t="n">
        <v>0.75</v>
      </c>
      <c r="D12" s="5" t="n">
        <v>3</v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>
      <c r="A13" s="1" t="inlineStr">
        <is>
          <t>Downpayment [%]</t>
        </is>
      </c>
      <c r="B13" s="3" t="n">
        <v>0.5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>
      <c r="A15" s="6" t="inlineStr">
        <is>
          <t>Other Operating Expenses [Real $m]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>
      <c r="A16" s="1" t="inlineStr">
        <is>
          <t>Head Office</t>
        </is>
      </c>
      <c r="B16" s="4" t="n">
        <v>50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>
      <c r="A17" s="1" t="inlineStr">
        <is>
          <t>Insurance</t>
        </is>
      </c>
      <c r="B17" s="4" t="n">
        <v>25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>
      <c r="A18" s="1" t="inlineStr">
        <is>
          <t>Government Fees</t>
        </is>
      </c>
      <c r="B18" s="4" t="n">
        <v>10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>
      <c r="A19" s="1" t="inlineStr">
        <is>
          <t>Other Expenses</t>
        </is>
      </c>
      <c r="B19" s="4" t="n">
        <v>30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>
      <c r="A21" s="6" t="inlineStr">
        <is>
          <t>Capital Costs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>
      <c r="A22" s="8" t="inlineStr">
        <is>
          <t>Asset Category</t>
        </is>
      </c>
      <c r="B22" s="8" t="inlineStr">
        <is>
          <t>Opening Balance [$m]</t>
        </is>
      </c>
      <c r="C22" s="8" t="inlineStr">
        <is>
          <t>Depr Rate [% pa]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>
      <c r="A23" s="1" t="inlineStr">
        <is>
          <t>Buildings</t>
        </is>
      </c>
      <c r="B23" s="4" t="n">
        <v>35000</v>
      </c>
      <c r="C23" s="3" t="n">
        <v>0.025</v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>
      <c r="A24" s="1" t="inlineStr">
        <is>
          <t>Equipment</t>
        </is>
      </c>
      <c r="B24" s="4" t="n">
        <v>5000</v>
      </c>
      <c r="C24" s="3" t="n">
        <v>0.15</v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>
      <c r="A25" s="1" t="inlineStr">
        <is>
          <t>Other</t>
        </is>
      </c>
      <c r="B25" s="4" t="n">
        <v>1000</v>
      </c>
      <c r="C25" s="3" t="n">
        <v>0.3</v>
      </c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>
      <c r="A27" s="6" t="inlineStr">
        <is>
          <t xml:space="preserve"> Cash &amp; Revolver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>
      <c r="A28" s="1" t="inlineStr">
        <is>
          <t>Cash Float Required [$m]</t>
        </is>
      </c>
      <c r="B28" s="4" t="n">
        <v>100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>
      <c r="A29" s="1" t="inlineStr">
        <is>
          <t>Revolver Limit [$m]</t>
        </is>
      </c>
      <c r="B29" s="4" t="n">
        <v>5000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>
      <c r="A30" s="1" t="inlineStr">
        <is>
          <t>Cash Int (Pos) [% pa]</t>
        </is>
      </c>
      <c r="B30" s="3" t="n">
        <v>0.025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>
      <c r="A31" s="1" t="inlineStr">
        <is>
          <t>Cash Int (Neg) [% pa]</t>
        </is>
      </c>
      <c r="B31" s="3" t="n">
        <v>0.2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>
      <c r="A32" s="1" t="inlineStr">
        <is>
          <t>Revolver Int [% pa]</t>
        </is>
      </c>
      <c r="B32" s="3" t="n">
        <v>0.13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>
      <c r="A34" s="6" t="inlineStr">
        <is>
          <t>Debt Details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>
      <c r="A35" s="8" t="inlineStr">
        <is>
          <t>Facility</t>
        </is>
      </c>
      <c r="B35" s="8" t="inlineStr">
        <is>
          <t>Opening Bal [$m]</t>
        </is>
      </c>
      <c r="C35" s="8" t="inlineStr">
        <is>
          <t>Int Rate [% pa]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>
      <c r="A36" s="1" t="inlineStr">
        <is>
          <t>Senior Tranche 1</t>
        </is>
      </c>
      <c r="B36" s="4" t="n">
        <v>8300</v>
      </c>
      <c r="C36" s="3" t="n">
        <v>0.04</v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>
      <c r="A37" s="1" t="inlineStr">
        <is>
          <t>Senior Tranche 2</t>
        </is>
      </c>
      <c r="B37" s="4" t="n">
        <v>6200</v>
      </c>
      <c r="C37" s="3" t="n">
        <v>0.06</v>
      </c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>
      <c r="A38" s="1" t="inlineStr">
        <is>
          <t>Subordinated Debt</t>
        </is>
      </c>
      <c r="B38" s="4" t="n">
        <v>1800</v>
      </c>
      <c r="C38" s="3" t="n">
        <v>0.08</v>
      </c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>
      <c r="A39" s="1" t="inlineStr">
        <is>
          <t>Convertible Debt</t>
        </is>
      </c>
      <c r="B39" s="4" t="n">
        <v>600</v>
      </c>
      <c r="C39" s="3" t="n">
        <v>0.12</v>
      </c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</row>
    <row r="41">
      <c r="A41" s="6" t="inlineStr">
        <is>
          <t>Equity Details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</row>
    <row r="42">
      <c r="A42" s="8" t="inlineStr">
        <is>
          <t>Class</t>
        </is>
      </c>
      <c r="B42" s="8" t="inlineStr">
        <is>
          <t>Shares [m]</t>
        </is>
      </c>
      <c r="C42" s="8" t="inlineStr">
        <is>
          <t>Issue Price [$]</t>
        </is>
      </c>
      <c r="D42" s="8" t="inlineStr">
        <is>
          <t>Vesting Year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</row>
    <row r="43">
      <c r="A43" s="1" t="inlineStr">
        <is>
          <t>Class A</t>
        </is>
      </c>
      <c r="B43" s="5" t="n">
        <v>2525</v>
      </c>
      <c r="C43" s="2" t="n">
        <v>4</v>
      </c>
      <c r="D43" s="5" t="n">
        <v>2025</v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</row>
    <row r="44">
      <c r="A44" s="1" t="inlineStr">
        <is>
          <t>Class B</t>
        </is>
      </c>
      <c r="B44" s="5" t="n">
        <v>1300</v>
      </c>
      <c r="C44" s="2" t="n">
        <v>6</v>
      </c>
      <c r="D44" s="5" t="n">
        <v>2028</v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</row>
    <row r="45">
      <c r="A45" s="1" t="inlineStr">
        <is>
          <t>Class C</t>
        </is>
      </c>
      <c r="B45" s="5" t="n">
        <v>700</v>
      </c>
      <c r="C45" s="2" t="n">
        <v>9</v>
      </c>
      <c r="D45" s="5" t="n">
        <v>2031</v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</row>
    <row r="46">
      <c r="A46" s="1" t="inlineStr">
        <is>
          <t>Conv Price Class C [$]</t>
        </is>
      </c>
      <c r="B46" s="4" t="n">
        <v>9</v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</row>
    <row r="47">
      <c r="A47" s="1" t="inlineStr">
        <is>
          <t>Conv Vesting Period [yrs]</t>
        </is>
      </c>
      <c r="B47" s="5" t="n">
        <v>2</v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</row>
    <row r="48">
      <c r="A48" s="1" t="inlineStr">
        <is>
          <t>B weight (rel to A)</t>
        </is>
      </c>
      <c r="B48" s="2" t="n">
        <v>0.5</v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</row>
    <row r="49">
      <c r="A49" s="1" t="inlineStr">
        <is>
          <t>C weight (rel to A)</t>
        </is>
      </c>
      <c r="B49" s="2" t="n">
        <v>0.2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</row>
    <row r="51">
      <c r="A51" s="6" t="inlineStr">
        <is>
          <t>Opening Balances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</row>
    <row r="52">
      <c r="A52" s="1" t="inlineStr">
        <is>
          <t>Cash opening balance [$m]</t>
        </is>
      </c>
      <c r="B52" s="4" t="n">
        <v>100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</row>
    <row r="53">
      <c r="A53" s="1" t="inlineStr">
        <is>
          <t>Retained Earnings opening [$m]</t>
        </is>
      </c>
      <c r="B53" s="4" t="n">
        <v>0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</row>
    <row r="60">
      <c r="A60" s="6" t="n"/>
      <c r="B60" s="1" t="n"/>
      <c r="C60" s="1" t="n"/>
      <c r="D60" s="1" t="n"/>
      <c r="E60" s="1" t="n"/>
      <c r="F60" s="1" t="inlineStr">
        <is>
          <t>Vessel Sales - Base Case</t>
        </is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</row>
    <row r="61">
      <c r="A61" s="1" t="n"/>
      <c r="B61" s="1" t="n"/>
      <c r="C61" s="1" t="n"/>
      <c r="D61" s="1" t="n"/>
      <c r="E61" s="1" t="n"/>
      <c r="F61" s="1" t="inlineStr">
        <is>
          <t>Platinum</t>
        </is>
      </c>
      <c r="G61" s="4" t="n">
        <v>4</v>
      </c>
      <c r="H61" s="4" t="n">
        <v>4</v>
      </c>
      <c r="I61" s="4" t="n">
        <v>4</v>
      </c>
      <c r="J61" s="4" t="n">
        <v>5</v>
      </c>
      <c r="K61" s="4" t="n">
        <v>5</v>
      </c>
      <c r="L61" s="4" t="n">
        <v>5</v>
      </c>
      <c r="M61" s="4" t="n">
        <v>6</v>
      </c>
      <c r="N61" s="4" t="n">
        <v>6</v>
      </c>
      <c r="O61" s="4" t="n">
        <v>6</v>
      </c>
      <c r="P61" s="4" t="n">
        <v>7</v>
      </c>
      <c r="Q61" s="4" t="n">
        <v>7</v>
      </c>
      <c r="R61" s="4" t="n">
        <v>7</v>
      </c>
      <c r="S61" s="4" t="n">
        <v>8</v>
      </c>
      <c r="T61" s="4" t="n">
        <v>8</v>
      </c>
      <c r="U61" s="4" t="n">
        <v>8</v>
      </c>
      <c r="V61" s="4" t="n">
        <v>9</v>
      </c>
      <c r="W61" s="4" t="n">
        <v>9</v>
      </c>
      <c r="X61" s="4" t="n">
        <v>9</v>
      </c>
      <c r="Y61" s="4" t="n">
        <v>10</v>
      </c>
      <c r="Z61" s="4" t="n">
        <v>10</v>
      </c>
      <c r="AA61" s="4" t="n">
        <v>10</v>
      </c>
      <c r="AB61" s="4" t="n">
        <v>11</v>
      </c>
      <c r="AC61" s="4" t="n">
        <v>11</v>
      </c>
      <c r="AD61" s="4" t="n">
        <v>11</v>
      </c>
      <c r="AE61" s="4" t="n">
        <v>12</v>
      </c>
      <c r="AF61" s="4" t="n">
        <v>12</v>
      </c>
      <c r="AG61" s="4" t="n">
        <v>12</v>
      </c>
      <c r="AH61" s="4" t="n">
        <v>13</v>
      </c>
      <c r="AI61" s="4" t="n">
        <v>13</v>
      </c>
      <c r="AJ61" s="4" t="n">
        <v>13</v>
      </c>
    </row>
    <row r="62">
      <c r="A62" s="1" t="n"/>
      <c r="B62" s="1" t="n"/>
      <c r="C62" s="1" t="n"/>
      <c r="D62" s="1" t="n"/>
      <c r="E62" s="1" t="n"/>
      <c r="F62" s="1" t="inlineStr">
        <is>
          <t>Ruby</t>
        </is>
      </c>
      <c r="G62" s="4" t="n">
        <v>6</v>
      </c>
      <c r="H62" s="4" t="n">
        <v>6</v>
      </c>
      <c r="I62" s="4" t="n">
        <v>6</v>
      </c>
      <c r="J62" s="4" t="n">
        <v>6</v>
      </c>
      <c r="K62" s="4" t="n">
        <v>8</v>
      </c>
      <c r="L62" s="4" t="n">
        <v>8</v>
      </c>
      <c r="M62" s="4" t="n">
        <v>8</v>
      </c>
      <c r="N62" s="4" t="n">
        <v>8</v>
      </c>
      <c r="O62" s="4" t="n">
        <v>10</v>
      </c>
      <c r="P62" s="4" t="n">
        <v>10</v>
      </c>
      <c r="Q62" s="4" t="n">
        <v>10</v>
      </c>
      <c r="R62" s="4" t="n">
        <v>10</v>
      </c>
      <c r="S62" s="4" t="n">
        <v>12</v>
      </c>
      <c r="T62" s="4" t="n">
        <v>12</v>
      </c>
      <c r="U62" s="4" t="n">
        <v>12</v>
      </c>
      <c r="V62" s="4" t="n">
        <v>12</v>
      </c>
      <c r="W62" s="4" t="n">
        <v>14</v>
      </c>
      <c r="X62" s="4" t="n">
        <v>14</v>
      </c>
      <c r="Y62" s="4" t="n">
        <v>14</v>
      </c>
      <c r="Z62" s="4" t="n">
        <v>14</v>
      </c>
      <c r="AA62" s="4" t="n">
        <v>16</v>
      </c>
      <c r="AB62" s="4" t="n">
        <v>16</v>
      </c>
      <c r="AC62" s="4" t="n">
        <v>16</v>
      </c>
      <c r="AD62" s="4" t="n">
        <v>16</v>
      </c>
      <c r="AE62" s="4" t="n">
        <v>18</v>
      </c>
      <c r="AF62" s="4" t="n">
        <v>18</v>
      </c>
      <c r="AG62" s="4" t="n">
        <v>18</v>
      </c>
      <c r="AH62" s="4" t="n">
        <v>18</v>
      </c>
      <c r="AI62" s="4" t="n">
        <v>20</v>
      </c>
      <c r="AJ62" s="4" t="n">
        <v>20</v>
      </c>
    </row>
    <row r="63">
      <c r="A63" s="1" t="n"/>
      <c r="B63" s="1" t="n"/>
      <c r="C63" s="1" t="n"/>
      <c r="D63" s="1" t="n"/>
      <c r="E63" s="1" t="n"/>
      <c r="F63" s="1" t="inlineStr">
        <is>
          <t>Emerald</t>
        </is>
      </c>
      <c r="G63" s="4" t="n">
        <v>7</v>
      </c>
      <c r="H63" s="4" t="n">
        <v>7</v>
      </c>
      <c r="I63" s="4" t="n">
        <v>7</v>
      </c>
      <c r="J63" s="4" t="n">
        <v>7</v>
      </c>
      <c r="K63" s="4" t="n">
        <v>7</v>
      </c>
      <c r="L63" s="4" t="n">
        <v>10</v>
      </c>
      <c r="M63" s="4" t="n">
        <v>10</v>
      </c>
      <c r="N63" s="4" t="n">
        <v>10</v>
      </c>
      <c r="O63" s="4" t="n">
        <v>10</v>
      </c>
      <c r="P63" s="4" t="n">
        <v>10</v>
      </c>
      <c r="Q63" s="4" t="n">
        <v>13</v>
      </c>
      <c r="R63" s="4" t="n">
        <v>13</v>
      </c>
      <c r="S63" s="4" t="n">
        <v>13</v>
      </c>
      <c r="T63" s="4" t="n">
        <v>13</v>
      </c>
      <c r="U63" s="4" t="n">
        <v>13</v>
      </c>
      <c r="V63" s="4" t="n">
        <v>16</v>
      </c>
      <c r="W63" s="4" t="n">
        <v>16</v>
      </c>
      <c r="X63" s="4" t="n">
        <v>16</v>
      </c>
      <c r="Y63" s="4" t="n">
        <v>16</v>
      </c>
      <c r="Z63" s="4" t="n">
        <v>16</v>
      </c>
      <c r="AA63" s="4" t="n">
        <v>19</v>
      </c>
      <c r="AB63" s="4" t="n">
        <v>19</v>
      </c>
      <c r="AC63" s="4" t="n">
        <v>19</v>
      </c>
      <c r="AD63" s="4" t="n">
        <v>19</v>
      </c>
      <c r="AE63" s="4" t="n">
        <v>19</v>
      </c>
      <c r="AF63" s="4" t="n">
        <v>22</v>
      </c>
      <c r="AG63" s="4" t="n">
        <v>22</v>
      </c>
      <c r="AH63" s="4" t="n">
        <v>22</v>
      </c>
      <c r="AI63" s="4" t="n">
        <v>22</v>
      </c>
      <c r="AJ63" s="4" t="n">
        <v>22</v>
      </c>
    </row>
    <row r="64">
      <c r="A64" s="1" t="n"/>
      <c r="B64" s="1" t="n"/>
      <c r="C64" s="1" t="n"/>
      <c r="D64" s="1" t="n"/>
      <c r="E64" s="1" t="n"/>
      <c r="F64" s="1" t="inlineStr">
        <is>
          <t>Gold</t>
        </is>
      </c>
      <c r="G64" s="4" t="n">
        <v>15</v>
      </c>
      <c r="H64" s="4" t="n">
        <v>15</v>
      </c>
      <c r="I64" s="4" t="n">
        <v>16</v>
      </c>
      <c r="J64" s="4" t="n">
        <v>16</v>
      </c>
      <c r="K64" s="4" t="n">
        <v>17</v>
      </c>
      <c r="L64" s="4" t="n">
        <v>17</v>
      </c>
      <c r="M64" s="4" t="n">
        <v>18</v>
      </c>
      <c r="N64" s="4" t="n">
        <v>18</v>
      </c>
      <c r="O64" s="4" t="n">
        <v>19</v>
      </c>
      <c r="P64" s="4" t="n">
        <v>19</v>
      </c>
      <c r="Q64" s="4" t="n">
        <v>20</v>
      </c>
      <c r="R64" s="4" t="n">
        <v>20</v>
      </c>
      <c r="S64" s="4" t="n">
        <v>21</v>
      </c>
      <c r="T64" s="4" t="n">
        <v>21</v>
      </c>
      <c r="U64" s="4" t="n">
        <v>22</v>
      </c>
      <c r="V64" s="4" t="n">
        <v>22</v>
      </c>
      <c r="W64" s="4" t="n">
        <v>23</v>
      </c>
      <c r="X64" s="4" t="n">
        <v>23</v>
      </c>
      <c r="Y64" s="4" t="n">
        <v>24</v>
      </c>
      <c r="Z64" s="4" t="n">
        <v>24</v>
      </c>
      <c r="AA64" s="4" t="n">
        <v>25</v>
      </c>
      <c r="AB64" s="4" t="n">
        <v>25</v>
      </c>
      <c r="AC64" s="4" t="n">
        <v>26</v>
      </c>
      <c r="AD64" s="4" t="n">
        <v>26</v>
      </c>
      <c r="AE64" s="4" t="n">
        <v>27</v>
      </c>
      <c r="AF64" s="4" t="n">
        <v>27</v>
      </c>
      <c r="AG64" s="4" t="n">
        <v>28</v>
      </c>
      <c r="AH64" s="4" t="n">
        <v>28</v>
      </c>
      <c r="AI64" s="4" t="n">
        <v>29</v>
      </c>
      <c r="AJ64" s="4" t="n">
        <v>29</v>
      </c>
    </row>
    <row r="65">
      <c r="A65" s="1" t="n"/>
      <c r="B65" s="1" t="n"/>
      <c r="C65" s="1" t="n"/>
      <c r="D65" s="1" t="n"/>
      <c r="E65" s="1" t="n"/>
      <c r="F65" s="1" t="inlineStr">
        <is>
          <t>Sapphire</t>
        </is>
      </c>
      <c r="G65" s="4" t="n">
        <v>18</v>
      </c>
      <c r="H65" s="4" t="n">
        <v>19</v>
      </c>
      <c r="I65" s="4" t="n">
        <v>20</v>
      </c>
      <c r="J65" s="4" t="n">
        <v>21</v>
      </c>
      <c r="K65" s="4" t="n">
        <v>22</v>
      </c>
      <c r="L65" s="4" t="n">
        <v>23</v>
      </c>
      <c r="M65" s="4" t="n">
        <v>24</v>
      </c>
      <c r="N65" s="4" t="n">
        <v>25</v>
      </c>
      <c r="O65" s="4" t="n">
        <v>26</v>
      </c>
      <c r="P65" s="4" t="n">
        <v>27</v>
      </c>
      <c r="Q65" s="4" t="n">
        <v>28</v>
      </c>
      <c r="R65" s="4" t="n">
        <v>29</v>
      </c>
      <c r="S65" s="4" t="n">
        <v>30</v>
      </c>
      <c r="T65" s="4" t="n">
        <v>31</v>
      </c>
      <c r="U65" s="4" t="n">
        <v>32</v>
      </c>
      <c r="V65" s="4" t="n">
        <v>33</v>
      </c>
      <c r="W65" s="4" t="n">
        <v>34</v>
      </c>
      <c r="X65" s="4" t="n">
        <v>35</v>
      </c>
      <c r="Y65" s="4" t="n">
        <v>36</v>
      </c>
      <c r="Z65" s="4" t="n">
        <v>37</v>
      </c>
      <c r="AA65" s="4" t="n">
        <v>38</v>
      </c>
      <c r="AB65" s="4" t="n">
        <v>39</v>
      </c>
      <c r="AC65" s="4" t="n">
        <v>40</v>
      </c>
      <c r="AD65" s="4" t="n">
        <v>41</v>
      </c>
      <c r="AE65" s="4" t="n">
        <v>42</v>
      </c>
      <c r="AF65" s="4" t="n">
        <v>43</v>
      </c>
      <c r="AG65" s="4" t="n">
        <v>44</v>
      </c>
      <c r="AH65" s="4" t="n">
        <v>45</v>
      </c>
      <c r="AI65" s="4" t="n">
        <v>46</v>
      </c>
      <c r="AJ65" s="4" t="n">
        <v>47</v>
      </c>
    </row>
    <row r="66">
      <c r="A66" s="6" t="n"/>
      <c r="B66" s="1" t="n"/>
      <c r="C66" s="1" t="n"/>
      <c r="D66" s="1" t="n"/>
      <c r="E66" s="1" t="n"/>
      <c r="F66" s="1" t="inlineStr">
        <is>
          <t>Vessel Sales - Declining Case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</row>
    <row r="67">
      <c r="A67" s="1" t="n"/>
      <c r="B67" s="1" t="n"/>
      <c r="C67" s="1" t="n"/>
      <c r="D67" s="1" t="n"/>
      <c r="E67" s="1" t="n"/>
      <c r="F67" s="1" t="inlineStr">
        <is>
          <t>Platinum</t>
        </is>
      </c>
      <c r="G67" s="4" t="n">
        <v>3</v>
      </c>
      <c r="H67" s="4" t="n">
        <v>3</v>
      </c>
      <c r="I67" s="4" t="n">
        <v>3</v>
      </c>
      <c r="J67" s="4" t="n">
        <v>5</v>
      </c>
      <c r="K67" s="4" t="n">
        <v>5</v>
      </c>
      <c r="L67" s="4" t="n">
        <v>5</v>
      </c>
      <c r="M67" s="4" t="n">
        <v>6</v>
      </c>
      <c r="N67" s="4" t="n">
        <v>6</v>
      </c>
      <c r="O67" s="4" t="n">
        <v>6</v>
      </c>
      <c r="P67" s="4" t="n">
        <v>5</v>
      </c>
      <c r="Q67" s="4" t="n">
        <v>5</v>
      </c>
      <c r="R67" s="4" t="n">
        <v>5</v>
      </c>
      <c r="S67" s="4" t="n">
        <v>4</v>
      </c>
      <c r="T67" s="4" t="n">
        <v>4</v>
      </c>
      <c r="U67" s="4" t="n">
        <v>4</v>
      </c>
      <c r="V67" s="4" t="n">
        <v>3</v>
      </c>
      <c r="W67" s="4" t="n">
        <v>3</v>
      </c>
      <c r="X67" s="4" t="n">
        <v>3</v>
      </c>
      <c r="Y67" s="4" t="n">
        <v>2</v>
      </c>
      <c r="Z67" s="4" t="n">
        <v>2</v>
      </c>
      <c r="AA67" s="4" t="n">
        <v>2</v>
      </c>
      <c r="AB67" s="4" t="n">
        <v>1</v>
      </c>
      <c r="AC67" s="4" t="n">
        <v>1</v>
      </c>
      <c r="AD67" s="4" t="n">
        <v>1</v>
      </c>
      <c r="AE67" s="4" t="n">
        <v>0</v>
      </c>
      <c r="AF67" s="4" t="n">
        <v>0</v>
      </c>
      <c r="AG67" s="4" t="n">
        <v>0</v>
      </c>
      <c r="AH67" s="4" t="n">
        <v>-1</v>
      </c>
      <c r="AI67" s="4" t="n">
        <v>-1</v>
      </c>
      <c r="AJ67" s="4" t="n">
        <v>-1</v>
      </c>
    </row>
    <row r="68">
      <c r="A68" s="1" t="n"/>
      <c r="B68" s="1" t="n"/>
      <c r="C68" s="1" t="n"/>
      <c r="D68" s="1" t="n"/>
      <c r="E68" s="1" t="n"/>
      <c r="F68" s="1" t="inlineStr">
        <is>
          <t>Ruby</t>
        </is>
      </c>
      <c r="G68" s="4" t="n">
        <v>5</v>
      </c>
      <c r="H68" s="4" t="n">
        <v>5</v>
      </c>
      <c r="I68" s="4" t="n">
        <v>5</v>
      </c>
      <c r="J68" s="4" t="n">
        <v>6</v>
      </c>
      <c r="K68" s="4" t="n">
        <v>8</v>
      </c>
      <c r="L68" s="4" t="n">
        <v>8</v>
      </c>
      <c r="M68" s="4" t="n">
        <v>8</v>
      </c>
      <c r="N68" s="4" t="n">
        <v>8</v>
      </c>
      <c r="O68" s="4" t="n">
        <v>10</v>
      </c>
      <c r="P68" s="4" t="n">
        <v>9</v>
      </c>
      <c r="Q68" s="4" t="n">
        <v>7</v>
      </c>
      <c r="R68" s="4" t="n">
        <v>7</v>
      </c>
      <c r="S68" s="4" t="n">
        <v>7</v>
      </c>
      <c r="T68" s="4" t="n">
        <v>7</v>
      </c>
      <c r="U68" s="4" t="n">
        <v>5</v>
      </c>
      <c r="V68" s="4" t="n">
        <v>5</v>
      </c>
      <c r="W68" s="4" t="n">
        <v>5</v>
      </c>
      <c r="X68" s="4" t="n">
        <v>5</v>
      </c>
      <c r="Y68" s="4" t="n">
        <v>4</v>
      </c>
      <c r="Z68" s="4" t="n">
        <v>2</v>
      </c>
      <c r="AA68" s="4" t="n">
        <v>2</v>
      </c>
      <c r="AB68" s="4" t="n">
        <v>2</v>
      </c>
      <c r="AC68" s="4" t="n">
        <v>2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-1</v>
      </c>
      <c r="AI68" s="4" t="n">
        <v>-3</v>
      </c>
      <c r="AJ68" s="4" t="n">
        <v>-3</v>
      </c>
    </row>
    <row r="69">
      <c r="A69" s="1" t="n"/>
      <c r="B69" s="1" t="n"/>
      <c r="C69" s="1" t="n"/>
      <c r="D69" s="1" t="n"/>
      <c r="E69" s="1" t="n"/>
      <c r="F69" s="1" t="inlineStr">
        <is>
          <t>Emerald</t>
        </is>
      </c>
      <c r="G69" s="4" t="n">
        <v>6</v>
      </c>
      <c r="H69" s="4" t="n">
        <v>6</v>
      </c>
      <c r="I69" s="4" t="n">
        <v>6</v>
      </c>
      <c r="J69" s="4" t="n">
        <v>7</v>
      </c>
      <c r="K69" s="4" t="n">
        <v>7</v>
      </c>
      <c r="L69" s="4" t="n">
        <v>10</v>
      </c>
      <c r="M69" s="4" t="n">
        <v>10</v>
      </c>
      <c r="N69" s="4" t="n">
        <v>10</v>
      </c>
      <c r="O69" s="4" t="n">
        <v>10</v>
      </c>
      <c r="P69" s="4" t="n">
        <v>9</v>
      </c>
      <c r="Q69" s="4" t="n">
        <v>9</v>
      </c>
      <c r="R69" s="4" t="n">
        <v>9</v>
      </c>
      <c r="S69" s="4" t="n">
        <v>9</v>
      </c>
      <c r="T69" s="4" t="n">
        <v>6</v>
      </c>
      <c r="U69" s="4" t="n">
        <v>6</v>
      </c>
      <c r="V69" s="4" t="n">
        <v>6</v>
      </c>
      <c r="W69" s="4" t="n">
        <v>6</v>
      </c>
      <c r="X69" s="4" t="n">
        <v>6</v>
      </c>
      <c r="Y69" s="4" t="n">
        <v>5</v>
      </c>
      <c r="Z69" s="4" t="n">
        <v>5</v>
      </c>
      <c r="AA69" s="4" t="n">
        <v>5</v>
      </c>
      <c r="AB69" s="4" t="n">
        <v>5</v>
      </c>
      <c r="AC69" s="4" t="n">
        <v>2</v>
      </c>
      <c r="AD69" s="4" t="n">
        <v>2</v>
      </c>
      <c r="AE69" s="4" t="n">
        <v>2</v>
      </c>
      <c r="AF69" s="4" t="n">
        <v>2</v>
      </c>
      <c r="AG69" s="4" t="n">
        <v>2</v>
      </c>
      <c r="AH69" s="4" t="n">
        <v>1</v>
      </c>
      <c r="AI69" s="4" t="n">
        <v>1</v>
      </c>
      <c r="AJ69" s="4" t="n">
        <v>1</v>
      </c>
    </row>
    <row r="70">
      <c r="A70" s="1" t="n"/>
      <c r="B70" s="1" t="n"/>
      <c r="C70" s="1" t="n"/>
      <c r="D70" s="1" t="n"/>
      <c r="E70" s="1" t="n"/>
      <c r="F70" s="1" t="inlineStr">
        <is>
          <t>Gold</t>
        </is>
      </c>
      <c r="G70" s="4" t="n">
        <v>14</v>
      </c>
      <c r="H70" s="4" t="n">
        <v>14</v>
      </c>
      <c r="I70" s="4" t="n">
        <v>15</v>
      </c>
      <c r="J70" s="4" t="n">
        <v>16</v>
      </c>
      <c r="K70" s="4" t="n">
        <v>17</v>
      </c>
      <c r="L70" s="4" t="n">
        <v>17</v>
      </c>
      <c r="M70" s="4" t="n">
        <v>18</v>
      </c>
      <c r="N70" s="4" t="n">
        <v>18</v>
      </c>
      <c r="O70" s="4" t="n">
        <v>19</v>
      </c>
      <c r="P70" s="4" t="n">
        <v>18</v>
      </c>
      <c r="Q70" s="4" t="n">
        <v>17</v>
      </c>
      <c r="R70" s="4" t="n">
        <v>17</v>
      </c>
      <c r="S70" s="4" t="n">
        <v>16</v>
      </c>
      <c r="T70" s="4" t="n">
        <v>16</v>
      </c>
      <c r="U70" s="4" t="n">
        <v>15</v>
      </c>
      <c r="V70" s="4" t="n">
        <v>15</v>
      </c>
      <c r="W70" s="4" t="n">
        <v>14</v>
      </c>
      <c r="X70" s="4" t="n">
        <v>14</v>
      </c>
      <c r="Y70" s="4" t="n">
        <v>13</v>
      </c>
      <c r="Z70" s="4" t="n">
        <v>12</v>
      </c>
      <c r="AA70" s="4" t="n">
        <v>12</v>
      </c>
      <c r="AB70" s="4" t="n">
        <v>11</v>
      </c>
      <c r="AC70" s="4" t="n">
        <v>11</v>
      </c>
      <c r="AD70" s="4" t="n">
        <v>10</v>
      </c>
      <c r="AE70" s="4" t="n">
        <v>10</v>
      </c>
      <c r="AF70" s="4" t="n">
        <v>9</v>
      </c>
      <c r="AG70" s="4" t="n">
        <v>9</v>
      </c>
      <c r="AH70" s="4" t="n">
        <v>8</v>
      </c>
      <c r="AI70" s="4" t="n">
        <v>7</v>
      </c>
      <c r="AJ70" s="4" t="n">
        <v>7</v>
      </c>
    </row>
    <row r="71">
      <c r="A71" s="1" t="n"/>
      <c r="B71" s="1" t="n"/>
      <c r="C71" s="1" t="n"/>
      <c r="D71" s="1" t="n"/>
      <c r="E71" s="1" t="n"/>
      <c r="F71" s="1" t="inlineStr">
        <is>
          <t>Sapphire</t>
        </is>
      </c>
      <c r="G71" s="4" t="n">
        <v>17</v>
      </c>
      <c r="H71" s="4" t="n">
        <v>18</v>
      </c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</row>
    <row r="72">
      <c r="A72" s="6" t="n"/>
      <c r="B72" s="1" t="n"/>
      <c r="C72" s="1" t="n"/>
      <c r="D72" s="1" t="n"/>
      <c r="E72" s="1" t="n"/>
      <c r="F72" s="1" t="inlineStr">
        <is>
          <t>Vessel Sales - Cyclical Case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</row>
    <row r="73">
      <c r="A73" s="1" t="n"/>
      <c r="B73" s="1" t="n"/>
      <c r="C73" s="1" t="n"/>
      <c r="D73" s="1" t="n"/>
      <c r="E73" s="1" t="n"/>
      <c r="F73" s="1" t="inlineStr">
        <is>
          <t>Platinum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</row>
    <row r="74">
      <c r="A74" s="1" t="n"/>
      <c r="B74" s="1" t="n"/>
      <c r="C74" s="1" t="n"/>
      <c r="D74" s="1" t="n"/>
      <c r="E74" s="1" t="n"/>
      <c r="F74" s="1" t="inlineStr">
        <is>
          <t>Ruby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</row>
    <row r="75">
      <c r="A75" s="1" t="n"/>
      <c r="B75" s="1" t="n"/>
      <c r="C75" s="1" t="n"/>
      <c r="D75" s="1" t="n"/>
      <c r="E75" s="1" t="n"/>
      <c r="F75" s="1" t="inlineStr">
        <is>
          <t>Emerald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1" t="n"/>
      <c r="B76" s="1" t="n"/>
      <c r="C76" s="1" t="n"/>
      <c r="D76" s="1" t="n"/>
      <c r="E76" s="1" t="n"/>
      <c r="F76" s="1" t="inlineStr">
        <is>
          <t>Gold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1" t="n"/>
      <c r="B77" s="1" t="n"/>
      <c r="C77" s="1" t="n"/>
      <c r="D77" s="1" t="n"/>
      <c r="E77" s="1" t="n"/>
      <c r="F77" s="1" t="inlineStr">
        <is>
          <t>Sapphire</t>
        </is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/>
    <row r="79"/>
    <row r="80">
      <c r="F80" t="inlineStr">
        <is>
          <t>Buildings CapEx [Real $m]</t>
        </is>
      </c>
      <c r="G80" t="n">
        <v>0</v>
      </c>
      <c r="H80" t="n">
        <v>0</v>
      </c>
      <c r="I80" t="n">
        <v>10000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F81" t="inlineStr">
        <is>
          <t>Equipment CapEx [Real $m]</t>
        </is>
      </c>
      <c r="G81" t="n">
        <v>3000</v>
      </c>
      <c r="H81" t="n">
        <v>0</v>
      </c>
      <c r="I81" t="n">
        <v>0</v>
      </c>
      <c r="J81" t="n">
        <v>0</v>
      </c>
      <c r="K81" t="n">
        <v>0</v>
      </c>
      <c r="L81" t="n">
        <v>3000</v>
      </c>
      <c r="M81" t="n">
        <v>0</v>
      </c>
      <c r="N81" t="n">
        <v>0</v>
      </c>
      <c r="O81" t="n">
        <v>0</v>
      </c>
      <c r="P81" t="n">
        <v>0</v>
      </c>
      <c r="Q81" t="n">
        <v>3000</v>
      </c>
      <c r="R81" t="n">
        <v>0</v>
      </c>
      <c r="S81" t="n">
        <v>0</v>
      </c>
      <c r="T81" t="n">
        <v>0</v>
      </c>
      <c r="U81" t="n">
        <v>0</v>
      </c>
      <c r="V81" t="n">
        <v>3000</v>
      </c>
      <c r="W81" t="n">
        <v>0</v>
      </c>
      <c r="X81" t="n">
        <v>0</v>
      </c>
      <c r="Y81" t="n">
        <v>0</v>
      </c>
      <c r="Z81" t="n">
        <v>0</v>
      </c>
      <c r="AA81" t="n">
        <v>3000</v>
      </c>
      <c r="AB81" t="n">
        <v>0</v>
      </c>
      <c r="AC81" t="n">
        <v>0</v>
      </c>
      <c r="AD81" t="n">
        <v>0</v>
      </c>
      <c r="AE81" t="n">
        <v>0</v>
      </c>
      <c r="AF81" t="n">
        <v>3000</v>
      </c>
      <c r="AG81" t="n">
        <v>0</v>
      </c>
      <c r="AH81" t="n">
        <v>0</v>
      </c>
      <c r="AI81" t="n">
        <v>0</v>
      </c>
      <c r="AJ81" t="n">
        <v>0</v>
      </c>
    </row>
    <row r="82">
      <c r="F82" t="inlineStr">
        <is>
          <t>Other CapEx [Real $m]</t>
        </is>
      </c>
      <c r="G82" t="n">
        <v>1000</v>
      </c>
      <c r="H82" t="n">
        <v>1000</v>
      </c>
      <c r="I82" t="n">
        <v>1000</v>
      </c>
      <c r="J82" t="n">
        <v>1000</v>
      </c>
      <c r="K82" t="n">
        <v>1000</v>
      </c>
      <c r="L82" t="n">
        <v>1000</v>
      </c>
      <c r="M82" t="n">
        <v>1000</v>
      </c>
      <c r="N82" t="n">
        <v>1000</v>
      </c>
      <c r="O82" t="n">
        <v>1000</v>
      </c>
      <c r="P82" t="n">
        <v>1000</v>
      </c>
      <c r="Q82" t="n">
        <v>1000</v>
      </c>
      <c r="R82" t="n">
        <v>1000</v>
      </c>
      <c r="S82" t="n">
        <v>1000</v>
      </c>
      <c r="T82" t="n">
        <v>1000</v>
      </c>
      <c r="U82" t="n">
        <v>1000</v>
      </c>
      <c r="V82" t="n">
        <v>1000</v>
      </c>
      <c r="W82" t="n">
        <v>1000</v>
      </c>
      <c r="X82" t="n">
        <v>1000</v>
      </c>
      <c r="Y82" t="n">
        <v>1000</v>
      </c>
      <c r="Z82" t="n">
        <v>1000</v>
      </c>
      <c r="AA82" t="n">
        <v>1000</v>
      </c>
      <c r="AB82" t="n">
        <v>1000</v>
      </c>
      <c r="AC82" t="n">
        <v>1000</v>
      </c>
      <c r="AD82" t="n">
        <v>1000</v>
      </c>
      <c r="AE82" t="n">
        <v>1000</v>
      </c>
      <c r="AF82" t="n">
        <v>1000</v>
      </c>
      <c r="AG82" t="n">
        <v>1000</v>
      </c>
      <c r="AH82" t="n">
        <v>1000</v>
      </c>
      <c r="AI82" t="n">
        <v>1000</v>
      </c>
      <c r="AJ8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</cols>
  <sheetData>
    <row r="1">
      <c r="A1" s="8" t="inlineStr">
        <is>
          <t>Timeline</t>
        </is>
      </c>
      <c r="B1" s="8" t="inlineStr">
        <is>
          <t>2017</t>
        </is>
      </c>
      <c r="C1" s="8" t="inlineStr">
        <is>
          <t>2018</t>
        </is>
      </c>
      <c r="D1" s="8" t="inlineStr">
        <is>
          <t>2019</t>
        </is>
      </c>
      <c r="E1" s="8" t="inlineStr">
        <is>
          <t>2020</t>
        </is>
      </c>
      <c r="F1" s="8" t="inlineStr">
        <is>
          <t>2021</t>
        </is>
      </c>
      <c r="G1" s="8" t="inlineStr">
        <is>
          <t>2022</t>
        </is>
      </c>
      <c r="H1" s="8" t="inlineStr">
        <is>
          <t>2023</t>
        </is>
      </c>
      <c r="I1" s="8" t="inlineStr">
        <is>
          <t>2024</t>
        </is>
      </c>
      <c r="J1" s="8" t="inlineStr">
        <is>
          <t>2025</t>
        </is>
      </c>
      <c r="K1" s="8" t="inlineStr">
        <is>
          <t>2026</t>
        </is>
      </c>
      <c r="L1" s="8" t="inlineStr">
        <is>
          <t>2027</t>
        </is>
      </c>
      <c r="M1" s="8" t="inlineStr">
        <is>
          <t>2028</t>
        </is>
      </c>
      <c r="N1" s="8" t="inlineStr">
        <is>
          <t>2029</t>
        </is>
      </c>
      <c r="O1" s="8" t="inlineStr">
        <is>
          <t>2030</t>
        </is>
      </c>
      <c r="P1" s="8" t="inlineStr">
        <is>
          <t>2031</t>
        </is>
      </c>
      <c r="Q1" s="8" t="inlineStr">
        <is>
          <t>2032</t>
        </is>
      </c>
      <c r="R1" s="8" t="inlineStr">
        <is>
          <t>2033</t>
        </is>
      </c>
      <c r="S1" s="8" t="inlineStr">
        <is>
          <t>2034</t>
        </is>
      </c>
      <c r="T1" s="8" t="inlineStr">
        <is>
          <t>2035</t>
        </is>
      </c>
      <c r="U1" s="8" t="inlineStr">
        <is>
          <t>2036</t>
        </is>
      </c>
      <c r="V1" s="8" t="inlineStr">
        <is>
          <t>2037</t>
        </is>
      </c>
      <c r="W1" s="8" t="inlineStr">
        <is>
          <t>2038</t>
        </is>
      </c>
      <c r="X1" s="8" t="inlineStr">
        <is>
          <t>2039</t>
        </is>
      </c>
      <c r="Y1" s="8" t="inlineStr">
        <is>
          <t>2040</t>
        </is>
      </c>
      <c r="Z1" s="8" t="inlineStr">
        <is>
          <t>2041</t>
        </is>
      </c>
      <c r="AA1" s="8" t="inlineStr">
        <is>
          <t>2042</t>
        </is>
      </c>
      <c r="AB1" s="8" t="inlineStr">
        <is>
          <t>2043</t>
        </is>
      </c>
      <c r="AC1" s="8" t="inlineStr">
        <is>
          <t>2044</t>
        </is>
      </c>
      <c r="AD1" s="8" t="inlineStr">
        <is>
          <t>2045</t>
        </is>
      </c>
      <c r="AE1" s="8" t="inlineStr">
        <is>
          <t>2046</t>
        </is>
      </c>
    </row>
    <row r="2">
      <c r="A2" s="1" t="inlineStr">
        <is>
          <t>Price Inflation Index</t>
        </is>
      </c>
      <c r="B2" s="12">
        <f>(1+'model_Assumptions'!$B$3)^(COLUMN()-1)</f>
        <v/>
      </c>
      <c r="C2" s="12">
        <f>(1+'model_Assumptions'!$B$3)^(COLUMN()-1)</f>
        <v/>
      </c>
      <c r="D2" s="12">
        <f>(1+'model_Assumptions'!$B$3)^(COLUMN()-1)</f>
        <v/>
      </c>
      <c r="E2" s="12">
        <f>(1+'model_Assumptions'!$B$3)^(COLUMN()-1)</f>
        <v/>
      </c>
      <c r="F2" s="12">
        <f>(1+'model_Assumptions'!$B$3)^(COLUMN()-1)</f>
        <v/>
      </c>
      <c r="G2" s="12">
        <f>(1+'model_Assumptions'!$B$3)^(COLUMN()-1)</f>
        <v/>
      </c>
      <c r="H2" s="12">
        <f>(1+'model_Assumptions'!$B$3)^(COLUMN()-1)</f>
        <v/>
      </c>
      <c r="I2" s="12">
        <f>(1+'model_Assumptions'!$B$3)^(COLUMN()-1)</f>
        <v/>
      </c>
      <c r="J2" s="12">
        <f>(1+'model_Assumptions'!$B$3)^(COLUMN()-1)</f>
        <v/>
      </c>
      <c r="K2" s="12">
        <f>(1+'model_Assumptions'!$B$3)^(COLUMN()-1)</f>
        <v/>
      </c>
      <c r="L2" s="12">
        <f>(1+'model_Assumptions'!$B$3)^(COLUMN()-1)</f>
        <v/>
      </c>
      <c r="M2" s="12">
        <f>(1+'model_Assumptions'!$B$3)^(COLUMN()-1)</f>
        <v/>
      </c>
      <c r="N2" s="12">
        <f>(1+'model_Assumptions'!$B$3)^(COLUMN()-1)</f>
        <v/>
      </c>
      <c r="O2" s="12">
        <f>(1+'model_Assumptions'!$B$3)^(COLUMN()-1)</f>
        <v/>
      </c>
      <c r="P2" s="12">
        <f>(1+'model_Assumptions'!$B$3)^(COLUMN()-1)</f>
        <v/>
      </c>
      <c r="Q2" s="12">
        <f>(1+'model_Assumptions'!$B$3)^(COLUMN()-1)</f>
        <v/>
      </c>
      <c r="R2" s="12">
        <f>(1+'model_Assumptions'!$B$3)^(COLUMN()-1)</f>
        <v/>
      </c>
      <c r="S2" s="12">
        <f>(1+'model_Assumptions'!$B$3)^(COLUMN()-1)</f>
        <v/>
      </c>
      <c r="T2" s="12">
        <f>(1+'model_Assumptions'!$B$3)^(COLUMN()-1)</f>
        <v/>
      </c>
      <c r="U2" s="12">
        <f>(1+'model_Assumptions'!$B$3)^(COLUMN()-1)</f>
        <v/>
      </c>
      <c r="V2" s="12">
        <f>(1+'model_Assumptions'!$B$3)^(COLUMN()-1)</f>
        <v/>
      </c>
      <c r="W2" s="12">
        <f>(1+'model_Assumptions'!$B$3)^(COLUMN()-1)</f>
        <v/>
      </c>
      <c r="X2" s="12">
        <f>(1+'model_Assumptions'!$B$3)^(COLUMN()-1)</f>
        <v/>
      </c>
      <c r="Y2" s="12">
        <f>(1+'model_Assumptions'!$B$3)^(COLUMN()-1)</f>
        <v/>
      </c>
      <c r="Z2" s="12">
        <f>(1+'model_Assumptions'!$B$3)^(COLUMN()-1)</f>
        <v/>
      </c>
      <c r="AA2" s="12">
        <f>(1+'model_Assumptions'!$B$3)^(COLUMN()-1)</f>
        <v/>
      </c>
      <c r="AB2" s="12">
        <f>(1+'model_Assumptions'!$B$3)^(COLUMN()-1)</f>
        <v/>
      </c>
      <c r="AC2" s="12">
        <f>(1+'model_Assumptions'!$B$3)^(COLUMN()-1)</f>
        <v/>
      </c>
      <c r="AD2" s="12">
        <f>(1+'model_Assumptions'!$B$3)^(COLUMN()-1)</f>
        <v/>
      </c>
      <c r="AE2" s="12">
        <f>(1+'model_Assumptions'!$B$3)^(COLUMN()-1)</f>
        <v/>
      </c>
    </row>
    <row r="3">
      <c r="A3" s="1" t="inlineStr">
        <is>
          <t>Inflated Price - Platinum [$m]</t>
        </is>
      </c>
      <c r="B3" s="13">
        <f>'model_Assumptions'!$B$8 * (1+'model_Assumptions'!$B$3)^(COLUMN()-1)</f>
        <v/>
      </c>
      <c r="C3" s="13">
        <f>'model_Assumptions'!$B$8 * (1+'model_Assumptions'!$B$3)^(COLUMN()-1)</f>
        <v/>
      </c>
      <c r="D3" s="13">
        <f>'model_Assumptions'!$B$8 * (1+'model_Assumptions'!$B$3)^(COLUMN()-1)</f>
        <v/>
      </c>
      <c r="E3" s="13">
        <f>'model_Assumptions'!$B$8 * (1+'model_Assumptions'!$B$3)^(COLUMN()-1)</f>
        <v/>
      </c>
      <c r="F3" s="13">
        <f>'model_Assumptions'!$B$8 * (1+'model_Assumptions'!$B$3)^(COLUMN()-1)</f>
        <v/>
      </c>
      <c r="G3" s="13">
        <f>'model_Assumptions'!$B$8 * (1+'model_Assumptions'!$B$3)^(COLUMN()-1)</f>
        <v/>
      </c>
      <c r="H3" s="13">
        <f>'model_Assumptions'!$B$8 * (1+'model_Assumptions'!$B$3)^(COLUMN()-1)</f>
        <v/>
      </c>
      <c r="I3" s="13">
        <f>'model_Assumptions'!$B$8 * (1+'model_Assumptions'!$B$3)^(COLUMN()-1)</f>
        <v/>
      </c>
      <c r="J3" s="13">
        <f>'model_Assumptions'!$B$8 * (1+'model_Assumptions'!$B$3)^(COLUMN()-1)</f>
        <v/>
      </c>
      <c r="K3" s="13">
        <f>'model_Assumptions'!$B$8 * (1+'model_Assumptions'!$B$3)^(COLUMN()-1)</f>
        <v/>
      </c>
      <c r="L3" s="13">
        <f>'model_Assumptions'!$B$8 * (1+'model_Assumptions'!$B$3)^(COLUMN()-1)</f>
        <v/>
      </c>
      <c r="M3" s="13">
        <f>'model_Assumptions'!$B$8 * (1+'model_Assumptions'!$B$3)^(COLUMN()-1)</f>
        <v/>
      </c>
      <c r="N3" s="13">
        <f>'model_Assumptions'!$B$8 * (1+'model_Assumptions'!$B$3)^(COLUMN()-1)</f>
        <v/>
      </c>
      <c r="O3" s="13">
        <f>'model_Assumptions'!$B$8 * (1+'model_Assumptions'!$B$3)^(COLUMN()-1)</f>
        <v/>
      </c>
      <c r="P3" s="13">
        <f>'model_Assumptions'!$B$8 * (1+'model_Assumptions'!$B$3)^(COLUMN()-1)</f>
        <v/>
      </c>
      <c r="Q3" s="13">
        <f>'model_Assumptions'!$B$8 * (1+'model_Assumptions'!$B$3)^(COLUMN()-1)</f>
        <v/>
      </c>
      <c r="R3" s="13">
        <f>'model_Assumptions'!$B$8 * (1+'model_Assumptions'!$B$3)^(COLUMN()-1)</f>
        <v/>
      </c>
      <c r="S3" s="13">
        <f>'model_Assumptions'!$B$8 * (1+'model_Assumptions'!$B$3)^(COLUMN()-1)</f>
        <v/>
      </c>
      <c r="T3" s="13">
        <f>'model_Assumptions'!$B$8 * (1+'model_Assumptions'!$B$3)^(COLUMN()-1)</f>
        <v/>
      </c>
      <c r="U3" s="13">
        <f>'model_Assumptions'!$B$8 * (1+'model_Assumptions'!$B$3)^(COLUMN()-1)</f>
        <v/>
      </c>
      <c r="V3" s="13">
        <f>'model_Assumptions'!$B$8 * (1+'model_Assumptions'!$B$3)^(COLUMN()-1)</f>
        <v/>
      </c>
      <c r="W3" s="13">
        <f>'model_Assumptions'!$B$8 * (1+'model_Assumptions'!$B$3)^(COLUMN()-1)</f>
        <v/>
      </c>
      <c r="X3" s="13">
        <f>'model_Assumptions'!$B$8 * (1+'model_Assumptions'!$B$3)^(COLUMN()-1)</f>
        <v/>
      </c>
      <c r="Y3" s="13">
        <f>'model_Assumptions'!$B$8 * (1+'model_Assumptions'!$B$3)^(COLUMN()-1)</f>
        <v/>
      </c>
      <c r="Z3" s="13">
        <f>'model_Assumptions'!$B$8 * (1+'model_Assumptions'!$B$3)^(COLUMN()-1)</f>
        <v/>
      </c>
      <c r="AA3" s="13" t="n"/>
      <c r="AB3" s="13" t="n"/>
      <c r="AC3" s="13" t="n"/>
      <c r="AD3" s="13" t="n"/>
      <c r="AE3" s="13" t="n"/>
    </row>
    <row r="4">
      <c r="A4" s="1" t="inlineStr">
        <is>
          <t>Inflated Price - Ruby [$m]</t>
        </is>
      </c>
      <c r="B4" s="13">
        <f>'model_Assumptions'!$B$9 * B2</f>
        <v/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>
      <c r="A5" s="1" t="inlineStr">
        <is>
          <t>Inflated Price - Emerald [$m]</t>
        </is>
      </c>
      <c r="B5" s="13">
        <f>'model_Assumptions'!$B$10 * B2</f>
        <v/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>
      <c r="A6" s="1" t="inlineStr">
        <is>
          <t>Inflated Price - Gold [$m]</t>
        </is>
      </c>
      <c r="B6" s="13">
        <f>'model_Assumptions'!$B$11 * B2</f>
        <v/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>
      <c r="A7" s="1" t="inlineStr">
        <is>
          <t>Inflated Price - Sapphire [$m]</t>
        </is>
      </c>
      <c r="B7" s="13">
        <f>'model_Assumptions'!$B$12 * B2</f>
        <v/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</row>
    <row r="8">
      <c r="A8" s="1" t="inlineStr">
        <is>
          <t>Cost Inflation Index</t>
        </is>
      </c>
      <c r="B8" s="12">
        <f>(1+'model_Assumptions'!$B$4)^(COLUMN()-1)</f>
        <v/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>
      <c r="A9" s="1" t="inlineStr">
        <is>
          <t>Dynamic Volume - Platinum</t>
        </is>
      </c>
      <c r="B9" s="14">
        <f>IF('model_Assumptions'!$B$1=1, OFFSET('model_Assumptions'!$G$61, 0, COLUMN()-2), IF('model_Assumptions'!$B$1=2, OFFSET('model_Assumptions'!$G$67, 0, COLUMN()-2), OFFSET('model_Assumptions'!$G$73, 0, COLUMN()-2)))</f>
        <v/>
      </c>
      <c r="C9" s="14">
        <f>IF('model_Assumptions'!$B$1=1, OFFSET('model_Assumptions'!$G$61, 0, COLUMN()-2), IF('model_Assumptions'!$B$1=2, OFFSET('model_Assumptions'!$G$67, 0, COLUMN()-2), OFFSET('model_Assumptions'!$G$73, 0, COLUMN()-2)))</f>
        <v/>
      </c>
      <c r="D9" s="14">
        <f>IF('model_Assumptions'!$B$1=1, OFFSET('model_Assumptions'!$G$61, 0, COLUMN()-2), IF('model_Assumptions'!$B$1=2, OFFSET('model_Assumptions'!$G$67, 0, COLUMN()-2), OFFSET('model_Assumptions'!$G$73, 0, COLUMN()-2)))</f>
        <v/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</row>
    <row r="10">
      <c r="A10" s="1" t="inlineStr">
        <is>
          <t>Dynamic Volume - Ruby</t>
        </is>
      </c>
      <c r="B10" s="14">
        <f>IF('model_Assumptions'!$B$1=1, OFFSET('model_Assumptions'!$G$62, 0, COLUMN()-2), IF('model_Assumptions'!$B$1=2, OFFSET('model_Assumptions'!$G$68, 0, COLUMN()-2), OFFSET('model_Assumptions'!$G$74, 0, COLUMN()-2)))</f>
        <v/>
      </c>
      <c r="C10" s="14">
        <f>IF('model_Assumptions'!$B$1=1, OFFSET('model_Assumptions'!$G$62, 0, COLUMN()-2), IF('model_Assumptions'!$B$1=2, OFFSET('model_Assumptions'!$G$68, 0, COLUMN()-2), OFFSET('model_Assumptions'!$G$74, 0, COLUMN()-2)))</f>
        <v/>
      </c>
      <c r="D10" s="14">
        <f>IF('model_Assumptions'!$B$1=1, OFFSET('model_Assumptions'!$G$62, 0, COLUMN()-2), IF('model_Assumptions'!$B$1=2, OFFSET('model_Assumptions'!$G$68, 0, COLUMN()-2), OFFSET('model_Assumptions'!$G$74, 0, COLUMN()-2)))</f>
        <v/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</row>
    <row r="11">
      <c r="A11" s="1" t="inlineStr">
        <is>
          <t>Dynamic Volume - Emerald</t>
        </is>
      </c>
      <c r="B11" s="14">
        <f>IF('model_Assumptions'!$B$1=1, OFFSET('model_Assumptions'!$G$63, 0, COLUMN()-2), IF('model_Assumptions'!$B$1=2, OFFSET('model_Assumptions'!$G$69, 0, COLUMN()-2), OFFSET('model_Assumptions'!$G$75, 0, COLUMN()-2)))</f>
        <v/>
      </c>
      <c r="C11" s="14">
        <f>IF('model_Assumptions'!$B$1=1, OFFSET('model_Assumptions'!$G$63, 0, COLUMN()-2), IF('model_Assumptions'!$B$1=2, OFFSET('model_Assumptions'!$G$69, 0, COLUMN()-2), OFFSET('model_Assumptions'!$G$75, 0, COLUMN()-2)))</f>
        <v/>
      </c>
      <c r="D11" s="14">
        <f>IF('model_Assumptions'!$B$1=1, OFFSET('model_Assumptions'!$G$63, 0, COLUMN()-2), IF('model_Assumptions'!$B$1=2, OFFSET('model_Assumptions'!$G$69, 0, COLUMN()-2), OFFSET('model_Assumptions'!$G$75, 0, COLUMN()-2)))</f>
        <v/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</row>
    <row r="12">
      <c r="A12" s="1" t="inlineStr">
        <is>
          <t>Dynamic Volume - Gold</t>
        </is>
      </c>
      <c r="B12" s="14">
        <f>IF('model_Assumptions'!$B$1=1, OFFSET('model_Assumptions'!$G$64, 0, COLUMN()-2), IF('model_Assumptions'!$B$1=2, OFFSET('model_Assumptions'!$G$70, 0, COLUMN()-2), OFFSET('model_Assumptions'!$G$76, 0, COLUMN()-2)))</f>
        <v/>
      </c>
      <c r="C12" s="14">
        <f>IF('model_Assumptions'!$B$1=1, OFFSET('model_Assumptions'!$G$64, 0, COLUMN()-2), IF('model_Assumptions'!$B$1=2, OFFSET('model_Assumptions'!$G$70, 0, COLUMN()-2), OFFSET('model_Assumptions'!$G$76, 0, COLUMN()-2)))</f>
        <v/>
      </c>
      <c r="D12" s="14">
        <f>IF('model_Assumptions'!$B$1=1, OFFSET('model_Assumptions'!$G$64, 0, COLUMN()-2), IF('model_Assumptions'!$B$1=2, OFFSET('model_Assumptions'!$G$70, 0, COLUMN()-2), OFFSET('model_Assumptions'!$G$76, 0, COLUMN()-2)))</f>
        <v/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</row>
    <row r="13">
      <c r="A13" s="1" t="inlineStr">
        <is>
          <t>Dynamic Volume - Sapphire</t>
        </is>
      </c>
      <c r="B13" s="14">
        <f>IF('model_Assumptions'!$B$1=1, OFFSET('model_Assumptions'!$G$65, 0, COLUMN()-2), IF('model_Assumptions'!$B$1=2, OFFSET('model_Assumptions'!$G$71, 0, COLUMN()-2), OFFSET('model_Assumptions'!$G$77, 0, COLUMN()-2)))</f>
        <v/>
      </c>
      <c r="C13" s="14">
        <f>IF('model_Assumptions'!$B$1=1, OFFSET('model_Assumptions'!$G$65, 0, COLUMN()-2), IF('model_Assumptions'!$B$1=2, OFFSET('model_Assumptions'!$G$71, 0, COLUMN()-2), OFFSET('model_Assumptions'!$G$77, 0, COLUMN()-2)))</f>
        <v/>
      </c>
      <c r="D13" s="14">
        <f>IF('model_Assumptions'!$B$1=1, OFFSET('model_Assumptions'!$G$65, 0, COLUMN()-2), IF('model_Assumptions'!$B$1=2, OFFSET('model_Assumptions'!$G$71, 0, COLUMN()-2), OFFSET('model_Assumptions'!$G$77, 0, COLUMN()-2)))</f>
        <v/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</row>
    <row r="14">
      <c r="A14" s="1" t="inlineStr">
        <is>
          <t>Order Value - Platinum [$m]</t>
        </is>
      </c>
      <c r="B14" s="10">
        <f>B3*B9</f>
        <v/>
      </c>
      <c r="C14" s="10">
        <f>C3*C9</f>
        <v/>
      </c>
      <c r="D14" s="10">
        <f>D3*D9</f>
        <v/>
      </c>
      <c r="E14" s="10">
        <f>E3*E9</f>
        <v/>
      </c>
      <c r="F14" s="10">
        <f>F3*F9</f>
        <v/>
      </c>
      <c r="G14" s="10">
        <f>G3*G9</f>
        <v/>
      </c>
      <c r="H14" s="10">
        <f>H3*H9</f>
        <v/>
      </c>
      <c r="I14" s="10">
        <f>I3*I9</f>
        <v/>
      </c>
      <c r="J14" s="10">
        <f>J3*J9</f>
        <v/>
      </c>
      <c r="K14" s="10">
        <f>K3*K9</f>
        <v/>
      </c>
      <c r="L14" s="10">
        <f>L3*L9</f>
        <v/>
      </c>
      <c r="M14" s="10">
        <f>M3*M9</f>
        <v/>
      </c>
      <c r="N14" s="10">
        <f>N3*N9</f>
        <v/>
      </c>
      <c r="O14" s="10">
        <f>O3*O9</f>
        <v/>
      </c>
      <c r="P14" s="10">
        <f>P3*P9</f>
        <v/>
      </c>
      <c r="Q14" s="10">
        <f>Q3*Q9</f>
        <v/>
      </c>
      <c r="R14" s="10">
        <f>R3*R9</f>
        <v/>
      </c>
      <c r="S14" s="10">
        <f>S3*S9</f>
        <v/>
      </c>
      <c r="T14" s="10">
        <f>T3*T9</f>
        <v/>
      </c>
      <c r="U14" s="10">
        <f>U3*U9</f>
        <v/>
      </c>
      <c r="V14" s="10">
        <f>V3*V9</f>
        <v/>
      </c>
      <c r="W14" s="10">
        <f>W3*W9</f>
        <v/>
      </c>
      <c r="X14" s="10">
        <f>X3*X9</f>
        <v/>
      </c>
      <c r="Y14" s="10">
        <f>Y3*Y9</f>
        <v/>
      </c>
      <c r="Z14" s="10">
        <f>Z3*Z9</f>
        <v/>
      </c>
      <c r="AA14" s="10">
        <f>AA3*AA9</f>
        <v/>
      </c>
      <c r="AB14" s="10">
        <f>AB3*AB9</f>
        <v/>
      </c>
      <c r="AC14" s="10">
        <f>AC3*AC9</f>
        <v/>
      </c>
      <c r="AD14" s="10">
        <f>AD3*AD9</f>
        <v/>
      </c>
      <c r="AE14" s="10">
        <f>AE3*AE9</f>
        <v/>
      </c>
    </row>
    <row r="15">
      <c r="A15" s="1" t="inlineStr">
        <is>
          <t>Order Value - Ruby [$m]</t>
        </is>
      </c>
      <c r="B15" s="10">
        <f>B4*B10</f>
        <v/>
      </c>
      <c r="C15" s="10">
        <f>C4*C10</f>
        <v/>
      </c>
      <c r="D15" s="10">
        <f>D4*D10</f>
        <v/>
      </c>
      <c r="E15" s="10">
        <f>E4*E10</f>
        <v/>
      </c>
      <c r="F15" s="10">
        <f>F4*F10</f>
        <v/>
      </c>
      <c r="G15" s="10">
        <f>G4*G10</f>
        <v/>
      </c>
      <c r="H15" s="10">
        <f>H4*H10</f>
        <v/>
      </c>
      <c r="I15" s="10">
        <f>I4*I10</f>
        <v/>
      </c>
      <c r="J15" s="10">
        <f>J4*J10</f>
        <v/>
      </c>
      <c r="K15" s="10">
        <f>K4*K10</f>
        <v/>
      </c>
      <c r="L15" s="10">
        <f>L4*L10</f>
        <v/>
      </c>
      <c r="M15" s="10">
        <f>M4*M10</f>
        <v/>
      </c>
      <c r="N15" s="10">
        <f>N4*N10</f>
        <v/>
      </c>
      <c r="O15" s="10">
        <f>O4*O10</f>
        <v/>
      </c>
      <c r="P15" s="10">
        <f>P4*P10</f>
        <v/>
      </c>
      <c r="Q15" s="10">
        <f>Q4*Q10</f>
        <v/>
      </c>
      <c r="R15" s="10">
        <f>R4*R10</f>
        <v/>
      </c>
      <c r="S15" s="10">
        <f>S4*S10</f>
        <v/>
      </c>
      <c r="T15" s="10">
        <f>T4*T10</f>
        <v/>
      </c>
      <c r="U15" s="10">
        <f>U4*U10</f>
        <v/>
      </c>
      <c r="V15" s="10">
        <f>V4*V10</f>
        <v/>
      </c>
      <c r="W15" s="10">
        <f>W4*W10</f>
        <v/>
      </c>
      <c r="X15" s="10">
        <f>X4*X10</f>
        <v/>
      </c>
      <c r="Y15" s="10">
        <f>Y4*Y10</f>
        <v/>
      </c>
      <c r="Z15" s="10">
        <f>Z4*Z10</f>
        <v/>
      </c>
      <c r="AA15" s="10">
        <f>AA4*AA10</f>
        <v/>
      </c>
      <c r="AB15" s="10">
        <f>AB4*AB10</f>
        <v/>
      </c>
      <c r="AC15" s="10">
        <f>AC4*AC10</f>
        <v/>
      </c>
      <c r="AD15" s="10">
        <f>AD4*AD10</f>
        <v/>
      </c>
      <c r="AE15" s="10">
        <f>AE4*AE10</f>
        <v/>
      </c>
    </row>
    <row r="16">
      <c r="A16" s="1" t="inlineStr">
        <is>
          <t>Order Value - Emerald [$m]</t>
        </is>
      </c>
      <c r="B16" s="10">
        <f>B5*B11</f>
        <v/>
      </c>
      <c r="C16" s="10">
        <f>C5*C11</f>
        <v/>
      </c>
      <c r="D16" s="10">
        <f>D5*D11</f>
        <v/>
      </c>
      <c r="E16" s="10">
        <f>E5*E11</f>
        <v/>
      </c>
      <c r="F16" s="10">
        <f>F5*F11</f>
        <v/>
      </c>
      <c r="G16" s="10">
        <f>G5*G11</f>
        <v/>
      </c>
      <c r="H16" s="10">
        <f>H5*H11</f>
        <v/>
      </c>
      <c r="I16" s="10">
        <f>I5*I11</f>
        <v/>
      </c>
      <c r="J16" s="10">
        <f>J5*J11</f>
        <v/>
      </c>
      <c r="K16" s="10">
        <f>K5*K11</f>
        <v/>
      </c>
      <c r="L16" s="10">
        <f>L5*L11</f>
        <v/>
      </c>
      <c r="M16" s="10">
        <f>M5*M11</f>
        <v/>
      </c>
      <c r="N16" s="10">
        <f>N5*N11</f>
        <v/>
      </c>
      <c r="O16" s="10">
        <f>O5*O11</f>
        <v/>
      </c>
      <c r="P16" s="10">
        <f>P5*P11</f>
        <v/>
      </c>
      <c r="Q16" s="10">
        <f>Q5*Q11</f>
        <v/>
      </c>
      <c r="R16" s="10">
        <f>R5*R11</f>
        <v/>
      </c>
      <c r="S16" s="10">
        <f>S5*S11</f>
        <v/>
      </c>
      <c r="T16" s="10">
        <f>T5*T11</f>
        <v/>
      </c>
      <c r="U16" s="10">
        <f>U5*U11</f>
        <v/>
      </c>
      <c r="V16" s="10">
        <f>V5*V11</f>
        <v/>
      </c>
      <c r="W16" s="10">
        <f>W5*W11</f>
        <v/>
      </c>
      <c r="X16" s="10">
        <f>X5*X11</f>
        <v/>
      </c>
      <c r="Y16" s="10">
        <f>Y5*Y11</f>
        <v/>
      </c>
      <c r="Z16" s="10">
        <f>Z5*Z11</f>
        <v/>
      </c>
      <c r="AA16" s="10">
        <f>AA5*AA11</f>
        <v/>
      </c>
      <c r="AB16" s="10">
        <f>AB5*AB11</f>
        <v/>
      </c>
      <c r="AC16" s="10">
        <f>AC5*AC11</f>
        <v/>
      </c>
      <c r="AD16" s="10">
        <f>AD5*AD11</f>
        <v/>
      </c>
      <c r="AE16" s="10">
        <f>AE5*AE11</f>
        <v/>
      </c>
    </row>
    <row r="17">
      <c r="A17" s="1" t="inlineStr">
        <is>
          <t>Order Value - Gold [$m]</t>
        </is>
      </c>
      <c r="B17" s="10">
        <f>B6*B12</f>
        <v/>
      </c>
      <c r="C17" s="10">
        <f>C6*C12</f>
        <v/>
      </c>
      <c r="D17" s="10">
        <f>D6*D12</f>
        <v/>
      </c>
      <c r="E17" s="10">
        <f>E6*E12</f>
        <v/>
      </c>
      <c r="F17" s="10">
        <f>F6*F12</f>
        <v/>
      </c>
      <c r="G17" s="10">
        <f>G6*G12</f>
        <v/>
      </c>
      <c r="H17" s="10">
        <f>H6*H12</f>
        <v/>
      </c>
      <c r="I17" s="10">
        <f>I6*I12</f>
        <v/>
      </c>
      <c r="J17" s="10">
        <f>J6*J12</f>
        <v/>
      </c>
      <c r="K17" s="10">
        <f>K6*K12</f>
        <v/>
      </c>
      <c r="L17" s="10">
        <f>L6*L12</f>
        <v/>
      </c>
      <c r="M17" s="10">
        <f>M6*M12</f>
        <v/>
      </c>
      <c r="N17" s="10">
        <f>N6*N12</f>
        <v/>
      </c>
      <c r="O17" s="10">
        <f>O6*O12</f>
        <v/>
      </c>
      <c r="P17" s="10">
        <f>P6*P12</f>
        <v/>
      </c>
      <c r="Q17" s="10">
        <f>Q6*Q12</f>
        <v/>
      </c>
      <c r="R17" s="10">
        <f>R6*R12</f>
        <v/>
      </c>
      <c r="S17" s="10">
        <f>S6*S12</f>
        <v/>
      </c>
      <c r="T17" s="10">
        <f>T6*T12</f>
        <v/>
      </c>
      <c r="U17" s="10">
        <f>U6*U12</f>
        <v/>
      </c>
      <c r="V17" s="10">
        <f>V6*V12</f>
        <v/>
      </c>
      <c r="W17" s="10">
        <f>W6*W12</f>
        <v/>
      </c>
      <c r="X17" s="10">
        <f>X6*X12</f>
        <v/>
      </c>
      <c r="Y17" s="10">
        <f>Y6*Y12</f>
        <v/>
      </c>
      <c r="Z17" s="10">
        <f>Z6*Z12</f>
        <v/>
      </c>
      <c r="AA17" s="10">
        <f>AA6*AA12</f>
        <v/>
      </c>
      <c r="AB17" s="10">
        <f>AB6*AB12</f>
        <v/>
      </c>
      <c r="AC17" s="10">
        <f>AC6*AC12</f>
        <v/>
      </c>
      <c r="AD17" s="10">
        <f>AD6*AD12</f>
        <v/>
      </c>
      <c r="AE17" s="10">
        <f>AE6*AE12</f>
        <v/>
      </c>
    </row>
    <row r="18">
      <c r="A18" s="1" t="inlineStr">
        <is>
          <t>Order Value - Sapphire [$m]</t>
        </is>
      </c>
      <c r="B18" s="10">
        <f>B7*B13</f>
        <v/>
      </c>
      <c r="C18" s="10">
        <f>C7*C13</f>
        <v/>
      </c>
      <c r="D18" s="10">
        <f>D7*D13</f>
        <v/>
      </c>
      <c r="E18" s="10">
        <f>E7*E13</f>
        <v/>
      </c>
      <c r="F18" s="10">
        <f>F7*F13</f>
        <v/>
      </c>
      <c r="G18" s="10">
        <f>G7*G13</f>
        <v/>
      </c>
      <c r="H18" s="10">
        <f>H7*H13</f>
        <v/>
      </c>
      <c r="I18" s="10">
        <f>I7*I13</f>
        <v/>
      </c>
      <c r="J18" s="10">
        <f>J7*J13</f>
        <v/>
      </c>
      <c r="K18" s="10">
        <f>K7*K13</f>
        <v/>
      </c>
      <c r="L18" s="10">
        <f>L7*L13</f>
        <v/>
      </c>
      <c r="M18" s="10">
        <f>M7*M13</f>
        <v/>
      </c>
      <c r="N18" s="10">
        <f>N7*N13</f>
        <v/>
      </c>
      <c r="O18" s="10">
        <f>O7*O13</f>
        <v/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</row>
    <row r="19">
      <c r="A19" s="1" t="inlineStr">
        <is>
          <t>Cash Receipts - Platinum [$m]</t>
        </is>
      </c>
      <c r="B19" s="1">
        <f>IF(COLUMN()=2, 0.5*B14, 0.5*B14 + 0.125*SUM(OFFSET(B14, 0, -MIN(COLUMN()-2, 4), 1, MIN(COLUMN()-2, 4))))</f>
        <v/>
      </c>
      <c r="C19" s="1">
        <f>0.5*C14 + 0.125*B14</f>
        <v/>
      </c>
      <c r="D19" s="1">
        <f>0.5*D14 + 0.125*SUM(B14:C14)</f>
        <v/>
      </c>
      <c r="E19" s="1">
        <f>0.5*E14 + 0.125*SUM(B14:D14)</f>
        <v/>
      </c>
      <c r="F19" s="1">
        <f>0.5*F14 + 0.125*SUM(B14:E14)</f>
        <v/>
      </c>
      <c r="G19" s="1">
        <f>0.5*G14 + 0.125*SUM(C14:F14)</f>
        <v/>
      </c>
      <c r="H19" s="1">
        <f>0.5*H14 + 0.125*SUM(D14:G14)</f>
        <v/>
      </c>
      <c r="I19" s="1">
        <f>0.5*I14 + 0.125*SUM(E14:H14)</f>
        <v/>
      </c>
      <c r="J19" s="1">
        <f>0.5*J14 + 0.125*SUM(F14:I14)</f>
        <v/>
      </c>
      <c r="K19" s="1">
        <f>0.5*K14 + 0.125*SUM(G14:J14)</f>
        <v/>
      </c>
      <c r="L19" s="1">
        <f>0.5*L14 + 0.125*SUM(H14:K14)</f>
        <v/>
      </c>
      <c r="M19" s="1">
        <f>0.5*M14 + 0.125*SUM(I14:L14)</f>
        <v/>
      </c>
      <c r="N19" s="1">
        <f>0.5*N14 + 0.125*SUM(J14:M14)</f>
        <v/>
      </c>
      <c r="O19" s="1">
        <f>0.5*O14 + 0.125*SUM(K14:N14)</f>
        <v/>
      </c>
      <c r="P19" s="1">
        <f>0.5*P14 + 0.125*SUM(L14:O14)</f>
        <v/>
      </c>
      <c r="Q19" s="1">
        <f>0.5*Q14 + 0.125*SUM(M14:P14)</f>
        <v/>
      </c>
      <c r="R19" s="1">
        <f>0.5*R14 + 0.125*SUM(N14:Q14)</f>
        <v/>
      </c>
      <c r="S19" s="1">
        <f>0.5*S14 + 0.125*SUM(O14:R14)</f>
        <v/>
      </c>
      <c r="T19" s="1">
        <f>0.5*T14 + 0.125*SUM(P14:S14)</f>
        <v/>
      </c>
      <c r="U19" s="1">
        <f>0.5*U14 + 0.125*SUM(Q14:T14)</f>
        <v/>
      </c>
      <c r="V19" s="1">
        <f>0.5*V14 + 0.125*SUM(R14:U14)</f>
        <v/>
      </c>
      <c r="W19" s="1">
        <f>0.5*W14 + 0.125*SUM(S14:V14)</f>
        <v/>
      </c>
      <c r="X19" s="1">
        <f>0.5*X14 + 0.125*SUM(T14:W14)</f>
        <v/>
      </c>
      <c r="Y19" s="1">
        <f>0.5*Y14 + 0.125*SUM(U14:X14)</f>
        <v/>
      </c>
      <c r="Z19" s="1">
        <f>0.5*Z14 + 0.125*SUM(V14:Y14)</f>
        <v/>
      </c>
      <c r="AA19" s="1">
        <f>0.5*AA14 + 0.125*SUM(W14:Z14)</f>
        <v/>
      </c>
      <c r="AB19" s="1">
        <f>0.5*AB14 + 0.125*SUM(X14:AA14)</f>
        <v/>
      </c>
      <c r="AC19" s="1">
        <f>0.5*AC14 + 0.125*SUM(Y14:AB14)</f>
        <v/>
      </c>
      <c r="AD19" s="1">
        <f>0.5*AD14 + 0.125*SUM(Z14:AC14)</f>
        <v/>
      </c>
      <c r="AE19" s="1">
        <f>0.5*AE14 + 0.125*SUM(AA14:AD14)</f>
        <v/>
      </c>
    </row>
    <row r="20">
      <c r="A20" s="1" t="inlineStr">
        <is>
          <t>Revenue Recognition - Platinum [$m]</t>
        </is>
      </c>
      <c r="B20" s="1">
        <f>IF(COLUMN()&lt;6, 0, OFFSET($B14, 0, COLUMN()-6))</f>
        <v/>
      </c>
      <c r="C20" s="1">
        <f>IF(COLUMN()&lt;5, 0, OFFSET($B15, 0, COLUMN()-5))</f>
        <v/>
      </c>
      <c r="D20" s="1">
        <f>IF(COLUMN()&lt;5, 0, OFFSET($B15, 0, COLUMN()-5))</f>
        <v/>
      </c>
      <c r="E20" s="1">
        <f>IF(COLUMN()&lt;5, 0, OFFSET($B15, 0, COLUMN()-5))</f>
        <v/>
      </c>
      <c r="F20" s="1">
        <f>B14</f>
        <v/>
      </c>
      <c r="G20" s="1">
        <f>C14</f>
        <v/>
      </c>
      <c r="H20" s="1">
        <f>D14</f>
        <v/>
      </c>
      <c r="I20" s="1">
        <f>E14</f>
        <v/>
      </c>
      <c r="J20" s="1">
        <f>F14</f>
        <v/>
      </c>
      <c r="K20" s="1">
        <f>G14</f>
        <v/>
      </c>
      <c r="L20" s="1">
        <f>H14</f>
        <v/>
      </c>
      <c r="M20" s="1">
        <f>I14</f>
        <v/>
      </c>
      <c r="N20" s="1">
        <f>J14</f>
        <v/>
      </c>
      <c r="O20" s="1">
        <f>K14</f>
        <v/>
      </c>
      <c r="P20" s="1">
        <f>L14</f>
        <v/>
      </c>
      <c r="Q20" s="1">
        <f>M14</f>
        <v/>
      </c>
      <c r="R20" s="1">
        <f>N14</f>
        <v/>
      </c>
      <c r="S20" s="1">
        <f>O14</f>
        <v/>
      </c>
      <c r="T20" s="1">
        <f>P14</f>
        <v/>
      </c>
      <c r="U20" s="1">
        <f>Q14</f>
        <v/>
      </c>
      <c r="V20" s="1">
        <f>R14</f>
        <v/>
      </c>
      <c r="W20" s="1">
        <f>S14</f>
        <v/>
      </c>
      <c r="X20" s="1">
        <f>T14</f>
        <v/>
      </c>
      <c r="Y20" s="1">
        <f>U14</f>
        <v/>
      </c>
      <c r="Z20" s="1">
        <f>V14</f>
        <v/>
      </c>
      <c r="AA20" s="1">
        <f>W14</f>
        <v/>
      </c>
      <c r="AB20" s="1">
        <f>X14</f>
        <v/>
      </c>
      <c r="AC20" s="1">
        <f>Y14</f>
        <v/>
      </c>
      <c r="AD20" s="1">
        <f>Z14</f>
        <v/>
      </c>
      <c r="AE20" s="1">
        <f>AA14</f>
        <v/>
      </c>
    </row>
    <row r="21">
      <c r="A21" s="1" t="inlineStr">
        <is>
          <t>COGS - Platinum [$m]</t>
        </is>
      </c>
      <c r="B21" s="1">
        <f>IF(COLUMN()=2, 0, ('model_Assumptions'!$C$8 * SUM(OFFSET(B14, 0, -MIN(COLUMN()-2, 4), 1, MIN(COLUMN()-2, 4)+1))) / 5)</f>
        <v/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inlineStr">
        <is>
          <t>Cash Receipts - Ruby [$m]</t>
        </is>
      </c>
      <c r="B22" s="1">
        <f>IF(COLUMN()=2, 0.5*B15, 0.5*B15 + (0.5/3)*SUM(OFFSET(B15, 0, -MIN(COLUMN()-2, 3), 1, MIN(COLUMN()-2, 3))))</f>
        <v/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inlineStr">
        <is>
          <t>Revenue Recognition - Ruby [$m]</t>
        </is>
      </c>
      <c r="B23" s="1">
        <f>IF(COLUMN()&lt;5, 0, OFFSET($B15, 0, COLUMN()-5))</f>
        <v/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inlineStr">
        <is>
          <t>COGS - Ruby [$m]</t>
        </is>
      </c>
      <c r="B24" s="1">
        <f>IF(COLUMN()=2, 0, ('model_Assumptions'!$C$9 * SUM(OFFSET(B15, 0, -MIN(COLUMN()-2, 3), 1, MIN(COLUMN()-2, 3)+1))) / 4)</f>
        <v/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inlineStr">
        <is>
          <t>Cash Receipts - Emerald [$m]</t>
        </is>
      </c>
      <c r="B25" s="1">
        <f>IF(COLUMN()=2, 0.5*B16, 0.5*B16 + (0.5/3)*SUM(OFFSET(B16, 0, -MIN(COLUMN()-2, 3), 1, MIN(COLUMN()-2, 3))))</f>
        <v/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inlineStr">
        <is>
          <t>Revenue Recognition - Emerald [$m]</t>
        </is>
      </c>
      <c r="B26" s="1">
        <f>IF(COLUMN()&lt;5, 0, OFFSET($B16, 0, COLUMN()-5))</f>
        <v/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inlineStr">
        <is>
          <t>COGS - Emerald [$m]</t>
        </is>
      </c>
      <c r="B27" s="1">
        <f>IF(COLUMN()=2, 0, ('model_Assumptions'!$C$10 * SUM(OFFSET(B16, 0, -MIN(COLUMN()-2, 3), 1, MIN(COLUMN()-2, 3)+1))) / 4)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>
      <c r="A28" s="1" t="inlineStr">
        <is>
          <t>Cash Receipts - Gold [$m]</t>
        </is>
      </c>
      <c r="B28" s="1">
        <f>IF(COLUMN()=2, 0.5*B17, 0.5*B17 + (0.5/2)*SUM(OFFSET(B17, 0, -MIN(COLUMN()-2, 2), 1, MIN(COLUMN()-2, 2))))</f>
        <v/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inlineStr">
        <is>
          <t>Revenue Recognition - Gold [$m]</t>
        </is>
      </c>
      <c r="B29" s="1">
        <f>IF(COLUMN()&lt;4, 0, OFFSET($B17, 0, COLUMN()-4))</f>
        <v/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inlineStr">
        <is>
          <t>COGS - Gold [$m]</t>
        </is>
      </c>
      <c r="B30" s="1">
        <f>IF(COLUMN()=2, 0, ('model_Assumptions'!$C$11 * SUM(OFFSET(B17, 0, -MIN(COLUMN()-2, 2), 1, MIN(COLUMN()-2, 2)+1))) / 3)</f>
        <v/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inlineStr">
        <is>
          <t>Cash Receipts - Sapphire [$m]</t>
        </is>
      </c>
      <c r="B31" s="1">
        <f>IF(COLUMN()=2, 0.5*B18, 0.5*B18 + (0.5/2)*SUM(OFFSET(B18, 0, -MIN(COLUMN()-2, 2), 1, MIN(COLUMN()-2, 2))))</f>
        <v/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>
      <c r="A32" s="1" t="inlineStr">
        <is>
          <t>Revenue Recognition - Sapphire [$m]</t>
        </is>
      </c>
      <c r="B32" s="1">
        <f>IF(COLUMN()&lt;4, 0, OFFSET($B18, 0, COLUMN()-4))</f>
        <v/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>
      <c r="A33" s="1" t="inlineStr">
        <is>
          <t>COGS - Sapphire [$m]</t>
        </is>
      </c>
      <c r="B33" s="1">
        <f>IF(COLUMN()=2, 0, ('model_Assumptions'!$C$12 * SUM(OFFSET(B18, 0, -MIN(COLUMN()-2, 2), 1, MIN(COLUMN()-2, 2)+1))) / 3)</f>
        <v/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>
      <c r="A34" s="1" t="inlineStr">
        <is>
          <t>Total Revenue [$m]</t>
        </is>
      </c>
      <c r="B34" s="1">
        <f>SUM(B20, B23, B26, B29, B32)</f>
        <v/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>
      <c r="A35" s="1" t="inlineStr">
        <is>
          <t>Total Cash Receipts from Sales [$m]</t>
        </is>
      </c>
      <c r="B35" s="1">
        <f>SUM(B19, B22, B25, B28, B31)</f>
        <v/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>
      <c r="A36" s="1" t="inlineStr">
        <is>
          <t>Total COGS [$m]</t>
        </is>
      </c>
      <c r="B36" s="1">
        <f>SUM(B21, B24, B27, B30, B33)</f>
        <v/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>
      <c r="A37" t="inlineStr">
        <is>
          <t>Total Inflated OpEx [$m]</t>
        </is>
      </c>
      <c r="B37">
        <f>( 'model_Assumptions'!$B$16 + 'model_Assumptions'!$B$17 + 'model_Assumptions'!$B$18 + 'model_Assumptions'!$B$19 ) * B8</f>
        <v/>
      </c>
    </row>
    <row r="38">
      <c r="A38" t="inlineStr">
        <is>
          <t>Total Depreciation [$m]</t>
        </is>
      </c>
    </row>
    <row r="39">
      <c r="A39" t="inlineStr">
        <is>
          <t>EBIT [$m]</t>
        </is>
      </c>
      <c r="B39">
        <f>B34-B36-B37-B55</f>
        <v/>
      </c>
      <c r="C39">
        <f>C34-C36-C37-C55</f>
        <v/>
      </c>
    </row>
    <row r="40">
      <c r="A40" t="inlineStr">
        <is>
          <t>Buildings - Opening Balance [$m]</t>
        </is>
      </c>
      <c r="B40">
        <f>'model_Assumptions'!$B$23</f>
        <v/>
      </c>
      <c r="C40">
        <f>B44</f>
        <v/>
      </c>
    </row>
    <row r="41">
      <c r="A41" t="inlineStr">
        <is>
          <t>Buildings - Real CapEx [$m]</t>
        </is>
      </c>
      <c r="B41">
        <f>'model_Assumptions'!G80</f>
        <v/>
      </c>
      <c r="C41">
        <f>'model_Assumptions'!H80</f>
        <v/>
      </c>
    </row>
    <row r="42">
      <c r="A42" t="inlineStr">
        <is>
          <t>Buildings - Inflated CapEx [$m]</t>
        </is>
      </c>
      <c r="B42">
        <f>B41*B8</f>
        <v/>
      </c>
      <c r="C42">
        <f>C41*C8</f>
        <v/>
      </c>
    </row>
    <row r="43">
      <c r="A43" t="inlineStr">
        <is>
          <t>Buildings - Depreciation [$m]</t>
        </is>
      </c>
      <c r="B43">
        <f>(B40+B42)*'model_Assumptions'!$C$23</f>
        <v/>
      </c>
      <c r="C43">
        <f>(C40+C42)*'model_Assumptions'!$C$23</f>
        <v/>
      </c>
    </row>
    <row r="44">
      <c r="A44" t="inlineStr">
        <is>
          <t>Buildings - Closing Balance [$m]</t>
        </is>
      </c>
      <c r="B44">
        <f>B40+B42-B43</f>
        <v/>
      </c>
      <c r="C44">
        <f>C40+C42-C43</f>
        <v/>
      </c>
    </row>
    <row r="45">
      <c r="A45" t="inlineStr">
        <is>
          <t>Equipment - Opening Balance [$m]</t>
        </is>
      </c>
      <c r="B45">
        <f>'model_Assumptions'!$B$24</f>
        <v/>
      </c>
      <c r="C45">
        <f>B49</f>
        <v/>
      </c>
    </row>
    <row r="46">
      <c r="A46" t="inlineStr">
        <is>
          <t>Equipment - Real CapEx [$m]</t>
        </is>
      </c>
      <c r="B46">
        <f>'model_Assumptions'!G81</f>
        <v/>
      </c>
      <c r="C46">
        <f>'model_Assumptions'!H81</f>
        <v/>
      </c>
    </row>
    <row r="47">
      <c r="A47" t="inlineStr">
        <is>
          <t>Equipment - Inflated CapEx [$m]</t>
        </is>
      </c>
      <c r="B47">
        <f>B46*B8</f>
        <v/>
      </c>
      <c r="C47">
        <f>C46*C8</f>
        <v/>
      </c>
    </row>
    <row r="48">
      <c r="A48" t="inlineStr">
        <is>
          <t>Equipment - Depreciation [$m]</t>
        </is>
      </c>
      <c r="B48">
        <f>(B45+B47)*'model_Assumptions'!$C$24</f>
        <v/>
      </c>
      <c r="C48">
        <f>(C45+C47)*'model_Assumptions'!$C$24</f>
        <v/>
      </c>
    </row>
    <row r="49">
      <c r="A49" t="inlineStr">
        <is>
          <t>Equipment - Closing Balance [$m]</t>
        </is>
      </c>
      <c r="B49">
        <f>B45+B47-B48</f>
        <v/>
      </c>
      <c r="C49">
        <f>C45+C47-C48</f>
        <v/>
      </c>
    </row>
    <row r="50">
      <c r="A50" t="inlineStr">
        <is>
          <t>Other - Opening Balance [$m]</t>
        </is>
      </c>
      <c r="B50">
        <f>'model_Assumptions'!$B$25</f>
        <v/>
      </c>
      <c r="C50">
        <f>B54</f>
        <v/>
      </c>
    </row>
    <row r="51">
      <c r="A51" t="inlineStr">
        <is>
          <t>Other - Real CapEx [$m]</t>
        </is>
      </c>
      <c r="B51">
        <f>'model_Assumptions'!G82</f>
        <v/>
      </c>
      <c r="C51">
        <f>'model_Assumptions'!H82</f>
        <v/>
      </c>
    </row>
    <row r="52">
      <c r="A52" t="inlineStr">
        <is>
          <t>Other - Inflated CapEx [$m]</t>
        </is>
      </c>
      <c r="B52">
        <f>B51*B8</f>
        <v/>
      </c>
      <c r="C52">
        <f>C51*C8</f>
        <v/>
      </c>
    </row>
    <row r="53">
      <c r="A53" t="inlineStr">
        <is>
          <t>Other - Depreciation [$m]</t>
        </is>
      </c>
      <c r="B53">
        <f>(B50+B52)*'model_Assumptions'!$C$25</f>
        <v/>
      </c>
      <c r="C53">
        <f>(C50+C52)*'model_Assumptions'!$C$25</f>
        <v/>
      </c>
    </row>
    <row r="54">
      <c r="A54" t="inlineStr">
        <is>
          <t>Other - Closing Balance [$m]</t>
        </is>
      </c>
      <c r="B54">
        <f>B50+B52-B53</f>
        <v/>
      </c>
      <c r="C54">
        <f>C50+C52-C53</f>
        <v/>
      </c>
    </row>
    <row r="55">
      <c r="A55" t="inlineStr">
        <is>
          <t>Total Depreciation [$m]</t>
        </is>
      </c>
      <c r="B55">
        <f>B43+B48+B53</f>
        <v/>
      </c>
      <c r="C55">
        <f>C43+C48+C53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2026-08-15T03:24:22Z</dcterms:created>
  <dcterms:modified xsi:type="dcterms:W3CDTF">2026-08-15T08:32:39Z</dcterms:modified>
</cp:coreProperties>
</file>