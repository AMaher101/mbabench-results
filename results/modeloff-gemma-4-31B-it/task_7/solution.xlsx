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6" sheetId="3" state="visible" r:id="rId3"/>
    <sheet name="answers_Q7" sheetId="4" state="visible" r:id="rId4"/>
    <sheet name="answers_Q8" sheetId="5" state="visible" r:id="rId5"/>
    <sheet name="answers_Q9" sheetId="6" state="visible" r:id="rId6"/>
    <sheet name="answers_Q10" sheetId="7" state="visible" r:id="rId7"/>
    <sheet name="answers_Q11" sheetId="8" state="visible" r:id="rId8"/>
    <sheet name="answers_Q12" sheetId="9" state="visible" r:id="rId9"/>
    <sheet name="answers_Q13" sheetId="10" state="visible" r:id="rId10"/>
    <sheet name="answers_Q14" sheetId="11" state="visible" r:id="rId11"/>
    <sheet name="answers_Q15" sheetId="12" state="visible" r:id="rId12"/>
    <sheet name="answers_Q16" sheetId="13" state="visible" r:id="rId13"/>
    <sheet name="answers_Q17" sheetId="14" state="visible" r:id="rId14"/>
    <sheet name="answers_Q1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"/>
    <numFmt numFmtId="166" formatCode="$#,##0.00"/>
    <numFmt numFmtId="167" formatCode="$#,##0_);($#,##0)"/>
    <numFmt numFmtId="168" formatCode="0.0000"/>
  </numFmts>
  <fonts count="5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rgb="000000FF"/>
      <sz val="11"/>
    </font>
    <font>
      <name val="Calibri"/>
      <b val="1"/>
      <color rgb="00FFFFFF"/>
      <sz val="11"/>
    </font>
    <font>
      <name val="Calibri"/>
      <b val="1"/>
      <color rgb="000000FF"/>
      <sz val="11"/>
    </font>
  </fonts>
  <fills count="4">
    <fill>
      <patternFill/>
    </fill>
    <fill>
      <patternFill patternType="gray125"/>
    </fill>
    <fill>
      <patternFill>
        <fgColor rgb="001F4E78"/>
        <bgColor rgb="001F4E78"/>
      </patternFill>
    </fill>
    <fill>
      <patternFill>
        <fgColor rgb="00002060"/>
        <bgColor rgb="00002060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0" fontId="2" fillId="0" borderId="0" pivotButton="0" quotePrefix="0" xfId="0"/>
    <xf numFmtId="164" fontId="2" fillId="0" borderId="0" pivotButton="0" quotePrefix="0" xfId="0"/>
    <xf numFmtId="164" fontId="1" fillId="0" borderId="0" pivotButton="0" quotePrefix="0" xfId="0"/>
    <xf numFmtId="165" fontId="2" fillId="0" borderId="0" pivotButton="0" quotePrefix="0" xfId="0"/>
    <xf numFmtId="164" fontId="3" fillId="2" borderId="0" applyAlignment="1" pivotButton="0" quotePrefix="0" xfId="0">
      <alignment horizontal="center"/>
    </xf>
    <xf numFmtId="3" fontId="1" fillId="0" borderId="0" pivotButton="0" quotePrefix="0" xfId="0"/>
    <xf numFmtId="166" fontId="1" fillId="0" borderId="0" pivotButton="0" quotePrefix="0" xfId="0"/>
    <xf numFmtId="165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4" fontId="3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7" fontId="1" fillId="0" borderId="0" applyAlignment="1" pivotButton="0" quotePrefix="0" xfId="0">
      <alignment horizontal="right"/>
    </xf>
    <xf numFmtId="168" fontId="1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  <xf numFmtId="0" fontId="1" fillId="0" borderId="1" pivotButton="0" quotePrefix="0" xfId="0"/>
    <xf numFmtId="167" fontId="1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</cols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inlineStr">
        <is>
          <t>Plant capacity [MW]</t>
        </is>
      </c>
      <c r="B3" s="2" t="n">
        <v>9</v>
      </c>
      <c r="C3" s="1" t="n"/>
    </row>
    <row r="4">
      <c r="A4" s="1" t="inlineStr">
        <is>
          <t>Availability [%]</t>
        </is>
      </c>
      <c r="B4" s="4" t="n">
        <v>0.95</v>
      </c>
      <c r="C4" s="1" t="n"/>
    </row>
    <row r="5">
      <c r="A5" s="1" t="inlineStr">
        <is>
          <t>Hours per day [#]</t>
        </is>
      </c>
      <c r="B5" s="2" t="n">
        <v>24</v>
      </c>
      <c r="C5" s="1" t="n"/>
    </row>
    <row r="6">
      <c r="A6" s="1" t="n"/>
      <c r="B6" s="2" t="n"/>
      <c r="C6" s="1" t="n"/>
    </row>
    <row r="7">
      <c r="A7" s="1" t="inlineStr">
        <is>
          <t>Shutdown 1 End</t>
        </is>
      </c>
      <c r="B7" s="5" t="inlineStr">
        <is>
          <t>2017-06-01</t>
        </is>
      </c>
      <c r="C7" s="6" t="inlineStr">
        <is>
          <t>2017-06-15</t>
        </is>
      </c>
    </row>
    <row r="8">
      <c r="A8" s="1" t="inlineStr">
        <is>
          <t>Shutdown 2 End</t>
        </is>
      </c>
      <c r="B8" s="5" t="inlineStr">
        <is>
          <t>2019-12-15</t>
        </is>
      </c>
      <c r="C8" s="6" t="inlineStr">
        <is>
          <t>2020-01-03</t>
        </is>
      </c>
    </row>
    <row r="9">
      <c r="A9" s="1" t="inlineStr">
        <is>
          <t>Shutdown 3 End</t>
        </is>
      </c>
      <c r="B9" s="5" t="inlineStr">
        <is>
          <t>2021-04-05</t>
        </is>
      </c>
      <c r="C9" s="6" t="inlineStr">
        <is>
          <t>2021-04-25</t>
        </is>
      </c>
    </row>
    <row r="10">
      <c r="A10" s="1" t="inlineStr">
        <is>
          <t>Shutdown 4 End</t>
        </is>
      </c>
      <c r="B10" s="5" t="inlineStr">
        <is>
          <t>2023-10-25</t>
        </is>
      </c>
      <c r="C10" s="6" t="inlineStr">
        <is>
          <t>2023-11-10</t>
        </is>
      </c>
    </row>
    <row r="11">
      <c r="A11" s="1" t="inlineStr">
        <is>
          <t>Shutdown 5 End</t>
        </is>
      </c>
      <c r="B11" s="5" t="inlineStr">
        <is>
          <t>2025-05-06</t>
        </is>
      </c>
      <c r="C11" s="6" t="inlineStr">
        <is>
          <t>2025-05-26</t>
        </is>
      </c>
    </row>
    <row r="12">
      <c r="A12" s="1" t="inlineStr">
        <is>
          <t>Shutdown 6 End</t>
        </is>
      </c>
      <c r="B12" s="5" t="inlineStr">
        <is>
          <t>2026-06-26</t>
        </is>
      </c>
      <c r="C12" s="6" t="inlineStr">
        <is>
          <t>2026-07-05</t>
        </is>
      </c>
    </row>
    <row r="13">
      <c r="A13" s="1" t="n"/>
      <c r="B13" s="2" t="n"/>
      <c r="C13" s="1" t="n"/>
    </row>
    <row r="14">
      <c r="A14" s="1" t="inlineStr">
        <is>
          <t>Inflation base date</t>
        </is>
      </c>
      <c r="B14" s="2" t="inlineStr">
        <is>
          <t>2017-01-01</t>
        </is>
      </c>
      <c r="C14" s="1" t="n"/>
    </row>
    <row r="15">
      <c r="A15" s="1" t="n"/>
      <c r="B15" s="2" t="n"/>
      <c r="C15" s="1" t="n"/>
    </row>
    <row r="16">
      <c r="A16" s="1" t="inlineStr">
        <is>
          <t>Cap price Inflation [% p.a.]</t>
        </is>
      </c>
      <c r="B16" s="4" t="n">
        <v>0.02</v>
      </c>
      <c r="C16" s="1" t="n"/>
    </row>
    <row r="17">
      <c r="A17" s="1" t="inlineStr">
        <is>
          <t>Floor price Inflation [% p.a.]</t>
        </is>
      </c>
      <c r="B17" s="4" t="n">
        <v>0.01</v>
      </c>
      <c r="C17" s="1" t="n"/>
    </row>
    <row r="18">
      <c r="A18" s="1" t="inlineStr">
        <is>
          <t>Supplier 1 Inflation [% p.a.]</t>
        </is>
      </c>
      <c r="B18" s="4" t="n">
        <v>0.02</v>
      </c>
      <c r="C18" s="1" t="n"/>
    </row>
    <row r="19">
      <c r="A19" s="1" t="inlineStr">
        <is>
          <t>Fixed costs Inflation [% p.a.]</t>
        </is>
      </c>
      <c r="B19" s="4" t="n">
        <v>0.015</v>
      </c>
      <c r="C19" s="1" t="n"/>
    </row>
    <row r="20">
      <c r="A20" s="1" t="n"/>
      <c r="B20" s="2" t="n"/>
      <c r="C20" s="1" t="n"/>
    </row>
    <row r="21">
      <c r="A21" s="1" t="inlineStr">
        <is>
          <t>Market Prices</t>
        </is>
      </c>
      <c r="B21" s="2" t="n"/>
      <c r="C21" s="1" t="n"/>
    </row>
    <row r="22">
      <c r="A22" s="27" t="inlineStr">
        <is>
          <t>Year</t>
        </is>
      </c>
      <c r="B22" s="27" t="inlineStr">
        <is>
          <t>Price [$/MWh]</t>
        </is>
      </c>
      <c r="C22" s="1" t="n"/>
    </row>
    <row r="23">
      <c r="A23" s="1" t="inlineStr">
        <is>
          <t>Year 1</t>
        </is>
      </c>
      <c r="B23" s="7" t="n">
        <v>78</v>
      </c>
      <c r="C23" s="1" t="n"/>
    </row>
    <row r="24">
      <c r="A24" s="1" t="inlineStr">
        <is>
          <t>Year 2</t>
        </is>
      </c>
      <c r="B24" s="7" t="n">
        <v>65</v>
      </c>
      <c r="C24" s="1" t="n"/>
    </row>
    <row r="25">
      <c r="A25" s="1" t="inlineStr">
        <is>
          <t>Year 3</t>
        </is>
      </c>
      <c r="B25" s="7" t="n">
        <v>21</v>
      </c>
      <c r="C25" s="1" t="n"/>
    </row>
    <row r="26">
      <c r="A26" s="1" t="inlineStr">
        <is>
          <t>Year 4</t>
        </is>
      </c>
      <c r="B26" s="7" t="n">
        <v>20</v>
      </c>
      <c r="C26" s="1" t="n"/>
    </row>
    <row r="27">
      <c r="A27" s="1" t="inlineStr">
        <is>
          <t>Year 5</t>
        </is>
      </c>
      <c r="B27" s="7" t="n">
        <v>81</v>
      </c>
      <c r="C27" s="1" t="n"/>
    </row>
    <row r="28">
      <c r="A28" s="1" t="inlineStr">
        <is>
          <t>Year 6</t>
        </is>
      </c>
      <c r="B28" s="7" t="n">
        <v>79</v>
      </c>
      <c r="C28" s="1" t="n"/>
    </row>
    <row r="29">
      <c r="A29" s="1" t="inlineStr">
        <is>
          <t>Year 7</t>
        </is>
      </c>
      <c r="B29" s="7" t="n">
        <v>79</v>
      </c>
      <c r="C29" s="1" t="n"/>
    </row>
    <row r="30">
      <c r="A30" s="1" t="inlineStr">
        <is>
          <t>Year 8</t>
        </is>
      </c>
      <c r="B30" s="7" t="n">
        <v>63</v>
      </c>
      <c r="C30" s="1" t="n"/>
    </row>
    <row r="31">
      <c r="A31" s="1" t="inlineStr">
        <is>
          <t>Year 9</t>
        </is>
      </c>
      <c r="B31" s="7" t="n">
        <v>59</v>
      </c>
      <c r="C31" s="1" t="n"/>
    </row>
    <row r="32">
      <c r="A32" s="1" t="inlineStr">
        <is>
          <t>Year 10</t>
        </is>
      </c>
      <c r="B32" s="7" t="n">
        <v>28</v>
      </c>
      <c r="C32" s="1" t="n"/>
    </row>
    <row r="33">
      <c r="A33" s="1" t="inlineStr">
        <is>
          <t>Year 11</t>
        </is>
      </c>
      <c r="B33" s="7" t="n">
        <v>62</v>
      </c>
      <c r="C33" s="1" t="n"/>
    </row>
    <row r="34">
      <c r="A34" s="1" t="n"/>
      <c r="B34" s="2" t="n"/>
      <c r="C34" s="1" t="n"/>
    </row>
    <row r="35">
      <c r="A35" s="1" t="inlineStr">
        <is>
          <t>Supplier 1 Price [$/tonne]</t>
        </is>
      </c>
      <c r="B35" s="7" t="n">
        <v>100</v>
      </c>
      <c r="C35" s="1" t="n"/>
    </row>
    <row r="36">
      <c r="A36" s="1" t="inlineStr">
        <is>
          <t>Supplier 1 MWh/tonne</t>
        </is>
      </c>
      <c r="B36" s="2" t="n">
        <v>3.5</v>
      </c>
      <c r="C36" s="1" t="n"/>
    </row>
    <row r="37">
      <c r="A37" s="1" t="inlineStr">
        <is>
          <t>Supplier 1 Max Tonnes/Qtr</t>
        </is>
      </c>
      <c r="B37" s="2" t="n">
        <v>4500</v>
      </c>
      <c r="C37" s="1" t="n"/>
    </row>
    <row r="38">
      <c r="A38" s="1" t="n"/>
      <c r="B38" s="2" t="n"/>
      <c r="C38" s="1" t="n"/>
    </row>
    <row r="39">
      <c r="A39" s="1" t="inlineStr">
        <is>
          <t>Supplier 2 Price [$/tonne]</t>
        </is>
      </c>
      <c r="B39" s="7" t="n">
        <v>130</v>
      </c>
      <c r="C39" s="1" t="n"/>
    </row>
    <row r="40">
      <c r="A40" s="1" t="inlineStr">
        <is>
          <t>Supplier 2 MWh/tonne</t>
        </is>
      </c>
      <c r="B40" s="2" t="n">
        <v>4</v>
      </c>
      <c r="C40" s="1" t="n"/>
    </row>
    <row r="41">
      <c r="A41" s="1" t="n"/>
      <c r="B41" s="2" t="n"/>
      <c r="C41" s="1" t="n"/>
    </row>
    <row r="42">
      <c r="A42" s="1" t="inlineStr">
        <is>
          <t>Fixed Costs [$/month]</t>
        </is>
      </c>
      <c r="B42" s="7" t="n">
        <v>75000</v>
      </c>
      <c r="C42" s="1" t="n"/>
    </row>
    <row r="43">
      <c r="A43" s="1" t="n"/>
      <c r="B43" s="2" t="n"/>
      <c r="C43" s="1" t="n"/>
    </row>
    <row r="44">
      <c r="A44" s="1" t="inlineStr">
        <is>
          <t>Stake [%]</t>
        </is>
      </c>
      <c r="B44" s="4" t="n">
        <v>0.2</v>
      </c>
      <c r="C44" s="1" t="n"/>
    </row>
    <row r="45">
      <c r="A45" s="1" t="inlineStr">
        <is>
          <t>Discount Rate (Market Price) [%]</t>
        </is>
      </c>
      <c r="B45" s="4" t="n">
        <v>0.1</v>
      </c>
      <c r="C45" s="1" t="n"/>
    </row>
    <row r="46">
      <c r="A46" s="1" t="inlineStr">
        <is>
          <t>Discount Rate (Floor Price) [%]</t>
        </is>
      </c>
      <c r="B46" s="4" t="n">
        <v>0.04</v>
      </c>
      <c r="C46" s="1" t="n"/>
    </row>
    <row r="47">
      <c r="A47" s="1" t="inlineStr">
        <is>
          <t>Valuation Date</t>
        </is>
      </c>
      <c r="B47" s="2" t="inlineStr">
        <is>
          <t>2016-12-31</t>
        </is>
      </c>
      <c r="C47" s="1" t="n"/>
    </row>
    <row r="48">
      <c r="A48" s="1" t="inlineStr">
        <is>
          <t>Floor Price Base [$/MWh]</t>
        </is>
      </c>
      <c r="B48" s="7" t="n">
        <v>45</v>
      </c>
      <c r="C48" s="1" t="n"/>
    </row>
    <row r="49">
      <c r="A49" s="1" t="inlineStr">
        <is>
          <t>Cap Price Base [$/MWh]</t>
        </is>
      </c>
      <c r="B49" s="7" t="n">
        <v>70</v>
      </c>
      <c r="C4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27" t="inlineStr">
        <is>
          <t>Quarter Start Date</t>
        </is>
      </c>
      <c r="B4" s="28">
        <f>DATE(2017,1,1)</f>
        <v/>
      </c>
      <c r="C4" s="28">
        <f>DATE(2017,4,1)</f>
        <v/>
      </c>
      <c r="D4" s="28">
        <f>DATE(2017,7,1)</f>
        <v/>
      </c>
      <c r="E4" s="28">
        <f>DATE(2017,10,1)</f>
        <v/>
      </c>
      <c r="F4" s="28">
        <f>DATE(2018,1,1)</f>
        <v/>
      </c>
      <c r="G4" s="28">
        <f>DATE(2018,4,1)</f>
        <v/>
      </c>
      <c r="H4" s="28">
        <f>DATE(2018,7,1)</f>
        <v/>
      </c>
      <c r="I4" s="28">
        <f>DATE(2018,10,1)</f>
        <v/>
      </c>
      <c r="J4" s="28">
        <f>DATE(2019,1,1)</f>
        <v/>
      </c>
      <c r="K4" s="28">
        <f>DATE(2019,4,1)</f>
        <v/>
      </c>
      <c r="L4" s="28">
        <f>EDATE(K4,3)</f>
        <v/>
      </c>
      <c r="M4" s="28">
        <f>EDATE(L4,3)</f>
        <v/>
      </c>
      <c r="N4" s="28">
        <f>EDATE(M4,3)</f>
        <v/>
      </c>
      <c r="O4" s="28">
        <f>EDATE(N4,3)</f>
        <v/>
      </c>
      <c r="P4" s="28">
        <f>EDATE(O4,3)</f>
        <v/>
      </c>
      <c r="Q4" s="28">
        <f>EDATE(P4,3)</f>
        <v/>
      </c>
      <c r="R4" s="28">
        <f>EDATE(Q4,3)</f>
        <v/>
      </c>
      <c r="S4" s="28">
        <f>EDATE(R4,3)</f>
        <v/>
      </c>
      <c r="T4" s="28">
        <f>EDATE(S4,3)</f>
        <v/>
      </c>
      <c r="U4" s="28">
        <f>EDATE(T4,3)</f>
        <v/>
      </c>
      <c r="V4" s="28">
        <f>EDATE(U4,3)</f>
        <v/>
      </c>
      <c r="W4" s="28">
        <f>EDATE(V4,3)</f>
        <v/>
      </c>
      <c r="X4" s="28">
        <f>EDATE(W4,3)</f>
        <v/>
      </c>
      <c r="Y4" s="28">
        <f>EDATE(X4,3)</f>
        <v/>
      </c>
      <c r="Z4" s="28">
        <f>EDATE(Y4,3)</f>
        <v/>
      </c>
      <c r="AA4" s="28">
        <f>EDATE(Z4,3)</f>
        <v/>
      </c>
      <c r="AB4" s="28">
        <f>EDATE(AA4,3)</f>
        <v/>
      </c>
      <c r="AC4" s="28">
        <f>EDATE(AB4,3)</f>
        <v/>
      </c>
      <c r="AD4" s="28">
        <f>EDATE(AC4,3)</f>
        <v/>
      </c>
      <c r="AE4" s="28">
        <f>EDATE(AD4,3)</f>
        <v/>
      </c>
      <c r="AF4" s="28">
        <f>EDATE(AE4,3)</f>
        <v/>
      </c>
      <c r="AG4" s="28">
        <f>EDATE(AF4,3)</f>
        <v/>
      </c>
      <c r="AH4" s="28">
        <f>EDATE(AG4,3)</f>
        <v/>
      </c>
      <c r="AI4" s="28">
        <f>EDATE(AH4,3)</f>
        <v/>
      </c>
      <c r="AJ4" s="28">
        <f>EDATE(AI4,3)</f>
        <v/>
      </c>
      <c r="AK4" s="28">
        <f>EDATE(AJ4,3)</f>
        <v/>
      </c>
      <c r="AL4" s="28">
        <f>EDATE(AK4,3)</f>
        <v/>
      </c>
      <c r="AM4" s="28">
        <f>EDATE(AL4,3)</f>
        <v/>
      </c>
      <c r="AN4" s="28">
        <f>EDATE(AM4,3)</f>
        <v/>
      </c>
      <c r="AO4" s="28">
        <f>EDATE(AN4,3)</f>
        <v/>
      </c>
    </row>
    <row r="5">
      <c r="A5" s="1" t="inlineStr">
        <is>
          <t>Quarter End Date</t>
        </is>
      </c>
      <c r="B5" s="15">
        <f>EOMONTH(B4,2)</f>
        <v/>
      </c>
      <c r="C5" s="15">
        <f>EOMONTH(C4,2)</f>
        <v/>
      </c>
      <c r="D5" s="15">
        <f>EOMONTH(D4,2)</f>
        <v/>
      </c>
      <c r="E5" s="15">
        <f>EOMONTH(E4,2)</f>
        <v/>
      </c>
      <c r="F5" s="15">
        <f>EOMONTH(F4,2)</f>
        <v/>
      </c>
      <c r="G5" s="15">
        <f>EOMONTH(G4,2)</f>
        <v/>
      </c>
      <c r="H5" s="15">
        <f>EOMONTH(H4,2)</f>
        <v/>
      </c>
      <c r="I5" s="15">
        <f>EOMONTH(I4,2)</f>
        <v/>
      </c>
      <c r="J5" s="15">
        <f>EOMONTH(J4,2)</f>
        <v/>
      </c>
      <c r="K5" s="15">
        <f>EOMONTH(K4,2)</f>
        <v/>
      </c>
      <c r="L5" s="15">
        <f>EOMONTH(L4,2)</f>
        <v/>
      </c>
      <c r="M5" s="15">
        <f>EOMONTH(M4,2)</f>
        <v/>
      </c>
      <c r="N5" s="15">
        <f>EOMONTH(N4,2)</f>
        <v/>
      </c>
      <c r="O5" s="15">
        <f>EOMONTH(O4,2)</f>
        <v/>
      </c>
      <c r="P5" s="15">
        <f>EOMONTH(P4,2)</f>
        <v/>
      </c>
      <c r="Q5" s="15">
        <f>EOMONTH(Q4,2)</f>
        <v/>
      </c>
      <c r="R5" s="15">
        <f>EOMONTH(R4,2)</f>
        <v/>
      </c>
      <c r="S5" s="15">
        <f>EOMONTH(S4,2)</f>
        <v/>
      </c>
      <c r="T5" s="15">
        <f>EOMONTH(T4,2)</f>
        <v/>
      </c>
      <c r="U5" s="15">
        <f>EOMONTH(U4,2)</f>
        <v/>
      </c>
      <c r="V5" s="15">
        <f>EOMONTH(V4,2)</f>
        <v/>
      </c>
      <c r="W5" s="15">
        <f>EOMONTH(W4,2)</f>
        <v/>
      </c>
      <c r="X5" s="15">
        <f>EOMONTH(X4,2)</f>
        <v/>
      </c>
      <c r="Y5" s="15">
        <f>EOMONTH(Y4,2)</f>
        <v/>
      </c>
      <c r="Z5" s="15">
        <f>EOMONTH(Z4,2)</f>
        <v/>
      </c>
      <c r="AA5" s="15">
        <f>EOMONTH(AA4,2)</f>
        <v/>
      </c>
      <c r="AB5" s="15">
        <f>EOMONTH(AB4,2)</f>
        <v/>
      </c>
      <c r="AC5" s="15">
        <f>EOMONTH(AC4,2)</f>
        <v/>
      </c>
      <c r="AD5" s="15">
        <f>EOMONTH(AD4,2)</f>
        <v/>
      </c>
      <c r="AE5" s="15">
        <f>EOMONTH(AE4,2)</f>
        <v/>
      </c>
      <c r="AF5" s="15">
        <f>EOMONTH(AF4,2)</f>
        <v/>
      </c>
      <c r="AG5" s="15">
        <f>EOMONTH(AG4,2)</f>
        <v/>
      </c>
      <c r="AH5" s="15">
        <f>EOMONTH(AH4,2)</f>
        <v/>
      </c>
      <c r="AI5" s="15">
        <f>EOMONTH(AI4,2)</f>
        <v/>
      </c>
      <c r="AJ5" s="15">
        <f>EOMONTH(AJ4,2)</f>
        <v/>
      </c>
      <c r="AK5" s="15">
        <f>EOMONTH(AK4,2)</f>
        <v/>
      </c>
      <c r="AL5" s="15">
        <f>EOMONTH(AL4,2)</f>
        <v/>
      </c>
      <c r="AM5" s="15">
        <f>EOMONTH(AM4,2)</f>
        <v/>
      </c>
      <c r="AN5" s="15">
        <f>EOMONTH(AN4,2)</f>
        <v/>
      </c>
      <c r="AO5" s="15">
        <f>EOMONTH(AO4,2)</f>
        <v/>
      </c>
    </row>
    <row r="6">
      <c r="A6" s="1" t="inlineStr">
        <is>
          <t>Total Days in Quarter</t>
        </is>
      </c>
      <c r="B6" s="16">
        <f>B5-B4+1</f>
        <v/>
      </c>
      <c r="C6" s="16">
        <f>C5-C4+1</f>
        <v/>
      </c>
      <c r="D6" s="16">
        <f>D5-D4+1</f>
        <v/>
      </c>
      <c r="E6" s="16">
        <f>E5-E4+1</f>
        <v/>
      </c>
      <c r="F6" s="16">
        <f>F5-F4+1</f>
        <v/>
      </c>
      <c r="G6" s="16">
        <f>G5-G4+1</f>
        <v/>
      </c>
      <c r="H6" s="16">
        <f>H5-H4+1</f>
        <v/>
      </c>
      <c r="I6" s="16">
        <f>I5-I4+1</f>
        <v/>
      </c>
      <c r="J6" s="16">
        <f>J5-J4+1</f>
        <v/>
      </c>
      <c r="K6" s="16">
        <f>K5-K4+1</f>
        <v/>
      </c>
      <c r="L6" s="16">
        <f>L5-L4+1</f>
        <v/>
      </c>
      <c r="M6" s="16">
        <f>M5-M4+1</f>
        <v/>
      </c>
      <c r="N6" s="16">
        <f>N5-N4+1</f>
        <v/>
      </c>
      <c r="O6" s="16">
        <f>O5-O4+1</f>
        <v/>
      </c>
      <c r="P6" s="16">
        <f>P5-P4+1</f>
        <v/>
      </c>
      <c r="Q6" s="16">
        <f>Q5-Q4+1</f>
        <v/>
      </c>
      <c r="R6" s="16">
        <f>R5-R4+1</f>
        <v/>
      </c>
      <c r="S6" s="16">
        <f>S5-S4+1</f>
        <v/>
      </c>
      <c r="T6" s="16">
        <f>T5-T4+1</f>
        <v/>
      </c>
      <c r="U6" s="16">
        <f>U5-U4+1</f>
        <v/>
      </c>
      <c r="V6" s="16">
        <f>V5-V4+1</f>
        <v/>
      </c>
      <c r="W6" s="16">
        <f>W5-W4+1</f>
        <v/>
      </c>
      <c r="X6" s="16">
        <f>X5-X4+1</f>
        <v/>
      </c>
      <c r="Y6" s="16">
        <f>Y5-Y4+1</f>
        <v/>
      </c>
      <c r="Z6" s="16">
        <f>Z5-Z4+1</f>
        <v/>
      </c>
      <c r="AA6" s="16">
        <f>AA5-AA4+1</f>
        <v/>
      </c>
      <c r="AB6" s="16">
        <f>AB5-AB4+1</f>
        <v/>
      </c>
      <c r="AC6" s="16">
        <f>AC5-AC4+1</f>
        <v/>
      </c>
      <c r="AD6" s="16">
        <f>AD5-AD4+1</f>
        <v/>
      </c>
      <c r="AE6" s="16">
        <f>AE5-AE4+1</f>
        <v/>
      </c>
      <c r="AF6" s="16">
        <f>AF5-AF4+1</f>
        <v/>
      </c>
      <c r="AG6" s="16">
        <f>AG5-AG4+1</f>
        <v/>
      </c>
      <c r="AH6" s="16">
        <f>AH5-AH4+1</f>
        <v/>
      </c>
      <c r="AI6" s="16">
        <f>AI5-AI4+1</f>
        <v/>
      </c>
      <c r="AJ6" s="16">
        <f>AJ5-AJ4+1</f>
        <v/>
      </c>
      <c r="AK6" s="16">
        <f>AK5-AK4+1</f>
        <v/>
      </c>
      <c r="AL6" s="16">
        <f>AL5-AL4+1</f>
        <v/>
      </c>
      <c r="AM6" s="16">
        <f>AM5-AM4+1</f>
        <v/>
      </c>
      <c r="AN6" s="16">
        <f>AN5-AN4+1</f>
        <v/>
      </c>
      <c r="AO6" s="16">
        <f>AO5-AO4+1</f>
        <v/>
      </c>
    </row>
    <row r="7">
      <c r="A7" s="1" t="inlineStr">
        <is>
          <t>Shutdown Days</t>
        </is>
      </c>
      <c r="B7" s="16">
        <f>MAX(0,MIN(B5,'model_Assumptions'!$C$7)-MAX(B4,'model_Assumptions'!$B$7)+1)+MAX(0,MIN(B5,'model_Assumptions'!$C$8)-MAX(B4,'model_Assumptions'!$B$8)+1)+MAX(0,MIN(B5,'model_Assumptions'!$C$9)-MAX(B4,'model_Assumptions'!$B$9)+1)+MAX(0,MIN(B5,'model_Assumptions'!$C$10)-MAX(B4,'model_Assumptions'!$B$10)+1)+MAX(0,MIN(B5,'model_Assumptions'!$C$11)-MAX(B4,'model_Assumptions'!$B$11)+1)+MAX(0,MIN(B5,'model_Assumptions'!$C$12)-MAX(B4,'model_Assumptions'!$B$12)+1)</f>
        <v/>
      </c>
      <c r="C7" s="16">
        <f>MAX(0,MIN(C5,'model_Assumptions'!$C$7)-MAX(C4,'model_Assumptions'!$B$7)+1)+MAX(0,MIN(C5,'model_Assumptions'!$C$8)-MAX(C4,'model_Assumptions'!$B$8)+1)+MAX(0,MIN(C5,'model_Assumptions'!$C$9)-MAX(C4,'model_Assumptions'!$B$9)+1)+MAX(0,MIN(C5,'model_Assumptions'!$C$10)-MAX(C4,'model_Assumptions'!$B$10)+1)+MAX(0,MIN(C5,'model_Assumptions'!$C$11)-MAX(C4,'model_Assumptions'!$B$11)+1)+MAX(0,MIN(C5,'model_Assumptions'!$C$12)-MAX(C4,'model_Assumptions'!$B$12)+1)</f>
        <v/>
      </c>
      <c r="D7" s="16">
        <f>MAX(0,MIN(D5,'model_Assumptions'!$C$7)-MAX(D4,'model_Assumptions'!$B$7)+1)+MAX(0,MIN(D5,'model_Assumptions'!$C$8)-MAX(D4,'model_Assumptions'!$B$8)+1)+MAX(0,MIN(D5,'model_Assumptions'!$C$9)-MAX(D4,'model_Assumptions'!$B$9)+1)+MAX(0,MIN(D5,'model_Assumptions'!$C$10)-MAX(D4,'model_Assumptions'!$B$10)+1)+MAX(0,MIN(D5,'model_Assumptions'!$C$11)-MAX(D4,'model_Assumptions'!$B$11)+1)+MAX(0,MIN(D5,'model_Assumptions'!$C$12)-MAX(D4,'model_Assumptions'!$B$12)+1)</f>
        <v/>
      </c>
      <c r="E7" s="16">
        <f>MAX(0,MIN(E5,'model_Assumptions'!$C$7)-MAX(E4,'model_Assumptions'!$B$7)+1)+MAX(0,MIN(E5,'model_Assumptions'!$C$8)-MAX(E4,'model_Assumptions'!$B$8)+1)+MAX(0,MIN(E5,'model_Assumptions'!$C$9)-MAX(E4,'model_Assumptions'!$B$9)+1)+MAX(0,MIN(E5,'model_Assumptions'!$C$10)-MAX(E4,'model_Assumptions'!$B$10)+1)+MAX(0,MIN(E5,'model_Assumptions'!$C$11)-MAX(E4,'model_Assumptions'!$B$11)+1)+MAX(0,MIN(E5,'model_Assumptions'!$C$12)-MAX(E4,'model_Assumptions'!$B$12)+1)</f>
        <v/>
      </c>
      <c r="F7" s="16">
        <f>MAX(0,MIN(F5,'model_Assumptions'!$C$7)-MAX(F4,'model_Assumptions'!$B$7)+1)+MAX(0,MIN(F5,'model_Assumptions'!$C$8)-MAX(F4,'model_Assumptions'!$B$8)+1)+MAX(0,MIN(F5,'model_Assumptions'!$C$9)-MAX(F4,'model_Assumptions'!$B$9)+1)+MAX(0,MIN(F5,'model_Assumptions'!$C$10)-MAX(F4,'model_Assumptions'!$B$10)+1)+MAX(0,MIN(F5,'model_Assumptions'!$C$11)-MAX(F4,'model_Assumptions'!$B$11)+1)+MAX(0,MIN(F5,'model_Assumptions'!$C$12)-MAX(F4,'model_Assumptions'!$B$12)+1)</f>
        <v/>
      </c>
      <c r="G7" s="16">
        <f>MAX(0,MIN(G5,'model_Assumptions'!$C$7)-MAX(G4,'model_Assumptions'!$B$7)+1)+MAX(0,MIN(G5,'model_Assumptions'!$C$8)-MAX(G4,'model_Assumptions'!$B$8)+1)+MAX(0,MIN(G5,'model_Assumptions'!$C$9)-MAX(G4,'model_Assumptions'!$B$9)+1)+MAX(0,MIN(G5,'model_Assumptions'!$C$10)-MAX(G4,'model_Assumptions'!$B$10)+1)+MAX(0,MIN(G5,'model_Assumptions'!$C$11)-MAX(G4,'model_Assumptions'!$B$11)+1)+MAX(0,MIN(G5,'model_Assumptions'!$C$12)-MAX(G4,'model_Assumptions'!$B$12)+1)</f>
        <v/>
      </c>
      <c r="H7" s="16">
        <f>MAX(0,MIN(H5,'model_Assumptions'!$C$7)-MAX(H4,'model_Assumptions'!$B$7)+1)+MAX(0,MIN(H5,'model_Assumptions'!$C$8)-MAX(H4,'model_Assumptions'!$B$8)+1)+MAX(0,MIN(H5,'model_Assumptions'!$C$9)-MAX(H4,'model_Assumptions'!$B$9)+1)+MAX(0,MIN(H5,'model_Assumptions'!$C$10)-MAX(H4,'model_Assumptions'!$B$10)+1)+MAX(0,MIN(H5,'model_Assumptions'!$C$11)-MAX(H4,'model_Assumptions'!$B$11)+1)+MAX(0,MIN(H5,'model_Assumptions'!$C$12)-MAX(H4,'model_Assumptions'!$B$12)+1)</f>
        <v/>
      </c>
      <c r="I7" s="16">
        <f>MAX(0,MIN(I5,'model_Assumptions'!$C$7)-MAX(I4,'model_Assumptions'!$B$7)+1)+MAX(0,MIN(I5,'model_Assumptions'!$C$8)-MAX(I4,'model_Assumptions'!$B$8)+1)+MAX(0,MIN(I5,'model_Assumptions'!$C$9)-MAX(I4,'model_Assumptions'!$B$9)+1)+MAX(0,MIN(I5,'model_Assumptions'!$C$10)-MAX(I4,'model_Assumptions'!$B$10)+1)+MAX(0,MIN(I5,'model_Assumptions'!$C$11)-MAX(I4,'model_Assumptions'!$B$11)+1)+MAX(0,MIN(I5,'model_Assumptions'!$C$12)-MAX(I4,'model_Assumptions'!$B$12)+1)</f>
        <v/>
      </c>
      <c r="J7" s="16">
        <f>MAX(0,MIN(J5,'model_Assumptions'!$C$7)-MAX(J4,'model_Assumptions'!$B$7)+1)+MAX(0,MIN(J5,'model_Assumptions'!$C$8)-MAX(J4,'model_Assumptions'!$B$8)+1)+MAX(0,MIN(J5,'model_Assumptions'!$C$9)-MAX(J4,'model_Assumptions'!$B$9)+1)+MAX(0,MIN(J5,'model_Assumptions'!$C$10)-MAX(J4,'model_Assumptions'!$B$10)+1)+MAX(0,MIN(J5,'model_Assumptions'!$C$11)-MAX(J4,'model_Assumptions'!$B$11)+1)+MAX(0,MIN(J5,'model_Assumptions'!$C$12)-MAX(J4,'model_Assumptions'!$B$12)+1)</f>
        <v/>
      </c>
      <c r="K7" s="16">
        <f>MAX(0,MIN(K5,'model_Assumptions'!$C$7)-MAX(K4,'model_Assumptions'!$B$7)+1)+MAX(0,MIN(K5,'model_Assumptions'!$C$8)-MAX(K4,'model_Assumptions'!$B$8)+1)+MAX(0,MIN(K5,'model_Assumptions'!$C$9)-MAX(K4,'model_Assumptions'!$B$9)+1)+MAX(0,MIN(K5,'model_Assumptions'!$C$10)-MAX(K4,'model_Assumptions'!$B$10)+1)+MAX(0,MIN(K5,'model_Assumptions'!$C$11)-MAX(K4,'model_Assumptions'!$B$11)+1)+MAX(0,MIN(K5,'model_Assumptions'!$C$12)-MAX(K4,'model_Assumptions'!$B$12)+1)</f>
        <v/>
      </c>
      <c r="L7" s="16">
        <f>MAX(0,MIN(L5,'model_Assumptions'!$C$7)-MAX(L4,'model_Assumptions'!$B$7)+1)+MAX(0,MIN(L5,'model_Assumptions'!$C$8)-MAX(L4,'model_Assumptions'!$B$8)+1)+MAX(0,MIN(L5,'model_Assumptions'!$C$9)-MAX(L4,'model_Assumptions'!$B$9)+1)+MAX(0,MIN(L5,'model_Assumptions'!$C$10)-MAX(L4,'model_Assumptions'!$B$10)+1)+MAX(0,MIN(L5,'model_Assumptions'!$C$11)-MAX(L4,'model_Assumptions'!$B$11)+1)+MAX(0,MIN(L5,'model_Assumptions'!$C$12)-MAX(L4,'model_Assumptions'!$B$12)+1)</f>
        <v/>
      </c>
      <c r="M7" s="16">
        <f>MAX(0,MIN(M5,'model_Assumptions'!$C$7)-MAX(M4,'model_Assumptions'!$B$7)+1)+MAX(0,MIN(M5,'model_Assumptions'!$C$8)-MAX(M4,'model_Assumptions'!$B$8)+1)+MAX(0,MIN(M5,'model_Assumptions'!$C$9)-MAX(M4,'model_Assumptions'!$B$9)+1)+MAX(0,MIN(M5,'model_Assumptions'!$C$10)-MAX(M4,'model_Assumptions'!$B$10)+1)+MAX(0,MIN(M5,'model_Assumptions'!$C$11)-MAX(M4,'model_Assumptions'!$B$11)+1)+MAX(0,MIN(M5,'model_Assumptions'!$C$12)-MAX(M4,'model_Assumptions'!$B$12)+1)</f>
        <v/>
      </c>
      <c r="N7" s="16">
        <f>MAX(0,MIN(N5,'model_Assumptions'!$C$7)-MAX(N4,'model_Assumptions'!$B$7)+1)+MAX(0,MIN(N5,'model_Assumptions'!$C$8)-MAX(N4,'model_Assumptions'!$B$8)+1)+MAX(0,MIN(N5,'model_Assumptions'!$C$9)-MAX(N4,'model_Assumptions'!$B$9)+1)+MAX(0,MIN(N5,'model_Assumptions'!$C$10)-MAX(N4,'model_Assumptions'!$B$10)+1)+MAX(0,MIN(N5,'model_Assumptions'!$C$11)-MAX(N4,'model_Assumptions'!$B$11)+1)+MAX(0,MIN(N5,'model_Assumptions'!$C$12)-MAX(N4,'model_Assumptions'!$B$12)+1)</f>
        <v/>
      </c>
      <c r="O7" s="16">
        <f>MAX(0,MIN(O5,'model_Assumptions'!$C$7)-MAX(O4,'model_Assumptions'!$B$7)+1)+MAX(0,MIN(O5,'model_Assumptions'!$C$8)-MAX(O4,'model_Assumptions'!$B$8)+1)+MAX(0,MIN(O5,'model_Assumptions'!$C$9)-MAX(O4,'model_Assumptions'!$B$9)+1)+MAX(0,MIN(O5,'model_Assumptions'!$C$10)-MAX(O4,'model_Assumptions'!$B$10)+1)+MAX(0,MIN(O5,'model_Assumptions'!$C$11)-MAX(O4,'model_Assumptions'!$B$11)+1)+MAX(0,MIN(O5,'model_Assumptions'!$C$12)-MAX(O4,'model_Assumptions'!$B$12)+1)</f>
        <v/>
      </c>
      <c r="P7" s="16">
        <f>MAX(0,MIN(P5,'model_Assumptions'!$C$7)-MAX(P4,'model_Assumptions'!$B$7)+1)+MAX(0,MIN(P5,'model_Assumptions'!$C$8)-MAX(P4,'model_Assumptions'!$B$8)+1)+MAX(0,MIN(P5,'model_Assumptions'!$C$9)-MAX(P4,'model_Assumptions'!$B$9)+1)+MAX(0,MIN(P5,'model_Assumptions'!$C$10)-MAX(P4,'model_Assumptions'!$B$10)+1)+MAX(0,MIN(P5,'model_Assumptions'!$C$11)-MAX(P4,'model_Assumptions'!$B$11)+1)+MAX(0,MIN(P5,'model_Assumptions'!$C$12)-MAX(P4,'model_Assumptions'!$B$12)+1)</f>
        <v/>
      </c>
      <c r="Q7" s="16">
        <f>MAX(0,MIN(Q5,'model_Assumptions'!$C$7)-MAX(Q4,'model_Assumptions'!$B$7)+1)+MAX(0,MIN(Q5,'model_Assumptions'!$C$8)-MAX(Q4,'model_Assumptions'!$B$8)+1)+MAX(0,MIN(Q5,'model_Assumptions'!$C$9)-MAX(Q4,'model_Assumptions'!$B$9)+1)+MAX(0,MIN(Q5,'model_Assumptions'!$C$10)-MAX(Q4,'model_Assumptions'!$B$10)+1)+MAX(0,MIN(Q5,'model_Assumptions'!$C$11)-MAX(Q4,'model_Assumptions'!$B$11)+1)+MAX(0,MIN(Q5,'model_Assumptions'!$C$12)-MAX(Q4,'model_Assumptions'!$B$12)+1)</f>
        <v/>
      </c>
      <c r="R7" s="16">
        <f>MAX(0,MIN(R5,'model_Assumptions'!$C$7)-MAX(R4,'model_Assumptions'!$B$7)+1)+MAX(0,MIN(R5,'model_Assumptions'!$C$8)-MAX(R4,'model_Assumptions'!$B$8)+1)+MAX(0,MIN(R5,'model_Assumptions'!$C$9)-MAX(R4,'model_Assumptions'!$B$9)+1)+MAX(0,MIN(R5,'model_Assumptions'!$C$10)-MAX(R4,'model_Assumptions'!$B$10)+1)+MAX(0,MIN(R5,'model_Assumptions'!$C$11)-MAX(R4,'model_Assumptions'!$B$11)+1)+MAX(0,MIN(R5,'model_Assumptions'!$C$12)-MAX(R4,'model_Assumptions'!$B$12)+1)</f>
        <v/>
      </c>
      <c r="S7" s="16">
        <f>MAX(0,MIN(S5,'model_Assumptions'!$C$7)-MAX(S4,'model_Assumptions'!$B$7)+1)+MAX(0,MIN(S5,'model_Assumptions'!$C$8)-MAX(S4,'model_Assumptions'!$B$8)+1)+MAX(0,MIN(S5,'model_Assumptions'!$C$9)-MAX(S4,'model_Assumptions'!$B$9)+1)+MAX(0,MIN(S5,'model_Assumptions'!$C$10)-MAX(S4,'model_Assumptions'!$B$10)+1)+MAX(0,MIN(S5,'model_Assumptions'!$C$11)-MAX(S4,'model_Assumptions'!$B$11)+1)+MAX(0,MIN(S5,'model_Assumptions'!$C$12)-MAX(S4,'model_Assumptions'!$B$12)+1)</f>
        <v/>
      </c>
      <c r="T7" s="16">
        <f>MAX(0,MIN(T5,'model_Assumptions'!$C$7)-MAX(T4,'model_Assumptions'!$B$7)+1)+MAX(0,MIN(T5,'model_Assumptions'!$C$8)-MAX(T4,'model_Assumptions'!$B$8)+1)+MAX(0,MIN(T5,'model_Assumptions'!$C$9)-MAX(T4,'model_Assumptions'!$B$9)+1)+MAX(0,MIN(T5,'model_Assumptions'!$C$10)-MAX(T4,'model_Assumptions'!$B$10)+1)+MAX(0,MIN(T5,'model_Assumptions'!$C$11)-MAX(T4,'model_Assumptions'!$B$11)+1)+MAX(0,MIN(T5,'model_Assumptions'!$C$12)-MAX(T4,'model_Assumptions'!$B$12)+1)</f>
        <v/>
      </c>
      <c r="U7" s="16">
        <f>MAX(0,MIN(U5,'model_Assumptions'!$C$7)-MAX(U4,'model_Assumptions'!$B$7)+1)+MAX(0,MIN(U5,'model_Assumptions'!$C$8)-MAX(U4,'model_Assumptions'!$B$8)+1)+MAX(0,MIN(U5,'model_Assumptions'!$C$9)-MAX(U4,'model_Assumptions'!$B$9)+1)+MAX(0,MIN(U5,'model_Assumptions'!$C$10)-MAX(U4,'model_Assumptions'!$B$10)+1)+MAX(0,MIN(U5,'model_Assumptions'!$C$11)-MAX(U4,'model_Assumptions'!$B$11)+1)+MAX(0,MIN(U5,'model_Assumptions'!$C$12)-MAX(U4,'model_Assumptions'!$B$12)+1)</f>
        <v/>
      </c>
      <c r="V7" s="16">
        <f>MAX(0,MIN(V5,'model_Assumptions'!$C$7)-MAX(V4,'model_Assumptions'!$B$7)+1)+MAX(0,MIN(V5,'model_Assumptions'!$C$8)-MAX(V4,'model_Assumptions'!$B$8)+1)+MAX(0,MIN(V5,'model_Assumptions'!$C$9)-MAX(V4,'model_Assumptions'!$B$9)+1)+MAX(0,MIN(V5,'model_Assumptions'!$C$10)-MAX(V4,'model_Assumptions'!$B$10)+1)+MAX(0,MIN(V5,'model_Assumptions'!$C$11)-MAX(V4,'model_Assumptions'!$B$11)+1)+MAX(0,MIN(V5,'model_Assumptions'!$C$12)-MAX(V4,'model_Assumptions'!$B$12)+1)</f>
        <v/>
      </c>
      <c r="W7" s="16">
        <f>MAX(0,MIN(W5,'model_Assumptions'!$C$7)-MAX(W4,'model_Assumptions'!$B$7)+1)+MAX(0,MIN(W5,'model_Assumptions'!$C$8)-MAX(W4,'model_Assumptions'!$B$8)+1)+MAX(0,MIN(W5,'model_Assumptions'!$C$9)-MAX(W4,'model_Assumptions'!$B$9)+1)+MAX(0,MIN(W5,'model_Assumptions'!$C$10)-MAX(W4,'model_Assumptions'!$B$10)+1)+MAX(0,MIN(W5,'model_Assumptions'!$C$11)-MAX(W4,'model_Assumptions'!$B$11)+1)+MAX(0,MIN(W5,'model_Assumptions'!$C$12)-MAX(W4,'model_Assumptions'!$B$12)+1)</f>
        <v/>
      </c>
      <c r="X7" s="16">
        <f>MAX(0,MIN(X5,'model_Assumptions'!$C$7)-MAX(X4,'model_Assumptions'!$B$7)+1)+MAX(0,MIN(X5,'model_Assumptions'!$C$8)-MAX(X4,'model_Assumptions'!$B$8)+1)+MAX(0,MIN(X5,'model_Assumptions'!$C$9)-MAX(X4,'model_Assumptions'!$B$9)+1)+MAX(0,MIN(X5,'model_Assumptions'!$C$10)-MAX(X4,'model_Assumptions'!$B$10)+1)+MAX(0,MIN(X5,'model_Assumptions'!$C$11)-MAX(X4,'model_Assumptions'!$B$11)+1)+MAX(0,MIN(X5,'model_Assumptions'!$C$12)-MAX(X4,'model_Assumptions'!$B$12)+1)</f>
        <v/>
      </c>
      <c r="Y7" s="16">
        <f>MAX(0,MIN(Y5,'model_Assumptions'!$C$7)-MAX(Y4,'model_Assumptions'!$B$7)+1)+MAX(0,MIN(Y5,'model_Assumptions'!$C$8)-MAX(Y4,'model_Assumptions'!$B$8)+1)+MAX(0,MIN(Y5,'model_Assumptions'!$C$9)-MAX(Y4,'model_Assumptions'!$B$9)+1)+MAX(0,MIN(Y5,'model_Assumptions'!$C$10)-MAX(Y4,'model_Assumptions'!$B$10)+1)+MAX(0,MIN(Y5,'model_Assumptions'!$C$11)-MAX(Y4,'model_Assumptions'!$B$11)+1)+MAX(0,MIN(Y5,'model_Assumptions'!$C$12)-MAX(Y4,'model_Assumptions'!$B$12)+1)</f>
        <v/>
      </c>
      <c r="Z7" s="16">
        <f>MAX(0,MIN(Z5,'model_Assumptions'!$C$7)-MAX(Z4,'model_Assumptions'!$B$7)+1)+MAX(0,MIN(Z5,'model_Assumptions'!$C$8)-MAX(Z4,'model_Assumptions'!$B$8)+1)+MAX(0,MIN(Z5,'model_Assumptions'!$C$9)-MAX(Z4,'model_Assumptions'!$B$9)+1)+MAX(0,MIN(Z5,'model_Assumptions'!$C$10)-MAX(Z4,'model_Assumptions'!$B$10)+1)+MAX(0,MIN(Z5,'model_Assumptions'!$C$11)-MAX(Z4,'model_Assumptions'!$B$11)+1)+MAX(0,MIN(Z5,'model_Assumptions'!$C$12)-MAX(Z4,'model_Assumptions'!$B$12)+1)</f>
        <v/>
      </c>
      <c r="AA7" s="16">
        <f>MAX(0,MIN(AA5,'model_Assumptions'!$C$7)-MAX(AA4,'model_Assumptions'!$B$7)+1)+MAX(0,MIN(AA5,'model_Assumptions'!$C$8)-MAX(AA4,'model_Assumptions'!$B$8)+1)+MAX(0,MIN(AA5,'model_Assumptions'!$C$9)-MAX(AA4,'model_Assumptions'!$B$9)+1)+MAX(0,MIN(AA5,'model_Assumptions'!$C$10)-MAX(AA4,'model_Assumptions'!$B$10)+1)+MAX(0,MIN(AA5,'model_Assumptions'!$C$11)-MAX(AA4,'model_Assumptions'!$B$11)+1)+MAX(0,MIN(AA5,'model_Assumptions'!$C$12)-MAX(AA4,'model_Assumptions'!$B$12)+1)</f>
        <v/>
      </c>
      <c r="AB7" s="16">
        <f>MAX(0,MIN(AB5,'model_Assumptions'!$C$7)-MAX(AB4,'model_Assumptions'!$B$7)+1)+MAX(0,MIN(AB5,'model_Assumptions'!$C$8)-MAX(AB4,'model_Assumptions'!$B$8)+1)+MAX(0,MIN(AB5,'model_Assumptions'!$C$9)-MAX(AB4,'model_Assumptions'!$B$9)+1)+MAX(0,MIN(AB5,'model_Assumptions'!$C$10)-MAX(AB4,'model_Assumptions'!$B$10)+1)+MAX(0,MIN(AB5,'model_Assumptions'!$C$11)-MAX(AB4,'model_Assumptions'!$B$11)+1)+MAX(0,MIN(AB5,'model_Assumptions'!$C$12)-MAX(AB4,'model_Assumptions'!$B$12)+1)</f>
        <v/>
      </c>
      <c r="AC7" s="16">
        <f>MAX(0,MIN(AC5,'model_Assumptions'!$C$7)-MAX(AC4,'model_Assumptions'!$B$7)+1)+MAX(0,MIN(AC5,'model_Assumptions'!$C$8)-MAX(AC4,'model_Assumptions'!$B$8)+1)+MAX(0,MIN(AC5,'model_Assumptions'!$C$9)-MAX(AC4,'model_Assumptions'!$B$9)+1)+MAX(0,MIN(AC5,'model_Assumptions'!$C$10)-MAX(AC4,'model_Assumptions'!$B$10)+1)+MAX(0,MIN(AC5,'model_Assumptions'!$C$11)-MAX(AC4,'model_Assumptions'!$B$11)+1)+MAX(0,MIN(AC5,'model_Assumptions'!$C$12)-MAX(AC4,'model_Assumptions'!$B$12)+1)</f>
        <v/>
      </c>
      <c r="AD7" s="16">
        <f>MAX(0,MIN(AD5,'model_Assumptions'!$C$7)-MAX(AD4,'model_Assumptions'!$B$7)+1)+MAX(0,MIN(AD5,'model_Assumptions'!$C$8)-MAX(AD4,'model_Assumptions'!$B$8)+1)+MAX(0,MIN(AD5,'model_Assumptions'!$C$9)-MAX(AD4,'model_Assumptions'!$B$9)+1)+MAX(0,MIN(AD5,'model_Assumptions'!$C$10)-MAX(AD4,'model_Assumptions'!$B$10)+1)+MAX(0,MIN(AD5,'model_Assumptions'!$C$11)-MAX(AD4,'model_Assumptions'!$B$11)+1)+MAX(0,MIN(AD5,'model_Assumptions'!$C$12)-MAX(AD4,'model_Assumptions'!$B$12)+1)</f>
        <v/>
      </c>
      <c r="AE7" s="16">
        <f>MAX(0,MIN(AE5,'model_Assumptions'!$C$7)-MAX(AE4,'model_Assumptions'!$B$7)+1)+MAX(0,MIN(AE5,'model_Assumptions'!$C$8)-MAX(AE4,'model_Assumptions'!$B$8)+1)+MAX(0,MIN(AE5,'model_Assumptions'!$C$9)-MAX(AE4,'model_Assumptions'!$B$9)+1)+MAX(0,MIN(AE5,'model_Assumptions'!$C$10)-MAX(AE4,'model_Assumptions'!$B$10)+1)+MAX(0,MIN(AE5,'model_Assumptions'!$C$11)-MAX(AE4,'model_Assumptions'!$B$11)+1)+MAX(0,MIN(AE5,'model_Assumptions'!$C$12)-MAX(AE4,'model_Assumptions'!$B$12)+1)</f>
        <v/>
      </c>
      <c r="AF7" s="16">
        <f>MAX(0,MIN(AF5,'model_Assumptions'!$C$7)-MAX(AF4,'model_Assumptions'!$B$7)+1)+MAX(0,MIN(AF5,'model_Assumptions'!$C$8)-MAX(AF4,'model_Assumptions'!$B$8)+1)+MAX(0,MIN(AF5,'model_Assumptions'!$C$9)-MAX(AF4,'model_Assumptions'!$B$9)+1)+MAX(0,MIN(AF5,'model_Assumptions'!$C$10)-MAX(AF4,'model_Assumptions'!$B$10)+1)+MAX(0,MIN(AF5,'model_Assumptions'!$C$11)-MAX(AF4,'model_Assumptions'!$B$11)+1)+MAX(0,MIN(AF5,'model_Assumptions'!$C$12)-MAX(AF4,'model_Assumptions'!$B$12)+1)</f>
        <v/>
      </c>
      <c r="AG7" s="16">
        <f>MAX(0,MIN(AG5,'model_Assumptions'!$C$7)-MAX(AG4,'model_Assumptions'!$B$7)+1)+MAX(0,MIN(AG5,'model_Assumptions'!$C$8)-MAX(AG4,'model_Assumptions'!$B$8)+1)+MAX(0,MIN(AG5,'model_Assumptions'!$C$9)-MAX(AG4,'model_Assumptions'!$B$9)+1)+MAX(0,MIN(AG5,'model_Assumptions'!$C$10)-MAX(AG4,'model_Assumptions'!$B$10)+1)+MAX(0,MIN(AG5,'model_Assumptions'!$C$11)-MAX(AG4,'model_Assumptions'!$B$11)+1)+MAX(0,MIN(AG5,'model_Assumptions'!$C$12)-MAX(AG4,'model_Assumptions'!$B$12)+1)</f>
        <v/>
      </c>
      <c r="AH7" s="16">
        <f>MAX(0,MIN(AH5,'model_Assumptions'!$C$7)-MAX(AH4,'model_Assumptions'!$B$7)+1)+MAX(0,MIN(AH5,'model_Assumptions'!$C$8)-MAX(AH4,'model_Assumptions'!$B$8)+1)+MAX(0,MIN(AH5,'model_Assumptions'!$C$9)-MAX(AH4,'model_Assumptions'!$B$9)+1)+MAX(0,MIN(AH5,'model_Assumptions'!$C$10)-MAX(AH4,'model_Assumptions'!$B$10)+1)+MAX(0,MIN(AH5,'model_Assumptions'!$C$11)-MAX(AH4,'model_Assumptions'!$B$11)+1)+MAX(0,MIN(AH5,'model_Assumptions'!$C$12)-MAX(AH4,'model_Assumptions'!$B$12)+1)</f>
        <v/>
      </c>
      <c r="AI7" s="16">
        <f>MAX(0,MIN(AI5,'model_Assumptions'!$C$7)-MAX(AI4,'model_Assumptions'!$B$7)+1)+MAX(0,MIN(AI5,'model_Assumptions'!$C$8)-MAX(AI4,'model_Assumptions'!$B$8)+1)+MAX(0,MIN(AI5,'model_Assumptions'!$C$9)-MAX(AI4,'model_Assumptions'!$B$9)+1)+MAX(0,MIN(AI5,'model_Assumptions'!$C$10)-MAX(AI4,'model_Assumptions'!$B$10)+1)+MAX(0,MIN(AI5,'model_Assumptions'!$C$11)-MAX(AI4,'model_Assumptions'!$B$11)+1)+MAX(0,MIN(AI5,'model_Assumptions'!$C$12)-MAX(AI4,'model_Assumptions'!$B$12)+1)</f>
        <v/>
      </c>
      <c r="AJ7" s="16">
        <f>MAX(0,MIN(AJ5,'model_Assumptions'!$C$7)-MAX(AJ4,'model_Assumptions'!$B$7)+1)+MAX(0,MIN(AJ5,'model_Assumptions'!$C$8)-MAX(AJ4,'model_Assumptions'!$B$8)+1)+MAX(0,MIN(AJ5,'model_Assumptions'!$C$9)-MAX(AJ4,'model_Assumptions'!$B$9)+1)+MAX(0,MIN(AJ5,'model_Assumptions'!$C$10)-MAX(AJ4,'model_Assumptions'!$B$10)+1)+MAX(0,MIN(AJ5,'model_Assumptions'!$C$11)-MAX(AJ4,'model_Assumptions'!$B$11)+1)+MAX(0,MIN(AJ5,'model_Assumptions'!$C$12)-MAX(AJ4,'model_Assumptions'!$B$12)+1)</f>
        <v/>
      </c>
      <c r="AK7" s="16">
        <f>MAX(0,MIN(AK5,'model_Assumptions'!$C$7)-MAX(AK4,'model_Assumptions'!$B$7)+1)+MAX(0,MIN(AK5,'model_Assumptions'!$C$8)-MAX(AK4,'model_Assumptions'!$B$8)+1)+MAX(0,MIN(AK5,'model_Assumptions'!$C$9)-MAX(AK4,'model_Assumptions'!$B$9)+1)+MAX(0,MIN(AK5,'model_Assumptions'!$C$10)-MAX(AK4,'model_Assumptions'!$B$10)+1)+MAX(0,MIN(AK5,'model_Assumptions'!$C$11)-MAX(AK4,'model_Assumptions'!$B$11)+1)+MAX(0,MIN(AK5,'model_Assumptions'!$C$12)-MAX(AK4,'model_Assumptions'!$B$12)+1)</f>
        <v/>
      </c>
      <c r="AL7" s="16">
        <f>MAX(0,MIN(AL5,'model_Assumptions'!$C$7)-MAX(AL4,'model_Assumptions'!$B$7)+1)+MAX(0,MIN(AL5,'model_Assumptions'!$C$8)-MAX(AL4,'model_Assumptions'!$B$8)+1)+MAX(0,MIN(AL5,'model_Assumptions'!$C$9)-MAX(AL4,'model_Assumptions'!$B$9)+1)+MAX(0,MIN(AL5,'model_Assumptions'!$C$10)-MAX(AL4,'model_Assumptions'!$B$10)+1)+MAX(0,MIN(AL5,'model_Assumptions'!$C$11)-MAX(AL4,'model_Assumptions'!$B$11)+1)+MAX(0,MIN(AL5,'model_Assumptions'!$C$12)-MAX(AL4,'model_Assumptions'!$B$12)+1)</f>
        <v/>
      </c>
      <c r="AM7" s="16">
        <f>MAX(0,MIN(AM5,'model_Assumptions'!$C$7)-MAX(AM4,'model_Assumptions'!$B$7)+1)+MAX(0,MIN(AM5,'model_Assumptions'!$C$8)-MAX(AM4,'model_Assumptions'!$B$8)+1)+MAX(0,MIN(AM5,'model_Assumptions'!$C$9)-MAX(AM4,'model_Assumptions'!$B$9)+1)+MAX(0,MIN(AM5,'model_Assumptions'!$C$10)-MAX(AM4,'model_Assumptions'!$B$10)+1)+MAX(0,MIN(AM5,'model_Assumptions'!$C$11)-MAX(AM4,'model_Assumptions'!$B$11)+1)+MAX(0,MIN(AM5,'model_Assumptions'!$C$12)-MAX(AM4,'model_Assumptions'!$B$12)+1)</f>
        <v/>
      </c>
      <c r="AN7" s="16">
        <f>MAX(0,MIN(AN5,'model_Assumptions'!$C$7)-MAX(AN4,'model_Assumptions'!$B$7)+1)+MAX(0,MIN(AN5,'model_Assumptions'!$C$8)-MAX(AN4,'model_Assumptions'!$B$8)+1)+MAX(0,MIN(AN5,'model_Assumptions'!$C$9)-MAX(AN4,'model_Assumptions'!$B$9)+1)+MAX(0,MIN(AN5,'model_Assumptions'!$C$10)-MAX(AN4,'model_Assumptions'!$B$10)+1)+MAX(0,MIN(AN5,'model_Assumptions'!$C$11)-MAX(AN4,'model_Assumptions'!$B$11)+1)+MAX(0,MIN(AN5,'model_Assumptions'!$C$12)-MAX(AN4,'model_Assumptions'!$B$12)+1)</f>
        <v/>
      </c>
      <c r="AO7" s="16">
        <f>MAX(0,MIN(AO5,'model_Assumptions'!$C$7)-MAX(AO4,'model_Assumptions'!$B$7)+1)+MAX(0,MIN(AO5,'model_Assumptions'!$C$8)-MAX(AO4,'model_Assumptions'!$B$8)+1)+MAX(0,MIN(AO5,'model_Assumptions'!$C$9)-MAX(AO4,'model_Assumptions'!$B$9)+1)+MAX(0,MIN(AO5,'model_Assumptions'!$C$10)-MAX(AO4,'model_Assumptions'!$B$10)+1)+MAX(0,MIN(AO5,'model_Assumptions'!$C$11)-MAX(AO4,'model_Assumptions'!$B$11)+1)+MAX(0,MIN(AO5,'model_Assumptions'!$C$12)-MAX(AO4,'model_Assumptions'!$B$12)+1)</f>
        <v/>
      </c>
    </row>
    <row r="8">
      <c r="A8" s="1" t="inlineStr">
        <is>
          <t>Operational Days</t>
        </is>
      </c>
      <c r="B8" s="16">
        <f>B6-B7</f>
        <v/>
      </c>
      <c r="C8" s="16">
        <f>C6-C7</f>
        <v/>
      </c>
      <c r="D8" s="16">
        <f>D6-D7</f>
        <v/>
      </c>
      <c r="E8" s="16">
        <f>E6-E7</f>
        <v/>
      </c>
      <c r="F8" s="16">
        <f>F6-F7</f>
        <v/>
      </c>
      <c r="G8" s="16">
        <f>G6-G7</f>
        <v/>
      </c>
      <c r="H8" s="16">
        <f>H6-H7</f>
        <v/>
      </c>
      <c r="I8" s="16">
        <f>I6-I7</f>
        <v/>
      </c>
      <c r="J8" s="16">
        <f>J6-J7</f>
        <v/>
      </c>
      <c r="K8" s="16">
        <f>K6-K7</f>
        <v/>
      </c>
      <c r="L8" s="16">
        <f>L6-L7</f>
        <v/>
      </c>
      <c r="M8" s="16">
        <f>M6-M7</f>
        <v/>
      </c>
      <c r="N8" s="16">
        <f>N6-N7</f>
        <v/>
      </c>
      <c r="O8" s="16">
        <f>O6-O7</f>
        <v/>
      </c>
      <c r="P8" s="16">
        <f>P6-P7</f>
        <v/>
      </c>
      <c r="Q8" s="16">
        <f>Q6-Q7</f>
        <v/>
      </c>
      <c r="R8" s="16">
        <f>R6-R7</f>
        <v/>
      </c>
      <c r="S8" s="16">
        <f>S6-S7</f>
        <v/>
      </c>
      <c r="T8" s="16">
        <f>T6-T7</f>
        <v/>
      </c>
      <c r="U8" s="16">
        <f>U6-U7</f>
        <v/>
      </c>
      <c r="V8" s="16">
        <f>V6-V7</f>
        <v/>
      </c>
      <c r="W8" s="16">
        <f>W6-W7</f>
        <v/>
      </c>
      <c r="X8" s="16">
        <f>X6-X7</f>
        <v/>
      </c>
      <c r="Y8" s="16">
        <f>Y6-Y7</f>
        <v/>
      </c>
      <c r="Z8" s="16">
        <f>Z6-Z7</f>
        <v/>
      </c>
      <c r="AA8" s="16">
        <f>AA6-AA7</f>
        <v/>
      </c>
      <c r="AB8" s="16">
        <f>AB6-AB7</f>
        <v/>
      </c>
      <c r="AC8" s="16">
        <f>AC6-AC7</f>
        <v/>
      </c>
      <c r="AD8" s="16">
        <f>AD6-AD7</f>
        <v/>
      </c>
      <c r="AE8" s="16">
        <f>AE6-AE7</f>
        <v/>
      </c>
      <c r="AF8" s="16">
        <f>AF6-AF7</f>
        <v/>
      </c>
      <c r="AG8" s="16">
        <f>AG6-AG7</f>
        <v/>
      </c>
      <c r="AH8" s="16">
        <f>AH6-AH7</f>
        <v/>
      </c>
      <c r="AI8" s="16">
        <f>AI6-AI7</f>
        <v/>
      </c>
      <c r="AJ8" s="16">
        <f>AJ6-AJ7</f>
        <v/>
      </c>
      <c r="AK8" s="16">
        <f>AK6-AK7</f>
        <v/>
      </c>
      <c r="AL8" s="16">
        <f>AL6-AL7</f>
        <v/>
      </c>
      <c r="AM8" s="16">
        <f>AM6-AM7</f>
        <v/>
      </c>
      <c r="AN8" s="16">
        <f>AN6-AN7</f>
        <v/>
      </c>
      <c r="AO8" s="16">
        <f>AO6-AO7</f>
        <v/>
      </c>
    </row>
    <row r="9">
      <c r="A9" s="1" t="inlineStr">
        <is>
          <t>MWh produced</t>
        </is>
      </c>
      <c r="B9" s="16">
        <f>B8 * 'model_Assumptions'!$B$3 * 'model_Assumptions'!$B$4 * 'model_Assumptions'!$B$5</f>
        <v/>
      </c>
      <c r="C9" s="16">
        <f>C8 * 'model_Assumptions'!$B$3 * 'model_Assumptions'!$B$4 * 'model_Assumptions'!$B$5</f>
        <v/>
      </c>
      <c r="D9" s="16">
        <f>D8 * 'model_Assumptions'!$B$3 * 'model_Assumptions'!$B$4 * 'model_Assumptions'!$B$5</f>
        <v/>
      </c>
      <c r="E9" s="16">
        <f>E8 * 'model_Assumptions'!$B$3 * 'model_Assumptions'!$B$4 * 'model_Assumptions'!$B$5</f>
        <v/>
      </c>
      <c r="F9" s="16">
        <f>F8 * 'model_Assumptions'!$B$3 * 'model_Assumptions'!$B$4 * 'model_Assumptions'!$B$5</f>
        <v/>
      </c>
      <c r="G9" s="16">
        <f>G8 * 'model_Assumptions'!$B$3 * 'model_Assumptions'!$B$4 * 'model_Assumptions'!$B$5</f>
        <v/>
      </c>
      <c r="H9" s="16">
        <f>H8 * 'model_Assumptions'!$B$3 * 'model_Assumptions'!$B$4 * 'model_Assumptions'!$B$5</f>
        <v/>
      </c>
      <c r="I9" s="16">
        <f>I8 * 'model_Assumptions'!$B$3 * 'model_Assumptions'!$B$4 * 'model_Assumptions'!$B$5</f>
        <v/>
      </c>
      <c r="J9" s="16">
        <f>J8 * 'model_Assumptions'!$B$3 * 'model_Assumptions'!$B$4 * 'model_Assumptions'!$B$5</f>
        <v/>
      </c>
      <c r="K9" s="16">
        <f>K8 * 'model_Assumptions'!$B$3 * 'model_Assumptions'!$B$4 * 'model_Assumptions'!$B$5</f>
        <v/>
      </c>
      <c r="L9" s="16">
        <f>L8 * 'model_Assumptions'!$B$3 * 'model_Assumptions'!$B$4 * 'model_Assumptions'!$B$5</f>
        <v/>
      </c>
      <c r="M9" s="16">
        <f>M8 * 'model_Assumptions'!$B$3 * 'model_Assumptions'!$B$4 * 'model_Assumptions'!$B$5</f>
        <v/>
      </c>
      <c r="N9" s="16">
        <f>N8 * 'model_Assumptions'!$B$3 * 'model_Assumptions'!$B$4 * 'model_Assumptions'!$B$5</f>
        <v/>
      </c>
      <c r="O9" s="16">
        <f>O8 * 'model_Assumptions'!$B$3 * 'model_Assumptions'!$B$4 * 'model_Assumptions'!$B$5</f>
        <v/>
      </c>
      <c r="P9" s="16">
        <f>P8 * 'model_Assumptions'!$B$3 * 'model_Assumptions'!$B$4 * 'model_Assumptions'!$B$5</f>
        <v/>
      </c>
      <c r="Q9" s="16">
        <f>Q8 * 'model_Assumptions'!$B$3 * 'model_Assumptions'!$B$4 * 'model_Assumptions'!$B$5</f>
        <v/>
      </c>
      <c r="R9" s="16">
        <f>R8 * 'model_Assumptions'!$B$3 * 'model_Assumptions'!$B$4 * 'model_Assumptions'!$B$5</f>
        <v/>
      </c>
      <c r="S9" s="16">
        <f>S8 * 'model_Assumptions'!$B$3 * 'model_Assumptions'!$B$4 * 'model_Assumptions'!$B$5</f>
        <v/>
      </c>
      <c r="T9" s="16">
        <f>T8 * 'model_Assumptions'!$B$3 * 'model_Assumptions'!$B$4 * 'model_Assumptions'!$B$5</f>
        <v/>
      </c>
      <c r="U9" s="16">
        <f>U8 * 'model_Assumptions'!$B$3 * 'model_Assumptions'!$B$4 * 'model_Assumptions'!$B$5</f>
        <v/>
      </c>
      <c r="V9" s="16">
        <f>V8 * 'model_Assumptions'!$B$3 * 'model_Assumptions'!$B$4 * 'model_Assumptions'!$B$5</f>
        <v/>
      </c>
      <c r="W9" s="16">
        <f>W8 * 'model_Assumptions'!$B$3 * 'model_Assumptions'!$B$4 * 'model_Assumptions'!$B$5</f>
        <v/>
      </c>
      <c r="X9" s="16">
        <f>X8 * 'model_Assumptions'!$B$3 * 'model_Assumptions'!$B$4 * 'model_Assumptions'!$B$5</f>
        <v/>
      </c>
      <c r="Y9" s="16">
        <f>Y8 * 'model_Assumptions'!$B$3 * 'model_Assumptions'!$B$4 * 'model_Assumptions'!$B$5</f>
        <v/>
      </c>
      <c r="Z9" s="16">
        <f>Z8 * 'model_Assumptions'!$B$3 * 'model_Assumptions'!$B$4 * 'model_Assumptions'!$B$5</f>
        <v/>
      </c>
      <c r="AA9" s="16">
        <f>AA8 * 'model_Assumptions'!$B$3 * 'model_Assumptions'!$B$4 * 'model_Assumptions'!$B$5</f>
        <v/>
      </c>
      <c r="AB9" s="16">
        <f>AB8 * 'model_Assumptions'!$B$3 * 'model_Assumptions'!$B$4 * 'model_Assumptions'!$B$5</f>
        <v/>
      </c>
      <c r="AC9" s="16">
        <f>AC8 * 'model_Assumptions'!$B$3 * 'model_Assumptions'!$B$4 * 'model_Assumptions'!$B$5</f>
        <v/>
      </c>
      <c r="AD9" s="16">
        <f>AD8 * 'model_Assumptions'!$B$3 * 'model_Assumptions'!$B$4 * 'model_Assumptions'!$B$5</f>
        <v/>
      </c>
      <c r="AE9" s="16">
        <f>AE8 * 'model_Assumptions'!$B$3 * 'model_Assumptions'!$B$4 * 'model_Assumptions'!$B$5</f>
        <v/>
      </c>
      <c r="AF9" s="16">
        <f>AF8 * 'model_Assumptions'!$B$3 * 'model_Assumptions'!$B$4 * 'model_Assumptions'!$B$5</f>
        <v/>
      </c>
      <c r="AG9" s="16">
        <f>AG8 * 'model_Assumptions'!$B$3 * 'model_Assumptions'!$B$4 * 'model_Assumptions'!$B$5</f>
        <v/>
      </c>
      <c r="AH9" s="16">
        <f>AH8 * 'model_Assumptions'!$B$3 * 'model_Assumptions'!$B$4 * 'model_Assumptions'!$B$5</f>
        <v/>
      </c>
      <c r="AI9" s="16">
        <f>AI8 * 'model_Assumptions'!$B$3 * 'model_Assumptions'!$B$4 * 'model_Assumptions'!$B$5</f>
        <v/>
      </c>
      <c r="AJ9" s="16">
        <f>AJ8 * 'model_Assumptions'!$B$3 * 'model_Assumptions'!$B$4 * 'model_Assumptions'!$B$5</f>
        <v/>
      </c>
      <c r="AK9" s="16">
        <f>AK8 * 'model_Assumptions'!$B$3 * 'model_Assumptions'!$B$4 * 'model_Assumptions'!$B$5</f>
        <v/>
      </c>
      <c r="AL9" s="16">
        <f>AL8 * 'model_Assumptions'!$B$3 * 'model_Assumptions'!$B$4 * 'model_Assumptions'!$B$5</f>
        <v/>
      </c>
      <c r="AM9" s="16">
        <f>AM8 * 'model_Assumptions'!$B$3 * 'model_Assumptions'!$B$4 * 'model_Assumptions'!$B$5</f>
        <v/>
      </c>
      <c r="AN9" s="16">
        <f>AN8 * 'model_Assumptions'!$B$3 * 'model_Assumptions'!$B$4 * 'model_Assumptions'!$B$5</f>
        <v/>
      </c>
      <c r="AO9" s="16">
        <f>AO8 * 'model_Assumptions'!$B$3 * 'model_Assumptions'!$B$4 * 'model_Assumptions'!$B$5</f>
        <v/>
      </c>
    </row>
    <row r="10">
      <c r="A10" s="1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</row>
    <row r="11">
      <c r="A11" s="1" t="inlineStr">
        <is>
          <t>Market Price [$/MWh]</t>
        </is>
      </c>
      <c r="B11" s="18">
        <f>INDEX('model_Assumptions'!$B$23:$B$33, YEAR(B4)-2016 + IF(MONTH(B4)&lt;4, 0, 1))</f>
        <v/>
      </c>
      <c r="C11" s="18">
        <f>INDEX('model_Assumptions'!$B$23:$B$33, YEAR(C4)-2016 + IF(MONTH(C4)&lt;4, 0, 1))</f>
        <v/>
      </c>
      <c r="D11" s="18">
        <f>INDEX('model_Assumptions'!$B$23:$B$33, YEAR(D4)-2016 + IF(MONTH(D4)&lt;4, 0, 1))</f>
        <v/>
      </c>
      <c r="E11" s="18">
        <f>INDEX('model_Assumptions'!$B$23:$B$33, YEAR(E4)-2016 + IF(MONTH(E4)&lt;4, 0, 1))</f>
        <v/>
      </c>
      <c r="F11" s="18">
        <f>INDEX('model_Assumptions'!$B$23:$B$33, YEAR(F4)-2016 + IF(MONTH(F4)&lt;4, 0, 1))</f>
        <v/>
      </c>
      <c r="G11" s="18">
        <f>INDEX('model_Assumptions'!$B$23:$B$33, YEAR(G4)-2016 + IF(MONTH(G4)&lt;4, 0, 1))</f>
        <v/>
      </c>
      <c r="H11" s="18">
        <f>INDEX('model_Assumptions'!$B$23:$B$33, YEAR(H4)-2016 + IF(MONTH(H4)&lt;4, 0, 1))</f>
        <v/>
      </c>
      <c r="I11" s="18">
        <f>INDEX('model_Assumptions'!$B$23:$B$33, YEAR(I4)-2016 + IF(MONTH(I4)&lt;4, 0, 1))</f>
        <v/>
      </c>
      <c r="J11" s="18">
        <f>INDEX('model_Assumptions'!$B$23:$B$33, YEAR(J4)-2016 + IF(MONTH(J4)&lt;4, 0, 1))</f>
        <v/>
      </c>
      <c r="K11" s="18">
        <f>INDEX('model_Assumptions'!$B$23:$B$33, YEAR(K4)-2016 + IF(MONTH(K4)&lt;4, 0, 1))</f>
        <v/>
      </c>
      <c r="L11" s="18">
        <f>INDEX('model_Assumptions'!$B$23:$B$33, YEAR(L4)-2016 + IF(MONTH(L4)&lt;4, 0, 1))</f>
        <v/>
      </c>
      <c r="M11" s="18">
        <f>INDEX('model_Assumptions'!$B$23:$B$33, YEAR(M4)-2016 + IF(MONTH(M4)&lt;4, 0, 1))</f>
        <v/>
      </c>
      <c r="N11" s="18">
        <f>INDEX('model_Assumptions'!$B$23:$B$33, YEAR(N4)-2016 + IF(MONTH(N4)&lt;4, 0, 1))</f>
        <v/>
      </c>
      <c r="O11" s="18">
        <f>INDEX('model_Assumptions'!$B$23:$B$33, YEAR(O4)-2016 + IF(MONTH(O4)&lt;4, 0, 1))</f>
        <v/>
      </c>
      <c r="P11" s="18">
        <f>INDEX('model_Assumptions'!$B$23:$B$33, YEAR(P4)-2016 + IF(MONTH(P4)&lt;4, 0, 1))</f>
        <v/>
      </c>
      <c r="Q11" s="18">
        <f>INDEX('model_Assumptions'!$B$23:$B$33, YEAR(Q4)-2016 + IF(MONTH(Q4)&lt;4, 0, 1))</f>
        <v/>
      </c>
      <c r="R11" s="18">
        <f>INDEX('model_Assumptions'!$B$23:$B$33, YEAR(R4)-2016 + IF(MONTH(R4)&lt;4, 0, 1))</f>
        <v/>
      </c>
      <c r="S11" s="18">
        <f>INDEX('model_Assumptions'!$B$23:$B$33, YEAR(S4)-2016 + IF(MONTH(S4)&lt;4, 0, 1))</f>
        <v/>
      </c>
      <c r="T11" s="18">
        <f>INDEX('model_Assumptions'!$B$23:$B$33, YEAR(T4)-2016 + IF(MONTH(T4)&lt;4, 0, 1))</f>
        <v/>
      </c>
      <c r="U11" s="18">
        <f>INDEX('model_Assumptions'!$B$23:$B$33, YEAR(U4)-2016 + IF(MONTH(U4)&lt;4, 0, 1))</f>
        <v/>
      </c>
      <c r="V11" s="18">
        <f>INDEX('model_Assumptions'!$B$23:$B$33, YEAR(V4)-2016 + IF(MONTH(V4)&lt;4, 0, 1))</f>
        <v/>
      </c>
      <c r="W11" s="18">
        <f>INDEX('model_Assumptions'!$B$23:$B$33, YEAR(W4)-2016 + IF(MONTH(W4)&lt;4, 0, 1))</f>
        <v/>
      </c>
      <c r="X11" s="18">
        <f>INDEX('model_Assumptions'!$B$23:$B$33, YEAR(X4)-2016 + IF(MONTH(X4)&lt;4, 0, 1))</f>
        <v/>
      </c>
      <c r="Y11" s="18">
        <f>INDEX('model_Assumptions'!$B$23:$B$33, YEAR(Y4)-2016 + IF(MONTH(Y4)&lt;4, 0, 1))</f>
        <v/>
      </c>
      <c r="Z11" s="18">
        <f>INDEX('model_Assumptions'!$B$23:$B$33, YEAR(Z4)-2016 + IF(MONTH(Z4)&lt;4, 0, 1))</f>
        <v/>
      </c>
      <c r="AA11" s="18">
        <f>INDEX('model_Assumptions'!$B$23:$B$33, YEAR(AA4)-2016 + IF(MONTH(AA4)&lt;4, 0, 1))</f>
        <v/>
      </c>
      <c r="AB11" s="18">
        <f>INDEX('model_Assumptions'!$B$23:$B$33, YEAR(AB4)-2016 + IF(MONTH(AB4)&lt;4, 0, 1))</f>
        <v/>
      </c>
      <c r="AC11" s="18">
        <f>INDEX('model_Assumptions'!$B$23:$B$33, YEAR(AC4)-2016 + IF(MONTH(AC4)&lt;4, 0, 1))</f>
        <v/>
      </c>
      <c r="AD11" s="18">
        <f>INDEX('model_Assumptions'!$B$23:$B$33, YEAR(AD4)-2016 + IF(MONTH(AD4)&lt;4, 0, 1))</f>
        <v/>
      </c>
      <c r="AE11" s="18">
        <f>INDEX('model_Assumptions'!$B$23:$B$33, YEAR(AE4)-2016 + IF(MONTH(AE4)&lt;4, 0, 1))</f>
        <v/>
      </c>
      <c r="AF11" s="18">
        <f>INDEX('model_Assumptions'!$B$23:$B$33, YEAR(AF4)-2016 + IF(MONTH(AF4)&lt;4, 0, 1))</f>
        <v/>
      </c>
      <c r="AG11" s="18">
        <f>INDEX('model_Assumptions'!$B$23:$B$33, YEAR(AG4)-2016 + IF(MONTH(AG4)&lt;4, 0, 1))</f>
        <v/>
      </c>
      <c r="AH11" s="18">
        <f>INDEX('model_Assumptions'!$B$23:$B$33, YEAR(AH4)-2016 + IF(MONTH(AH4)&lt;4, 0, 1))</f>
        <v/>
      </c>
      <c r="AI11" s="18">
        <f>INDEX('model_Assumptions'!$B$23:$B$33, YEAR(AI4)-2016 + IF(MONTH(AI4)&lt;4, 0, 1))</f>
        <v/>
      </c>
      <c r="AJ11" s="18">
        <f>INDEX('model_Assumptions'!$B$23:$B$33, YEAR(AJ4)-2016 + IF(MONTH(AJ4)&lt;4, 0, 1))</f>
        <v/>
      </c>
      <c r="AK11" s="18">
        <f>INDEX('model_Assumptions'!$B$23:$B$33, YEAR(AK4)-2016 + IF(MONTH(AK4)&lt;4, 0, 1))</f>
        <v/>
      </c>
      <c r="AL11" s="18">
        <f>INDEX('model_Assumptions'!$B$23:$B$33, YEAR(AL4)-2016 + IF(MONTH(AL4)&lt;4, 0, 1))</f>
        <v/>
      </c>
      <c r="AM11" s="18">
        <f>INDEX('model_Assumptions'!$B$23:$B$33, YEAR(AM4)-2016 + IF(MONTH(AM4)&lt;4, 0, 1))</f>
        <v/>
      </c>
      <c r="AN11" s="18">
        <f>INDEX('model_Assumptions'!$B$23:$B$33, YEAR(AN4)-2016 + IF(MONTH(AN4)&lt;4, 0, 1))</f>
        <v/>
      </c>
      <c r="AO11" s="18">
        <f>INDEX('model_Assumptions'!$B$23:$B$33, YEAR(AO4)-2016 + IF(MONTH(AO4)&lt;4, 0, 1))</f>
        <v/>
      </c>
    </row>
    <row r="12">
      <c r="A12" s="1" t="inlineStr">
        <is>
          <t>Floor Price (Inflated) [$/MWh]</t>
        </is>
      </c>
      <c r="B12" s="18">
        <f>'model_Assumptions'!$B$48 * (1 + 'model_Assumptions'!$B$17)^(YEAR(B4)-2017)</f>
        <v/>
      </c>
      <c r="C12" s="18">
        <f>'model_Assumptions'!$B$48 * (1 + 'model_Assumptions'!$B$17)^(YEAR(C4)-2017)</f>
        <v/>
      </c>
      <c r="D12" s="18">
        <f>'model_Assumptions'!$B$48 * (1 + 'model_Assumptions'!$B$17)^(YEAR(D4)-2017)</f>
        <v/>
      </c>
      <c r="E12" s="18">
        <f>'model_Assumptions'!$B$48 * (1 + 'model_Assumptions'!$B$17)^(YEAR(E4)-2017)</f>
        <v/>
      </c>
      <c r="F12" s="18">
        <f>'model_Assumptions'!$B$48 * (1 + 'model_Assumptions'!$B$17)^(YEAR(F4)-2017)</f>
        <v/>
      </c>
      <c r="G12" s="18">
        <f>'model_Assumptions'!$B$48 * (1 + 'model_Assumptions'!$B$17)^(YEAR(G4)-2017)</f>
        <v/>
      </c>
      <c r="H12" s="18">
        <f>'model_Assumptions'!$B$48 * (1 + 'model_Assumptions'!$B$17)^(YEAR(H4)-2017)</f>
        <v/>
      </c>
      <c r="I12" s="18">
        <f>'model_Assumptions'!$B$48 * (1 + 'model_Assumptions'!$B$17)^(YEAR(I4)-2017)</f>
        <v/>
      </c>
      <c r="J12" s="18">
        <f>'model_Assumptions'!$B$48 * (1 + 'model_Assumptions'!$B$17)^(YEAR(J4)-2017)</f>
        <v/>
      </c>
      <c r="K12" s="18">
        <f>'model_Assumptions'!$B$48 * (1 + 'model_Assumptions'!$B$17)^(YEAR(K4)-2017)</f>
        <v/>
      </c>
      <c r="L12" s="18">
        <f>'model_Assumptions'!$B$48 * (1 + 'model_Assumptions'!$B$17)^(YEAR(L4)-2017)</f>
        <v/>
      </c>
      <c r="M12" s="18">
        <f>'model_Assumptions'!$B$48 * (1 + 'model_Assumptions'!$B$17)^(YEAR(M4)-2017)</f>
        <v/>
      </c>
      <c r="N12" s="18">
        <f>'model_Assumptions'!$B$48 * (1 + 'model_Assumptions'!$B$17)^(YEAR(N4)-2017)</f>
        <v/>
      </c>
      <c r="O12" s="18">
        <f>'model_Assumptions'!$B$48 * (1 + 'model_Assumptions'!$B$17)^(YEAR(O4)-2017)</f>
        <v/>
      </c>
      <c r="P12" s="18">
        <f>'model_Assumptions'!$B$48 * (1 + 'model_Assumptions'!$B$17)^(YEAR(P4)-2017)</f>
        <v/>
      </c>
      <c r="Q12" s="18">
        <f>'model_Assumptions'!$B$48 * (1 + 'model_Assumptions'!$B$17)^(YEAR(Q4)-2017)</f>
        <v/>
      </c>
      <c r="R12" s="18">
        <f>'model_Assumptions'!$B$48 * (1 + 'model_Assumptions'!$B$17)^(YEAR(R4)-2017)</f>
        <v/>
      </c>
      <c r="S12" s="18">
        <f>'model_Assumptions'!$B$48 * (1 + 'model_Assumptions'!$B$17)^(YEAR(S4)-2017)</f>
        <v/>
      </c>
      <c r="T12" s="18">
        <f>'model_Assumptions'!$B$48 * (1 + 'model_Assumptions'!$B$17)^(YEAR(T4)-2017)</f>
        <v/>
      </c>
      <c r="U12" s="18">
        <f>'model_Assumptions'!$B$48 * (1 + 'model_Assumptions'!$B$17)^(YEAR(U4)-2017)</f>
        <v/>
      </c>
      <c r="V12" s="18">
        <f>'model_Assumptions'!$B$48 * (1 + 'model_Assumptions'!$B$17)^(YEAR(V4)-2017)</f>
        <v/>
      </c>
      <c r="W12" s="18">
        <f>'model_Assumptions'!$B$48 * (1 + 'model_Assumptions'!$B$17)^(YEAR(W4)-2017)</f>
        <v/>
      </c>
      <c r="X12" s="18">
        <f>'model_Assumptions'!$B$48 * (1 + 'model_Assumptions'!$B$17)^(YEAR(X4)-2017)</f>
        <v/>
      </c>
      <c r="Y12" s="18">
        <f>'model_Assumptions'!$B$48 * (1 + 'model_Assumptions'!$B$17)^(YEAR(Y4)-2017)</f>
        <v/>
      </c>
      <c r="Z12" s="18">
        <f>'model_Assumptions'!$B$48 * (1 + 'model_Assumptions'!$B$17)^(YEAR(Z4)-2017)</f>
        <v/>
      </c>
      <c r="AA12" s="18">
        <f>'model_Assumptions'!$B$48 * (1 + 'model_Assumptions'!$B$17)^(YEAR(AA4)-2017)</f>
        <v/>
      </c>
      <c r="AB12" s="18">
        <f>'model_Assumptions'!$B$48 * (1 + 'model_Assumptions'!$B$17)^(YEAR(AB4)-2017)</f>
        <v/>
      </c>
      <c r="AC12" s="18">
        <f>'model_Assumptions'!$B$48 * (1 + 'model_Assumptions'!$B$17)^(YEAR(AC4)-2017)</f>
        <v/>
      </c>
      <c r="AD12" s="18">
        <f>'model_Assumptions'!$B$48 * (1 + 'model_Assumptions'!$B$17)^(YEAR(AD4)-2017)</f>
        <v/>
      </c>
      <c r="AE12" s="18">
        <f>'model_Assumptions'!$B$48 * (1 + 'model_Assumptions'!$B$17)^(YEAR(AE4)-2017)</f>
        <v/>
      </c>
      <c r="AF12" s="18">
        <f>'model_Assumptions'!$B$48 * (1 + 'model_Assumptions'!$B$17)^(YEAR(AF4)-2017)</f>
        <v/>
      </c>
      <c r="AG12" s="18">
        <f>'model_Assumptions'!$B$48 * (1 + 'model_Assumptions'!$B$17)^(YEAR(AG4)-2017)</f>
        <v/>
      </c>
      <c r="AH12" s="18">
        <f>'model_Assumptions'!$B$48 * (1 + 'model_Assumptions'!$B$17)^(YEAR(AH4)-2017)</f>
        <v/>
      </c>
      <c r="AI12" s="18">
        <f>'model_Assumptions'!$B$48 * (1 + 'model_Assumptions'!$B$17)^(YEAR(AI4)-2017)</f>
        <v/>
      </c>
      <c r="AJ12" s="18">
        <f>'model_Assumptions'!$B$48 * (1 + 'model_Assumptions'!$B$17)^(YEAR(AJ4)-2017)</f>
        <v/>
      </c>
      <c r="AK12" s="18">
        <f>'model_Assumptions'!$B$48 * (1 + 'model_Assumptions'!$B$17)^(YEAR(AK4)-2017)</f>
        <v/>
      </c>
      <c r="AL12" s="18">
        <f>'model_Assumptions'!$B$48 * (1 + 'model_Assumptions'!$B$17)^(YEAR(AL4)-2017)</f>
        <v/>
      </c>
      <c r="AM12" s="18">
        <f>'model_Assumptions'!$B$48 * (1 + 'model_Assumptions'!$B$17)^(YEAR(AM4)-2017)</f>
        <v/>
      </c>
      <c r="AN12" s="18">
        <f>'model_Assumptions'!$B$48 * (1 + 'model_Assumptions'!$B$17)^(YEAR(AN4)-2017)</f>
        <v/>
      </c>
      <c r="AO12" s="18">
        <f>'model_Assumptions'!$B$48 * (1 + 'model_Assumptions'!$B$17)^(YEAR(AO4)-2017)</f>
        <v/>
      </c>
    </row>
    <row r="13">
      <c r="A13" s="1" t="inlineStr">
        <is>
          <t>Cap Price (Inflated) [$/MWh]</t>
        </is>
      </c>
      <c r="B13" s="18">
        <f>'model_Assumptions'!$B$49 * (1 + 'model_Assumptions'!$B$16)^(YEAR(B4)-2017)</f>
        <v/>
      </c>
      <c r="C13" s="18">
        <f>'model_Assumptions'!$B$49 * (1 + 'model_Assumptions'!$B$16)^(YEAR(C4)-2017)</f>
        <v/>
      </c>
      <c r="D13" s="18">
        <f>'model_Assumptions'!$B$49 * (1 + 'model_Assumptions'!$B$16)^(YEAR(D4)-2017)</f>
        <v/>
      </c>
      <c r="E13" s="18">
        <f>'model_Assumptions'!$B$49 * (1 + 'model_Assumptions'!$B$16)^(YEAR(E4)-2017)</f>
        <v/>
      </c>
      <c r="F13" s="18">
        <f>'model_Assumptions'!$B$49 * (1 + 'model_Assumptions'!$B$16)^(YEAR(F4)-2017)</f>
        <v/>
      </c>
      <c r="G13" s="18">
        <f>'model_Assumptions'!$B$49 * (1 + 'model_Assumptions'!$B$16)^(YEAR(G4)-2017)</f>
        <v/>
      </c>
      <c r="H13" s="18">
        <f>'model_Assumptions'!$B$49 * (1 + 'model_Assumptions'!$B$16)^(YEAR(H4)-2017)</f>
        <v/>
      </c>
      <c r="I13" s="18">
        <f>'model_Assumptions'!$B$49 * (1 + 'model_Assumptions'!$B$16)^(YEAR(I4)-2017)</f>
        <v/>
      </c>
      <c r="J13" s="18">
        <f>'model_Assumptions'!$B$49 * (1 + 'model_Assumptions'!$B$16)^(YEAR(J4)-2017)</f>
        <v/>
      </c>
      <c r="K13" s="18">
        <f>'model_Assumptions'!$B$49 * (1 + 'model_Assumptions'!$B$16)^(YEAR(K4)-2017)</f>
        <v/>
      </c>
      <c r="L13" s="18">
        <f>'model_Assumptions'!$B$49 * (1 + 'model_Assumptions'!$B$16)^(YEAR(L4)-2017)</f>
        <v/>
      </c>
      <c r="M13" s="18">
        <f>'model_Assumptions'!$B$49 * (1 + 'model_Assumptions'!$B$16)^(YEAR(M4)-2017)</f>
        <v/>
      </c>
      <c r="N13" s="18">
        <f>'model_Assumptions'!$B$49 * (1 + 'model_Assumptions'!$B$16)^(YEAR(N4)-2017)</f>
        <v/>
      </c>
      <c r="O13" s="18">
        <f>'model_Assumptions'!$B$49 * (1 + 'model_Assumptions'!$B$16)^(YEAR(O4)-2017)</f>
        <v/>
      </c>
      <c r="P13" s="18">
        <f>'model_Assumptions'!$B$49 * (1 + 'model_Assumptions'!$B$16)^(YEAR(P4)-2017)</f>
        <v/>
      </c>
      <c r="Q13" s="18">
        <f>'model_Assumptions'!$B$49 * (1 + 'model_Assumptions'!$B$16)^(YEAR(Q4)-2017)</f>
        <v/>
      </c>
      <c r="R13" s="18">
        <f>'model_Assumptions'!$B$49 * (1 + 'model_Assumptions'!$B$16)^(YEAR(R4)-2017)</f>
        <v/>
      </c>
      <c r="S13" s="18">
        <f>'model_Assumptions'!$B$49 * (1 + 'model_Assumptions'!$B$16)^(YEAR(S4)-2017)</f>
        <v/>
      </c>
      <c r="T13" s="18">
        <f>'model_Assumptions'!$B$49 * (1 + 'model_Assumptions'!$B$16)^(YEAR(T4)-2017)</f>
        <v/>
      </c>
      <c r="U13" s="18">
        <f>'model_Assumptions'!$B$49 * (1 + 'model_Assumptions'!$B$16)^(YEAR(U4)-2017)</f>
        <v/>
      </c>
      <c r="V13" s="18">
        <f>'model_Assumptions'!$B$49 * (1 + 'model_Assumptions'!$B$16)^(YEAR(V4)-2017)</f>
        <v/>
      </c>
      <c r="W13" s="18">
        <f>'model_Assumptions'!$B$49 * (1 + 'model_Assumptions'!$B$16)^(YEAR(W4)-2017)</f>
        <v/>
      </c>
      <c r="X13" s="18">
        <f>'model_Assumptions'!$B$49 * (1 + 'model_Assumptions'!$B$16)^(YEAR(X4)-2017)</f>
        <v/>
      </c>
      <c r="Y13" s="18">
        <f>'model_Assumptions'!$B$49 * (1 + 'model_Assumptions'!$B$16)^(YEAR(Y4)-2017)</f>
        <v/>
      </c>
      <c r="Z13" s="18">
        <f>'model_Assumptions'!$B$49 * (1 + 'model_Assumptions'!$B$16)^(YEAR(Z4)-2017)</f>
        <v/>
      </c>
      <c r="AA13" s="18">
        <f>'model_Assumptions'!$B$49 * (1 + 'model_Assumptions'!$B$16)^(YEAR(AA4)-2017)</f>
        <v/>
      </c>
      <c r="AB13" s="18">
        <f>'model_Assumptions'!$B$49 * (1 + 'model_Assumptions'!$B$16)^(YEAR(AB4)-2017)</f>
        <v/>
      </c>
      <c r="AC13" s="18">
        <f>'model_Assumptions'!$B$49 * (1 + 'model_Assumptions'!$B$16)^(YEAR(AC4)-2017)</f>
        <v/>
      </c>
      <c r="AD13" s="18">
        <f>'model_Assumptions'!$B$49 * (1 + 'model_Assumptions'!$B$16)^(YEAR(AD4)-2017)</f>
        <v/>
      </c>
      <c r="AE13" s="18">
        <f>'model_Assumptions'!$B$49 * (1 + 'model_Assumptions'!$B$16)^(YEAR(AE4)-2017)</f>
        <v/>
      </c>
      <c r="AF13" s="18">
        <f>'model_Assumptions'!$B$49 * (1 + 'model_Assumptions'!$B$16)^(YEAR(AF4)-2017)</f>
        <v/>
      </c>
      <c r="AG13" s="18">
        <f>'model_Assumptions'!$B$49 * (1 + 'model_Assumptions'!$B$16)^(YEAR(AG4)-2017)</f>
        <v/>
      </c>
      <c r="AH13" s="18">
        <f>'model_Assumptions'!$B$49 * (1 + 'model_Assumptions'!$B$16)^(YEAR(AH4)-2017)</f>
        <v/>
      </c>
      <c r="AI13" s="18">
        <f>'model_Assumptions'!$B$49 * (1 + 'model_Assumptions'!$B$16)^(YEAR(AI4)-2017)</f>
        <v/>
      </c>
      <c r="AJ13" s="18">
        <f>'model_Assumptions'!$B$49 * (1 + 'model_Assumptions'!$B$16)^(YEAR(AJ4)-2017)</f>
        <v/>
      </c>
      <c r="AK13" s="18">
        <f>'model_Assumptions'!$B$49 * (1 + 'model_Assumptions'!$B$16)^(YEAR(AK4)-2017)</f>
        <v/>
      </c>
      <c r="AL13" s="18">
        <f>'model_Assumptions'!$B$49 * (1 + 'model_Assumptions'!$B$16)^(YEAR(AL4)-2017)</f>
        <v/>
      </c>
      <c r="AM13" s="18">
        <f>'model_Assumptions'!$B$49 * (1 + 'model_Assumptions'!$B$16)^(YEAR(AM4)-2017)</f>
        <v/>
      </c>
      <c r="AN13" s="18">
        <f>'model_Assumptions'!$B$49 * (1 + 'model_Assumptions'!$B$16)^(YEAR(AN4)-2017)</f>
        <v/>
      </c>
      <c r="AO13" s="18">
        <f>'model_Assumptions'!$B$49 * (1 + 'model_Assumptions'!$B$16)^(YEAR(AO4)-2017)</f>
        <v/>
      </c>
    </row>
    <row r="14">
      <c r="A14" s="1" t="inlineStr">
        <is>
          <t>Effective Price [$/MWh]</t>
        </is>
      </c>
      <c r="B14" s="18">
        <f>MIN(MAX(B11, B12), B13)</f>
        <v/>
      </c>
      <c r="C14" s="18">
        <f>MIN(MAX(C11, C12), C13)</f>
        <v/>
      </c>
      <c r="D14" s="18">
        <f>MIN(MAX(D11, D12), D13)</f>
        <v/>
      </c>
      <c r="E14" s="18">
        <f>MIN(MAX(E11, E12), E13)</f>
        <v/>
      </c>
      <c r="F14" s="18">
        <f>MIN(MAX(F11, F12), F13)</f>
        <v/>
      </c>
      <c r="G14" s="18">
        <f>MIN(MAX(G11, G12), G13)</f>
        <v/>
      </c>
      <c r="H14" s="18">
        <f>MIN(MAX(H11, H12), H13)</f>
        <v/>
      </c>
      <c r="I14" s="18">
        <f>MIN(MAX(I11, I12), I13)</f>
        <v/>
      </c>
      <c r="J14" s="18">
        <f>MIN(MAX(J11, J12), J13)</f>
        <v/>
      </c>
      <c r="K14" s="18">
        <f>MIN(MAX(K11, K12), K13)</f>
        <v/>
      </c>
      <c r="L14" s="18">
        <f>MIN(MAX(L11, L12), L13)</f>
        <v/>
      </c>
      <c r="M14" s="18">
        <f>MIN(MAX(M11, M12), M13)</f>
        <v/>
      </c>
      <c r="N14" s="18">
        <f>MIN(MAX(N11, N12), N13)</f>
        <v/>
      </c>
      <c r="O14" s="18">
        <f>MIN(MAX(O11, O12), O13)</f>
        <v/>
      </c>
      <c r="P14" s="18">
        <f>MIN(MAX(P11, P12), P13)</f>
        <v/>
      </c>
      <c r="Q14" s="18">
        <f>MIN(MAX(Q11, Q12), Q13)</f>
        <v/>
      </c>
      <c r="R14" s="18">
        <f>MIN(MAX(R11, R12), R13)</f>
        <v/>
      </c>
      <c r="S14" s="18">
        <f>MIN(MAX(S11, S12), S13)</f>
        <v/>
      </c>
      <c r="T14" s="18">
        <f>MIN(MAX(T11, T12), T13)</f>
        <v/>
      </c>
      <c r="U14" s="18">
        <f>MIN(MAX(U11, U12), U13)</f>
        <v/>
      </c>
      <c r="V14" s="18">
        <f>MIN(MAX(V11, V12), V13)</f>
        <v/>
      </c>
      <c r="W14" s="18">
        <f>MIN(MAX(W11, W12), W13)</f>
        <v/>
      </c>
      <c r="X14" s="18">
        <f>MIN(MAX(X11, X12), X13)</f>
        <v/>
      </c>
      <c r="Y14" s="18">
        <f>MIN(MAX(Y11, Y12), Y13)</f>
        <v/>
      </c>
      <c r="Z14" s="18">
        <f>MIN(MAX(Z11, Z12), Z13)</f>
        <v/>
      </c>
      <c r="AA14" s="18">
        <f>MIN(MAX(AA11, AA12), AA13)</f>
        <v/>
      </c>
      <c r="AB14" s="18">
        <f>MIN(MAX(AB11, AB12), AB13)</f>
        <v/>
      </c>
      <c r="AC14" s="18">
        <f>MIN(MAX(AC11, AC12), AC13)</f>
        <v/>
      </c>
      <c r="AD14" s="18">
        <f>MIN(MAX(AD11, AD12), AD13)</f>
        <v/>
      </c>
      <c r="AE14" s="18">
        <f>MIN(MAX(AE11, AE12), AE13)</f>
        <v/>
      </c>
      <c r="AF14" s="18">
        <f>MIN(MAX(AF11, AF12), AF13)</f>
        <v/>
      </c>
      <c r="AG14" s="18">
        <f>MIN(MAX(AG11, AG12), AG13)</f>
        <v/>
      </c>
      <c r="AH14" s="18">
        <f>MIN(MAX(AH11, AH12), AH13)</f>
        <v/>
      </c>
      <c r="AI14" s="18">
        <f>MIN(MAX(AI11, AI12), AI13)</f>
        <v/>
      </c>
      <c r="AJ14" s="18">
        <f>MIN(MAX(AJ11, AJ12), AJ13)</f>
        <v/>
      </c>
      <c r="AK14" s="18">
        <f>MIN(MAX(AK11, AK12), AK13)</f>
        <v/>
      </c>
      <c r="AL14" s="18">
        <f>MIN(MAX(AL11, AL12), AL13)</f>
        <v/>
      </c>
      <c r="AM14" s="18">
        <f>MIN(MAX(AM11, AM12), AM13)</f>
        <v/>
      </c>
      <c r="AN14" s="18">
        <f>MIN(MAX(AN11, AN12), AN13)</f>
        <v/>
      </c>
      <c r="AO14" s="18">
        <f>MIN(MAX(AO11, AO12), AO13)</f>
        <v/>
      </c>
    </row>
    <row r="15">
      <c r="A15" s="1" t="inlineStr">
        <is>
          <t>Revenue (Market/Floor/Cap) [$]</t>
        </is>
      </c>
      <c r="B15" s="19">
        <f>B9 * B14</f>
        <v/>
      </c>
      <c r="C15" s="19">
        <f>C9 * C14</f>
        <v/>
      </c>
      <c r="D15" s="19">
        <f>D9 * D14</f>
        <v/>
      </c>
      <c r="E15" s="19">
        <f>E9 * E14</f>
        <v/>
      </c>
      <c r="F15" s="19">
        <f>F9 * F14</f>
        <v/>
      </c>
      <c r="G15" s="19">
        <f>G9 * G14</f>
        <v/>
      </c>
      <c r="H15" s="19">
        <f>H9 * H14</f>
        <v/>
      </c>
      <c r="I15" s="19">
        <f>I9 * I14</f>
        <v/>
      </c>
      <c r="J15" s="19">
        <f>J9 * J14</f>
        <v/>
      </c>
      <c r="K15" s="19">
        <f>K9 * K14</f>
        <v/>
      </c>
      <c r="L15" s="19">
        <f>L9 * L14</f>
        <v/>
      </c>
      <c r="M15" s="19">
        <f>M9 * M14</f>
        <v/>
      </c>
      <c r="N15" s="19">
        <f>N9 * N14</f>
        <v/>
      </c>
      <c r="O15" s="19">
        <f>O9 * O14</f>
        <v/>
      </c>
      <c r="P15" s="19">
        <f>P9 * P14</f>
        <v/>
      </c>
      <c r="Q15" s="19">
        <f>Q9 * Q14</f>
        <v/>
      </c>
      <c r="R15" s="19">
        <f>R9 * R14</f>
        <v/>
      </c>
      <c r="S15" s="19">
        <f>S9 * S14</f>
        <v/>
      </c>
      <c r="T15" s="19">
        <f>T9 * T14</f>
        <v/>
      </c>
      <c r="U15" s="19">
        <f>U9 * U14</f>
        <v/>
      </c>
      <c r="V15" s="19">
        <f>V9 * V14</f>
        <v/>
      </c>
      <c r="W15" s="19">
        <f>W9 * W14</f>
        <v/>
      </c>
      <c r="X15" s="19">
        <f>X9 * X14</f>
        <v/>
      </c>
      <c r="Y15" s="19">
        <f>Y9 * Y14</f>
        <v/>
      </c>
      <c r="Z15" s="19">
        <f>Z9 * Z14</f>
        <v/>
      </c>
      <c r="AA15" s="19">
        <f>AA9 * AA14</f>
        <v/>
      </c>
      <c r="AB15" s="19">
        <f>AB9 * AB14</f>
        <v/>
      </c>
      <c r="AC15" s="19">
        <f>AC9 * AC14</f>
        <v/>
      </c>
      <c r="AD15" s="19">
        <f>AD9 * AD14</f>
        <v/>
      </c>
      <c r="AE15" s="19">
        <f>AE9 * AE14</f>
        <v/>
      </c>
      <c r="AF15" s="19">
        <f>AF9 * AF14</f>
        <v/>
      </c>
      <c r="AG15" s="19">
        <f>AG9 * AG14</f>
        <v/>
      </c>
      <c r="AH15" s="19">
        <f>AH9 * AH14</f>
        <v/>
      </c>
      <c r="AI15" s="19">
        <f>AI9 * AI14</f>
        <v/>
      </c>
      <c r="AJ15" s="19">
        <f>AJ9 * AJ14</f>
        <v/>
      </c>
      <c r="AK15" s="19">
        <f>AK9 * AK14</f>
        <v/>
      </c>
      <c r="AL15" s="19">
        <f>AL9 * AL14</f>
        <v/>
      </c>
      <c r="AM15" s="19">
        <f>AM9 * AM14</f>
        <v/>
      </c>
      <c r="AN15" s="19">
        <f>AN9 * AN14</f>
        <v/>
      </c>
      <c r="AO15" s="19">
        <f>AO9 * AO14</f>
        <v/>
      </c>
    </row>
    <row r="16">
      <c r="A16" s="1" t="inlineStr">
        <is>
          <t>Revenue (Floor Only) [$]</t>
        </is>
      </c>
      <c r="B16" s="19">
        <f>B9 * B12</f>
        <v/>
      </c>
      <c r="C16" s="19">
        <f>C9 * C12</f>
        <v/>
      </c>
      <c r="D16" s="19">
        <f>D9 * D12</f>
        <v/>
      </c>
      <c r="E16" s="19">
        <f>E9 * E12</f>
        <v/>
      </c>
      <c r="F16" s="19">
        <f>F9 * F12</f>
        <v/>
      </c>
      <c r="G16" s="19">
        <f>G9 * G12</f>
        <v/>
      </c>
      <c r="H16" s="19">
        <f>H9 * H12</f>
        <v/>
      </c>
      <c r="I16" s="19">
        <f>I9 * I12</f>
        <v/>
      </c>
      <c r="J16" s="19">
        <f>J9 * J12</f>
        <v/>
      </c>
      <c r="K16" s="19">
        <f>K9 * K12</f>
        <v/>
      </c>
      <c r="L16" s="19">
        <f>L9 * L12</f>
        <v/>
      </c>
      <c r="M16" s="19">
        <f>M9 * M12</f>
        <v/>
      </c>
      <c r="N16" s="19">
        <f>N9 * N12</f>
        <v/>
      </c>
      <c r="O16" s="19">
        <f>O9 * O12</f>
        <v/>
      </c>
      <c r="P16" s="19">
        <f>P9 * P12</f>
        <v/>
      </c>
      <c r="Q16" s="19">
        <f>Q9 * Q12</f>
        <v/>
      </c>
      <c r="R16" s="19">
        <f>R9 * R12</f>
        <v/>
      </c>
      <c r="S16" s="19">
        <f>S9 * S12</f>
        <v/>
      </c>
      <c r="T16" s="19">
        <f>T9 * T12</f>
        <v/>
      </c>
      <c r="U16" s="19">
        <f>U9 * U12</f>
        <v/>
      </c>
      <c r="V16" s="19">
        <f>V9 * V12</f>
        <v/>
      </c>
      <c r="W16" s="19">
        <f>W9 * W12</f>
        <v/>
      </c>
      <c r="X16" s="19">
        <f>X9 * X12</f>
        <v/>
      </c>
      <c r="Y16" s="19">
        <f>Y9 * Y12</f>
        <v/>
      </c>
      <c r="Z16" s="19">
        <f>Z9 * Z12</f>
        <v/>
      </c>
      <c r="AA16" s="19">
        <f>AA9 * AA12</f>
        <v/>
      </c>
      <c r="AB16" s="19">
        <f>AB9 * AB12</f>
        <v/>
      </c>
      <c r="AC16" s="19">
        <f>AC9 * AC12</f>
        <v/>
      </c>
      <c r="AD16" s="19">
        <f>AD9 * AD12</f>
        <v/>
      </c>
      <c r="AE16" s="19">
        <f>AE9 * AE12</f>
        <v/>
      </c>
      <c r="AF16" s="19">
        <f>AF9 * AF12</f>
        <v/>
      </c>
      <c r="AG16" s="19">
        <f>AG9 * AG12</f>
        <v/>
      </c>
      <c r="AH16" s="19">
        <f>AH9 * AH12</f>
        <v/>
      </c>
      <c r="AI16" s="19">
        <f>AI9 * AI12</f>
        <v/>
      </c>
      <c r="AJ16" s="19">
        <f>AJ9 * AJ12</f>
        <v/>
      </c>
      <c r="AK16" s="19">
        <f>AK9 * AK12</f>
        <v/>
      </c>
      <c r="AL16" s="19">
        <f>AL9 * AL12</f>
        <v/>
      </c>
      <c r="AM16" s="19">
        <f>AM9 * AM12</f>
        <v/>
      </c>
      <c r="AN16" s="19">
        <f>AN9 * AN12</f>
        <v/>
      </c>
      <c r="AO16" s="19">
        <f>AO9 * AO12</f>
        <v/>
      </c>
    </row>
    <row r="17">
      <c r="A17" s="1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</row>
    <row r="18">
      <c r="A18" s="1" t="inlineStr">
        <is>
          <t>Supplier 1 Cost/MWh (Inflated) [$]</t>
        </is>
      </c>
      <c r="B18" s="18">
        <f>('model_Assumptions'!$B$35 * (1 + 'model_Assumptions'!$B$18)^(YEAR(B4)-2017)) / 'model_Assumptions'!$B$36</f>
        <v/>
      </c>
      <c r="C18" s="18">
        <f>('model_Assumptions'!$B$35 * (1 + 'model_Assumptions'!$B$18)^(YEAR(C4)-2017)) / 'model_Assumptions'!$B$36</f>
        <v/>
      </c>
      <c r="D18" s="18">
        <f>('model_Assumptions'!$B$35 * (1 + 'model_Assumptions'!$B$18)^(YEAR(D4)-2017)) / 'model_Assumptions'!$B$36</f>
        <v/>
      </c>
      <c r="E18" s="18">
        <f>('model_Assumptions'!$B$35 * (1 + 'model_Assumptions'!$B$18)^(YEAR(E4)-2017)) / 'model_Assumptions'!$B$36</f>
        <v/>
      </c>
      <c r="F18" s="18">
        <f>('model_Assumptions'!$B$35 * (1 + 'model_Assumptions'!$B$18)^(YEAR(F4)-2017)) / 'model_Assumptions'!$B$36</f>
        <v/>
      </c>
      <c r="G18" s="18">
        <f>('model_Assumptions'!$B$35 * (1 + 'model_Assumptions'!$B$18)^(YEAR(G4)-2017)) / 'model_Assumptions'!$B$36</f>
        <v/>
      </c>
      <c r="H18" s="18">
        <f>('model_Assumptions'!$B$35 * (1 + 'model_Assumptions'!$B$18)^(YEAR(H4)-2017)) / 'model_Assumptions'!$B$36</f>
        <v/>
      </c>
      <c r="I18" s="18">
        <f>('model_Assumptions'!$B$35 * (1 + 'model_Assumptions'!$B$18)^(YEAR(I4)-2017)) / 'model_Assumptions'!$B$36</f>
        <v/>
      </c>
      <c r="J18" s="18">
        <f>('model_Assumptions'!$B$35 * (1 + 'model_Assumptions'!$B$18)^(YEAR(J4)-2017)) / 'model_Assumptions'!$B$36</f>
        <v/>
      </c>
      <c r="K18" s="18">
        <f>('model_Assumptions'!$B$35 * (1 + 'model_Assumptions'!$B$18)^(YEAR(K4)-2017)) / 'model_Assumptions'!$B$36</f>
        <v/>
      </c>
      <c r="L18" s="18">
        <f>('model_Assumptions'!$B$35 * (1 + 'model_Assumptions'!$B$18)^(YEAR(L4)-2017)) / 'model_Assumptions'!$B$36</f>
        <v/>
      </c>
      <c r="M18" s="18">
        <f>('model_Assumptions'!$B$35 * (1 + 'model_Assumptions'!$B$18)^(YEAR(M4)-2017)) / 'model_Assumptions'!$B$36</f>
        <v/>
      </c>
      <c r="N18" s="18">
        <f>('model_Assumptions'!$B$35 * (1 + 'model_Assumptions'!$B$18)^(YEAR(N4)-2017)) / 'model_Assumptions'!$B$36</f>
        <v/>
      </c>
      <c r="O18" s="18">
        <f>('model_Assumptions'!$B$35 * (1 + 'model_Assumptions'!$B$18)^(YEAR(O4)-2017)) / 'model_Assumptions'!$B$36</f>
        <v/>
      </c>
      <c r="P18" s="18">
        <f>('model_Assumptions'!$B$35 * (1 + 'model_Assumptions'!$B$18)^(YEAR(P4)-2017)) / 'model_Assumptions'!$B$36</f>
        <v/>
      </c>
      <c r="Q18" s="18">
        <f>('model_Assumptions'!$B$35 * (1 + 'model_Assumptions'!$B$18)^(YEAR(Q4)-2017)) / 'model_Assumptions'!$B$36</f>
        <v/>
      </c>
      <c r="R18" s="18">
        <f>('model_Assumptions'!$B$35 * (1 + 'model_Assumptions'!$B$18)^(YEAR(R4)-2017)) / 'model_Assumptions'!$B$36</f>
        <v/>
      </c>
      <c r="S18" s="18">
        <f>('model_Assumptions'!$B$35 * (1 + 'model_Assumptions'!$B$18)^(YEAR(S4)-2017)) / 'model_Assumptions'!$B$36</f>
        <v/>
      </c>
      <c r="T18" s="18">
        <f>('model_Assumptions'!$B$35 * (1 + 'model_Assumptions'!$B$18)^(YEAR(T4)-2017)) / 'model_Assumptions'!$B$36</f>
        <v/>
      </c>
      <c r="U18" s="18">
        <f>('model_Assumptions'!$B$35 * (1 + 'model_Assumptions'!$B$18)^(YEAR(U4)-2017)) / 'model_Assumptions'!$B$36</f>
        <v/>
      </c>
      <c r="V18" s="18">
        <f>('model_Assumptions'!$B$35 * (1 + 'model_Assumptions'!$B$18)^(YEAR(V4)-2017)) / 'model_Assumptions'!$B$36</f>
        <v/>
      </c>
      <c r="W18" s="18">
        <f>('model_Assumptions'!$B$35 * (1 + 'model_Assumptions'!$B$18)^(YEAR(W4)-2017)) / 'model_Assumptions'!$B$36</f>
        <v/>
      </c>
      <c r="X18" s="18">
        <f>('model_Assumptions'!$B$35 * (1 + 'model_Assumptions'!$B$18)^(YEAR(X4)-2017)) / 'model_Assumptions'!$B$36</f>
        <v/>
      </c>
      <c r="Y18" s="18">
        <f>('model_Assumptions'!$B$35 * (1 + 'model_Assumptions'!$B$18)^(YEAR(Y4)-2017)) / 'model_Assumptions'!$B$36</f>
        <v/>
      </c>
      <c r="Z18" s="18">
        <f>('model_Assumptions'!$B$35 * (1 + 'model_Assumptions'!$B$18)^(YEAR(Z4)-2017)) / 'model_Assumptions'!$B$36</f>
        <v/>
      </c>
      <c r="AA18" s="18">
        <f>('model_Assumptions'!$B$35 * (1 + 'model_Assumptions'!$B$18)^(YEAR(AA4)-2017)) / 'model_Assumptions'!$B$36</f>
        <v/>
      </c>
      <c r="AB18" s="18">
        <f>('model_Assumptions'!$B$35 * (1 + 'model_Assumptions'!$B$18)^(YEAR(AB4)-2017)) / 'model_Assumptions'!$B$36</f>
        <v/>
      </c>
      <c r="AC18" s="18">
        <f>('model_Assumptions'!$B$35 * (1 + 'model_Assumptions'!$B$18)^(YEAR(AC4)-2017)) / 'model_Assumptions'!$B$36</f>
        <v/>
      </c>
      <c r="AD18" s="18">
        <f>('model_Assumptions'!$B$35 * (1 + 'model_Assumptions'!$B$18)^(YEAR(AD4)-2017)) / 'model_Assumptions'!$B$36</f>
        <v/>
      </c>
      <c r="AE18" s="18">
        <f>('model_Assumptions'!$B$35 * (1 + 'model_Assumptions'!$B$18)^(YEAR(AE4)-2017)) / 'model_Assumptions'!$B$36</f>
        <v/>
      </c>
      <c r="AF18" s="18">
        <f>('model_Assumptions'!$B$35 * (1 + 'model_Assumptions'!$B$18)^(YEAR(AF4)-2017)) / 'model_Assumptions'!$B$36</f>
        <v/>
      </c>
      <c r="AG18" s="18">
        <f>('model_Assumptions'!$B$35 * (1 + 'model_Assumptions'!$B$18)^(YEAR(AG4)-2017)) / 'model_Assumptions'!$B$36</f>
        <v/>
      </c>
      <c r="AH18" s="18">
        <f>('model_Assumptions'!$B$35 * (1 + 'model_Assumptions'!$B$18)^(YEAR(AH4)-2017)) / 'model_Assumptions'!$B$36</f>
        <v/>
      </c>
      <c r="AI18" s="18">
        <f>('model_Assumptions'!$B$35 * (1 + 'model_Assumptions'!$B$18)^(YEAR(AI4)-2017)) / 'model_Assumptions'!$B$36</f>
        <v/>
      </c>
      <c r="AJ18" s="18">
        <f>('model_Assumptions'!$B$35 * (1 + 'model_Assumptions'!$B$18)^(YEAR(AJ4)-2017)) / 'model_Assumptions'!$B$36</f>
        <v/>
      </c>
      <c r="AK18" s="18">
        <f>('model_Assumptions'!$B$35 * (1 + 'model_Assumptions'!$B$18)^(YEAR(AK4)-2017)) / 'model_Assumptions'!$B$36</f>
        <v/>
      </c>
      <c r="AL18" s="18">
        <f>('model_Assumptions'!$B$35 * (1 + 'model_Assumptions'!$B$18)^(YEAR(AL4)-2017)) / 'model_Assumptions'!$B$36</f>
        <v/>
      </c>
      <c r="AM18" s="18">
        <f>('model_Assumptions'!$B$35 * (1 + 'model_Assumptions'!$B$18)^(YEAR(AM4)-2017)) / 'model_Assumptions'!$B$36</f>
        <v/>
      </c>
      <c r="AN18" s="18">
        <f>('model_Assumptions'!$B$35 * (1 + 'model_Assumptions'!$B$18)^(YEAR(AN4)-2017)) / 'model_Assumptions'!$B$36</f>
        <v/>
      </c>
      <c r="AO18" s="18">
        <f>('model_Assumptions'!$B$35 * (1 + 'model_Assumptions'!$B$18)^(YEAR(AO4)-2017)) / 'model_Assumptions'!$B$36</f>
        <v/>
      </c>
    </row>
    <row r="19">
      <c r="A19" s="1" t="inlineStr">
        <is>
          <t>Supplier 2 Cost/MWh (Fixed) [$]</t>
        </is>
      </c>
      <c r="B19" s="18" t="n">
        <v>32.5</v>
      </c>
      <c r="C19" s="18" t="n">
        <v>32.5</v>
      </c>
      <c r="D19" s="18" t="n">
        <v>32.5</v>
      </c>
      <c r="E19" s="18" t="n">
        <v>32.5</v>
      </c>
      <c r="F19" s="18" t="n">
        <v>32.5</v>
      </c>
      <c r="G19" s="18" t="n">
        <v>32.5</v>
      </c>
      <c r="H19" s="18" t="n">
        <v>32.5</v>
      </c>
      <c r="I19" s="18" t="n">
        <v>32.5</v>
      </c>
      <c r="J19" s="18" t="n">
        <v>32.5</v>
      </c>
      <c r="K19" s="18" t="n">
        <v>32.5</v>
      </c>
      <c r="L19" s="18" t="n">
        <v>32.5</v>
      </c>
      <c r="M19" s="18" t="n">
        <v>32.5</v>
      </c>
      <c r="N19" s="18" t="n">
        <v>32.5</v>
      </c>
      <c r="O19" s="18" t="n">
        <v>32.5</v>
      </c>
      <c r="P19" s="18" t="n">
        <v>32.5</v>
      </c>
      <c r="Q19" s="18" t="n">
        <v>32.5</v>
      </c>
      <c r="R19" s="18" t="n">
        <v>32.5</v>
      </c>
      <c r="S19" s="18" t="n">
        <v>32.5</v>
      </c>
      <c r="T19" s="18" t="n">
        <v>32.5</v>
      </c>
      <c r="U19" s="18" t="n">
        <v>32.5</v>
      </c>
      <c r="V19" s="18" t="n">
        <v>32.5</v>
      </c>
      <c r="W19" s="18" t="n">
        <v>32.5</v>
      </c>
      <c r="X19" s="18" t="n">
        <v>32.5</v>
      </c>
      <c r="Y19" s="18" t="n">
        <v>32.5</v>
      </c>
      <c r="Z19" s="18" t="n">
        <v>32.5</v>
      </c>
      <c r="AA19" s="18" t="n">
        <v>32.5</v>
      </c>
      <c r="AB19" s="18" t="n">
        <v>32.5</v>
      </c>
      <c r="AC19" s="18" t="n">
        <v>32.5</v>
      </c>
      <c r="AD19" s="18" t="n">
        <v>32.5</v>
      </c>
      <c r="AE19" s="18" t="n">
        <v>32.5</v>
      </c>
      <c r="AF19" s="18" t="n">
        <v>32.5</v>
      </c>
      <c r="AG19" s="18" t="n">
        <v>32.5</v>
      </c>
      <c r="AH19" s="18" t="n">
        <v>32.5</v>
      </c>
      <c r="AI19" s="18" t="n">
        <v>32.5</v>
      </c>
      <c r="AJ19" s="18" t="n">
        <v>32.5</v>
      </c>
      <c r="AK19" s="18" t="n">
        <v>32.5</v>
      </c>
      <c r="AL19" s="18" t="n">
        <v>32.5</v>
      </c>
      <c r="AM19" s="18" t="n">
        <v>32.5</v>
      </c>
      <c r="AN19" s="18" t="n">
        <v>32.5</v>
      </c>
      <c r="AO19" s="18" t="n">
        <v>32.5</v>
      </c>
    </row>
    <row r="20">
      <c r="A20" s="1" t="inlineStr">
        <is>
          <t>Cheaper Supplier</t>
        </is>
      </c>
      <c r="B20" s="17">
        <f>IF(B18&lt;B19,"S1","S2")</f>
        <v/>
      </c>
      <c r="C20" s="17">
        <f>IF(C18&lt;C19,"S1","S2")</f>
        <v/>
      </c>
      <c r="D20" s="17">
        <f>IF(D18&lt;D19,"S1","S2")</f>
        <v/>
      </c>
      <c r="E20" s="17">
        <f>IF(E18&lt;E19,"S1","S2")</f>
        <v/>
      </c>
      <c r="F20" s="17">
        <f>IF(F18&lt;F19,"S1","S2")</f>
        <v/>
      </c>
      <c r="G20" s="17">
        <f>IF(G18&lt;G19,"S1","S2")</f>
        <v/>
      </c>
      <c r="H20" s="17">
        <f>IF(H18&lt;H19,"S1","S2")</f>
        <v/>
      </c>
      <c r="I20" s="17">
        <f>IF(I18&lt;I19,"S1","S2")</f>
        <v/>
      </c>
      <c r="J20" s="17">
        <f>IF(J18&lt;J19,"S1","S2")</f>
        <v/>
      </c>
      <c r="K20" s="17">
        <f>IF(K18&lt;K19,"S1","S2")</f>
        <v/>
      </c>
      <c r="L20" s="17">
        <f>IF(L18&lt;L19,"S1","S2")</f>
        <v/>
      </c>
      <c r="M20" s="17">
        <f>IF(M18&lt;M19,"S1","S2")</f>
        <v/>
      </c>
      <c r="N20" s="17">
        <f>IF(N18&lt;N19,"S1","S2")</f>
        <v/>
      </c>
      <c r="O20" s="17">
        <f>IF(O18&lt;O19,"S1","S2")</f>
        <v/>
      </c>
      <c r="P20" s="17">
        <f>IF(P18&lt;P19,"S1","S2")</f>
        <v/>
      </c>
      <c r="Q20" s="17">
        <f>IF(Q18&lt;Q19,"S1","S2")</f>
        <v/>
      </c>
      <c r="R20" s="17">
        <f>IF(R18&lt;R19,"S1","S2")</f>
        <v/>
      </c>
      <c r="S20" s="17">
        <f>IF(S18&lt;S19,"S1","S2")</f>
        <v/>
      </c>
      <c r="T20" s="17">
        <f>IF(T18&lt;T19,"S1","S2")</f>
        <v/>
      </c>
      <c r="U20" s="17">
        <f>IF(U18&lt;U19,"S1","S2")</f>
        <v/>
      </c>
      <c r="V20" s="17">
        <f>IF(V18&lt;V19,"S1","S2")</f>
        <v/>
      </c>
      <c r="W20" s="17">
        <f>IF(W18&lt;W19,"S1","S2")</f>
        <v/>
      </c>
      <c r="X20" s="17">
        <f>IF(X18&lt;X19,"S1","S2")</f>
        <v/>
      </c>
      <c r="Y20" s="17">
        <f>IF(Y18&lt;Y19,"S1","S2")</f>
        <v/>
      </c>
      <c r="Z20" s="17">
        <f>IF(Z18&lt;Z19,"S1","S2")</f>
        <v/>
      </c>
      <c r="AA20" s="17">
        <f>IF(AA18&lt;AA19,"S1","S2")</f>
        <v/>
      </c>
      <c r="AB20" s="17">
        <f>IF(AB18&lt;AB19,"S1","S2")</f>
        <v/>
      </c>
      <c r="AC20" s="17">
        <f>IF(AC18&lt;AC19,"S1","S2")</f>
        <v/>
      </c>
      <c r="AD20" s="17">
        <f>IF(AD18&lt;AD19,"S1","S2")</f>
        <v/>
      </c>
      <c r="AE20" s="17">
        <f>IF(AE18&lt;AE19,"S1","S2")</f>
        <v/>
      </c>
      <c r="AF20" s="17">
        <f>IF(AF18&lt;AF19,"S1","S2")</f>
        <v/>
      </c>
      <c r="AG20" s="17">
        <f>IF(AG18&lt;AG19,"S1","S2")</f>
        <v/>
      </c>
      <c r="AH20" s="17">
        <f>IF(AH18&lt;AH19,"S1","S2")</f>
        <v/>
      </c>
      <c r="AI20" s="17">
        <f>IF(AI18&lt;AI19,"S1","S2")</f>
        <v/>
      </c>
      <c r="AJ20" s="17">
        <f>IF(AJ18&lt;AJ19,"S1","S2")</f>
        <v/>
      </c>
      <c r="AK20" s="17">
        <f>IF(AK18&lt;AK19,"S1","S2")</f>
        <v/>
      </c>
      <c r="AL20" s="17">
        <f>IF(AL18&lt;AL19,"S1","S2")</f>
        <v/>
      </c>
      <c r="AM20" s="17">
        <f>IF(AM18&lt;AM19,"S1","S2")</f>
        <v/>
      </c>
      <c r="AN20" s="17">
        <f>IF(AN18&lt;AN19,"S1","S2")</f>
        <v/>
      </c>
      <c r="AO20" s="17">
        <f>IF(AO18&lt;AO19,"S1","S2")</f>
        <v/>
      </c>
    </row>
    <row r="21">
      <c r="A21" s="1" t="inlineStr">
        <is>
          <t>Tonnes from Supplier 1</t>
        </is>
      </c>
      <c r="B21" s="17">
        <f>IF(B20="S1",MIN(B9/3.5, 4500), 0)</f>
        <v/>
      </c>
      <c r="C21" s="17">
        <f>IF(C20="S1",MIN(C9/3.5, 4500), 0)</f>
        <v/>
      </c>
      <c r="D21" s="17">
        <f>IF(D20="S1",MIN(D9/3.5, 4500), 0)</f>
        <v/>
      </c>
      <c r="E21" s="17">
        <f>IF(E20="S1",MIN(E9/3.5, 4500), 0)</f>
        <v/>
      </c>
      <c r="F21" s="17">
        <f>IF(F20="S1",MIN(F9/3.5, 4500), 0)</f>
        <v/>
      </c>
      <c r="G21" s="17">
        <f>IF(G20="S1",MIN(G9/3.5, 4500), 0)</f>
        <v/>
      </c>
      <c r="H21" s="17">
        <f>IF(H20="S1",MIN(H9/3.5, 4500), 0)</f>
        <v/>
      </c>
      <c r="I21" s="17">
        <f>IF(I20="S1",MIN(I9/3.5, 4500), 0)</f>
        <v/>
      </c>
      <c r="J21" s="17">
        <f>IF(J20="S1",MIN(J9/3.5, 4500), 0)</f>
        <v/>
      </c>
      <c r="K21" s="17">
        <f>IF(K20="S1",MIN(K9/3.5, 4500), 0)</f>
        <v/>
      </c>
      <c r="L21" s="17">
        <f>IF(L20="S1",MIN(L9/3.5, 4500), 0)</f>
        <v/>
      </c>
      <c r="M21" s="17">
        <f>IF(M20="S1",MIN(M9/3.5, 4500), 0)</f>
        <v/>
      </c>
      <c r="N21" s="17">
        <f>IF(N20="S1",MIN(N9/3.5, 4500), 0)</f>
        <v/>
      </c>
      <c r="O21" s="17">
        <f>IF(O20="S1",MIN(O9/3.5, 4500), 0)</f>
        <v/>
      </c>
      <c r="P21" s="17">
        <f>IF(P20="S1",MIN(P9/3.5, 4500), 0)</f>
        <v/>
      </c>
      <c r="Q21" s="17">
        <f>IF(Q20="S1",MIN(Q9/3.5, 4500), 0)</f>
        <v/>
      </c>
      <c r="R21" s="17">
        <f>IF(R20="S1",MIN(R9/3.5, 4500), 0)</f>
        <v/>
      </c>
      <c r="S21" s="17">
        <f>IF(S20="S1",MIN(S9/3.5, 4500), 0)</f>
        <v/>
      </c>
      <c r="T21" s="17">
        <f>IF(T20="S1",MIN(T9/3.5, 4500), 0)</f>
        <v/>
      </c>
      <c r="U21" s="17">
        <f>IF(U20="S1",MIN(U9/3.5, 4500), 0)</f>
        <v/>
      </c>
      <c r="V21" s="17">
        <f>IF(V20="S1",MIN(V9/3.5, 4500), 0)</f>
        <v/>
      </c>
      <c r="W21" s="17">
        <f>IF(W20="S1",MIN(W9/3.5, 4500), 0)</f>
        <v/>
      </c>
      <c r="X21" s="17">
        <f>IF(X20="S1",MIN(X9/3.5, 4500), 0)</f>
        <v/>
      </c>
      <c r="Y21" s="17">
        <f>IF(Y20="S1",MIN(Y9/3.5, 4500), 0)</f>
        <v/>
      </c>
      <c r="Z21" s="17">
        <f>IF(Z20="S1",MIN(Z9/3.5, 4500), 0)</f>
        <v/>
      </c>
      <c r="AA21" s="17">
        <f>IF(AA20="S1",MIN(AA9/3.5, 4500), 0)</f>
        <v/>
      </c>
      <c r="AB21" s="17">
        <f>IF(AB20="S1",MIN(AB9/3.5, 4500), 0)</f>
        <v/>
      </c>
      <c r="AC21" s="17">
        <f>IF(AC20="S1",MIN(AC9/3.5, 4500), 0)</f>
        <v/>
      </c>
      <c r="AD21" s="17">
        <f>IF(AD20="S1",MIN(AD9/3.5, 4500), 0)</f>
        <v/>
      </c>
      <c r="AE21" s="17">
        <f>IF(AE20="S1",MIN(AE9/3.5, 4500), 0)</f>
        <v/>
      </c>
      <c r="AF21" s="17">
        <f>IF(AF20="S1",MIN(AF9/3.5, 4500), 0)</f>
        <v/>
      </c>
      <c r="AG21" s="17">
        <f>IF(AG20="S1",MIN(AG9/3.5, 4500), 0)</f>
        <v/>
      </c>
      <c r="AH21" s="17">
        <f>IF(AH20="S1",MIN(AH9/3.5, 4500), 0)</f>
        <v/>
      </c>
      <c r="AI21" s="17">
        <f>IF(AI20="S1",MIN(AI9/3.5, 4500), 0)</f>
        <v/>
      </c>
      <c r="AJ21" s="17">
        <f>IF(AJ20="S1",MIN(AJ9/3.5, 4500), 0)</f>
        <v/>
      </c>
      <c r="AK21" s="17">
        <f>IF(AK20="S1",MIN(AK9/3.5, 4500), 0)</f>
        <v/>
      </c>
      <c r="AL21" s="17">
        <f>IF(AL20="S1",MIN(AL9/3.5, 4500), 0)</f>
        <v/>
      </c>
      <c r="AM21" s="17">
        <f>IF(AM20="S1",MIN(AM9/3.5, 4500), 0)</f>
        <v/>
      </c>
      <c r="AN21" s="17">
        <f>IF(AN20="S1",MIN(AN9/3.5, 4500), 0)</f>
        <v/>
      </c>
      <c r="AO21" s="17">
        <f>IF(AO20="S1",MIN(AO9/3.5, 4500), 0)</f>
        <v/>
      </c>
    </row>
    <row r="22">
      <c r="A22" s="1" t="inlineStr">
        <is>
          <t>Tonnes from Supplier 2</t>
        </is>
      </c>
      <c r="B22" s="17">
        <f>IF(B20="S1",MAX(0, (B9-(B21*3.5))/4), B9/4)</f>
        <v/>
      </c>
      <c r="C22" s="17">
        <f>IF(C20="S1",MAX(0, (C9-(C21*3.5))/4), C9/4)</f>
        <v/>
      </c>
      <c r="D22" s="17">
        <f>IF(D20="S1",MAX(0, (D9-(D21*3.5))/4), D9/4)</f>
        <v/>
      </c>
      <c r="E22" s="17">
        <f>IF(E20="S1",MAX(0, (E9-(E21*3.5))/4), E9/4)</f>
        <v/>
      </c>
      <c r="F22" s="17">
        <f>IF(F20="S1",MAX(0, (F9-(F21*3.5))/4), F9/4)</f>
        <v/>
      </c>
      <c r="G22" s="17">
        <f>IF(G20="S1",MAX(0, (G9-(G21*3.5))/4), G9/4)</f>
        <v/>
      </c>
      <c r="H22" s="17">
        <f>IF(H20="S1",MAX(0, (H9-(H21*3.5))/4), H9/4)</f>
        <v/>
      </c>
      <c r="I22" s="17">
        <f>IF(I20="S1",MAX(0, (I9-(I21*3.5))/4), I9/4)</f>
        <v/>
      </c>
      <c r="J22" s="17">
        <f>IF(J20="S1",MAX(0, (J9-(J21*3.5))/4), J9/4)</f>
        <v/>
      </c>
      <c r="K22" s="17">
        <f>IF(K20="S1",MAX(0, (K9-(K21*3.5))/4), K9/4)</f>
        <v/>
      </c>
      <c r="L22" s="17">
        <f>IF(L20="S1",MAX(0, (L9-(L21*3.5))/4), L9/4)</f>
        <v/>
      </c>
      <c r="M22" s="17">
        <f>IF(M20="S1",MAX(0, (M9-(M21*3.5))/4), M9/4)</f>
        <v/>
      </c>
      <c r="N22" s="17">
        <f>IF(N20="S1",MAX(0, (N9-(N21*3.5))/4), N9/4)</f>
        <v/>
      </c>
      <c r="O22" s="17">
        <f>IF(O20="S1",MAX(0, (O9-(O21*3.5))/4), O9/4)</f>
        <v/>
      </c>
      <c r="P22" s="17">
        <f>IF(P20="S1",MAX(0, (P9-(P21*3.5))/4), P9/4)</f>
        <v/>
      </c>
      <c r="Q22" s="17">
        <f>IF(Q20="S1",MAX(0, (Q9-(Q21*3.5))/4), Q9/4)</f>
        <v/>
      </c>
      <c r="R22" s="17">
        <f>IF(R20="S1",MAX(0, (R9-(R21*3.5))/4), R9/4)</f>
        <v/>
      </c>
      <c r="S22" s="17">
        <f>IF(S20="S1",MAX(0, (S9-(S21*3.5))/4), S9/4)</f>
        <v/>
      </c>
      <c r="T22" s="17">
        <f>IF(T20="S1",MAX(0, (T9-(T21*3.5))/4), T9/4)</f>
        <v/>
      </c>
      <c r="U22" s="17">
        <f>IF(U20="S1",MAX(0, (U9-(U21*3.5))/4), U9/4)</f>
        <v/>
      </c>
      <c r="V22" s="17">
        <f>IF(V20="S1",MAX(0, (V9-(V21*3.5))/4), V9/4)</f>
        <v/>
      </c>
      <c r="W22" s="17">
        <f>IF(W20="S1",MAX(0, (W9-(W21*3.5))/4), W9/4)</f>
        <v/>
      </c>
      <c r="X22" s="17">
        <f>IF(X20="S1",MAX(0, (X9-(X21*3.5))/4), X9/4)</f>
        <v/>
      </c>
      <c r="Y22" s="17">
        <f>IF(Y20="S1",MAX(0, (Y9-(Y21*3.5))/4), Y9/4)</f>
        <v/>
      </c>
      <c r="Z22" s="17">
        <f>IF(Z20="S1",MAX(0, (Z9-(Z21*3.5))/4), Z9/4)</f>
        <v/>
      </c>
      <c r="AA22" s="17">
        <f>IF(AA20="S1",MAX(0, (AA9-(AA21*3.5))/4), AA9/4)</f>
        <v/>
      </c>
      <c r="AB22" s="17">
        <f>IF(AB20="S1",MAX(0, (AB9-(AB21*3.5))/4), AB9/4)</f>
        <v/>
      </c>
      <c r="AC22" s="17">
        <f>IF(AC20="S1",MAX(0, (AC9-(AC21*3.5))/4), AC9/4)</f>
        <v/>
      </c>
      <c r="AD22" s="17">
        <f>IF(AD20="S1",MAX(0, (AD9-(AD21*3.5))/4), AD9/4)</f>
        <v/>
      </c>
      <c r="AE22" s="17">
        <f>IF(AE20="S1",MAX(0, (AE9-(AE21*3.5))/4), AE9/4)</f>
        <v/>
      </c>
      <c r="AF22" s="17">
        <f>IF(AF20="S1",MAX(0, (AF9-(AF21*3.5))/4), AF9/4)</f>
        <v/>
      </c>
      <c r="AG22" s="17">
        <f>IF(AG20="S1",MAX(0, (AG9-(AG21*3.5))/4), AG9/4)</f>
        <v/>
      </c>
      <c r="AH22" s="17">
        <f>IF(AH20="S1",MAX(0, (AH9-(AH21*3.5))/4), AH9/4)</f>
        <v/>
      </c>
      <c r="AI22" s="17">
        <f>IF(AI20="S1",MAX(0, (AI9-(AI21*3.5))/4), AI9/4)</f>
        <v/>
      </c>
      <c r="AJ22" s="17">
        <f>IF(AJ20="S1",MAX(0, (AJ9-(AJ21*3.5))/4), AJ9/4)</f>
        <v/>
      </c>
      <c r="AK22" s="17">
        <f>IF(AK20="S1",MAX(0, (AK9-(AK21*3.5))/4), AK9/4)</f>
        <v/>
      </c>
      <c r="AL22" s="17">
        <f>IF(AL20="S1",MAX(0, (AL9-(AL21*3.5))/4), AL9/4)</f>
        <v/>
      </c>
      <c r="AM22" s="17">
        <f>IF(AM20="S1",MAX(0, (AM9-(AM21*3.5))/4), AM9/4)</f>
        <v/>
      </c>
      <c r="AN22" s="17">
        <f>IF(AN20="S1",MAX(0, (AN9-(AN21*3.5))/4), AN9/4)</f>
        <v/>
      </c>
      <c r="AO22" s="17">
        <f>IF(AO20="S1",MAX(0, (AO9-(AO21*3.5))/4), AO9/4)</f>
        <v/>
      </c>
    </row>
    <row r="23">
      <c r="A23" s="1" t="inlineStr">
        <is>
          <t>Total Wood Chip Cost [$]</t>
        </is>
      </c>
      <c r="B23" s="19">
        <f>(B21 * (B18*3.5)) + (B22 * (B19*4))</f>
        <v/>
      </c>
      <c r="C23" s="19">
        <f>(C21 * (C18*3.5)) + (C22 * (C19*4))</f>
        <v/>
      </c>
      <c r="D23" s="19">
        <f>(D21 * (D18*3.5)) + (D22 * (D19*4))</f>
        <v/>
      </c>
      <c r="E23" s="19">
        <f>(E21 * (E18*3.5)) + (E22 * (E19*4))</f>
        <v/>
      </c>
      <c r="F23" s="19">
        <f>(F21 * (F18*3.5)) + (F22 * (F19*4))</f>
        <v/>
      </c>
      <c r="G23" s="19">
        <f>(G21 * (G18*3.5)) + (G22 * (G19*4))</f>
        <v/>
      </c>
      <c r="H23" s="19">
        <f>(H21 * (H18*3.5)) + (H22 * (H19*4))</f>
        <v/>
      </c>
      <c r="I23" s="19">
        <f>(I21 * (I18*3.5)) + (I22 * (I19*4))</f>
        <v/>
      </c>
      <c r="J23" s="19">
        <f>(J21 * (J18*3.5)) + (J22 * (J19*4))</f>
        <v/>
      </c>
      <c r="K23" s="19">
        <f>(K21 * (K18*3.5)) + (K22 * (K19*4))</f>
        <v/>
      </c>
      <c r="L23" s="19">
        <f>(L21 * (L18*3.5)) + (L22 * (L19*4))</f>
        <v/>
      </c>
      <c r="M23" s="19">
        <f>(M21 * (M18*3.5)) + (M22 * (M19*4))</f>
        <v/>
      </c>
      <c r="N23" s="19">
        <f>(N21 * (N18*3.5)) + (N22 * (N19*4))</f>
        <v/>
      </c>
      <c r="O23" s="19">
        <f>(O21 * (O18*3.5)) + (O22 * (O19*4))</f>
        <v/>
      </c>
      <c r="P23" s="19">
        <f>(P21 * (P18*3.5)) + (P22 * (P19*4))</f>
        <v/>
      </c>
      <c r="Q23" s="19">
        <f>(Q21 * (Q18*3.5)) + (Q22 * (Q19*4))</f>
        <v/>
      </c>
      <c r="R23" s="19">
        <f>(R21 * (R18*3.5)) + (R22 * (R19*4))</f>
        <v/>
      </c>
      <c r="S23" s="19">
        <f>(S21 * (S18*3.5)) + (S22 * (S19*4))</f>
        <v/>
      </c>
      <c r="T23" s="19">
        <f>(T21 * (T18*3.5)) + (T22 * (T19*4))</f>
        <v/>
      </c>
      <c r="U23" s="19">
        <f>(U21 * (U18*3.5)) + (U22 * (U19*4))</f>
        <v/>
      </c>
      <c r="V23" s="19">
        <f>(V21 * (V18*3.5)) + (V22 * (V19*4))</f>
        <v/>
      </c>
      <c r="W23" s="19">
        <f>(W21 * (W18*3.5)) + (W22 * (W19*4))</f>
        <v/>
      </c>
      <c r="X23" s="19">
        <f>(X21 * (X18*3.5)) + (X22 * (X19*4))</f>
        <v/>
      </c>
      <c r="Y23" s="19">
        <f>(Y21 * (Y18*3.5)) + (Y22 * (Y19*4))</f>
        <v/>
      </c>
      <c r="Z23" s="19">
        <f>(Z21 * (Z18*3.5)) + (Z22 * (Z19*4))</f>
        <v/>
      </c>
      <c r="AA23" s="19">
        <f>(AA21 * (AA18*3.5)) + (AA22 * (AA19*4))</f>
        <v/>
      </c>
      <c r="AB23" s="19">
        <f>(AB21 * (AB18*3.5)) + (AB22 * (AB19*4))</f>
        <v/>
      </c>
      <c r="AC23" s="19">
        <f>(AC21 * (AC18*3.5)) + (AC22 * (AC19*4))</f>
        <v/>
      </c>
      <c r="AD23" s="19">
        <f>(AD21 * (AD18*3.5)) + (AD22 * (AD19*4))</f>
        <v/>
      </c>
      <c r="AE23" s="19">
        <f>(AE21 * (AE18*3.5)) + (AE22 * (AE19*4))</f>
        <v/>
      </c>
      <c r="AF23" s="19">
        <f>(AF21 * (AF18*3.5)) + (AF22 * (AF19*4))</f>
        <v/>
      </c>
      <c r="AG23" s="19">
        <f>(AG21 * (AG18*3.5)) + (AG22 * (AG19*4))</f>
        <v/>
      </c>
      <c r="AH23" s="19">
        <f>(AH21 * (AH18*3.5)) + (AH22 * (AH19*4))</f>
        <v/>
      </c>
      <c r="AI23" s="19">
        <f>(AI21 * (AI18*3.5)) + (AI22 * (AI19*4))</f>
        <v/>
      </c>
      <c r="AJ23" s="19">
        <f>(AJ21 * (AJ18*3.5)) + (AJ22 * (AJ19*4))</f>
        <v/>
      </c>
      <c r="AK23" s="19">
        <f>(AK21 * (AK18*3.5)) + (AK22 * (AK19*4))</f>
        <v/>
      </c>
      <c r="AL23" s="19">
        <f>(AL21 * (AL18*3.5)) + (AL22 * (AL19*4))</f>
        <v/>
      </c>
      <c r="AM23" s="19">
        <f>(AM21 * (AM18*3.5)) + (AM22 * (AM19*4))</f>
        <v/>
      </c>
      <c r="AN23" s="19">
        <f>(AN21 * (AN18*3.5)) + (AN22 * (AN19*4))</f>
        <v/>
      </c>
      <c r="AO23" s="19">
        <f>(AO21 * (AO18*3.5)) + (AO22 * (AO19*4))</f>
        <v/>
      </c>
    </row>
    <row r="24">
      <c r="A24" s="1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</row>
    <row r="25">
      <c r="A25" s="1" t="inlineStr">
        <is>
          <t>Fixed Costs (Inflated) [$]</t>
        </is>
      </c>
      <c r="B25" s="19">
        <f>('model_Assumptions'!$B$42 * 3) * (1 + 'model_Assumptions'!$B$19)^(YEAR(B4)-2017)</f>
        <v/>
      </c>
      <c r="C25" s="19">
        <f>('model_Assumptions'!$B$42 * 3) * (1 + 'model_Assumptions'!$B$19)^(YEAR(C4)-2017)</f>
        <v/>
      </c>
      <c r="D25" s="19">
        <f>('model_Assumptions'!$B$42 * 3) * (1 + 'model_Assumptions'!$B$19)^(YEAR(D4)-2017)</f>
        <v/>
      </c>
      <c r="E25" s="19">
        <f>('model_Assumptions'!$B$42 * 3) * (1 + 'model_Assumptions'!$B$19)^(YEAR(E4)-2017)</f>
        <v/>
      </c>
      <c r="F25" s="19">
        <f>('model_Assumptions'!$B$42 * 3) * (1 + 'model_Assumptions'!$B$19)^(YEAR(F4)-2017)</f>
        <v/>
      </c>
      <c r="G25" s="19">
        <f>('model_Assumptions'!$B$42 * 3) * (1 + 'model_Assumptions'!$B$19)^(YEAR(G4)-2017)</f>
        <v/>
      </c>
      <c r="H25" s="19">
        <f>('model_Assumptions'!$B$42 * 3) * (1 + 'model_Assumptions'!$B$19)^(YEAR(H4)-2017)</f>
        <v/>
      </c>
      <c r="I25" s="19">
        <f>('model_Assumptions'!$B$42 * 3) * (1 + 'model_Assumptions'!$B$19)^(YEAR(I4)-2017)</f>
        <v/>
      </c>
      <c r="J25" s="19">
        <f>('model_Assumptions'!$B$42 * 3) * (1 + 'model_Assumptions'!$B$19)^(YEAR(J4)-2017)</f>
        <v/>
      </c>
      <c r="K25" s="19">
        <f>('model_Assumptions'!$B$42 * 3) * (1 + 'model_Assumptions'!$B$19)^(YEAR(K4)-2017)</f>
        <v/>
      </c>
      <c r="L25" s="19">
        <f>('model_Assumptions'!$B$42 * 3) * (1 + 'model_Assumptions'!$B$19)^(YEAR(L4)-2017)</f>
        <v/>
      </c>
      <c r="M25" s="19">
        <f>('model_Assumptions'!$B$42 * 3) * (1 + 'model_Assumptions'!$B$19)^(YEAR(M4)-2017)</f>
        <v/>
      </c>
      <c r="N25" s="19">
        <f>('model_Assumptions'!$B$42 * 3) * (1 + 'model_Assumptions'!$B$19)^(YEAR(N4)-2017)</f>
        <v/>
      </c>
      <c r="O25" s="19">
        <f>('model_Assumptions'!$B$42 * 3) * (1 + 'model_Assumptions'!$B$19)^(YEAR(O4)-2017)</f>
        <v/>
      </c>
      <c r="P25" s="19">
        <f>('model_Assumptions'!$B$42 * 3) * (1 + 'model_Assumptions'!$B$19)^(YEAR(P4)-2017)</f>
        <v/>
      </c>
      <c r="Q25" s="19">
        <f>('model_Assumptions'!$B$42 * 3) * (1 + 'model_Assumptions'!$B$19)^(YEAR(Q4)-2017)</f>
        <v/>
      </c>
      <c r="R25" s="19">
        <f>('model_Assumptions'!$B$42 * 3) * (1 + 'model_Assumptions'!$B$19)^(YEAR(R4)-2017)</f>
        <v/>
      </c>
      <c r="S25" s="19">
        <f>('model_Assumptions'!$B$42 * 3) * (1 + 'model_Assumptions'!$B$19)^(YEAR(S4)-2017)</f>
        <v/>
      </c>
      <c r="T25" s="19">
        <f>('model_Assumptions'!$B$42 * 3) * (1 + 'model_Assumptions'!$B$19)^(YEAR(T4)-2017)</f>
        <v/>
      </c>
      <c r="U25" s="19">
        <f>('model_Assumptions'!$B$42 * 3) * (1 + 'model_Assumptions'!$B$19)^(YEAR(U4)-2017)</f>
        <v/>
      </c>
      <c r="V25" s="19">
        <f>('model_Assumptions'!$B$42 * 3) * (1 + 'model_Assumptions'!$B$19)^(YEAR(V4)-2017)</f>
        <v/>
      </c>
      <c r="W25" s="19">
        <f>('model_Assumptions'!$B$42 * 3) * (1 + 'model_Assumptions'!$B$19)^(YEAR(W4)-2017)</f>
        <v/>
      </c>
      <c r="X25" s="19">
        <f>('model_Assumptions'!$B$42 * 3) * (1 + 'model_Assumptions'!$B$19)^(YEAR(X4)-2017)</f>
        <v/>
      </c>
      <c r="Y25" s="19">
        <f>('model_Assumptions'!$B$42 * 3) * (1 + 'model_Assumptions'!$B$19)^(YEAR(Y4)-2017)</f>
        <v/>
      </c>
      <c r="Z25" s="19">
        <f>('model_Assumptions'!$B$42 * 3) * (1 + 'model_Assumptions'!$B$19)^(YEAR(Z4)-2017)</f>
        <v/>
      </c>
      <c r="AA25" s="19">
        <f>('model_Assumptions'!$B$42 * 3) * (1 + 'model_Assumptions'!$B$19)^(YEAR(AA4)-2017)</f>
        <v/>
      </c>
      <c r="AB25" s="19">
        <f>('model_Assumptions'!$B$42 * 3) * (1 + 'model_Assumptions'!$B$19)^(YEAR(AB4)-2017)</f>
        <v/>
      </c>
      <c r="AC25" s="19">
        <f>('model_Assumptions'!$B$42 * 3) * (1 + 'model_Assumptions'!$B$19)^(YEAR(AC4)-2017)</f>
        <v/>
      </c>
      <c r="AD25" s="19">
        <f>('model_Assumptions'!$B$42 * 3) * (1 + 'model_Assumptions'!$B$19)^(YEAR(AD4)-2017)</f>
        <v/>
      </c>
      <c r="AE25" s="19">
        <f>('model_Assumptions'!$B$42 * 3) * (1 + 'model_Assumptions'!$B$19)^(YEAR(AE4)-2017)</f>
        <v/>
      </c>
      <c r="AF25" s="19">
        <f>('model_Assumptions'!$B$42 * 3) * (1 + 'model_Assumptions'!$B$19)^(YEAR(AF4)-2017)</f>
        <v/>
      </c>
      <c r="AG25" s="19">
        <f>('model_Assumptions'!$B$42 * 3) * (1 + 'model_Assumptions'!$B$19)^(YEAR(AG4)-2017)</f>
        <v/>
      </c>
      <c r="AH25" s="19">
        <f>('model_Assumptions'!$B$42 * 3) * (1 + 'model_Assumptions'!$B$19)^(YEAR(AH4)-2017)</f>
        <v/>
      </c>
      <c r="AI25" s="19">
        <f>('model_Assumptions'!$B$42 * 3) * (1 + 'model_Assumptions'!$B$19)^(YEAR(AI4)-2017)</f>
        <v/>
      </c>
      <c r="AJ25" s="19">
        <f>('model_Assumptions'!$B$42 * 3) * (1 + 'model_Assumptions'!$B$19)^(YEAR(AJ4)-2017)</f>
        <v/>
      </c>
      <c r="AK25" s="19">
        <f>('model_Assumptions'!$B$42 * 3) * (1 + 'model_Assumptions'!$B$19)^(YEAR(AK4)-2017)</f>
        <v/>
      </c>
      <c r="AL25" s="19">
        <f>('model_Assumptions'!$B$42 * 3) * (1 + 'model_Assumptions'!$B$19)^(YEAR(AL4)-2017)</f>
        <v/>
      </c>
      <c r="AM25" s="19">
        <f>('model_Assumptions'!$B$42 * 3) * (1 + 'model_Assumptions'!$B$19)^(YEAR(AM4)-2017)</f>
        <v/>
      </c>
      <c r="AN25" s="19">
        <f>('model_Assumptions'!$B$42 * 3) * (1 + 'model_Assumptions'!$B$19)^(YEAR(AN4)-2017)</f>
        <v/>
      </c>
      <c r="AO25" s="19">
        <f>('model_Assumptions'!$B$42 * 3) * (1 + 'model_Assumptions'!$B$19)^(YEAR(AO4)-2017)</f>
        <v/>
      </c>
    </row>
    <row r="26">
      <c r="A26" s="1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</row>
    <row r="27">
      <c r="A27" s="1" t="inlineStr">
        <is>
          <t>Net Cash Flow (Market) [$]</t>
        </is>
      </c>
      <c r="B27" s="20">
        <f>B15-B23-B25</f>
        <v/>
      </c>
      <c r="C27" s="20">
        <f>C15-C23-C25</f>
        <v/>
      </c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</row>
    <row r="28">
      <c r="A28" s="24" t="inlineStr">
        <is>
          <t>Net Cash Flow (Floor) [$]</t>
        </is>
      </c>
      <c r="B28" s="25">
        <f>B16-B23-B25</f>
        <v/>
      </c>
      <c r="C28" s="25">
        <f>C16-C23-C25</f>
        <v/>
      </c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</row>
    <row r="29">
      <c r="A29" s="1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</row>
    <row r="30">
      <c r="A30" s="1" t="inlineStr">
        <is>
          <t>NPV Factor (Market)</t>
        </is>
      </c>
      <c r="B30" s="21">
        <f>1/(1+'model_Assumptions'!$B$45)^((B5-'model_Assumptions'!$B$47)/365)</f>
        <v/>
      </c>
      <c r="C30" s="21">
        <f>1/(1+'model_Assumptions'!$B$45)^((C5-'model_Assumptions'!$B$47)/365)</f>
        <v/>
      </c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</row>
    <row r="31">
      <c r="A31" s="1" t="inlineStr">
        <is>
          <t>NPV Factor (Floor)</t>
        </is>
      </c>
      <c r="B31" s="21">
        <f>1/(1+'model_Assumptions'!$B$46)^((B5-'model_Assumptions'!$B$47)/365)</f>
        <v/>
      </c>
      <c r="C31" s="21">
        <f>1/(1+'model_Assumptions'!$B$46)^((C5-'model_Assumptions'!$B$47)/365)</f>
        <v/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</row>
    <row r="32">
      <c r="A32" s="1" t="inlineStr">
        <is>
          <t>Discounted CF (Market) [$]</t>
        </is>
      </c>
      <c r="B32" s="19">
        <f>B27/(1+'model_Assumptions'!$B$45)^((B5-'model_Assumptions'!$B$47)/365)</f>
        <v/>
      </c>
      <c r="C32" s="19">
        <f>C27*C30</f>
        <v/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</row>
    <row r="33">
      <c r="A33" s="1" t="inlineStr">
        <is>
          <t>Discounted CF (Floor) [$]</t>
        </is>
      </c>
      <c r="B33" s="19">
        <f>B28/(1+'model_Assumptions'!$B$46)^((B5-'model_Assumptions'!$B$47)/365)</f>
        <v/>
      </c>
      <c r="C33" s="19">
        <f>C28*C31</f>
        <v/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</row>
    <row r="34">
      <c r="A34" s="1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</row>
    <row r="35">
      <c r="A35" s="1" t="inlineStr">
        <is>
          <t>Shutdown 1 Days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</row>
    <row r="36">
      <c r="A36" s="1" t="inlineStr">
        <is>
          <t>Shutdown 2 Days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</row>
    <row r="37">
      <c r="A37" s="1" t="inlineStr">
        <is>
          <t>Shutdown 3 Days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</row>
    <row r="38">
      <c r="A38" s="1" t="inlineStr">
        <is>
          <t>Shutdown 4 Days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</row>
    <row r="39">
      <c r="A39" s="1" t="inlineStr">
        <is>
          <t>Shutdown 5 Days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</row>
    <row r="40">
      <c r="A40" s="1" t="inlineStr">
        <is>
          <t>Shutdown 6 Days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2026-08-16T01:22:55Z</dcterms:created>
  <dcterms:modified xsi:type="dcterms:W3CDTF">2026-08-16T07:14:49Z</dcterms:modified>
</cp:coreProperties>
</file>