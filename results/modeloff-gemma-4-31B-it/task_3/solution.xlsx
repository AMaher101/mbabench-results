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" sheetId="3" state="visible" r:id="rId3"/>
    <sheet name="answers_Q2" sheetId="4" state="visible" r:id="rId4"/>
    <sheet name="answers_Q3" sheetId="5" state="visible" r:id="rId5"/>
    <sheet name="answers_Q4" sheetId="6" state="visible" r:id="rId6"/>
    <sheet name="answers_Q5" sheetId="7" state="visible" r:id="rId7"/>
    <sheet name="answers_Q6" sheetId="8" state="visible" r:id="rId8"/>
    <sheet name="answers_Q7" sheetId="9" state="visible" r:id="rId9"/>
    <sheet name="answers_Q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_);($#,##0)"/>
  </numFmts>
  <fonts count="8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color rgb="000000FF"/>
      <sz val="11"/>
    </font>
    <font>
      <name val="Calibri"/>
      <b val="1"/>
      <color rgb="00FFFFFF"/>
      <sz val="11"/>
    </font>
    <font>
      <name val="Calibri"/>
      <b val="1"/>
      <color theme="1"/>
      <sz val="14"/>
    </font>
    <font>
      <name val="Calibri"/>
      <b val="1"/>
      <color theme="1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>
        <fgColor rgb="00002060"/>
        <bgColor rgb="00002060"/>
      </patternFill>
    </fill>
    <fill>
      <patternFill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  <xf numFmtId="0" fontId="3" fillId="2" borderId="0" applyAlignment="1" pivotButton="0" quotePrefix="0" xfId="0">
      <alignment horizontal="center"/>
    </xf>
    <xf numFmtId="165" fontId="1" fillId="0" borderId="0" pivotButton="0" quotePrefix="0" xfId="0"/>
    <xf numFmtId="16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1" fillId="0" borderId="1" pivotButton="0" quotePrefix="0" xfId="0"/>
    <xf numFmtId="164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right"/>
    </xf>
    <xf numFmtId="0" fontId="6" fillId="2" borderId="0" applyAlignment="1" pivotButton="0" quotePrefix="0" xfId="0">
      <alignment horizontal="center"/>
    </xf>
    <xf numFmtId="0" fontId="7" fillId="2" borderId="0" pivotButton="0" quotePrefix="0" xfId="0"/>
    <xf numFmtId="0" fontId="1" fillId="0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9" t="inlineStr">
        <is>
          <t>Case Study - Precise Debt Modeling</t>
        </is>
      </c>
      <c r="B1" s="19" t="n"/>
    </row>
    <row r="2">
      <c r="A2" s="7" t="inlineStr">
        <is>
          <t>Holiday List</t>
        </is>
      </c>
      <c r="B2" s="7" t="inlineStr">
        <is>
          <t>Dates</t>
        </is>
      </c>
    </row>
    <row r="3">
      <c r="A3" s="1" t="n"/>
      <c r="B3" s="3" t="inlineStr">
        <is>
          <t>2015-04-03</t>
        </is>
      </c>
    </row>
    <row r="4">
      <c r="A4" s="1" t="n"/>
      <c r="B4" s="3" t="inlineStr">
        <is>
          <t>2015-04-06</t>
        </is>
      </c>
    </row>
    <row r="5">
      <c r="A5" s="1" t="n"/>
      <c r="B5" s="3" t="inlineStr">
        <is>
          <t>2015-10-25</t>
        </is>
      </c>
    </row>
    <row r="6">
      <c r="A6" s="1" t="n"/>
      <c r="B6" s="3" t="inlineStr">
        <is>
          <t>2016-03-25</t>
        </is>
      </c>
    </row>
    <row r="7">
      <c r="A7" s="1" t="n"/>
      <c r="B7" s="3" t="inlineStr">
        <is>
          <t>2016-03-28</t>
        </is>
      </c>
    </row>
    <row r="8">
      <c r="A8" s="1" t="n"/>
      <c r="B8" s="3" t="inlineStr">
        <is>
          <t>2016-10-24</t>
        </is>
      </c>
    </row>
    <row r="9">
      <c r="A9" s="1" t="n"/>
      <c r="B9" s="3" t="inlineStr">
        <is>
          <t>2017-04-14</t>
        </is>
      </c>
    </row>
    <row r="10">
      <c r="A10" s="1" t="n"/>
      <c r="B10" s="3" t="inlineStr">
        <is>
          <t>2017-04-17</t>
        </is>
      </c>
    </row>
    <row r="11">
      <c r="A11" s="1" t="n"/>
      <c r="B11" s="3" t="inlineStr">
        <is>
          <t>2017-10-30</t>
        </is>
      </c>
    </row>
    <row r="12">
      <c r="A12" s="1" t="n"/>
      <c r="B12" s="3" t="inlineStr">
        <is>
          <t>2018-03-30</t>
        </is>
      </c>
    </row>
    <row r="13">
      <c r="A13" s="1" t="n"/>
      <c r="B13" s="3" t="inlineStr">
        <is>
          <t>2018-04-02</t>
        </is>
      </c>
    </row>
    <row r="14">
      <c r="A14" s="1" t="n"/>
      <c r="B14" s="3" t="inlineStr">
        <is>
          <t>2018-10-19</t>
        </is>
      </c>
    </row>
    <row r="15">
      <c r="A15" s="1" t="n"/>
      <c r="B15" s="3" t="inlineStr">
        <is>
          <t>2019-04-19</t>
        </is>
      </c>
    </row>
    <row r="16">
      <c r="A16" s="1" t="n"/>
      <c r="B16" s="3" t="inlineStr">
        <is>
          <t>2019-04-22</t>
        </is>
      </c>
    </row>
    <row r="17">
      <c r="A17" s="1" t="n"/>
      <c r="B17" s="3" t="inlineStr">
        <is>
          <t>2019-10-14</t>
        </is>
      </c>
    </row>
    <row r="18">
      <c r="A18" s="1" t="n"/>
      <c r="B18" s="3" t="inlineStr">
        <is>
          <t>2020-04-10</t>
        </is>
      </c>
    </row>
    <row r="19">
      <c r="A19" s="1" t="n"/>
      <c r="B19" s="3" t="inlineStr">
        <is>
          <t>2020-04-13</t>
        </is>
      </c>
    </row>
    <row r="20">
      <c r="A20" s="1" t="n"/>
      <c r="B20" s="3" t="inlineStr">
        <is>
          <t>2020-10-19</t>
        </is>
      </c>
    </row>
    <row r="21">
      <c r="A21" s="1" t="n"/>
      <c r="B21" s="1" t="n"/>
    </row>
    <row r="22">
      <c r="A22" s="22" t="inlineStr">
        <is>
          <t>Loan 1 Assumptions</t>
        </is>
      </c>
      <c r="B22" s="22" t="n"/>
    </row>
    <row r="23">
      <c r="A23" s="1" t="inlineStr">
        <is>
          <t>Loan Amount [$]</t>
        </is>
      </c>
      <c r="B23" s="5" t="n">
        <v>250000</v>
      </c>
    </row>
    <row r="24">
      <c r="A24" s="1" t="inlineStr">
        <is>
          <t>Duration [months]</t>
        </is>
      </c>
      <c r="B24" s="2" t="n">
        <v>72</v>
      </c>
    </row>
    <row r="25">
      <c r="A25" s="1" t="inlineStr">
        <is>
          <t>Drawdown Date [date]</t>
        </is>
      </c>
      <c r="B25" s="4" t="inlineStr">
        <is>
          <t>2015-01-19</t>
        </is>
      </c>
    </row>
    <row r="26">
      <c r="A26" s="1" t="inlineStr">
        <is>
          <t>Interest Rate [% pa]</t>
        </is>
      </c>
      <c r="B26" s="6" t="n">
        <v>0.052</v>
      </c>
    </row>
    <row r="27">
      <c r="A27" s="1" t="n"/>
      <c r="B27" s="1" t="n"/>
    </row>
    <row r="28">
      <c r="A28" s="22" t="inlineStr">
        <is>
          <t>Loan 2 Assumptions</t>
        </is>
      </c>
      <c r="B28" s="22" t="n"/>
    </row>
    <row r="29">
      <c r="A29" s="1" t="inlineStr">
        <is>
          <t>Loan Amount [$]</t>
        </is>
      </c>
      <c r="B29" s="5" t="n">
        <v>100000</v>
      </c>
    </row>
    <row r="30">
      <c r="A30" s="1" t="inlineStr">
        <is>
          <t>Duration [months]</t>
        </is>
      </c>
      <c r="B30" s="2" t="n">
        <v>48</v>
      </c>
    </row>
    <row r="31">
      <c r="A31" s="1" t="inlineStr">
        <is>
          <t>Drawdown Date [date]</t>
        </is>
      </c>
      <c r="B31" s="4" t="inlineStr">
        <is>
          <t>2015-06-30</t>
        </is>
      </c>
    </row>
    <row r="32">
      <c r="A32" s="1" t="inlineStr">
        <is>
          <t>Interest Rate [% pa]</t>
        </is>
      </c>
      <c r="B32" s="6" t="n">
        <v>0.07000000000000001</v>
      </c>
    </row>
    <row r="33">
      <c r="A33" s="1" t="n"/>
      <c r="B33" s="1" t="n"/>
    </row>
    <row r="34">
      <c r="A34" s="1" t="inlineStr">
        <is>
          <t>Loan 1 Estimated Payment [$]</t>
        </is>
      </c>
      <c r="B34" s="5" t="n">
        <v>3851.14</v>
      </c>
    </row>
    <row r="35">
      <c r="A35" s="1" t="inlineStr">
        <is>
          <t>Loan 2 Estimated Payment [$]</t>
        </is>
      </c>
      <c r="B35" s="5" t="n">
        <v>2395.14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7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4" t="inlineStr">
        <is>
          <t>Period</t>
        </is>
      </c>
      <c r="B5" s="14" t="inlineStr">
        <is>
          <t>Regular Payment Date</t>
        </is>
      </c>
      <c r="C5" s="14" t="inlineStr">
        <is>
          <t>Actual Payment Date</t>
        </is>
      </c>
      <c r="D5" s="14" t="inlineStr">
        <is>
          <t>Days in Period</t>
        </is>
      </c>
      <c r="E5" s="14" t="inlineStr">
        <is>
          <t>Opening Balance</t>
        </is>
      </c>
      <c r="F5" s="14" t="inlineStr">
        <is>
          <t>Interest</t>
        </is>
      </c>
      <c r="G5" s="14" t="inlineStr">
        <is>
          <t>Payment</t>
        </is>
      </c>
      <c r="H5" s="14" t="inlineStr">
        <is>
          <t>Principal</t>
        </is>
      </c>
      <c r="I5" s="14" t="inlineStr">
        <is>
          <t>Closing Balance</t>
        </is>
      </c>
    </row>
    <row r="6">
      <c r="A6" s="21" t="n">
        <v>1</v>
      </c>
      <c r="B6" s="16">
        <f>EDATE('model_Assumptions'!$B$25, A6)</f>
        <v/>
      </c>
      <c r="C6" s="16">
        <f>IF(AND(WEEKDAY(B6,2)&lt;=5, ISNA(MATCH(B6,'model_Assumptions'!$B$3:$B$20,0))), B6, WORKDAY(B6,1,'model_Assumptions'!$B$3:$B$20))</f>
        <v/>
      </c>
      <c r="D6" s="17">
        <f>C6-'model_Assumptions'!$B$25</f>
        <v/>
      </c>
      <c r="E6" s="18">
        <f>'model_Assumptions'!$B$23</f>
        <v/>
      </c>
      <c r="F6" s="18">
        <f>E6*'model_Assumptions'!$B$26*D6/365</f>
        <v/>
      </c>
      <c r="G6" s="18">
        <f>'model_Assumptions'!$B$34</f>
        <v/>
      </c>
      <c r="H6" s="18">
        <f>G6-F6</f>
        <v/>
      </c>
      <c r="I6" s="18">
        <f>E6-H6</f>
        <v/>
      </c>
    </row>
    <row r="7">
      <c r="A7" s="21" t="n">
        <v>2</v>
      </c>
      <c r="B7" s="16">
        <f>EDATE('model_Assumptions'!$B$25, A7)</f>
        <v/>
      </c>
      <c r="C7" s="16">
        <f>IF(AND(WEEKDAY(B7,2)&lt;=5, ISNA(MATCH(B7,'model_Assumptions'!$B$3:$B$20,0))), B7, WORKDAY(B7,1,'model_Assumptions'!$B$3:$B$20))</f>
        <v/>
      </c>
      <c r="D7" s="17">
        <f>C7-C6</f>
        <v/>
      </c>
      <c r="E7" s="18">
        <f>I6</f>
        <v/>
      </c>
      <c r="F7" s="18">
        <f>E7*'model_Assumptions'!$B$26*D7/365</f>
        <v/>
      </c>
      <c r="G7" s="18">
        <f>'model_Assumptions'!$B$34</f>
        <v/>
      </c>
      <c r="H7" s="18">
        <f>G7-F7</f>
        <v/>
      </c>
      <c r="I7" s="18">
        <f>E7-H7</f>
        <v/>
      </c>
    </row>
    <row r="8">
      <c r="A8" s="21" t="n">
        <v>3</v>
      </c>
      <c r="B8" s="16">
        <f>EDATE('model_Assumptions'!$B$25, A8)</f>
        <v/>
      </c>
      <c r="C8" s="16">
        <f>IF(AND(WEEKDAY(B8,2)&lt;=5, ISNA(MATCH(B8,'model_Assumptions'!$B$3:$B$20,0))), B8, WORKDAY(B8,1,'model_Assumptions'!$B$3:$B$20))</f>
        <v/>
      </c>
      <c r="D8" s="17">
        <f>C8-C7</f>
        <v/>
      </c>
      <c r="E8" s="18">
        <f>I7</f>
        <v/>
      </c>
      <c r="F8" s="18">
        <f>E8*'model_Assumptions'!$B$26*D8/365</f>
        <v/>
      </c>
      <c r="G8" s="18">
        <f>'model_Assumptions'!$B$34</f>
        <v/>
      </c>
      <c r="H8" s="18">
        <f>G8-F8</f>
        <v/>
      </c>
      <c r="I8" s="18">
        <f>E8-H8</f>
        <v/>
      </c>
    </row>
    <row r="9">
      <c r="A9" s="21" t="n">
        <v>4</v>
      </c>
      <c r="B9" s="16">
        <f>EDATE('model_Assumptions'!$B$25, A9)</f>
        <v/>
      </c>
      <c r="C9" s="16">
        <f>IF(AND(WEEKDAY(B9,2)&lt;=5, ISNA(MATCH(B9,'model_Assumptions'!$B$3:$B$20,0))), B9, WORKDAY(B9,1,'model_Assumptions'!$B$3:$B$20))</f>
        <v/>
      </c>
      <c r="D9" s="17">
        <f>C9-C8</f>
        <v/>
      </c>
      <c r="E9" s="18">
        <f>I8</f>
        <v/>
      </c>
      <c r="F9" s="18">
        <f>E9*'model_Assumptions'!$B$26*D9/365</f>
        <v/>
      </c>
      <c r="G9" s="18">
        <f>'model_Assumptions'!$B$34</f>
        <v/>
      </c>
      <c r="H9" s="18">
        <f>G9-F9</f>
        <v/>
      </c>
      <c r="I9" s="18">
        <f>E9-H9</f>
        <v/>
      </c>
    </row>
    <row r="10">
      <c r="A10" s="21" t="n">
        <v>5</v>
      </c>
      <c r="B10" s="16">
        <f>EDATE('model_Assumptions'!$B$25, A10)</f>
        <v/>
      </c>
      <c r="C10" s="16">
        <f>IF(AND(WEEKDAY(B10,2)&lt;=5, ISNA(MATCH(B10,'model_Assumptions'!$B$3:$B$20,0))), B10, WORKDAY(B10,1,'model_Assumptions'!$B$3:$B$20))</f>
        <v/>
      </c>
      <c r="D10" s="17">
        <f>C10-C9</f>
        <v/>
      </c>
      <c r="E10" s="18">
        <f>I9</f>
        <v/>
      </c>
      <c r="F10" s="18">
        <f>E10*'model_Assumptions'!$B$26*D10/365</f>
        <v/>
      </c>
      <c r="G10" s="18">
        <f>'model_Assumptions'!$B$34</f>
        <v/>
      </c>
      <c r="H10" s="18">
        <f>G10-F10</f>
        <v/>
      </c>
      <c r="I10" s="18">
        <f>E10-H10</f>
        <v/>
      </c>
    </row>
    <row r="11">
      <c r="A11" s="21" t="n">
        <v>6</v>
      </c>
      <c r="B11" s="16">
        <f>EDATE('model_Assumptions'!$B$25, A11)</f>
        <v/>
      </c>
      <c r="C11" s="16">
        <f>IF(AND(WEEKDAY(B11,2)&lt;=5, ISNA(MATCH(B11,'model_Assumptions'!$B$3:$B$20,0))), B11, WORKDAY(B11,1,'model_Assumptions'!$B$3:$B$20))</f>
        <v/>
      </c>
      <c r="D11" s="17">
        <f>C11-C10</f>
        <v/>
      </c>
      <c r="E11" s="18">
        <f>I10</f>
        <v/>
      </c>
      <c r="F11" s="18">
        <f>E11*'model_Assumptions'!$B$26*D11/365</f>
        <v/>
      </c>
      <c r="G11" s="18">
        <f>'model_Assumptions'!$B$34</f>
        <v/>
      </c>
      <c r="H11" s="18">
        <f>G11-F11</f>
        <v/>
      </c>
      <c r="I11" s="18">
        <f>E11-H11</f>
        <v/>
      </c>
    </row>
    <row r="12">
      <c r="A12" s="21" t="n">
        <v>7</v>
      </c>
      <c r="B12" s="16">
        <f>EDATE('model_Assumptions'!$B$25, A12)</f>
        <v/>
      </c>
      <c r="C12" s="16">
        <f>IF(AND(WEEKDAY(B12,2)&lt;=5, ISNA(MATCH(B12,'model_Assumptions'!$B$3:$B$20,0))), B12, WORKDAY(B12,1,'model_Assumptions'!$B$3:$B$20))</f>
        <v/>
      </c>
      <c r="D12" s="17">
        <f>C12-C11</f>
        <v/>
      </c>
      <c r="E12" s="18">
        <f>I11</f>
        <v/>
      </c>
      <c r="F12" s="18">
        <f>E12*'model_Assumptions'!$B$26*D12/365</f>
        <v/>
      </c>
      <c r="G12" s="18">
        <f>'model_Assumptions'!$B$34</f>
        <v/>
      </c>
      <c r="H12" s="18">
        <f>G12-F12</f>
        <v/>
      </c>
      <c r="I12" s="18">
        <f>E12-H12</f>
        <v/>
      </c>
    </row>
    <row r="13">
      <c r="A13" s="21" t="n">
        <v>8</v>
      </c>
      <c r="B13" s="16">
        <f>EDATE('model_Assumptions'!$B$25, A13)</f>
        <v/>
      </c>
      <c r="C13" s="16">
        <f>IF(AND(WEEKDAY(B13,2)&lt;=5, ISNA(MATCH(B13,'model_Assumptions'!$B$3:$B$20,0))), B13, WORKDAY(B13,1,'model_Assumptions'!$B$3:$B$20))</f>
        <v/>
      </c>
      <c r="D13" s="17">
        <f>C13-C12</f>
        <v/>
      </c>
      <c r="E13" s="18">
        <f>I12</f>
        <v/>
      </c>
      <c r="F13" s="18">
        <f>E13*'model_Assumptions'!$B$26*D13/365</f>
        <v/>
      </c>
      <c r="G13" s="18">
        <f>'model_Assumptions'!$B$34</f>
        <v/>
      </c>
      <c r="H13" s="18">
        <f>G13-F13</f>
        <v/>
      </c>
      <c r="I13" s="18">
        <f>E13-H13</f>
        <v/>
      </c>
    </row>
    <row r="14">
      <c r="A14" s="21" t="n">
        <v>9</v>
      </c>
      <c r="B14" s="16">
        <f>EDATE('model_Assumptions'!$B$25, A14)</f>
        <v/>
      </c>
      <c r="C14" s="16">
        <f>IF(AND(WEEKDAY(B14,2)&lt;=5, ISNA(MATCH(B14,'model_Assumptions'!$B$3:$B$20,0))), B14, WORKDAY(B14,1,'model_Assumptions'!$B$3:$B$20))</f>
        <v/>
      </c>
      <c r="D14" s="17">
        <f>C14-C13</f>
        <v/>
      </c>
      <c r="E14" s="18">
        <f>I13</f>
        <v/>
      </c>
      <c r="F14" s="18">
        <f>E14*'model_Assumptions'!$B$26*D14/365</f>
        <v/>
      </c>
      <c r="G14" s="18">
        <f>'model_Assumptions'!$B$34</f>
        <v/>
      </c>
      <c r="H14" s="18">
        <f>G14-F14</f>
        <v/>
      </c>
      <c r="I14" s="18">
        <f>E14-H14</f>
        <v/>
      </c>
    </row>
    <row r="15">
      <c r="A15" s="21" t="n">
        <v>10</v>
      </c>
      <c r="B15" s="16">
        <f>EDATE('model_Assumptions'!$B$25, A15)</f>
        <v/>
      </c>
      <c r="C15" s="16">
        <f>IF(AND(WEEKDAY(B15,2)&lt;=5, ISNA(MATCH(B15,'model_Assumptions'!$B$3:$B$20,0))), B15, WORKDAY(B15,1,'model_Assumptions'!$B$3:$B$20))</f>
        <v/>
      </c>
      <c r="D15" s="17">
        <f>C15-C14</f>
        <v/>
      </c>
      <c r="E15" s="18">
        <f>I14</f>
        <v/>
      </c>
      <c r="F15" s="18">
        <f>E15*'model_Assumptions'!$B$26*D15/365</f>
        <v/>
      </c>
      <c r="G15" s="18">
        <f>'model_Assumptions'!$B$34</f>
        <v/>
      </c>
      <c r="H15" s="18">
        <f>G15-F15</f>
        <v/>
      </c>
      <c r="I15" s="18">
        <f>E15-H15</f>
        <v/>
      </c>
    </row>
    <row r="16">
      <c r="A16" s="21" t="n">
        <v>11</v>
      </c>
      <c r="B16" s="16">
        <f>EDATE('model_Assumptions'!$B$25, A16)</f>
        <v/>
      </c>
      <c r="C16" s="16">
        <f>IF(AND(WEEKDAY(B16,2)&lt;=5, ISNA(MATCH(B16,'model_Assumptions'!$B$3:$B$20,0))), B16, WORKDAY(B16,1,'model_Assumptions'!$B$3:$B$20))</f>
        <v/>
      </c>
      <c r="D16" s="17">
        <f>C16-C15</f>
        <v/>
      </c>
      <c r="E16" s="18">
        <f>I15</f>
        <v/>
      </c>
      <c r="F16" s="18">
        <f>E16*'model_Assumptions'!$B$26*D16/365</f>
        <v/>
      </c>
      <c r="G16" s="18">
        <f>'model_Assumptions'!$B$34</f>
        <v/>
      </c>
      <c r="H16" s="18">
        <f>G16-F16</f>
        <v/>
      </c>
      <c r="I16" s="18">
        <f>E16-H16</f>
        <v/>
      </c>
    </row>
    <row r="17">
      <c r="A17" s="21" t="n">
        <v>12</v>
      </c>
      <c r="B17" s="16">
        <f>EDATE('model_Assumptions'!$B$25, A17)</f>
        <v/>
      </c>
      <c r="C17" s="16">
        <f>IF(AND(WEEKDAY(B17,2)&lt;=5, ISNA(MATCH(B17,'model_Assumptions'!$B$3:$B$20,0))), B17, WORKDAY(B17,1,'model_Assumptions'!$B$3:$B$20))</f>
        <v/>
      </c>
      <c r="D17" s="17">
        <f>C17-C16</f>
        <v/>
      </c>
      <c r="E17" s="18">
        <f>I16</f>
        <v/>
      </c>
      <c r="F17" s="18">
        <f>E17*'model_Assumptions'!$B$26*D17/365</f>
        <v/>
      </c>
      <c r="G17" s="18">
        <f>'model_Assumptions'!$B$34</f>
        <v/>
      </c>
      <c r="H17" s="18">
        <f>G17-F17</f>
        <v/>
      </c>
      <c r="I17" s="18">
        <f>E17-H17</f>
        <v/>
      </c>
    </row>
    <row r="18">
      <c r="A18" s="21" t="n">
        <v>13</v>
      </c>
      <c r="B18" s="16">
        <f>EDATE('model_Assumptions'!$B$25, A18)</f>
        <v/>
      </c>
      <c r="C18" s="16">
        <f>IF(AND(WEEKDAY(B18,2)&lt;=5, ISNA(MATCH(B18,'model_Assumptions'!$B$3:$B$20,0))), B18, WORKDAY(B18,1,'model_Assumptions'!$B$3:$B$20))</f>
        <v/>
      </c>
      <c r="D18" s="17">
        <f>C18-C17</f>
        <v/>
      </c>
      <c r="E18" s="18">
        <f>I17</f>
        <v/>
      </c>
      <c r="F18" s="18">
        <f>E18*'model_Assumptions'!$B$26*D18/365</f>
        <v/>
      </c>
      <c r="G18" s="18">
        <f>'model_Assumptions'!$B$34</f>
        <v/>
      </c>
      <c r="H18" s="18">
        <f>G18-F18</f>
        <v/>
      </c>
      <c r="I18" s="18">
        <f>E18-H18</f>
        <v/>
      </c>
    </row>
    <row r="19">
      <c r="A19" s="21" t="n">
        <v>14</v>
      </c>
      <c r="B19" s="16">
        <f>EDATE('model_Assumptions'!$B$25, A19)</f>
        <v/>
      </c>
      <c r="C19" s="16">
        <f>IF(AND(WEEKDAY(B19,2)&lt;=5, ISNA(MATCH(B19,'model_Assumptions'!$B$3:$B$20,0))), B19, WORKDAY(B19,1,'model_Assumptions'!$B$3:$B$20))</f>
        <v/>
      </c>
      <c r="D19" s="17">
        <f>C19-C18</f>
        <v/>
      </c>
      <c r="E19" s="18">
        <f>I18</f>
        <v/>
      </c>
      <c r="F19" s="18">
        <f>E19*'model_Assumptions'!$B$26*D19/365</f>
        <v/>
      </c>
      <c r="G19" s="18">
        <f>'model_Assumptions'!$B$34</f>
        <v/>
      </c>
      <c r="H19" s="18">
        <f>G19-F19</f>
        <v/>
      </c>
      <c r="I19" s="18">
        <f>E19-H19</f>
        <v/>
      </c>
    </row>
    <row r="20">
      <c r="A20" s="21" t="n">
        <v>15</v>
      </c>
      <c r="B20" s="16">
        <f>EDATE('model_Assumptions'!$B$25, A20)</f>
        <v/>
      </c>
      <c r="C20" s="16">
        <f>IF(AND(WEEKDAY(B20,2)&lt;=5, ISNA(MATCH(B20,'model_Assumptions'!$B$3:$B$20,0))), B20, WORKDAY(B20,1,'model_Assumptions'!$B$3:$B$20))</f>
        <v/>
      </c>
      <c r="D20" s="17">
        <f>C20-C19</f>
        <v/>
      </c>
      <c r="E20" s="18">
        <f>I19</f>
        <v/>
      </c>
      <c r="F20" s="18">
        <f>E20*'model_Assumptions'!$B$26*D20/365</f>
        <v/>
      </c>
      <c r="G20" s="18">
        <f>'model_Assumptions'!$B$34</f>
        <v/>
      </c>
      <c r="H20" s="18">
        <f>G20-F20</f>
        <v/>
      </c>
      <c r="I20" s="18">
        <f>E20-H20</f>
        <v/>
      </c>
    </row>
    <row r="21">
      <c r="A21" s="21" t="n">
        <v>16</v>
      </c>
      <c r="B21" s="16">
        <f>EDATE('model_Assumptions'!$B$25, A21)</f>
        <v/>
      </c>
      <c r="C21" s="16">
        <f>IF(AND(WEEKDAY(B21,2)&lt;=5, ISNA(MATCH(B21,'model_Assumptions'!$B$3:$B$20,0))), B21, WORKDAY(B21,1,'model_Assumptions'!$B$3:$B$20))</f>
        <v/>
      </c>
      <c r="D21" s="17">
        <f>C21-C20</f>
        <v/>
      </c>
      <c r="E21" s="18">
        <f>I20</f>
        <v/>
      </c>
      <c r="F21" s="18">
        <f>E21*'model_Assumptions'!$B$26*D21/365</f>
        <v/>
      </c>
      <c r="G21" s="18">
        <f>'model_Assumptions'!$B$34</f>
        <v/>
      </c>
      <c r="H21" s="18">
        <f>G21-F21</f>
        <v/>
      </c>
      <c r="I21" s="18">
        <f>E21-H21</f>
        <v/>
      </c>
    </row>
    <row r="22">
      <c r="A22" s="21" t="n">
        <v>17</v>
      </c>
      <c r="B22" s="16">
        <f>EDATE('model_Assumptions'!$B$25, A22)</f>
        <v/>
      </c>
      <c r="C22" s="16">
        <f>IF(AND(WEEKDAY(B22,2)&lt;=5, ISNA(MATCH(B22,'model_Assumptions'!$B$3:$B$20,0))), B22, WORKDAY(B22,1,'model_Assumptions'!$B$3:$B$20))</f>
        <v/>
      </c>
      <c r="D22" s="17">
        <f>C22-C21</f>
        <v/>
      </c>
      <c r="E22" s="18">
        <f>I21</f>
        <v/>
      </c>
      <c r="F22" s="18">
        <f>E22*'model_Assumptions'!$B$26*D22/365</f>
        <v/>
      </c>
      <c r="G22" s="18">
        <f>'model_Assumptions'!$B$34</f>
        <v/>
      </c>
      <c r="H22" s="18">
        <f>G22-F22</f>
        <v/>
      </c>
      <c r="I22" s="18">
        <f>E22-H22</f>
        <v/>
      </c>
    </row>
    <row r="23">
      <c r="A23" s="21" t="n">
        <v>18</v>
      </c>
      <c r="B23" s="16">
        <f>EDATE('model_Assumptions'!$B$25, A23)</f>
        <v/>
      </c>
      <c r="C23" s="16">
        <f>IF(AND(WEEKDAY(B23,2)&lt;=5, ISNA(MATCH(B23,'model_Assumptions'!$B$3:$B$20,0))), B23, WORKDAY(B23,1,'model_Assumptions'!$B$3:$B$20))</f>
        <v/>
      </c>
      <c r="D23" s="17">
        <f>C23-C22</f>
        <v/>
      </c>
      <c r="E23" s="18">
        <f>I22</f>
        <v/>
      </c>
      <c r="F23" s="18">
        <f>E23*'model_Assumptions'!$B$26*D23/365</f>
        <v/>
      </c>
      <c r="G23" s="18">
        <f>'model_Assumptions'!$B$34</f>
        <v/>
      </c>
      <c r="H23" s="18">
        <f>G23-F23</f>
        <v/>
      </c>
      <c r="I23" s="18">
        <f>E23-H23</f>
        <v/>
      </c>
    </row>
    <row r="24">
      <c r="A24" s="21" t="n">
        <v>19</v>
      </c>
      <c r="B24" s="16">
        <f>EDATE('model_Assumptions'!$B$25, A24)</f>
        <v/>
      </c>
      <c r="C24" s="16">
        <f>IF(AND(WEEKDAY(B24,2)&lt;=5, ISNA(MATCH(B24,'model_Assumptions'!$B$3:$B$20,0))), B24, WORKDAY(B24,1,'model_Assumptions'!$B$3:$B$20))</f>
        <v/>
      </c>
      <c r="D24" s="17">
        <f>C24-C23</f>
        <v/>
      </c>
      <c r="E24" s="18">
        <f>I23</f>
        <v/>
      </c>
      <c r="F24" s="18">
        <f>E24*'model_Assumptions'!$B$26*D24/365</f>
        <v/>
      </c>
      <c r="G24" s="18">
        <f>'model_Assumptions'!$B$34</f>
        <v/>
      </c>
      <c r="H24" s="18">
        <f>G24-F24</f>
        <v/>
      </c>
      <c r="I24" s="18">
        <f>E24-H24</f>
        <v/>
      </c>
    </row>
    <row r="25">
      <c r="A25" s="21" t="n">
        <v>20</v>
      </c>
      <c r="B25" s="16">
        <f>EDATE('model_Assumptions'!$B$25, A25)</f>
        <v/>
      </c>
      <c r="C25" s="16">
        <f>IF(AND(WEEKDAY(B25,2)&lt;=5, ISNA(MATCH(B25,'model_Assumptions'!$B$3:$B$20,0))), B25, WORKDAY(B25,1,'model_Assumptions'!$B$3:$B$20))</f>
        <v/>
      </c>
      <c r="D25" s="17">
        <f>C25-C24</f>
        <v/>
      </c>
      <c r="E25" s="18">
        <f>I24</f>
        <v/>
      </c>
      <c r="F25" s="18">
        <f>E25*'model_Assumptions'!$B$26*D25/365</f>
        <v/>
      </c>
      <c r="G25" s="18">
        <f>'model_Assumptions'!$B$34</f>
        <v/>
      </c>
      <c r="H25" s="18">
        <f>G25-F25</f>
        <v/>
      </c>
      <c r="I25" s="18">
        <f>E25-H25</f>
        <v/>
      </c>
    </row>
    <row r="26">
      <c r="A26" s="21" t="n">
        <v>21</v>
      </c>
      <c r="B26" s="16">
        <f>EDATE('model_Assumptions'!$B$25, A26)</f>
        <v/>
      </c>
      <c r="C26" s="16">
        <f>IF(AND(WEEKDAY(B26,2)&lt;=5, ISNA(MATCH(B26,'model_Assumptions'!$B$3:$B$20,0))), B26, WORKDAY(B26,1,'model_Assumptions'!$B$3:$B$20))</f>
        <v/>
      </c>
      <c r="D26" s="17">
        <f>C26-C25</f>
        <v/>
      </c>
      <c r="E26" s="18">
        <f>I25</f>
        <v/>
      </c>
      <c r="F26" s="18">
        <f>E26*'model_Assumptions'!$B$26*D26/365</f>
        <v/>
      </c>
      <c r="G26" s="18">
        <f>'model_Assumptions'!$B$34</f>
        <v/>
      </c>
      <c r="H26" s="18">
        <f>G26-F26</f>
        <v/>
      </c>
      <c r="I26" s="18">
        <f>E26-H26</f>
        <v/>
      </c>
    </row>
    <row r="27">
      <c r="A27" s="21" t="n">
        <v>22</v>
      </c>
      <c r="B27" s="16">
        <f>EDATE('model_Assumptions'!$B$25, A27)</f>
        <v/>
      </c>
      <c r="C27" s="16">
        <f>IF(AND(WEEKDAY(B27,2)&lt;=5, ISNA(MATCH(B27,'model_Assumptions'!$B$3:$B$20,0))), B27, WORKDAY(B27,1,'model_Assumptions'!$B$3:$B$20))</f>
        <v/>
      </c>
      <c r="D27" s="17">
        <f>C27-C26</f>
        <v/>
      </c>
      <c r="E27" s="18">
        <f>I26</f>
        <v/>
      </c>
      <c r="F27" s="18">
        <f>E27*'model_Assumptions'!$B$26*D27/365</f>
        <v/>
      </c>
      <c r="G27" s="18">
        <f>'model_Assumptions'!$B$34</f>
        <v/>
      </c>
      <c r="H27" s="18">
        <f>G27-F27</f>
        <v/>
      </c>
      <c r="I27" s="18">
        <f>E27-H27</f>
        <v/>
      </c>
    </row>
    <row r="28">
      <c r="A28" s="21" t="n">
        <v>23</v>
      </c>
      <c r="B28" s="16">
        <f>EDATE('model_Assumptions'!$B$25, A28)</f>
        <v/>
      </c>
      <c r="C28" s="16">
        <f>IF(AND(WEEKDAY(B28,2)&lt;=5, ISNA(MATCH(B28,'model_Assumptions'!$B$3:$B$20,0))), B28, WORKDAY(B28,1,'model_Assumptions'!$B$3:$B$20))</f>
        <v/>
      </c>
      <c r="D28" s="17">
        <f>C28-C27</f>
        <v/>
      </c>
      <c r="E28" s="18">
        <f>I27</f>
        <v/>
      </c>
      <c r="F28" s="18">
        <f>E28*'model_Assumptions'!$B$26*D28/365</f>
        <v/>
      </c>
      <c r="G28" s="18">
        <f>'model_Assumptions'!$B$34</f>
        <v/>
      </c>
      <c r="H28" s="18">
        <f>G28-F28</f>
        <v/>
      </c>
      <c r="I28" s="18">
        <f>E28-H28</f>
        <v/>
      </c>
    </row>
    <row r="29">
      <c r="A29" s="21" t="n">
        <v>24</v>
      </c>
      <c r="B29" s="16">
        <f>EDATE('model_Assumptions'!$B$25, A29)</f>
        <v/>
      </c>
      <c r="C29" s="16">
        <f>IF(AND(WEEKDAY(B29,2)&lt;=5, ISNA(MATCH(B29,'model_Assumptions'!$B$3:$B$20,0))), B29, WORKDAY(B29,1,'model_Assumptions'!$B$3:$B$20))</f>
        <v/>
      </c>
      <c r="D29" s="17">
        <f>C29-C28</f>
        <v/>
      </c>
      <c r="E29" s="18">
        <f>I28</f>
        <v/>
      </c>
      <c r="F29" s="18">
        <f>E29*'model_Assumptions'!$B$26*D29/365</f>
        <v/>
      </c>
      <c r="G29" s="18">
        <f>'model_Assumptions'!$B$34</f>
        <v/>
      </c>
      <c r="H29" s="18">
        <f>G29-F29</f>
        <v/>
      </c>
      <c r="I29" s="18">
        <f>E29-H29</f>
        <v/>
      </c>
    </row>
    <row r="30">
      <c r="A30" s="21" t="n">
        <v>25</v>
      </c>
      <c r="B30" s="16">
        <f>EDATE('model_Assumptions'!$B$25, A30)</f>
        <v/>
      </c>
      <c r="C30" s="16">
        <f>IF(AND(WEEKDAY(B30,2)&lt;=5, ISNA(MATCH(B30,'model_Assumptions'!$B$3:$B$20,0))), B30, WORKDAY(B30,1,'model_Assumptions'!$B$3:$B$20))</f>
        <v/>
      </c>
      <c r="D30" s="17">
        <f>C30-C29</f>
        <v/>
      </c>
      <c r="E30" s="18">
        <f>I29</f>
        <v/>
      </c>
      <c r="F30" s="18">
        <f>E30*'model_Assumptions'!$B$26*D30/365</f>
        <v/>
      </c>
      <c r="G30" s="18">
        <f>'model_Assumptions'!$B$34</f>
        <v/>
      </c>
      <c r="H30" s="18">
        <f>G30-F30</f>
        <v/>
      </c>
      <c r="I30" s="18">
        <f>E30-H30</f>
        <v/>
      </c>
    </row>
    <row r="31">
      <c r="A31" s="21" t="n">
        <v>26</v>
      </c>
      <c r="B31" s="16">
        <f>EDATE('model_Assumptions'!$B$25, A31)</f>
        <v/>
      </c>
      <c r="C31" s="16">
        <f>IF(AND(WEEKDAY(B31,2)&lt;=5, ISNA(MATCH(B31,'model_Assumptions'!$B$3:$B$20,0))), B31, WORKDAY(B31,1,'model_Assumptions'!$B$3:$B$20))</f>
        <v/>
      </c>
      <c r="D31" s="17">
        <f>C31-C30</f>
        <v/>
      </c>
      <c r="E31" s="18">
        <f>I30</f>
        <v/>
      </c>
      <c r="F31" s="18">
        <f>E31*'model_Assumptions'!$B$26*D31/365</f>
        <v/>
      </c>
      <c r="G31" s="18">
        <f>'model_Assumptions'!$B$34</f>
        <v/>
      </c>
      <c r="H31" s="18">
        <f>G31-F31</f>
        <v/>
      </c>
      <c r="I31" s="18">
        <f>E31-H31</f>
        <v/>
      </c>
    </row>
    <row r="32">
      <c r="A32" s="21" t="n">
        <v>27</v>
      </c>
      <c r="B32" s="16">
        <f>EDATE('model_Assumptions'!$B$25, A32)</f>
        <v/>
      </c>
      <c r="C32" s="16">
        <f>IF(AND(WEEKDAY(B32,2)&lt;=5, ISNA(MATCH(B32,'model_Assumptions'!$B$3:$B$20,0))), B32, WORKDAY(B32,1,'model_Assumptions'!$B$3:$B$20))</f>
        <v/>
      </c>
      <c r="D32" s="17">
        <f>C32-C31</f>
        <v/>
      </c>
      <c r="E32" s="18">
        <f>I31</f>
        <v/>
      </c>
      <c r="F32" s="18">
        <f>E32*'model_Assumptions'!$B$26*D32/365</f>
        <v/>
      </c>
      <c r="G32" s="18">
        <f>'model_Assumptions'!$B$34</f>
        <v/>
      </c>
      <c r="H32" s="18">
        <f>G32-F32</f>
        <v/>
      </c>
      <c r="I32" s="18">
        <f>E32-H32</f>
        <v/>
      </c>
    </row>
    <row r="33">
      <c r="A33" s="21" t="n">
        <v>28</v>
      </c>
      <c r="B33" s="16">
        <f>EDATE('model_Assumptions'!$B$25, A33)</f>
        <v/>
      </c>
      <c r="C33" s="16">
        <f>IF(AND(WEEKDAY(B33,2)&lt;=5, ISNA(MATCH(B33,'model_Assumptions'!$B$3:$B$20,0))), B33, WORKDAY(B33,1,'model_Assumptions'!$B$3:$B$20))</f>
        <v/>
      </c>
      <c r="D33" s="17">
        <f>C33-C32</f>
        <v/>
      </c>
      <c r="E33" s="18">
        <f>I32</f>
        <v/>
      </c>
      <c r="F33" s="18">
        <f>E33*'model_Assumptions'!$B$26*D33/365</f>
        <v/>
      </c>
      <c r="G33" s="18">
        <f>'model_Assumptions'!$B$34</f>
        <v/>
      </c>
      <c r="H33" s="18">
        <f>G33-F33</f>
        <v/>
      </c>
      <c r="I33" s="18">
        <f>E33-H33</f>
        <v/>
      </c>
    </row>
    <row r="34">
      <c r="A34" s="21" t="n">
        <v>29</v>
      </c>
      <c r="B34" s="16">
        <f>EDATE('model_Assumptions'!$B$25, A34)</f>
        <v/>
      </c>
      <c r="C34" s="16">
        <f>IF(AND(WEEKDAY(B34,2)&lt;=5, ISNA(MATCH(B34,'model_Assumptions'!$B$3:$B$20,0))), B34, WORKDAY(B34,1,'model_Assumptions'!$B$3:$B$20))</f>
        <v/>
      </c>
      <c r="D34" s="17">
        <f>C34-C33</f>
        <v/>
      </c>
      <c r="E34" s="18">
        <f>I33</f>
        <v/>
      </c>
      <c r="F34" s="18">
        <f>E34*'model_Assumptions'!$B$26*D34/365</f>
        <v/>
      </c>
      <c r="G34" s="18">
        <f>'model_Assumptions'!$B$34</f>
        <v/>
      </c>
      <c r="H34" s="18">
        <f>G34-F34</f>
        <v/>
      </c>
      <c r="I34" s="18">
        <f>E34-H34</f>
        <v/>
      </c>
    </row>
    <row r="35">
      <c r="A35" s="21" t="n">
        <v>30</v>
      </c>
      <c r="B35" s="16">
        <f>EDATE('model_Assumptions'!$B$25, A35)</f>
        <v/>
      </c>
      <c r="C35" s="16">
        <f>IF(AND(WEEKDAY(B35,2)&lt;=5, ISNA(MATCH(B35,'model_Assumptions'!$B$3:$B$20,0))), B35, WORKDAY(B35,1,'model_Assumptions'!$B$3:$B$20))</f>
        <v/>
      </c>
      <c r="D35" s="17">
        <f>C35-C34</f>
        <v/>
      </c>
      <c r="E35" s="18">
        <f>I34</f>
        <v/>
      </c>
      <c r="F35" s="18">
        <f>E35*'model_Assumptions'!$B$26*D35/365</f>
        <v/>
      </c>
      <c r="G35" s="18">
        <f>'model_Assumptions'!$B$34</f>
        <v/>
      </c>
      <c r="H35" s="18">
        <f>G35-F35</f>
        <v/>
      </c>
      <c r="I35" s="18">
        <f>E35-H35</f>
        <v/>
      </c>
    </row>
    <row r="36">
      <c r="A36" s="21" t="n">
        <v>31</v>
      </c>
      <c r="B36" s="16">
        <f>EDATE('model_Assumptions'!$B$25, A36)</f>
        <v/>
      </c>
      <c r="C36" s="16">
        <f>IF(AND(WEEKDAY(B36,2)&lt;=5, ISNA(MATCH(B36,'model_Assumptions'!$B$3:$B$20,0))), B36, WORKDAY(B36,1,'model_Assumptions'!$B$3:$B$20))</f>
        <v/>
      </c>
      <c r="D36" s="17">
        <f>C36-C35</f>
        <v/>
      </c>
      <c r="E36" s="18">
        <f>I35</f>
        <v/>
      </c>
      <c r="F36" s="18">
        <f>E36*'model_Assumptions'!$B$26*D36/365</f>
        <v/>
      </c>
      <c r="G36" s="18">
        <f>'model_Assumptions'!$B$34</f>
        <v/>
      </c>
      <c r="H36" s="18">
        <f>G36-F36</f>
        <v/>
      </c>
      <c r="I36" s="18">
        <f>E36-H36</f>
        <v/>
      </c>
    </row>
    <row r="37">
      <c r="A37" s="21" t="n">
        <v>32</v>
      </c>
      <c r="B37" s="16">
        <f>EDATE('model_Assumptions'!$B$25, A37)</f>
        <v/>
      </c>
      <c r="C37" s="16">
        <f>IF(AND(WEEKDAY(B37,2)&lt;=5, ISNA(MATCH(B37,'model_Assumptions'!$B$3:$B$20,0))), B37, WORKDAY(B37,1,'model_Assumptions'!$B$3:$B$20))</f>
        <v/>
      </c>
      <c r="D37" s="17">
        <f>C37-C36</f>
        <v/>
      </c>
      <c r="E37" s="18">
        <f>I36</f>
        <v/>
      </c>
      <c r="F37" s="18">
        <f>E37*'model_Assumptions'!$B$26*D37/365</f>
        <v/>
      </c>
      <c r="G37" s="18">
        <f>'model_Assumptions'!$B$34</f>
        <v/>
      </c>
      <c r="H37" s="18">
        <f>G37-F37</f>
        <v/>
      </c>
      <c r="I37" s="18">
        <f>E37-H37</f>
        <v/>
      </c>
    </row>
    <row r="38">
      <c r="A38" s="21" t="n">
        <v>33</v>
      </c>
      <c r="B38" s="16">
        <f>EDATE('model_Assumptions'!$B$25, A38)</f>
        <v/>
      </c>
      <c r="C38" s="16">
        <f>IF(AND(WEEKDAY(B38,2)&lt;=5, ISNA(MATCH(B38,'model_Assumptions'!$B$3:$B$20,0))), B38, WORKDAY(B38,1,'model_Assumptions'!$B$3:$B$20))</f>
        <v/>
      </c>
      <c r="D38" s="17">
        <f>C38-C37</f>
        <v/>
      </c>
      <c r="E38" s="18">
        <f>I37</f>
        <v/>
      </c>
      <c r="F38" s="18">
        <f>E38*'model_Assumptions'!$B$26*D38/365</f>
        <v/>
      </c>
      <c r="G38" s="18">
        <f>'model_Assumptions'!$B$34</f>
        <v/>
      </c>
      <c r="H38" s="18">
        <f>G38-F38</f>
        <v/>
      </c>
      <c r="I38" s="18">
        <f>E38-H38</f>
        <v/>
      </c>
    </row>
    <row r="39">
      <c r="A39" s="21" t="n">
        <v>34</v>
      </c>
      <c r="B39" s="16">
        <f>EDATE('model_Assumptions'!$B$25, A39)</f>
        <v/>
      </c>
      <c r="C39" s="16">
        <f>IF(AND(WEEKDAY(B39,2)&lt;=5, ISNA(MATCH(B39,'model_Assumptions'!$B$3:$B$20,0))), B39, WORKDAY(B39,1,'model_Assumptions'!$B$3:$B$20))</f>
        <v/>
      </c>
      <c r="D39" s="17">
        <f>C39-C38</f>
        <v/>
      </c>
      <c r="E39" s="18">
        <f>I38</f>
        <v/>
      </c>
      <c r="F39" s="18">
        <f>E39*'model_Assumptions'!$B$26*D39/365</f>
        <v/>
      </c>
      <c r="G39" s="18">
        <f>'model_Assumptions'!$B$34</f>
        <v/>
      </c>
      <c r="H39" s="18">
        <f>G39-F39</f>
        <v/>
      </c>
      <c r="I39" s="18">
        <f>E39-H39</f>
        <v/>
      </c>
    </row>
    <row r="40">
      <c r="A40" s="21" t="n">
        <v>35</v>
      </c>
      <c r="B40" s="16">
        <f>EDATE('model_Assumptions'!$B$25, A40)</f>
        <v/>
      </c>
      <c r="C40" s="16">
        <f>IF(AND(WEEKDAY(B40,2)&lt;=5, ISNA(MATCH(B40,'model_Assumptions'!$B$3:$B$20,0))), B40, WORKDAY(B40,1,'model_Assumptions'!$B$3:$B$20))</f>
        <v/>
      </c>
      <c r="D40" s="17">
        <f>C40-C39</f>
        <v/>
      </c>
      <c r="E40" s="18">
        <f>I39</f>
        <v/>
      </c>
      <c r="F40" s="18">
        <f>E40*'model_Assumptions'!$B$26*D40/365</f>
        <v/>
      </c>
      <c r="G40" s="18">
        <f>'model_Assumptions'!$B$34</f>
        <v/>
      </c>
      <c r="H40" s="18">
        <f>G40-F40</f>
        <v/>
      </c>
      <c r="I40" s="18">
        <f>E40-H40</f>
        <v/>
      </c>
    </row>
    <row r="41">
      <c r="A41" s="21" t="n">
        <v>36</v>
      </c>
      <c r="B41" s="16">
        <f>EDATE('model_Assumptions'!$B$25, A41)</f>
        <v/>
      </c>
      <c r="C41" s="16">
        <f>IF(AND(WEEKDAY(B41,2)&lt;=5, ISNA(MATCH(B41,'model_Assumptions'!$B$3:$B$20,0))), B41, WORKDAY(B41,1,'model_Assumptions'!$B$3:$B$20))</f>
        <v/>
      </c>
      <c r="D41" s="17">
        <f>C41-C40</f>
        <v/>
      </c>
      <c r="E41" s="18">
        <f>I40</f>
        <v/>
      </c>
      <c r="F41" s="18">
        <f>E41*'model_Assumptions'!$B$26*D41/365</f>
        <v/>
      </c>
      <c r="G41" s="18">
        <f>'model_Assumptions'!$B$34</f>
        <v/>
      </c>
      <c r="H41" s="18">
        <f>G41-F41</f>
        <v/>
      </c>
      <c r="I41" s="18">
        <f>E41-H41</f>
        <v/>
      </c>
    </row>
    <row r="42">
      <c r="A42" s="21" t="n">
        <v>37</v>
      </c>
      <c r="B42" s="16">
        <f>EDATE('model_Assumptions'!$B$25, A42)</f>
        <v/>
      </c>
      <c r="C42" s="16">
        <f>IF(AND(WEEKDAY(B42,2)&lt;=5, ISNA(MATCH(B42,'model_Assumptions'!$B$3:$B$20,0))), B42, WORKDAY(B42,1,'model_Assumptions'!$B$3:$B$20))</f>
        <v/>
      </c>
      <c r="D42" s="17">
        <f>C42-C41</f>
        <v/>
      </c>
      <c r="E42" s="18">
        <f>I41</f>
        <v/>
      </c>
      <c r="F42" s="18">
        <f>E42*'model_Assumptions'!$B$26*D42/365</f>
        <v/>
      </c>
      <c r="G42" s="18">
        <f>'model_Assumptions'!$B$34</f>
        <v/>
      </c>
      <c r="H42" s="18">
        <f>G42-F42</f>
        <v/>
      </c>
      <c r="I42" s="18">
        <f>E42-H42</f>
        <v/>
      </c>
    </row>
    <row r="43">
      <c r="A43" s="21" t="n">
        <v>38</v>
      </c>
      <c r="B43" s="16">
        <f>EDATE('model_Assumptions'!$B$25, A43)</f>
        <v/>
      </c>
      <c r="C43" s="16">
        <f>IF(AND(WEEKDAY(B43,2)&lt;=5, ISNA(MATCH(B43,'model_Assumptions'!$B$3:$B$20,0))), B43, WORKDAY(B43,1,'model_Assumptions'!$B$3:$B$20))</f>
        <v/>
      </c>
      <c r="D43" s="17">
        <f>C43-C42</f>
        <v/>
      </c>
      <c r="E43" s="18">
        <f>I42</f>
        <v/>
      </c>
      <c r="F43" s="18">
        <f>E43*'model_Assumptions'!$B$26*D43/365</f>
        <v/>
      </c>
      <c r="G43" s="18">
        <f>'model_Assumptions'!$B$34</f>
        <v/>
      </c>
      <c r="H43" s="18">
        <f>G43-F43</f>
        <v/>
      </c>
      <c r="I43" s="18">
        <f>E43-H43</f>
        <v/>
      </c>
    </row>
    <row r="44">
      <c r="A44" s="21" t="n">
        <v>39</v>
      </c>
      <c r="B44" s="16">
        <f>EDATE('model_Assumptions'!$B$25, A44)</f>
        <v/>
      </c>
      <c r="C44" s="16">
        <f>IF(AND(WEEKDAY(B44,2)&lt;=5, ISNA(MATCH(B44,'model_Assumptions'!$B$3:$B$20,0))), B44, WORKDAY(B44,1,'model_Assumptions'!$B$3:$B$20))</f>
        <v/>
      </c>
      <c r="D44" s="17">
        <f>C44-C43</f>
        <v/>
      </c>
      <c r="E44" s="18">
        <f>I43</f>
        <v/>
      </c>
      <c r="F44" s="18">
        <f>E44*'model_Assumptions'!$B$26*D44/365</f>
        <v/>
      </c>
      <c r="G44" s="18">
        <f>'model_Assumptions'!$B$34</f>
        <v/>
      </c>
      <c r="H44" s="18">
        <f>G44-F44</f>
        <v/>
      </c>
      <c r="I44" s="18">
        <f>E44-H44</f>
        <v/>
      </c>
    </row>
    <row r="45">
      <c r="A45" s="21" t="n">
        <v>40</v>
      </c>
      <c r="B45" s="16">
        <f>EDATE('model_Assumptions'!$B$25, A45)</f>
        <v/>
      </c>
      <c r="C45" s="16">
        <f>IF(AND(WEEKDAY(B45,2)&lt;=5, ISNA(MATCH(B45,'model_Assumptions'!$B$3:$B$20,0))), B45, WORKDAY(B45,1,'model_Assumptions'!$B$3:$B$20))</f>
        <v/>
      </c>
      <c r="D45" s="17">
        <f>C45-C44</f>
        <v/>
      </c>
      <c r="E45" s="18">
        <f>I44</f>
        <v/>
      </c>
      <c r="F45" s="18">
        <f>E45*'model_Assumptions'!$B$26*D45/365</f>
        <v/>
      </c>
      <c r="G45" s="18">
        <f>'model_Assumptions'!$B$34</f>
        <v/>
      </c>
      <c r="H45" s="18">
        <f>G45-F45</f>
        <v/>
      </c>
      <c r="I45" s="18">
        <f>E45-H45</f>
        <v/>
      </c>
    </row>
    <row r="46">
      <c r="A46" s="21" t="n">
        <v>41</v>
      </c>
      <c r="B46" s="16">
        <f>EDATE('model_Assumptions'!$B$25, A46)</f>
        <v/>
      </c>
      <c r="C46" s="16">
        <f>IF(AND(WEEKDAY(B46,2)&lt;=5, ISNA(MATCH(B46,'model_Assumptions'!$B$3:$B$20,0))), B46, WORKDAY(B46,1,'model_Assumptions'!$B$3:$B$20))</f>
        <v/>
      </c>
      <c r="D46" s="17">
        <f>C46-C45</f>
        <v/>
      </c>
      <c r="E46" s="18">
        <f>I45</f>
        <v/>
      </c>
      <c r="F46" s="18">
        <f>E46*'model_Assumptions'!$B$26*D46/365</f>
        <v/>
      </c>
      <c r="G46" s="18">
        <f>'model_Assumptions'!$B$34</f>
        <v/>
      </c>
      <c r="H46" s="18">
        <f>G46-F46</f>
        <v/>
      </c>
      <c r="I46" s="18">
        <f>E46-H46</f>
        <v/>
      </c>
    </row>
    <row r="47">
      <c r="A47" s="21" t="n">
        <v>42</v>
      </c>
      <c r="B47" s="16">
        <f>EDATE('model_Assumptions'!$B$25, A47)</f>
        <v/>
      </c>
      <c r="C47" s="16">
        <f>IF(AND(WEEKDAY(B47,2)&lt;=5, ISNA(MATCH(B47,'model_Assumptions'!$B$3:$B$20,0))), B47, WORKDAY(B47,1,'model_Assumptions'!$B$3:$B$20))</f>
        <v/>
      </c>
      <c r="D47" s="17">
        <f>C47-C46</f>
        <v/>
      </c>
      <c r="E47" s="18">
        <f>I46</f>
        <v/>
      </c>
      <c r="F47" s="18">
        <f>E47*'model_Assumptions'!$B$26*D47/365</f>
        <v/>
      </c>
      <c r="G47" s="18">
        <f>'model_Assumptions'!$B$34</f>
        <v/>
      </c>
      <c r="H47" s="18">
        <f>G47-F47</f>
        <v/>
      </c>
      <c r="I47" s="18">
        <f>E47-H47</f>
        <v/>
      </c>
    </row>
    <row r="48">
      <c r="A48" s="21" t="n">
        <v>43</v>
      </c>
      <c r="B48" s="16">
        <f>EDATE('model_Assumptions'!$B$25, A48)</f>
        <v/>
      </c>
      <c r="C48" s="16">
        <f>IF(AND(WEEKDAY(B48,2)&lt;=5, ISNA(MATCH(B48,'model_Assumptions'!$B$3:$B$20,0))), B48, WORKDAY(B48,1,'model_Assumptions'!$B$3:$B$20))</f>
        <v/>
      </c>
      <c r="D48" s="17">
        <f>C48-C47</f>
        <v/>
      </c>
      <c r="E48" s="18">
        <f>I47</f>
        <v/>
      </c>
      <c r="F48" s="18">
        <f>E48*'model_Assumptions'!$B$26*D48/365</f>
        <v/>
      </c>
      <c r="G48" s="18">
        <f>'model_Assumptions'!$B$34</f>
        <v/>
      </c>
      <c r="H48" s="18">
        <f>G48-F48</f>
        <v/>
      </c>
      <c r="I48" s="18">
        <f>E48-H48</f>
        <v/>
      </c>
    </row>
    <row r="49">
      <c r="A49" s="21" t="n">
        <v>44</v>
      </c>
      <c r="B49" s="16">
        <f>EDATE('model_Assumptions'!$B$25, A49)</f>
        <v/>
      </c>
      <c r="C49" s="16">
        <f>IF(AND(WEEKDAY(B49,2)&lt;=5, ISNA(MATCH(B49,'model_Assumptions'!$B$3:$B$20,0))), B49, WORKDAY(B49,1,'model_Assumptions'!$B$3:$B$20))</f>
        <v/>
      </c>
      <c r="D49" s="17">
        <f>C49-C48</f>
        <v/>
      </c>
      <c r="E49" s="18">
        <f>I48</f>
        <v/>
      </c>
      <c r="F49" s="18">
        <f>E49*'model_Assumptions'!$B$26*D49/365</f>
        <v/>
      </c>
      <c r="G49" s="18">
        <f>'model_Assumptions'!$B$34</f>
        <v/>
      </c>
      <c r="H49" s="18">
        <f>G49-F49</f>
        <v/>
      </c>
      <c r="I49" s="18">
        <f>E49-H49</f>
        <v/>
      </c>
    </row>
    <row r="50">
      <c r="A50" s="21" t="n">
        <v>45</v>
      </c>
      <c r="B50" s="16">
        <f>EDATE('model_Assumptions'!$B$25, A50)</f>
        <v/>
      </c>
      <c r="C50" s="16">
        <f>IF(AND(WEEKDAY(B50,2)&lt;=5, ISNA(MATCH(B50,'model_Assumptions'!$B$3:$B$20,0))), B50, WORKDAY(B50,1,'model_Assumptions'!$B$3:$B$20))</f>
        <v/>
      </c>
      <c r="D50" s="17">
        <f>C50-C49</f>
        <v/>
      </c>
      <c r="E50" s="18">
        <f>I49</f>
        <v/>
      </c>
      <c r="F50" s="18">
        <f>E50*'model_Assumptions'!$B$26*D50/365</f>
        <v/>
      </c>
      <c r="G50" s="18">
        <f>'model_Assumptions'!$B$34</f>
        <v/>
      </c>
      <c r="H50" s="18">
        <f>G50-F50</f>
        <v/>
      </c>
      <c r="I50" s="18">
        <f>E50-H50</f>
        <v/>
      </c>
    </row>
    <row r="51">
      <c r="A51" s="21" t="n">
        <v>46</v>
      </c>
      <c r="B51" s="16">
        <f>EDATE('model_Assumptions'!$B$25, A51)</f>
        <v/>
      </c>
      <c r="C51" s="16">
        <f>IF(AND(WEEKDAY(B51,2)&lt;=5, ISNA(MATCH(B51,'model_Assumptions'!$B$3:$B$20,0))), B51, WORKDAY(B51,1,'model_Assumptions'!$B$3:$B$20))</f>
        <v/>
      </c>
      <c r="D51" s="17">
        <f>C51-C50</f>
        <v/>
      </c>
      <c r="E51" s="18">
        <f>I50</f>
        <v/>
      </c>
      <c r="F51" s="18">
        <f>E51*'model_Assumptions'!$B$26*D51/365</f>
        <v/>
      </c>
      <c r="G51" s="18">
        <f>'model_Assumptions'!$B$34</f>
        <v/>
      </c>
      <c r="H51" s="18">
        <f>G51-F51</f>
        <v/>
      </c>
      <c r="I51" s="18">
        <f>E51-H51</f>
        <v/>
      </c>
    </row>
    <row r="52">
      <c r="A52" s="21" t="n">
        <v>47</v>
      </c>
      <c r="B52" s="16">
        <f>EDATE('model_Assumptions'!$B$25, A52)</f>
        <v/>
      </c>
      <c r="C52" s="16">
        <f>IF(AND(WEEKDAY(B52,2)&lt;=5, ISNA(MATCH(B52,'model_Assumptions'!$B$3:$B$20,0))), B52, WORKDAY(B52,1,'model_Assumptions'!$B$3:$B$20))</f>
        <v/>
      </c>
      <c r="D52" s="17">
        <f>C52-C51</f>
        <v/>
      </c>
      <c r="E52" s="18">
        <f>I51</f>
        <v/>
      </c>
      <c r="F52" s="18">
        <f>E52*'model_Assumptions'!$B$26*D52/365</f>
        <v/>
      </c>
      <c r="G52" s="18">
        <f>'model_Assumptions'!$B$34</f>
        <v/>
      </c>
      <c r="H52" s="18">
        <f>G52-F52</f>
        <v/>
      </c>
      <c r="I52" s="18">
        <f>E52-H52</f>
        <v/>
      </c>
    </row>
    <row r="53">
      <c r="A53" s="21" t="n">
        <v>48</v>
      </c>
      <c r="B53" s="16">
        <f>EDATE('model_Assumptions'!$B$25, A53)</f>
        <v/>
      </c>
      <c r="C53" s="16">
        <f>IF(AND(WEEKDAY(B53,2)&lt;=5, ISNA(MATCH(B53,'model_Assumptions'!$B$3:$B$20,0))), B53, WORKDAY(B53,1,'model_Assumptions'!$B$3:$B$20))</f>
        <v/>
      </c>
      <c r="D53" s="17">
        <f>C53-C52</f>
        <v/>
      </c>
      <c r="E53" s="18">
        <f>I52</f>
        <v/>
      </c>
      <c r="F53" s="18">
        <f>E53*'model_Assumptions'!$B$26*D53/365</f>
        <v/>
      </c>
      <c r="G53" s="18">
        <f>'model_Assumptions'!$B$34</f>
        <v/>
      </c>
      <c r="H53" s="18">
        <f>G53-F53</f>
        <v/>
      </c>
      <c r="I53" s="18">
        <f>E53-H53</f>
        <v/>
      </c>
    </row>
    <row r="54">
      <c r="A54" s="21" t="n">
        <v>49</v>
      </c>
      <c r="B54" s="16">
        <f>EDATE('model_Assumptions'!$B$25, A54)</f>
        <v/>
      </c>
      <c r="C54" s="16">
        <f>IF(AND(WEEKDAY(B54,2)&lt;=5, ISNA(MATCH(B54,'model_Assumptions'!$B$3:$B$20,0))), B54, WORKDAY(B54,1,'model_Assumptions'!$B$3:$B$20))</f>
        <v/>
      </c>
      <c r="D54" s="17">
        <f>C54-C53</f>
        <v/>
      </c>
      <c r="E54" s="18">
        <f>I53</f>
        <v/>
      </c>
      <c r="F54" s="18">
        <f>E54*'model_Assumptions'!$B$26*D54/365</f>
        <v/>
      </c>
      <c r="G54" s="18">
        <f>'model_Assumptions'!$B$34</f>
        <v/>
      </c>
      <c r="H54" s="18">
        <f>G54-F54</f>
        <v/>
      </c>
      <c r="I54" s="18">
        <f>E54-H54</f>
        <v/>
      </c>
    </row>
    <row r="55">
      <c r="A55" s="21" t="n">
        <v>50</v>
      </c>
      <c r="B55" s="16">
        <f>EDATE('model_Assumptions'!$B$25, A55)</f>
        <v/>
      </c>
      <c r="C55" s="16">
        <f>IF(AND(WEEKDAY(B55,2)&lt;=5, ISNA(MATCH(B55,'model_Assumptions'!$B$3:$B$20,0))), B55, WORKDAY(B55,1,'model_Assumptions'!$B$3:$B$20))</f>
        <v/>
      </c>
      <c r="D55" s="17">
        <f>C55-C54</f>
        <v/>
      </c>
      <c r="E55" s="18">
        <f>I54</f>
        <v/>
      </c>
      <c r="F55" s="18">
        <f>E55*'model_Assumptions'!$B$26*D55/365</f>
        <v/>
      </c>
      <c r="G55" s="18">
        <f>'model_Assumptions'!$B$34</f>
        <v/>
      </c>
      <c r="H55" s="18">
        <f>G55-F55</f>
        <v/>
      </c>
      <c r="I55" s="18">
        <f>E55-H55</f>
        <v/>
      </c>
    </row>
    <row r="56">
      <c r="A56" s="21" t="n">
        <v>51</v>
      </c>
      <c r="B56" s="16">
        <f>EDATE('model_Assumptions'!$B$25, A56)</f>
        <v/>
      </c>
      <c r="C56" s="16">
        <f>IF(AND(WEEKDAY(B56,2)&lt;=5, ISNA(MATCH(B56,'model_Assumptions'!$B$3:$B$20,0))), B56, WORKDAY(B56,1,'model_Assumptions'!$B$3:$B$20))</f>
        <v/>
      </c>
      <c r="D56" s="17">
        <f>C56-C55</f>
        <v/>
      </c>
      <c r="E56" s="18">
        <f>I55</f>
        <v/>
      </c>
      <c r="F56" s="18">
        <f>E56*'model_Assumptions'!$B$26*D56/365</f>
        <v/>
      </c>
      <c r="G56" s="18">
        <f>'model_Assumptions'!$B$34</f>
        <v/>
      </c>
      <c r="H56" s="18">
        <f>G56-F56</f>
        <v/>
      </c>
      <c r="I56" s="18">
        <f>E56-H56</f>
        <v/>
      </c>
    </row>
    <row r="57">
      <c r="A57" s="21" t="n">
        <v>52</v>
      </c>
      <c r="B57" s="16">
        <f>EDATE('model_Assumptions'!$B$25, A57)</f>
        <v/>
      </c>
      <c r="C57" s="16">
        <f>IF(AND(WEEKDAY(B57,2)&lt;=5, ISNA(MATCH(B57,'model_Assumptions'!$B$3:$B$20,0))), B57, WORKDAY(B57,1,'model_Assumptions'!$B$3:$B$20))</f>
        <v/>
      </c>
      <c r="D57" s="17">
        <f>C57-C56</f>
        <v/>
      </c>
      <c r="E57" s="18">
        <f>I56</f>
        <v/>
      </c>
      <c r="F57" s="18">
        <f>E57*'model_Assumptions'!$B$26*D57/365</f>
        <v/>
      </c>
      <c r="G57" s="18">
        <f>'model_Assumptions'!$B$34</f>
        <v/>
      </c>
      <c r="H57" s="18">
        <f>G57-F57</f>
        <v/>
      </c>
      <c r="I57" s="18">
        <f>E57-H57</f>
        <v/>
      </c>
    </row>
    <row r="58">
      <c r="A58" s="21" t="n">
        <v>53</v>
      </c>
      <c r="B58" s="16">
        <f>EDATE('model_Assumptions'!$B$25, A58)</f>
        <v/>
      </c>
      <c r="C58" s="16">
        <f>IF(AND(WEEKDAY(B58,2)&lt;=5, ISNA(MATCH(B58,'model_Assumptions'!$B$3:$B$20,0))), B58, WORKDAY(B58,1,'model_Assumptions'!$B$3:$B$20))</f>
        <v/>
      </c>
      <c r="D58" s="17">
        <f>C58-C57</f>
        <v/>
      </c>
      <c r="E58" s="18">
        <f>I57</f>
        <v/>
      </c>
      <c r="F58" s="18">
        <f>E58*'model_Assumptions'!$B$26*D58/365</f>
        <v/>
      </c>
      <c r="G58" s="18">
        <f>'model_Assumptions'!$B$34</f>
        <v/>
      </c>
      <c r="H58" s="18">
        <f>G58-F58</f>
        <v/>
      </c>
      <c r="I58" s="18">
        <f>E58-H58</f>
        <v/>
      </c>
    </row>
    <row r="59">
      <c r="A59" s="21" t="n">
        <v>54</v>
      </c>
      <c r="B59" s="16">
        <f>EDATE('model_Assumptions'!$B$25, A59)</f>
        <v/>
      </c>
      <c r="C59" s="16">
        <f>IF(AND(WEEKDAY(B59,2)&lt;=5, ISNA(MATCH(B59,'model_Assumptions'!$B$3:$B$20,0))), B59, WORKDAY(B59,1,'model_Assumptions'!$B$3:$B$20))</f>
        <v/>
      </c>
      <c r="D59" s="17">
        <f>C59-C58</f>
        <v/>
      </c>
      <c r="E59" s="18">
        <f>I58</f>
        <v/>
      </c>
      <c r="F59" s="18">
        <f>E59*'model_Assumptions'!$B$26*D59/365</f>
        <v/>
      </c>
      <c r="G59" s="18">
        <f>'model_Assumptions'!$B$34</f>
        <v/>
      </c>
      <c r="H59" s="18">
        <f>G59-F59</f>
        <v/>
      </c>
      <c r="I59" s="18">
        <f>E59-H59</f>
        <v/>
      </c>
    </row>
    <row r="60">
      <c r="A60" s="21" t="n">
        <v>60</v>
      </c>
      <c r="B60" s="16">
        <f>EDATE('model_Assumptions'!$B$25, A60)</f>
        <v/>
      </c>
      <c r="C60" s="16">
        <f>IF(AND(WEEKDAY(B60,2)&lt;=5, ISNA(MATCH(B60,'model_Assumptions'!$B$3:$B$20,0))), B60, WORKDAY(B60,1,'model_Assumptions'!$B$3:$B$20))</f>
        <v/>
      </c>
      <c r="D60" s="17">
        <f>C60-C59</f>
        <v/>
      </c>
      <c r="E60" s="18">
        <f>I59</f>
        <v/>
      </c>
      <c r="F60" s="18">
        <f>E60*'model_Assumptions'!$B$26*D60/365</f>
        <v/>
      </c>
      <c r="G60" s="18">
        <f>'model_Assumptions'!$B$34</f>
        <v/>
      </c>
      <c r="H60" s="18">
        <f>G60-F60</f>
        <v/>
      </c>
      <c r="I60" s="18">
        <f>E60-H60</f>
        <v/>
      </c>
    </row>
    <row r="61">
      <c r="A61" s="21" t="n">
        <v>61</v>
      </c>
      <c r="B61" s="16">
        <f>EDATE('model_Assumptions'!$B$25, A61)</f>
        <v/>
      </c>
      <c r="C61" s="16">
        <f>IF(AND(WEEKDAY(B61,2)&lt;=5, ISNA(MATCH(B61,'model_Assumptions'!$B$3:$B$20,0))), B61, WORKDAY(B61,1,'model_Assumptions'!$B$3:$B$20))</f>
        <v/>
      </c>
      <c r="D61" s="17">
        <f>C61-C60</f>
        <v/>
      </c>
      <c r="E61" s="18">
        <f>I60</f>
        <v/>
      </c>
      <c r="F61" s="18">
        <f>E61*'model_Assumptions'!$B$26*D61/365</f>
        <v/>
      </c>
      <c r="G61" s="18">
        <f>'model_Assumptions'!$B$34</f>
        <v/>
      </c>
      <c r="H61" s="18">
        <f>G61-F61</f>
        <v/>
      </c>
      <c r="I61" s="18">
        <f>E61-H61</f>
        <v/>
      </c>
    </row>
    <row r="62">
      <c r="A62" s="21" t="n">
        <v>62</v>
      </c>
      <c r="B62" s="16">
        <f>EDATE('model_Assumptions'!$B$25, A62)</f>
        <v/>
      </c>
      <c r="C62" s="16">
        <f>IF(AND(WEEKDAY(B62,2)&lt;=5, ISNA(MATCH(B62,'model_Assumptions'!$B$3:$B$20,0))), B62, WORKDAY(B62,1,'model_Assumptions'!$B$3:$B$20))</f>
        <v/>
      </c>
      <c r="D62" s="17">
        <f>C62-C61</f>
        <v/>
      </c>
      <c r="E62" s="18">
        <f>I61</f>
        <v/>
      </c>
      <c r="F62" s="18">
        <f>E62*'model_Assumptions'!$B$26*D62/365</f>
        <v/>
      </c>
      <c r="G62" s="18">
        <f>'model_Assumptions'!$B$34</f>
        <v/>
      </c>
      <c r="H62" s="18">
        <f>G62-F62</f>
        <v/>
      </c>
      <c r="I62" s="18">
        <f>E62-H62</f>
        <v/>
      </c>
    </row>
    <row r="63">
      <c r="A63" s="21" t="n">
        <v>63</v>
      </c>
      <c r="B63" s="16">
        <f>EDATE('model_Assumptions'!$B$25, A63)</f>
        <v/>
      </c>
      <c r="C63" s="16">
        <f>IF(AND(WEEKDAY(B63,2)&lt;=5, ISNA(MATCH(B63,'model_Assumptions'!$B$3:$B$20,0))), B63, WORKDAY(B63,1,'model_Assumptions'!$B$3:$B$20))</f>
        <v/>
      </c>
      <c r="D63" s="17">
        <f>C63-C62</f>
        <v/>
      </c>
      <c r="E63" s="18">
        <f>I62</f>
        <v/>
      </c>
      <c r="F63" s="18">
        <f>E63*'model_Assumptions'!$B$26*D63/365</f>
        <v/>
      </c>
      <c r="G63" s="18">
        <f>'model_Assumptions'!$B$34</f>
        <v/>
      </c>
      <c r="H63" s="18">
        <f>G63-F63</f>
        <v/>
      </c>
      <c r="I63" s="18">
        <f>E63-H63</f>
        <v/>
      </c>
    </row>
    <row r="64">
      <c r="A64" s="21" t="n">
        <v>64</v>
      </c>
      <c r="B64" s="16">
        <f>EDATE('model_Assumptions'!$B$25, A64)</f>
        <v/>
      </c>
      <c r="C64" s="16">
        <f>IF(AND(WEEKDAY(B64,2)&lt;=5, ISNA(MATCH(B64,'model_Assumptions'!$B$3:$B$20,0))), B64, WORKDAY(B64,1,'model_Assumptions'!$B$3:$B$20))</f>
        <v/>
      </c>
      <c r="D64" s="17">
        <f>C64-C63</f>
        <v/>
      </c>
      <c r="E64" s="18">
        <f>I63</f>
        <v/>
      </c>
      <c r="F64" s="18">
        <f>E64*'model_Assumptions'!$B$26*D64/365</f>
        <v/>
      </c>
      <c r="G64" s="18">
        <f>'model_Assumptions'!$B$34</f>
        <v/>
      </c>
      <c r="H64" s="18">
        <f>G64-F64</f>
        <v/>
      </c>
      <c r="I64" s="18">
        <f>E64-H64</f>
        <v/>
      </c>
    </row>
    <row r="65">
      <c r="A65" s="21" t="n">
        <v>65</v>
      </c>
      <c r="B65" s="16">
        <f>EDATE('model_Assumptions'!$B$25, A65)</f>
        <v/>
      </c>
      <c r="C65" s="16">
        <f>IF(AND(WEEKDAY(B65,2)&lt;=5, ISNA(MATCH(B65,'model_Assumptions'!$B$3:$B$20,0))), B65, WORKDAY(B65,1,'model_Assumptions'!$B$3:$B$20))</f>
        <v/>
      </c>
      <c r="D65" s="17">
        <f>C65-C64</f>
        <v/>
      </c>
      <c r="E65" s="18">
        <f>I64</f>
        <v/>
      </c>
      <c r="F65" s="18">
        <f>E65*'model_Assumptions'!$B$26*D65/365</f>
        <v/>
      </c>
      <c r="G65" s="18">
        <f>'model_Assumptions'!$B$34</f>
        <v/>
      </c>
      <c r="H65" s="18">
        <f>G65-F65</f>
        <v/>
      </c>
      <c r="I65" s="18">
        <f>E65-H65</f>
        <v/>
      </c>
    </row>
    <row r="66">
      <c r="A66" s="21" t="n">
        <v>66</v>
      </c>
      <c r="B66" s="16">
        <f>EDATE('model_Assumptions'!$B$25, A66)</f>
        <v/>
      </c>
      <c r="C66" s="16">
        <f>IF(AND(WEEKDAY(B66,2)&lt;=5, ISNA(MATCH(B66,'model_Assumptions'!$B$3:$B$20,0))), B66, WORKDAY(B66,1,'model_Assumptions'!$B$3:$B$20))</f>
        <v/>
      </c>
      <c r="D66" s="17">
        <f>C66-C65</f>
        <v/>
      </c>
      <c r="E66" s="18">
        <f>I65</f>
        <v/>
      </c>
      <c r="F66" s="18">
        <f>E66*'model_Assumptions'!$B$26*D66/365</f>
        <v/>
      </c>
      <c r="G66" s="18">
        <f>'model_Assumptions'!$B$34</f>
        <v/>
      </c>
      <c r="H66" s="18">
        <f>G66-F66</f>
        <v/>
      </c>
      <c r="I66" s="18">
        <f>E66-H66</f>
        <v/>
      </c>
    </row>
    <row r="67">
      <c r="A67" s="21" t="n">
        <v>67</v>
      </c>
      <c r="B67" s="16">
        <f>EDATE('model_Assumptions'!$B$25, A67)</f>
        <v/>
      </c>
      <c r="C67" s="16">
        <f>IF(AND(WEEKDAY(B67,2)&lt;=5, ISNA(MATCH(B67,'model_Assumptions'!$B$3:$B$20,0))), B67, WORKDAY(B67,1,'model_Assumptions'!$B$3:$B$20))</f>
        <v/>
      </c>
      <c r="D67" s="17">
        <f>C67-C66</f>
        <v/>
      </c>
      <c r="E67" s="18">
        <f>I66</f>
        <v/>
      </c>
      <c r="F67" s="18">
        <f>E67*'model_Assumptions'!$B$26*D67/365</f>
        <v/>
      </c>
      <c r="G67" s="18">
        <f>'model_Assumptions'!$B$34</f>
        <v/>
      </c>
      <c r="H67" s="18">
        <f>G67-F67</f>
        <v/>
      </c>
      <c r="I67" s="18">
        <f>E67-H67</f>
        <v/>
      </c>
    </row>
    <row r="68">
      <c r="A68" s="21" t="n">
        <v>68</v>
      </c>
      <c r="B68" s="16">
        <f>EDATE('model_Assumptions'!$B$25, A68)</f>
        <v/>
      </c>
      <c r="C68" s="16">
        <f>IF(AND(WEEKDAY(B68,2)&lt;=5, ISNA(MATCH(B68,'model_Assumptions'!$B$3:$B$20,0))), B68, WORKDAY(B68,1,'model_Assumptions'!$B$3:$B$20))</f>
        <v/>
      </c>
      <c r="D68" s="17">
        <f>C68-C67</f>
        <v/>
      </c>
      <c r="E68" s="18">
        <f>I67</f>
        <v/>
      </c>
      <c r="F68" s="18">
        <f>E68*'model_Assumptions'!$B$26*D68/365</f>
        <v/>
      </c>
      <c r="G68" s="18">
        <f>'model_Assumptions'!$B$34</f>
        <v/>
      </c>
      <c r="H68" s="18">
        <f>G68-F68</f>
        <v/>
      </c>
      <c r="I68" s="18">
        <f>E68-H68</f>
        <v/>
      </c>
    </row>
    <row r="69">
      <c r="A69" s="21" t="n">
        <v>69</v>
      </c>
      <c r="B69" s="16">
        <f>EDATE('model_Assumptions'!$B$25, A69)</f>
        <v/>
      </c>
      <c r="C69" s="16">
        <f>IF(AND(WEEKDAY(B69,2)&lt;=5, ISNA(MATCH(B69,'model_Assumptions'!$B$3:$B$20,0))), B69, WORKDAY(B69,1,'model_Assumptions'!$B$3:$B$20))</f>
        <v/>
      </c>
      <c r="D69" s="17">
        <f>C69-C68</f>
        <v/>
      </c>
      <c r="E69" s="18">
        <f>I68</f>
        <v/>
      </c>
      <c r="F69" s="18">
        <f>E69*'model_Assumptions'!$B$26*D69/365</f>
        <v/>
      </c>
      <c r="G69" s="18">
        <f>'model_Assumptions'!$B$34</f>
        <v/>
      </c>
      <c r="H69" s="18">
        <f>G69-F69</f>
        <v/>
      </c>
      <c r="I69" s="18">
        <f>E69-H69</f>
        <v/>
      </c>
    </row>
    <row r="70">
      <c r="A70" s="21" t="n">
        <v>70</v>
      </c>
      <c r="B70" s="16" t="n"/>
      <c r="C70" s="16">
        <f>IF(AND(WEEKDAY(B70,2)&lt;=5, ISNA(MATCH(B70,'model_Assumptions'!$B$3:$B$20,0))), B70, WORKDAY(B70,1,'model_Assumptions'!$B$3:$B$20))</f>
        <v/>
      </c>
      <c r="D70" s="17">
        <f>C70-C69</f>
        <v/>
      </c>
      <c r="E70" s="18">
        <f>I69</f>
        <v/>
      </c>
      <c r="F70" s="18">
        <f>E70*'model_Assumptions'!$B$26*D70/365</f>
        <v/>
      </c>
      <c r="G70" s="18">
        <f>'model_Assumptions'!$B$34</f>
        <v/>
      </c>
      <c r="H70" s="18">
        <f>G70-F70</f>
        <v/>
      </c>
      <c r="I70" s="18">
        <f>E70-H70</f>
        <v/>
      </c>
    </row>
    <row r="71">
      <c r="A71" s="21" t="n">
        <v>71</v>
      </c>
      <c r="B71" s="16" t="n"/>
      <c r="C71" s="16">
        <f>IF(AND(WEEKDAY(B71,2)&lt;=5, ISNA(MATCH(B71,'model_Assumptions'!$B$3:$B$20,0))), B71, WORKDAY(B71,1,'model_Assumptions'!$B$3:$B$20))</f>
        <v/>
      </c>
      <c r="D71" s="17">
        <f>C71-C70</f>
        <v/>
      </c>
      <c r="E71" s="18">
        <f>I70</f>
        <v/>
      </c>
      <c r="F71" s="18">
        <f>E71*'model_Assumptions'!$B$26*D71/365</f>
        <v/>
      </c>
      <c r="G71" s="18">
        <f>'model_Assumptions'!$B$34</f>
        <v/>
      </c>
      <c r="H71" s="18">
        <f>G71-F71</f>
        <v/>
      </c>
      <c r="I71" s="18">
        <f>E71-H71</f>
        <v/>
      </c>
    </row>
    <row r="72">
      <c r="A72" s="21" t="n">
        <v>72</v>
      </c>
      <c r="B72" s="16" t="n"/>
      <c r="C72" s="16">
        <f>IF(AND(WEEKDAY(B72,2)&lt;=5, ISNA(MATCH(B72,'model_Assumptions'!$B$3:$B$20,0))), B72, WORKDAY(B72,1,'model_Assumptions'!$B$3:$B$20))</f>
        <v/>
      </c>
      <c r="D72" s="17">
        <f>C72-C71</f>
        <v/>
      </c>
      <c r="E72" s="18">
        <f>I71</f>
        <v/>
      </c>
      <c r="F72" s="18">
        <f>E72*'model_Assumptions'!$B$26*D72/365</f>
        <v/>
      </c>
      <c r="G72" s="18">
        <f>'model_Assumptions'!$B$34</f>
        <v/>
      </c>
      <c r="H72" s="18">
        <f>G72-F72</f>
        <v/>
      </c>
      <c r="I72" s="18">
        <f>E72-H72</f>
        <v/>
      </c>
    </row>
    <row r="73">
      <c r="A73" s="21" t="n">
        <v>73</v>
      </c>
      <c r="B73" s="16" t="n"/>
      <c r="C73" s="16">
        <f>IF(AND(WEEKDAY(B73,2)&lt;=5, ISNA(MATCH(B73,'model_Assumptions'!$B$3:$B$20,0))), B73, WORKDAY(B73,1,'model_Assumptions'!$B$3:$B$20))</f>
        <v/>
      </c>
      <c r="D73" s="17">
        <f>C73-C72</f>
        <v/>
      </c>
      <c r="E73" s="18">
        <f>I72</f>
        <v/>
      </c>
      <c r="F73" s="18">
        <f>E73*'model_Assumptions'!$B$26*D73/365</f>
        <v/>
      </c>
      <c r="G73" s="18">
        <f>'model_Assumptions'!$B$34</f>
        <v/>
      </c>
      <c r="H73" s="18">
        <f>G73-F73</f>
        <v/>
      </c>
      <c r="I73" s="18">
        <f>E73-H73</f>
        <v/>
      </c>
    </row>
    <row r="74">
      <c r="A74" s="21" t="n">
        <v>74</v>
      </c>
      <c r="B74" s="16" t="n"/>
      <c r="C74" s="16">
        <f>IF(AND(WEEKDAY(B74,2)&lt;=5, ISNA(MATCH(B74,'model_Assumptions'!$B$3:$B$20,0))), B74, WORKDAY(B74,1,'model_Assumptions'!$B$3:$B$20))</f>
        <v/>
      </c>
      <c r="D74" s="17">
        <f>C74-C73</f>
        <v/>
      </c>
      <c r="E74" s="18">
        <f>I73</f>
        <v/>
      </c>
      <c r="F74" s="18">
        <f>E74*'model_Assumptions'!$B$26*D74/365</f>
        <v/>
      </c>
      <c r="G74" s="18">
        <f>'model_Assumptions'!$B$34</f>
        <v/>
      </c>
      <c r="H74" s="18">
        <f>G74-F74</f>
        <v/>
      </c>
      <c r="I74" s="18">
        <f>E74-H74</f>
        <v/>
      </c>
    </row>
    <row r="75">
      <c r="A75" s="21" t="n">
        <v>75</v>
      </c>
      <c r="B75" s="16" t="n"/>
      <c r="C75" s="16">
        <f>IF(AND(WEEKDAY(B75,2)&lt;=5, ISNA(MATCH(B75,'model_Assumptions'!$B$3:$B$20,0))), B75, WORKDAY(B75,1,'model_Assumptions'!$B$3:$B$20))</f>
        <v/>
      </c>
      <c r="D75" s="17">
        <f>C75-C74</f>
        <v/>
      </c>
      <c r="E75" s="18">
        <f>I74</f>
        <v/>
      </c>
      <c r="F75" s="18">
        <f>E75*'model_Assumptions'!$B$26*D75/365</f>
        <v/>
      </c>
      <c r="G75" s="18">
        <f>'model_Assumptions'!$B$34</f>
        <v/>
      </c>
      <c r="H75" s="18">
        <f>G75-F75</f>
        <v/>
      </c>
      <c r="I75" s="18">
        <f>E75-H75</f>
        <v/>
      </c>
    </row>
    <row r="76">
      <c r="A76" s="21" t="n">
        <v>76</v>
      </c>
      <c r="B76" s="16" t="n"/>
      <c r="C76" s="16">
        <f>IF(AND(WEEKDAY(B76,2)&lt;=5, ISNA(MATCH(B76,'model_Assumptions'!$B$3:$B$20,0))), B76, WORKDAY(B76,1,'model_Assumptions'!$B$3:$B$20))</f>
        <v/>
      </c>
      <c r="D76" s="17">
        <f>C76-C75</f>
        <v/>
      </c>
      <c r="E76" s="18">
        <f>I75</f>
        <v/>
      </c>
      <c r="F76" s="18">
        <f>E76*'model_Assumptions'!$B$26*D76/365</f>
        <v/>
      </c>
      <c r="G76" s="18">
        <f>'model_Assumptions'!$B$34</f>
        <v/>
      </c>
      <c r="H76" s="18">
        <f>G76-F76</f>
        <v/>
      </c>
      <c r="I76" s="18">
        <f>E76-H76</f>
        <v/>
      </c>
    </row>
    <row r="77">
      <c r="A77" s="21" t="n">
        <v>72</v>
      </c>
      <c r="B77" s="16" t="n"/>
      <c r="C77" s="16">
        <f>IF(AND(WEEKDAY(B77,2)&lt;=5, ISNA(MATCH(B77,'model_Assumptions'!$B$3:$B$20,0))), B77, WORKDAY(B77,1,'model_Assumptions'!$B$3:$B$20))</f>
        <v/>
      </c>
      <c r="D77" s="17">
        <f>C77-C76</f>
        <v/>
      </c>
      <c r="E77" s="18">
        <f>I76</f>
        <v/>
      </c>
      <c r="F77" s="18">
        <f>E77*'model_Assumptions'!$B$26*D77/365</f>
        <v/>
      </c>
      <c r="G77" s="18">
        <f>'model_Assumptions'!$B$34</f>
        <v/>
      </c>
      <c r="H77" s="18">
        <f>G77-F77</f>
        <v/>
      </c>
      <c r="I77" s="18">
        <f>E77-H77</f>
        <v/>
      </c>
    </row>
    <row r="78">
      <c r="A78" s="1" t="n"/>
      <c r="B78" s="9" t="n"/>
      <c r="C78" s="9" t="n"/>
      <c r="D78" s="10" t="n"/>
      <c r="E78" s="11" t="n"/>
      <c r="F78" s="11" t="n"/>
      <c r="G78" s="11" t="n"/>
      <c r="H78" s="11" t="n"/>
      <c r="I78" s="11" t="n"/>
    </row>
    <row r="79">
      <c r="A79" s="1" t="n"/>
      <c r="B79" s="9" t="n"/>
      <c r="C79" s="9" t="n"/>
      <c r="D79" s="10" t="n"/>
      <c r="E79" s="11" t="n"/>
      <c r="F79" s="11" t="n"/>
      <c r="G79" s="11" t="n"/>
      <c r="H79" s="11" t="n"/>
      <c r="I79" s="11" t="n"/>
    </row>
    <row r="80">
      <c r="A80" s="1" t="n"/>
      <c r="B80" s="9" t="n"/>
      <c r="C80" s="9" t="n"/>
      <c r="D80" s="10" t="n"/>
      <c r="E80" s="11" t="n"/>
      <c r="F80" s="11" t="n"/>
      <c r="G80" s="11" t="n"/>
      <c r="H80" s="11" t="n"/>
      <c r="I80" s="11" t="n"/>
    </row>
    <row r="81">
      <c r="A81" s="1" t="n"/>
      <c r="B81" s="9" t="n"/>
      <c r="C81" s="9" t="n"/>
      <c r="D81" s="10" t="n"/>
      <c r="E81" s="11" t="n"/>
      <c r="F81" s="11" t="n"/>
      <c r="G81" s="11" t="n"/>
      <c r="H81" s="11" t="n"/>
      <c r="I81" s="11" t="n"/>
    </row>
    <row r="82">
      <c r="A82" s="1" t="n"/>
      <c r="B82" s="9" t="n"/>
      <c r="C82" s="9" t="n"/>
      <c r="D82" s="10" t="n"/>
      <c r="E82" s="11" t="n"/>
      <c r="F82" s="11" t="n"/>
      <c r="G82" s="11" t="n"/>
      <c r="H82" s="11" t="n"/>
      <c r="I82" s="11" t="n"/>
    </row>
    <row r="83">
      <c r="A83" s="1" t="n"/>
      <c r="B83" s="9" t="n"/>
      <c r="C83" s="9" t="n"/>
      <c r="D83" s="10" t="n"/>
      <c r="E83" s="11" t="n"/>
      <c r="F83" s="11" t="n"/>
      <c r="G83" s="11" t="n"/>
      <c r="H83" s="11" t="n"/>
      <c r="I83" s="11" t="n"/>
    </row>
    <row r="84">
      <c r="A84" s="1" t="n"/>
      <c r="B84" s="9" t="n"/>
      <c r="C84" s="9" t="n"/>
      <c r="D84" s="10" t="n"/>
      <c r="E84" s="11" t="n"/>
      <c r="F84" s="11" t="n"/>
      <c r="G84" s="11" t="n"/>
      <c r="H84" s="11" t="n"/>
      <c r="I84" s="11" t="n"/>
    </row>
    <row r="85">
      <c r="A85" s="1" t="n"/>
      <c r="B85" s="9" t="n"/>
      <c r="C85" s="9" t="n"/>
      <c r="D85" s="10" t="n"/>
      <c r="E85" s="11" t="n"/>
      <c r="F85" s="11" t="n"/>
      <c r="G85" s="11" t="n"/>
      <c r="H85" s="11" t="n"/>
      <c r="I85" s="11" t="n"/>
    </row>
    <row r="86">
      <c r="A86" s="1" t="n"/>
      <c r="B86" s="9" t="n"/>
      <c r="C86" s="9" t="n"/>
      <c r="D86" s="10" t="n"/>
      <c r="E86" s="11" t="n"/>
      <c r="F86" s="11" t="n"/>
      <c r="G86" s="11" t="n"/>
      <c r="H86" s="11" t="n"/>
      <c r="I86" s="11" t="n"/>
    </row>
    <row r="87">
      <c r="A87" s="1" t="n"/>
      <c r="B87" s="9" t="n"/>
      <c r="C87" s="9" t="n"/>
      <c r="D87" s="10" t="n"/>
      <c r="E87" s="11" t="n"/>
      <c r="F87" s="11" t="n"/>
      <c r="G87" s="11" t="n"/>
      <c r="H87" s="11" t="n"/>
      <c r="I87" s="11" t="n"/>
    </row>
    <row r="88">
      <c r="A88" s="1" t="n"/>
      <c r="B88" s="9" t="n"/>
      <c r="C88" s="9" t="n"/>
      <c r="D88" s="10" t="n"/>
      <c r="E88" s="11" t="n"/>
      <c r="F88" s="11" t="n"/>
      <c r="G88" s="11" t="n"/>
      <c r="H88" s="11" t="n"/>
      <c r="I88" s="11" t="n"/>
    </row>
    <row r="89">
      <c r="A89" s="1" t="n"/>
      <c r="B89" s="9" t="n"/>
      <c r="C89" s="9" t="n"/>
      <c r="D89" s="10" t="n"/>
      <c r="E89" s="11" t="n"/>
      <c r="F89" s="11" t="n"/>
      <c r="G89" s="11" t="n"/>
      <c r="H89" s="11" t="n"/>
      <c r="I89" s="11" t="n"/>
    </row>
    <row r="90">
      <c r="A90" s="7" t="inlineStr">
        <is>
          <t>Period</t>
        </is>
      </c>
      <c r="B90" s="23" t="inlineStr">
        <is>
          <t>Regular Payment Date</t>
        </is>
      </c>
      <c r="C90" s="23" t="inlineStr">
        <is>
          <t>Actual Payment Date</t>
        </is>
      </c>
      <c r="D90" s="7" t="inlineStr">
        <is>
          <t>Days in Period</t>
        </is>
      </c>
      <c r="E90" s="24" t="inlineStr">
        <is>
          <t>Opening Balance</t>
        </is>
      </c>
      <c r="F90" s="24" t="inlineStr">
        <is>
          <t>Interest</t>
        </is>
      </c>
      <c r="G90" s="24" t="inlineStr">
        <is>
          <t>Payment</t>
        </is>
      </c>
      <c r="H90" s="24" t="inlineStr">
        <is>
          <t>Principal</t>
        </is>
      </c>
      <c r="I90" s="24" t="inlineStr">
        <is>
          <t>Closing Balance</t>
        </is>
      </c>
    </row>
    <row r="91">
      <c r="A91" s="1" t="n">
        <v>1</v>
      </c>
      <c r="B91" s="1">
        <f>EDATE('model_Assumptions'!$B$31, A91)</f>
        <v/>
      </c>
      <c r="C91" s="1" t="n"/>
      <c r="D91" s="1" t="n"/>
      <c r="E91" s="1" t="n"/>
      <c r="F91" s="1" t="n"/>
      <c r="G91" s="1" t="n"/>
      <c r="H91" s="1" t="n"/>
      <c r="I91" s="1" t="n"/>
    </row>
    <row r="92">
      <c r="A92" s="1" t="n">
        <v>2</v>
      </c>
      <c r="B92" s="1">
        <f>EDATE('model_Assumptions'!$B$31, A92)</f>
        <v/>
      </c>
      <c r="C92" s="1">
        <f>IF(DAY(B92)&lt;30, WORKDAY(EOMONTH(B92,0)+1,-1,'model_Assumptions'!$B$3:$B$20), IF(AND(WEEKDAY(B92,2)&lt;=5, ISNA(MATCH(B92,'model_Assumptions'!$B$3:$B$20,0))), B92, IF(MONTH(WORKDAY(B92,1,'model_Assumptions'!$B$3:$B$20))=MONTH(B92), WORKDAY(B92,1,'model_Assumptions'!$B$3:$B$20), WORKDAY(EOMONTH(B92,0)+1,-1,'model_Assumptions'!$B$3:$B$20))))</f>
        <v/>
      </c>
      <c r="D92" s="1" t="n"/>
      <c r="E92" s="1" t="n"/>
      <c r="F92" s="1" t="n"/>
      <c r="G92" s="1" t="n"/>
      <c r="H92" s="1" t="n"/>
      <c r="I92" s="1" t="n"/>
    </row>
    <row r="93">
      <c r="A93" s="1" t="n">
        <v>3</v>
      </c>
      <c r="B93" s="1">
        <f>EDATE('model_Assumptions'!$B$31, A93)</f>
        <v/>
      </c>
      <c r="C93" s="1">
        <f>IF(DAY(B93)&lt;30, WORKDAY(EOMONTH(B93,0)+1,-1,'model_Assumptions'!$B$3:$B$20), IF(AND(WEEKDAY(B93,2)&lt;=5, ISNA(MATCH(B93,'model_Assumptions'!$B$3:$B$20,0))), B93, IF(MONTH(WORKDAY(B93,1,'model_Assumptions'!$B$3:$B$20))=MONTH(B93), WORKDAY(B93,1,'model_Assumptions'!$B$3:$B$20), WORKDAY(EOMONTH(B93,0)+1,-1,'model_Assumptions'!$B$3:$B$20))))</f>
        <v/>
      </c>
      <c r="D93" s="1" t="n"/>
      <c r="E93" s="1" t="n"/>
      <c r="F93" s="1" t="n"/>
      <c r="G93" s="1" t="n"/>
      <c r="H93" s="1" t="n"/>
      <c r="I93" s="1" t="n"/>
    </row>
    <row r="94">
      <c r="A94" s="1" t="n">
        <v>4</v>
      </c>
      <c r="B94" s="1">
        <f>EDATE('model_Assumptions'!$B$31, A94)</f>
        <v/>
      </c>
      <c r="C94" s="1">
        <f>IF(DAY(B94)&lt;30, WORKDAY(EOMONTH(B94,0)+1,-1,'model_Assumptions'!$B$3:$B$20), IF(AND(WEEKDAY(B94,2)&lt;=5, ISNA(MATCH(B94,'model_Assumptions'!$B$3:$B$20,0))), B94, IF(MONTH(WORKDAY(B94,1,'model_Assumptions'!$B$3:$B$20))=MONTH(B94), WORKDAY(B94,1,'model_Assumptions'!$B$3:$B$20), WORKDAY(EOMONTH(B94,0)+1,-1,'model_Assumptions'!$B$3:$B$20))))</f>
        <v/>
      </c>
      <c r="D94" s="1" t="n"/>
      <c r="E94" s="1" t="n"/>
      <c r="F94" s="1" t="n"/>
      <c r="G94" s="1" t="n"/>
      <c r="H94" s="1" t="n"/>
      <c r="I94" s="1" t="n"/>
    </row>
    <row r="95">
      <c r="A95" s="1" t="n">
        <v>5</v>
      </c>
      <c r="B95" s="1">
        <f>EDATE('model_Assumptions'!$B$31, A95)</f>
        <v/>
      </c>
      <c r="C95" s="1">
        <f>IF(DAY(B95)&lt;30, WORKDAY(EOMONTH(B95,0)+1,-1,'model_Assumptions'!$B$3:$B$20), IF(AND(WEEKDAY(B95,2)&lt;=5, ISNA(MATCH(B95,'model_Assumptions'!$B$3:$B$20,0))), B95, IF(MONTH(WORKDAY(B95,1,'model_Assumptions'!$B$3:$B$20))=MONTH(B95), WORKDAY(B95,1,'model_Assumptions'!$B$3:$B$20), WORKDAY(EOMONTH(B95,0)+1,-1,'model_Assumptions'!$B$3:$B$20))))</f>
        <v/>
      </c>
      <c r="D95" s="1" t="n"/>
      <c r="E95" s="1" t="n"/>
      <c r="F95" s="1" t="n"/>
      <c r="G95" s="1" t="n"/>
      <c r="H95" s="1" t="n"/>
      <c r="I95" s="1" t="n"/>
    </row>
    <row r="96">
      <c r="A96" s="1" t="n">
        <v>6</v>
      </c>
      <c r="B96" s="1">
        <f>EDATE('model_Assumptions'!$B$31, A96)</f>
        <v/>
      </c>
      <c r="C96" s="1">
        <f>IF(DAY(B96)&lt;30, WORKDAY(EOMONTH(B96,0)+1,-1,'model_Assumptions'!$B$3:$B$20), IF(AND(WEEKDAY(B96,2)&lt;=5, ISNA(MATCH(B96,'model_Assumptions'!$B$3:$B$20,0))), B96, IF(MONTH(WORKDAY(B96,1,'model_Assumptions'!$B$3:$B$20))=MONTH(B96), WORKDAY(B96,1,'model_Assumptions'!$B$3:$B$20), WORKDAY(EOMONTH(B96,0)+1,-1,'model_Assumptions'!$B$3:$B$20))))</f>
        <v/>
      </c>
      <c r="D96" s="1" t="n"/>
      <c r="E96" s="1" t="n"/>
      <c r="F96" s="1" t="n"/>
      <c r="G96" s="1" t="n"/>
      <c r="H96" s="1" t="n"/>
      <c r="I96" s="1" t="n"/>
    </row>
    <row r="97">
      <c r="A97" s="1" t="n">
        <v>7</v>
      </c>
      <c r="B97" s="1">
        <f>EDATE('model_Assumptions'!$B$31, A97)</f>
        <v/>
      </c>
      <c r="C97" s="1">
        <f>IF(DAY(B97)&lt;30, WORKDAY(EOMONTH(B97,0)+1,-1,'model_Assumptions'!$B$3:$B$20), IF(AND(WEEKDAY(B97,2)&lt;=5, ISNA(MATCH(B97,'model_Assumptions'!$B$3:$B$20,0))), B97, IF(MONTH(WORKDAY(B97,1,'model_Assumptions'!$B$3:$B$20))=MONTH(B97), WORKDAY(B97,1,'model_Assumptions'!$B$3:$B$20), WORKDAY(EOMONTH(B97,0)+1,-1,'model_Assumptions'!$B$3:$B$20))))</f>
        <v/>
      </c>
      <c r="D97" s="1" t="n"/>
      <c r="E97" s="1" t="n"/>
      <c r="F97" s="1" t="n"/>
      <c r="G97" s="1" t="n"/>
      <c r="H97" s="1" t="n"/>
      <c r="I97" s="1" t="n"/>
    </row>
    <row r="98">
      <c r="A98" s="1" t="n">
        <v>8</v>
      </c>
      <c r="B98" s="1">
        <f>EDATE('model_Assumptions'!$B$31, A98)</f>
        <v/>
      </c>
      <c r="C98" s="1">
        <f>IF(DAY(B98)&lt;30, WORKDAY(EOMONTH(B98,0)+1,-1,'model_Assumptions'!$B$3:$B$20), IF(AND(WEEKDAY(B98,2)&lt;=5, ISNA(MATCH(B98,'model_Assumptions'!$B$3:$B$20,0))), B98, IF(MONTH(WORKDAY(B98,1,'model_Assumptions'!$B$3:$B$20))=MONTH(B98), WORKDAY(B98,1,'model_Assumptions'!$B$3:$B$20), WORKDAY(EOMONTH(B98,0)+1,-1,'model_Assumptions'!$B$3:$B$20))))</f>
        <v/>
      </c>
      <c r="D98" s="1" t="n"/>
      <c r="E98" s="1" t="n"/>
      <c r="F98" s="1" t="n"/>
      <c r="G98" s="1" t="n"/>
      <c r="H98" s="1" t="n"/>
      <c r="I98" s="1" t="n"/>
    </row>
    <row r="99">
      <c r="A99" s="1" t="n">
        <v>9</v>
      </c>
      <c r="B99" s="1">
        <f>EDATE('model_Assumptions'!$B$31, A99)</f>
        <v/>
      </c>
      <c r="C99" s="1" t="n"/>
      <c r="D99" s="1" t="n"/>
      <c r="E99" s="1" t="n"/>
      <c r="F99" s="1" t="n"/>
      <c r="G99" s="1" t="n"/>
      <c r="H99" s="1" t="n"/>
      <c r="I99" s="1" t="n"/>
    </row>
    <row r="100">
      <c r="A100" s="1" t="n">
        <v>10</v>
      </c>
      <c r="B100" s="1">
        <f>EDATE('model_Assumptions'!$B$31, A100)</f>
        <v/>
      </c>
      <c r="C100" s="1" t="n"/>
      <c r="D100" s="1" t="n"/>
      <c r="E100" s="1" t="n"/>
      <c r="F100" s="1" t="n"/>
      <c r="G100" s="1" t="n"/>
      <c r="H100" s="1" t="n"/>
      <c r="I100" s="1" t="n"/>
    </row>
    <row r="101">
      <c r="A101" s="1" t="n">
        <v>11</v>
      </c>
      <c r="B101" s="1">
        <f>EDATE('model_Assumptions'!$B$31, A101)</f>
        <v/>
      </c>
      <c r="C101" s="1" t="n"/>
      <c r="D101" s="1" t="n"/>
      <c r="E101" s="1" t="n"/>
      <c r="F101" s="1" t="n"/>
      <c r="G101" s="1" t="n"/>
      <c r="H101" s="1" t="n"/>
      <c r="I101" s="1" t="n"/>
    </row>
    <row r="102">
      <c r="A102" s="1" t="n">
        <v>12</v>
      </c>
      <c r="B102" s="1">
        <f>EDATE('model_Assumptions'!$B$31, A102)</f>
        <v/>
      </c>
      <c r="C102" s="1" t="n"/>
      <c r="D102" s="1" t="n"/>
      <c r="E102" s="1" t="n"/>
      <c r="F102" s="1" t="n"/>
      <c r="G102" s="1" t="n"/>
      <c r="H102" s="1" t="n"/>
      <c r="I102" s="1" t="n"/>
    </row>
    <row r="103">
      <c r="A103" s="1" t="n">
        <v>13</v>
      </c>
      <c r="B103" s="1">
        <f>EDATE('model_Assumptions'!$B$31, A103)</f>
        <v/>
      </c>
      <c r="C103" s="1" t="n"/>
      <c r="D103" s="1" t="n"/>
      <c r="E103" s="1" t="n"/>
      <c r="F103" s="1" t="n"/>
      <c r="G103" s="1" t="n"/>
      <c r="H103" s="1" t="n"/>
      <c r="I103" s="1" t="n"/>
    </row>
    <row r="104">
      <c r="A104" s="1" t="n">
        <v>14</v>
      </c>
      <c r="B104" s="1">
        <f>EDATE('model_Assumptions'!$B$31, A104)</f>
        <v/>
      </c>
      <c r="C104" s="1" t="n"/>
      <c r="D104" s="1" t="n"/>
      <c r="E104" s="1" t="n"/>
      <c r="F104" s="1" t="n"/>
      <c r="G104" s="1" t="n"/>
      <c r="H104" s="1" t="n"/>
      <c r="I104" s="1" t="n"/>
    </row>
    <row r="105">
      <c r="A105" s="1" t="n">
        <v>15</v>
      </c>
      <c r="B105" s="1">
        <f>EDATE('model_Assumptions'!$B$31, A105)</f>
        <v/>
      </c>
      <c r="C105" s="1" t="n"/>
      <c r="D105" s="1" t="n"/>
      <c r="E105" s="1" t="n"/>
      <c r="F105" s="1" t="n"/>
      <c r="G105" s="1" t="n"/>
      <c r="H105" s="1" t="n"/>
      <c r="I105" s="1" t="n"/>
    </row>
    <row r="106">
      <c r="A106" s="1" t="n">
        <v>16</v>
      </c>
      <c r="B106" s="1">
        <f>EDATE('model_Assumptions'!$B$31, A106)</f>
        <v/>
      </c>
      <c r="C106" s="1" t="n"/>
      <c r="D106" s="1" t="n"/>
      <c r="E106" s="1" t="n"/>
      <c r="F106" s="1" t="n"/>
      <c r="G106" s="1" t="n"/>
      <c r="H106" s="1" t="n"/>
      <c r="I106" s="1" t="n"/>
    </row>
    <row r="107">
      <c r="A107" s="1" t="n">
        <v>17</v>
      </c>
      <c r="B107" s="1">
        <f>EDATE('model_Assumptions'!$B$31, A107)</f>
        <v/>
      </c>
      <c r="C107" s="1" t="n"/>
      <c r="D107" s="1" t="n"/>
      <c r="E107" s="1" t="n"/>
      <c r="F107" s="1" t="n"/>
      <c r="G107" s="1" t="n"/>
      <c r="H107" s="1" t="n"/>
      <c r="I107" s="1" t="n"/>
    </row>
    <row r="108">
      <c r="A108" s="1" t="n">
        <v>18</v>
      </c>
      <c r="B108" s="1">
        <f>EDATE('model_Assumptions'!$B$31, A108)</f>
        <v/>
      </c>
      <c r="C108" s="1" t="n"/>
      <c r="D108" s="1" t="n"/>
      <c r="E108" s="1" t="n"/>
      <c r="F108" s="1" t="n"/>
      <c r="G108" s="1" t="n"/>
      <c r="H108" s="1" t="n"/>
      <c r="I108" s="1" t="n"/>
    </row>
    <row r="109">
      <c r="A109" s="1" t="n">
        <v>19</v>
      </c>
      <c r="B109" s="1">
        <f>EDATE('model_Assumptions'!$B$31, A109)</f>
        <v/>
      </c>
      <c r="C109" s="1" t="n"/>
      <c r="D109" s="1" t="n"/>
      <c r="E109" s="1" t="n"/>
      <c r="F109" s="1" t="n"/>
      <c r="G109" s="1" t="n"/>
      <c r="H109" s="1" t="n"/>
      <c r="I109" s="1" t="n"/>
    </row>
    <row r="110">
      <c r="A110" s="1" t="n">
        <v>20</v>
      </c>
      <c r="B110" s="1">
        <f>EDATE('model_Assumptions'!$B$31, A110)</f>
        <v/>
      </c>
      <c r="C110" s="1" t="n"/>
      <c r="D110" s="1" t="n"/>
      <c r="E110" s="1" t="n"/>
      <c r="F110" s="1" t="n"/>
      <c r="G110" s="1" t="n"/>
      <c r="H110" s="1" t="n"/>
      <c r="I110" s="1" t="n"/>
    </row>
    <row r="111">
      <c r="A111" s="1" t="n">
        <v>21</v>
      </c>
      <c r="B111" s="1">
        <f>EDATE('model_Assumptions'!$B$31, A111)</f>
        <v/>
      </c>
      <c r="C111" s="1" t="n"/>
      <c r="D111" s="1" t="n"/>
      <c r="E111" s="1" t="n"/>
      <c r="F111" s="1" t="n"/>
      <c r="G111" s="1" t="n"/>
      <c r="H111" s="1" t="n"/>
      <c r="I111" s="1" t="n"/>
    </row>
    <row r="112">
      <c r="A112" s="1" t="n">
        <v>22</v>
      </c>
      <c r="B112" s="1">
        <f>EDATE('model_Assumptions'!$B$31, A112)</f>
        <v/>
      </c>
      <c r="C112" s="1" t="n"/>
      <c r="D112" s="1" t="n"/>
      <c r="E112" s="1" t="n"/>
      <c r="F112" s="1" t="n"/>
      <c r="G112" s="1" t="n"/>
      <c r="H112" s="1" t="n"/>
      <c r="I112" s="1" t="n"/>
    </row>
    <row r="113">
      <c r="A113" s="1" t="n">
        <v>23</v>
      </c>
      <c r="B113" s="1">
        <f>EDATE('model_Assumptions'!$B$31, A113)</f>
        <v/>
      </c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>
        <v>24</v>
      </c>
      <c r="B114" s="1">
        <f>EDATE('model_Assumptions'!$B$31, A114)</f>
        <v/>
      </c>
      <c r="C114" s="1" t="n"/>
      <c r="D114" s="1" t="n"/>
      <c r="E114" s="1" t="n"/>
      <c r="F114" s="1" t="n"/>
      <c r="G114" s="1" t="n"/>
      <c r="H114" s="1" t="n"/>
      <c r="I114" s="1" t="n"/>
    </row>
    <row r="115">
      <c r="A115" s="1" t="n">
        <v>25</v>
      </c>
      <c r="B115" s="1">
        <f>EDATE('model_Assumptions'!$B$31, A115)</f>
        <v/>
      </c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>
        <v>26</v>
      </c>
      <c r="B116" s="1">
        <f>EDATE('model_Assumptions'!$B$31, A116)</f>
        <v/>
      </c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>
        <v>27</v>
      </c>
      <c r="B117" s="1">
        <f>EDATE('model_Assumptions'!$B$31, A117)</f>
        <v/>
      </c>
      <c r="C117" s="1" t="n"/>
      <c r="D117" s="1" t="n"/>
      <c r="E117" s="1" t="n"/>
      <c r="F117" s="1" t="n"/>
      <c r="G117" s="1" t="n"/>
      <c r="H117" s="1" t="n"/>
      <c r="I117" s="1" t="n"/>
    </row>
    <row r="118">
      <c r="A118" s="1" t="n">
        <v>28</v>
      </c>
      <c r="B118" s="1">
        <f>EDATE('model_Assumptions'!$B$31, A118)</f>
        <v/>
      </c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>
        <v>29</v>
      </c>
      <c r="B119" s="1">
        <f>EDATE('model_Assumptions'!$B$31, A119)</f>
        <v/>
      </c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>
        <v>30</v>
      </c>
      <c r="B120" s="1">
        <f>EDATE('model_Assumptions'!$B$31, A120)</f>
        <v/>
      </c>
      <c r="C120" s="1" t="n"/>
      <c r="D120" s="1" t="n"/>
      <c r="E120" s="1" t="n"/>
      <c r="F120" s="1" t="n"/>
      <c r="G120" s="1" t="n"/>
      <c r="H120" s="1" t="n"/>
      <c r="I120" s="1" t="n"/>
    </row>
    <row r="121">
      <c r="A121" s="1" t="n">
        <v>31</v>
      </c>
      <c r="B121" s="1">
        <f>EDATE('model_Assumptions'!$B$31, A121)</f>
        <v/>
      </c>
      <c r="C121" s="1" t="n"/>
      <c r="D121" s="1" t="n"/>
      <c r="E121" s="1" t="n"/>
      <c r="F121" s="1" t="n"/>
      <c r="G121" s="1" t="n"/>
      <c r="H121" s="1" t="n"/>
      <c r="I121" s="1" t="n"/>
    </row>
    <row r="122">
      <c r="A122" s="1" t="n">
        <v>32</v>
      </c>
      <c r="B122" s="1">
        <f>EDATE('model_Assumptions'!$B$31, A122)</f>
        <v/>
      </c>
      <c r="C122" s="1" t="n"/>
      <c r="D122" s="1" t="n"/>
      <c r="E122" s="1" t="n"/>
      <c r="F122" s="1" t="n"/>
      <c r="G122" s="1" t="n"/>
      <c r="H122" s="1" t="n"/>
      <c r="I122" s="1" t="n"/>
    </row>
    <row r="123">
      <c r="A123" s="1" t="n">
        <v>33</v>
      </c>
      <c r="B123" s="1">
        <f>EDATE('model_Assumptions'!$B$31, A123)</f>
        <v/>
      </c>
      <c r="C123" s="1" t="n"/>
      <c r="D123" s="1" t="n"/>
      <c r="E123" s="1" t="n"/>
      <c r="F123" s="1" t="n"/>
      <c r="G123" s="1" t="n"/>
      <c r="H123" s="1" t="n"/>
      <c r="I123" s="1" t="n"/>
    </row>
    <row r="124">
      <c r="A124" s="1" t="n">
        <v>34</v>
      </c>
      <c r="B124" s="1">
        <f>EDATE('model_Assumptions'!$B$31, A124)</f>
        <v/>
      </c>
      <c r="C124" s="1" t="n"/>
      <c r="D124" s="1" t="n"/>
      <c r="E124" s="1" t="n"/>
      <c r="F124" s="1" t="n"/>
      <c r="G124" s="1" t="n"/>
      <c r="H124" s="1" t="n"/>
      <c r="I124" s="1" t="n"/>
    </row>
    <row r="125">
      <c r="A125" s="1" t="n">
        <v>35</v>
      </c>
      <c r="B125" s="1">
        <f>EDATE('model_Assumptions'!$B$31, A125)</f>
        <v/>
      </c>
      <c r="C125" s="1" t="n"/>
      <c r="D125" s="1" t="n"/>
      <c r="E125" s="1" t="n"/>
      <c r="F125" s="1" t="n"/>
      <c r="G125" s="1" t="n"/>
      <c r="H125" s="1" t="n"/>
      <c r="I125" s="1" t="n"/>
    </row>
    <row r="126">
      <c r="A126" s="1" t="n">
        <v>36</v>
      </c>
      <c r="B126" s="1">
        <f>EDATE('model_Assumptions'!$B$31, A126)</f>
        <v/>
      </c>
      <c r="C126" s="1" t="n"/>
      <c r="D126" s="1" t="n"/>
      <c r="E126" s="1" t="n"/>
      <c r="F126" s="1" t="n"/>
      <c r="G126" s="1" t="n"/>
      <c r="H126" s="1" t="n"/>
      <c r="I126" s="1" t="n"/>
    </row>
    <row r="127">
      <c r="A127" s="1" t="n">
        <v>37</v>
      </c>
      <c r="B127" s="1">
        <f>EDATE('model_Assumptions'!$B$31, A127)</f>
        <v/>
      </c>
      <c r="C127" s="1" t="n"/>
      <c r="D127" s="1" t="n"/>
      <c r="E127" s="1" t="n"/>
      <c r="F127" s="1" t="n"/>
      <c r="G127" s="1" t="n"/>
      <c r="H127" s="1" t="n"/>
      <c r="I127" s="1" t="n"/>
    </row>
    <row r="128">
      <c r="A128" s="1" t="n">
        <v>38</v>
      </c>
      <c r="B128" s="1">
        <f>EDATE('model_Assumptions'!$B$31, A128)</f>
        <v/>
      </c>
      <c r="C128" s="1" t="n"/>
      <c r="D128" s="1" t="n"/>
      <c r="E128" s="1" t="n"/>
      <c r="F128" s="1" t="n"/>
      <c r="G128" s="1" t="n"/>
      <c r="H128" s="1" t="n"/>
      <c r="I128" s="1" t="n"/>
    </row>
    <row r="129">
      <c r="A129" s="1" t="n">
        <v>39</v>
      </c>
      <c r="B129" s="1">
        <f>EDATE('model_Assumptions'!$B$31, A129)</f>
        <v/>
      </c>
      <c r="C129" s="1" t="n"/>
      <c r="D129" s="1" t="n"/>
      <c r="E129" s="1" t="n"/>
      <c r="F129" s="1" t="n"/>
      <c r="G129" s="1" t="n"/>
      <c r="H129" s="1" t="n"/>
      <c r="I129" s="1" t="n"/>
    </row>
    <row r="130">
      <c r="A130" s="1" t="n">
        <v>40</v>
      </c>
      <c r="B130" s="1">
        <f>EDATE('model_Assumptions'!$B$31, A130)</f>
        <v/>
      </c>
      <c r="C130" s="1" t="n"/>
      <c r="D130" s="1" t="n"/>
      <c r="E130" s="1" t="n"/>
      <c r="F130" s="1" t="n"/>
      <c r="G130" s="1" t="n"/>
      <c r="H130" s="1" t="n"/>
      <c r="I130" s="1" t="n"/>
    </row>
    <row r="131">
      <c r="A131" s="1" t="n">
        <v>41</v>
      </c>
      <c r="B131" s="1">
        <f>EDATE('model_Assumptions'!$B$31, A131)</f>
        <v/>
      </c>
      <c r="C131" s="1" t="n"/>
      <c r="D131" s="1" t="n"/>
      <c r="E131" s="1" t="n"/>
      <c r="F131" s="1" t="n"/>
      <c r="G131" s="1" t="n"/>
      <c r="H131" s="1" t="n"/>
      <c r="I131" s="1" t="n"/>
    </row>
    <row r="132">
      <c r="A132" s="1" t="n">
        <v>42</v>
      </c>
      <c r="B132" s="1">
        <f>EDATE('model_Assumptions'!$B$31, A132)</f>
        <v/>
      </c>
      <c r="C132" s="1" t="n"/>
      <c r="D132" s="1" t="n"/>
      <c r="E132" s="1" t="n"/>
      <c r="F132" s="1" t="n"/>
      <c r="G132" s="1" t="n"/>
      <c r="H132" s="1" t="n"/>
      <c r="I132" s="1" t="n"/>
    </row>
    <row r="133">
      <c r="A133" s="1" t="n">
        <v>43</v>
      </c>
      <c r="B133" s="1">
        <f>EDATE('model_Assumptions'!$B$31, A133)</f>
        <v/>
      </c>
      <c r="C133" s="1" t="n"/>
      <c r="D133" s="1" t="n"/>
      <c r="E133" s="1" t="n"/>
      <c r="F133" s="1" t="n"/>
      <c r="G133" s="1" t="n"/>
      <c r="H133" s="1" t="n"/>
      <c r="I133" s="1" t="n"/>
    </row>
    <row r="134">
      <c r="A134" s="1" t="n">
        <v>44</v>
      </c>
      <c r="B134" s="1">
        <f>EDATE('model_Assumptions'!$B$31, A134)</f>
        <v/>
      </c>
      <c r="C134" s="1" t="n"/>
      <c r="D134" s="1" t="n"/>
      <c r="E134" s="1" t="n"/>
      <c r="F134" s="1" t="n"/>
      <c r="G134" s="1" t="n"/>
      <c r="H134" s="1" t="n"/>
      <c r="I134" s="1" t="n"/>
    </row>
    <row r="135">
      <c r="A135" s="1" t="n">
        <v>45</v>
      </c>
      <c r="B135" s="1">
        <f>EDATE('model_Assumptions'!$B$31, A135)</f>
        <v/>
      </c>
      <c r="C135" s="1" t="n"/>
      <c r="D135" s="1" t="n"/>
      <c r="E135" s="1" t="n"/>
      <c r="F135" s="1" t="n"/>
      <c r="G135" s="1" t="n"/>
      <c r="H135" s="1" t="n"/>
      <c r="I135" s="1" t="n"/>
    </row>
    <row r="136">
      <c r="A136" s="1" t="n">
        <v>46</v>
      </c>
      <c r="B136" s="1">
        <f>EDATE('model_Assumptions'!$B$31, A136)</f>
        <v/>
      </c>
      <c r="C136" s="1" t="n"/>
      <c r="D136" s="1" t="n"/>
      <c r="E136" s="1" t="n"/>
      <c r="F136" s="1" t="n"/>
      <c r="G136" s="1" t="n"/>
      <c r="H136" s="1" t="n"/>
      <c r="I136" s="1" t="n"/>
    </row>
    <row r="137">
      <c r="A137" s="1" t="n">
        <v>47</v>
      </c>
      <c r="B137" s="1">
        <f>EDATE('model_Assumptions'!$B$31, A137)</f>
        <v/>
      </c>
      <c r="C137" s="1" t="n"/>
      <c r="D137" s="1" t="n"/>
      <c r="E137" s="1" t="n"/>
      <c r="F137" s="1" t="n"/>
      <c r="G137" s="1" t="n"/>
      <c r="H137" s="1" t="n"/>
      <c r="I137" s="1" t="n"/>
    </row>
    <row r="138">
      <c r="A138" s="25" t="n">
        <v>48</v>
      </c>
      <c r="B138" s="25" t="n"/>
      <c r="C138" s="25" t="n"/>
      <c r="D138" s="25" t="n"/>
      <c r="E138" s="25" t="n"/>
      <c r="F138" s="25" t="n"/>
      <c r="G138" s="25" t="n"/>
      <c r="H138" s="25" t="n"/>
      <c r="I138" s="2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2026-08-15T13:03:56Z</dcterms:created>
  <dcterms:modified xsi:type="dcterms:W3CDTF">2026-08-15T17:04:03Z</dcterms:modified>
</cp:coreProperties>
</file>