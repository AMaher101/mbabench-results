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6" sheetId="3" state="visible" r:id="rId3"/>
    <sheet name="answers_Q7" sheetId="4" state="visible" r:id="rId4"/>
    <sheet name="answers_Q8" sheetId="5" state="visible" r:id="rId5"/>
    <sheet name="answers_Q9" sheetId="6" state="visible" r:id="rId6"/>
    <sheet name="answers_Q10" sheetId="7" state="visible" r:id="rId7"/>
    <sheet name="answers_Q11" sheetId="8" state="visible" r:id="rId8"/>
    <sheet name="answers_Q12" sheetId="9" state="visible" r:id="rId9"/>
    <sheet name="answers_Q13" sheetId="10" state="visible" r:id="rId10"/>
    <sheet name="answers_Q14" sheetId="11" state="visible" r:id="rId11"/>
    <sheet name="answers_Q15" sheetId="12" state="visible" r:id="rId12"/>
    <sheet name="model_Financi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YYYY-MM-DD"/>
    <numFmt numFmtId="166" formatCode="0.00x"/>
    <numFmt numFmtId="167" formatCode="$#,##0_);($#,##0)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theme="1"/>
      <sz val="11"/>
    </font>
    <font>
      <name val="Calibri"/>
      <color rgb="000000FF"/>
      <sz val="11"/>
    </font>
    <font>
      <name val="Calibri"/>
      <b val="1"/>
      <color theme="1"/>
      <sz val="11"/>
    </font>
    <font>
      <name val="Calibri"/>
      <color rgb="00008000"/>
      <sz val="11"/>
    </font>
    <font>
      <name val="Calibri"/>
      <b val="1"/>
      <color theme="1"/>
      <sz val="12"/>
    </font>
  </fonts>
  <fills count="4">
    <fill>
      <patternFill/>
    </fill>
    <fill>
      <patternFill patternType="gray125"/>
    </fill>
    <fill>
      <patternFill>
        <fgColor rgb="001F4E78"/>
        <bgColor rgb="001F4E78"/>
      </patternFill>
    </fill>
    <fill>
      <patternFill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3" fontId="3" fillId="0" borderId="0" pivotButton="0" quotePrefix="0" xfId="0"/>
    <xf numFmtId="166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167" fontId="3" fillId="0" borderId="0" pivotButton="0" quotePrefix="0" xfId="0"/>
    <xf numFmtId="167" fontId="5" fillId="0" borderId="0" applyAlignment="1" pivotButton="0" quotePrefix="0" xfId="0">
      <alignment horizontal="right"/>
    </xf>
    <xf numFmtId="167" fontId="2" fillId="0" borderId="0" applyAlignment="1" pivotButton="0" quotePrefix="0" xfId="0">
      <alignment horizontal="right"/>
    </xf>
    <xf numFmtId="167" fontId="1" fillId="2" borderId="0" applyAlignment="1" pivotButton="0" quotePrefix="0" xfId="0">
      <alignment horizontal="center"/>
    </xf>
    <xf numFmtId="167" fontId="2" fillId="0" borderId="0" pivotButton="0" quotePrefix="0" xfId="0"/>
    <xf numFmtId="0" fontId="1" fillId="3" borderId="0" applyAlignment="1" pivotButton="0" quotePrefix="0" xfId="0">
      <alignment horizontal="center"/>
    </xf>
    <xf numFmtId="0" fontId="2" fillId="3" borderId="0" pivotButton="0" quotePrefix="0" xfId="0"/>
    <xf numFmtId="167" fontId="1" fillId="3" borderId="0" applyAlignment="1" pivotButton="0" quotePrefix="0" xfId="0">
      <alignment horizontal="center"/>
    </xf>
    <xf numFmtId="3" fontId="2" fillId="0" borderId="0" pivotButton="0" quotePrefix="0" xfId="0"/>
    <xf numFmtId="167" fontId="1" fillId="3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0" customWidth="1" min="3" max="3"/>
  </cols>
  <sheetData>
    <row r="1">
      <c r="A1" s="22" t="inlineStr">
        <is>
          <t>Assumption</t>
        </is>
      </c>
      <c r="B1" s="22" t="inlineStr">
        <is>
          <t>Value</t>
        </is>
      </c>
      <c r="C1" s="22" t="inlineStr">
        <is>
          <t>Unit</t>
        </is>
      </c>
    </row>
    <row r="2">
      <c r="A2" s="2" t="inlineStr">
        <is>
          <t>Indexation per annum</t>
        </is>
      </c>
      <c r="B2" s="4" t="n">
        <v>0.02</v>
      </c>
      <c r="C2" s="2" t="inlineStr">
        <is>
          <t>[% p.a.]</t>
        </is>
      </c>
    </row>
    <row r="3">
      <c r="A3" s="2" t="inlineStr">
        <is>
          <t>Real Revenues (2015)</t>
        </is>
      </c>
      <c r="B3" s="17" t="n">
        <v>5000000</v>
      </c>
      <c r="C3" s="2" t="inlineStr">
        <is>
          <t>[$ p.a.]</t>
        </is>
      </c>
    </row>
    <row r="4">
      <c r="A4" s="2" t="inlineStr">
        <is>
          <t>Real Operating Costs (2015)</t>
        </is>
      </c>
      <c r="B4" s="17" t="n">
        <v>2000000</v>
      </c>
      <c r="C4" s="2" t="inlineStr">
        <is>
          <t>[$ p.a.]</t>
        </is>
      </c>
    </row>
    <row r="5">
      <c r="A5" s="2" t="inlineStr">
        <is>
          <t>Fixed Assets (Initial)</t>
        </is>
      </c>
      <c r="B5" s="17" t="n">
        <v>10000000</v>
      </c>
      <c r="C5" s="2" t="inlineStr">
        <is>
          <t>[$]</t>
        </is>
      </c>
    </row>
    <row r="6">
      <c r="A6" s="2" t="inlineStr">
        <is>
          <t>Cash (End 2014)</t>
        </is>
      </c>
      <c r="B6" s="17" t="n">
        <v>1000000</v>
      </c>
      <c r="C6" s="2" t="inlineStr">
        <is>
          <t>[$]</t>
        </is>
      </c>
    </row>
    <row r="7">
      <c r="A7" s="2" t="inlineStr">
        <is>
          <t>Existing Senior Debt (End 2014)</t>
        </is>
      </c>
      <c r="B7" s="17" t="n">
        <v>10000000</v>
      </c>
      <c r="C7" s="2" t="inlineStr">
        <is>
          <t>[$]</t>
        </is>
      </c>
    </row>
    <row r="8">
      <c r="A8" s="2" t="inlineStr">
        <is>
          <t>Existing Senior Debt Interest Rate</t>
        </is>
      </c>
      <c r="B8" s="4" t="n">
        <v>0.07000000000000001</v>
      </c>
      <c r="C8" s="2" t="inlineStr">
        <is>
          <t>[$ p.a.]</t>
        </is>
      </c>
    </row>
    <row r="9">
      <c r="A9" s="2" t="inlineStr">
        <is>
          <t>Existing Senior Debt Annual Repayment</t>
        </is>
      </c>
      <c r="B9" s="17" t="n">
        <v>500000</v>
      </c>
      <c r="C9" s="2" t="inlineStr">
        <is>
          <t>[$]</t>
        </is>
      </c>
    </row>
    <row r="10">
      <c r="A10" s="2" t="inlineStr">
        <is>
          <t>Refinancing Drawdown Date</t>
        </is>
      </c>
      <c r="B10" s="6" t="inlineStr">
        <is>
          <t>2016-12-31</t>
        </is>
      </c>
      <c r="C10" s="2" t="inlineStr">
        <is>
          <t>[Date]</t>
        </is>
      </c>
    </row>
    <row r="11">
      <c r="A11" s="2" t="inlineStr">
        <is>
          <t>Refinancing Maturity Date</t>
        </is>
      </c>
      <c r="B11" s="6" t="inlineStr">
        <is>
          <t>2036-06-30</t>
        </is>
      </c>
      <c r="C11" s="2" t="inlineStr">
        <is>
          <t>[Date]</t>
        </is>
      </c>
    </row>
    <row r="12">
      <c r="A12" s="2" t="inlineStr">
        <is>
          <t>Refinancing Interest Rate</t>
        </is>
      </c>
      <c r="B12" s="4" t="n">
        <v>0.06</v>
      </c>
      <c r="C12" s="2" t="inlineStr">
        <is>
          <t>[% p.a.]</t>
        </is>
      </c>
    </row>
    <row r="13">
      <c r="A13" s="2" t="inlineStr">
        <is>
          <t>Days in interest year</t>
        </is>
      </c>
      <c r="B13" s="7" t="n">
        <v>365</v>
      </c>
      <c r="C13" s="2" t="inlineStr">
        <is>
          <t>[Days]</t>
        </is>
      </c>
    </row>
    <row r="14">
      <c r="A14" s="2" t="inlineStr">
        <is>
          <t>Arrangement Fee Percentage</t>
        </is>
      </c>
      <c r="B14" s="4" t="n">
        <v>0.02</v>
      </c>
      <c r="C14" s="2" t="inlineStr">
        <is>
          <t>[%]</t>
        </is>
      </c>
    </row>
    <row r="15">
      <c r="A15" s="2" t="inlineStr">
        <is>
          <t>Minimum allowable DSCR (Part B)</t>
        </is>
      </c>
      <c r="B15" s="8" t="n">
        <v>1.8</v>
      </c>
      <c r="C15" s="2" t="inlineStr">
        <is>
          <t>[x]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0" customWidth="1" min="35" max="35"/>
    <col width="10" customWidth="1" min="36" max="36"/>
  </cols>
  <sheetData>
    <row r="1">
      <c r="A1" s="22" t="inlineStr">
        <is>
          <t>Refinancing Parameters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3" t="n"/>
      <c r="AJ1" s="23" t="n"/>
    </row>
    <row r="2">
      <c r="A2" s="2" t="inlineStr">
        <is>
          <t>Existing Debt Balance (End 2016) [$]</t>
        </is>
      </c>
      <c r="B2" s="18">
        <f>'model_Assumptions'!B7 - ('model_Assumptions'!B9 * 2)</f>
        <v/>
      </c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2" t="n"/>
      <c r="AJ2" s="2" t="n"/>
    </row>
    <row r="3">
      <c r="A3" s="2" t="inlineStr">
        <is>
          <t>Refinancing Drawdown [$]</t>
        </is>
      </c>
      <c r="B3" s="18">
        <f>B2 / (1 - 'model_Assumptions'!B14)</f>
        <v/>
      </c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2" t="n"/>
      <c r="AJ3" s="2" t="n"/>
    </row>
    <row r="4">
      <c r="A4" s="2" t="inlineStr">
        <is>
          <t>Arrangement Fee [$]</t>
        </is>
      </c>
      <c r="B4" s="18">
        <f>B3 * 'model_Assumptions'!B14</f>
        <v/>
      </c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2" t="n"/>
      <c r="AJ4" s="2" t="n"/>
    </row>
    <row r="5">
      <c r="A5" s="2" t="inlineStr">
        <is>
          <t>Total Loan Life (Days) [days]</t>
        </is>
      </c>
      <c r="B5" s="15">
        <f>DATE(2036,6,30)-DATE(2017,1,1)+1</f>
        <v/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2" t="n"/>
      <c r="AJ5" s="2" t="n"/>
    </row>
    <row r="6">
      <c r="A6" s="2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2" t="n"/>
      <c r="AJ6" s="2" t="n"/>
    </row>
    <row r="7">
      <c r="A7" s="22" t="inlineStr">
        <is>
          <t>Year</t>
        </is>
      </c>
      <c r="B7" s="26" t="n">
        <v>2015</v>
      </c>
      <c r="C7" s="26" t="n">
        <v>2016</v>
      </c>
      <c r="D7" s="26" t="n">
        <v>2017</v>
      </c>
      <c r="E7" s="26" t="n">
        <v>2018</v>
      </c>
      <c r="F7" s="26" t="n">
        <v>2019</v>
      </c>
      <c r="G7" s="26" t="n">
        <v>2020</v>
      </c>
      <c r="H7" s="26" t="n">
        <v>2021</v>
      </c>
      <c r="I7" s="26" t="n">
        <v>2022</v>
      </c>
      <c r="J7" s="26" t="n">
        <v>2023</v>
      </c>
      <c r="K7" s="26" t="n">
        <v>2024</v>
      </c>
      <c r="L7" s="26" t="n">
        <v>2025</v>
      </c>
      <c r="M7" s="26" t="n">
        <v>2026</v>
      </c>
      <c r="N7" s="26" t="n">
        <v>2027</v>
      </c>
      <c r="O7" s="26" t="n">
        <v>2028</v>
      </c>
      <c r="P7" s="26" t="n">
        <v>2029</v>
      </c>
      <c r="Q7" s="26" t="n">
        <v>2030</v>
      </c>
      <c r="R7" s="26" t="n">
        <v>2031</v>
      </c>
      <c r="S7" s="26" t="n">
        <v>2032</v>
      </c>
      <c r="T7" s="26" t="n">
        <v>2033</v>
      </c>
      <c r="U7" s="26" t="n">
        <v>2034</v>
      </c>
      <c r="V7" s="26" t="n">
        <v>2035</v>
      </c>
      <c r="W7" s="26" t="n">
        <v>2036</v>
      </c>
      <c r="X7" s="26" t="inlineStr">
        <is>
          <t>2037</t>
        </is>
      </c>
      <c r="Y7" s="26" t="inlineStr">
        <is>
          <t>2038</t>
        </is>
      </c>
      <c r="Z7" s="26" t="inlineStr">
        <is>
          <t>2039</t>
        </is>
      </c>
      <c r="AA7" s="26" t="n"/>
      <c r="AB7" s="26" t="n"/>
      <c r="AC7" s="26" t="n"/>
      <c r="AD7" s="26" t="n"/>
      <c r="AE7" s="26" t="n"/>
      <c r="AF7" s="26" t="n"/>
      <c r="AG7" s="26" t="n"/>
      <c r="AH7" s="26" t="n"/>
      <c r="AI7" s="2" t="n"/>
      <c r="AJ7" s="2" t="n"/>
    </row>
    <row r="8">
      <c r="A8" s="2" t="inlineStr">
        <is>
          <t>Nominal Revenues [$]</t>
        </is>
      </c>
      <c r="B8" s="19">
        <f>'model_Assumptions'!B3 * (1 + 'model_Assumptions'!B2)^0</f>
        <v/>
      </c>
      <c r="C8" s="19">
        <f>'model_Assumptions'!B3 * (1 + 'model_Assumptions'!B2)^1</f>
        <v/>
      </c>
      <c r="D8" s="19">
        <f>'model_Assumptions'!B3 * (1 + 'model_Assumptions'!B2)^2</f>
        <v/>
      </c>
      <c r="E8" s="19">
        <f>'model_Assumptions'!B3 * (1 + 'model_Assumptions'!B2)^3</f>
        <v/>
      </c>
      <c r="F8" s="19">
        <f>'model_Assumptions'!B3 * (1 + 'model_Assumptions'!B2)^4</f>
        <v/>
      </c>
      <c r="G8" s="19">
        <f>'model_Assumptions'!B3 * (1 + 'model_Assumptions'!B2)^5</f>
        <v/>
      </c>
      <c r="H8" s="19">
        <f>'model_Assumptions'!B3 * (1 + 'model_Assumptions'!B2)^6</f>
        <v/>
      </c>
      <c r="I8" s="19">
        <f>'model_Assumptions'!B3 * (1 + 'model_Assumptions'!B2)^7</f>
        <v/>
      </c>
      <c r="J8" s="19">
        <f>'model_Assumptions'!B3 * (1 + 'model_Assumptions'!B2)^8</f>
        <v/>
      </c>
      <c r="K8" s="19">
        <f>'model_Assumptions'!B3 * (1 + 'model_Assumptions'!B2)^9</f>
        <v/>
      </c>
      <c r="L8" s="19">
        <f>'model_Assumptions'!B3 * (1 + 'model_Assumptions'!B2)^10</f>
        <v/>
      </c>
      <c r="M8" s="19">
        <f>'model_Assumptions'!B3 * (1 + 'model_Assumptions'!B2)^11</f>
        <v/>
      </c>
      <c r="N8" s="19">
        <f>'model_Assumptions'!B3 * (1 + 'model_Assumptions'!B2)^12</f>
        <v/>
      </c>
      <c r="O8" s="19">
        <f>'model_Assumptions'!B3 * (1 + 'model_Assumptions'!B2)^13</f>
        <v/>
      </c>
      <c r="P8" s="19">
        <f>'model_Assumptions'!B3 * (1 + 'model_Assumptions'!B2)^14</f>
        <v/>
      </c>
      <c r="Q8" s="19">
        <f>'model_Assumptions'!B3 * (1 + 'model_Assumptions'!B2)^15</f>
        <v/>
      </c>
      <c r="R8" s="19">
        <f>'model_Assumptions'!B3 * (1 + 'model_Assumptions'!B2)^16</f>
        <v/>
      </c>
      <c r="S8" s="19">
        <f>'model_Assumptions'!B3 * (1 + 'model_Assumptions'!B2)^17</f>
        <v/>
      </c>
      <c r="T8" s="19" t="n">
        <v>7141231.24</v>
      </c>
      <c r="U8" s="19" t="n">
        <v>7284055.86</v>
      </c>
      <c r="V8" s="19" t="n">
        <v>7429736.98</v>
      </c>
      <c r="W8" s="19" t="n">
        <v>7578331.72</v>
      </c>
      <c r="X8" s="19" t="n">
        <v>7729898.35</v>
      </c>
      <c r="Y8" s="19" t="n">
        <v>3909846.12</v>
      </c>
      <c r="Z8" s="19" t="n">
        <v>0</v>
      </c>
      <c r="AA8" s="19" t="n"/>
      <c r="AB8" s="19" t="n"/>
      <c r="AC8" s="19" t="n"/>
      <c r="AD8" s="19" t="n"/>
      <c r="AE8" s="19" t="n"/>
      <c r="AF8" s="19" t="n"/>
      <c r="AG8" s="19" t="n"/>
      <c r="AH8" s="19" t="n"/>
      <c r="AI8" s="2" t="n"/>
      <c r="AJ8" s="2" t="n"/>
    </row>
    <row r="9">
      <c r="A9" s="2" t="inlineStr">
        <is>
          <t>Nominal Op Costs [$]</t>
        </is>
      </c>
      <c r="B9" s="19" t="n">
        <v>2000000</v>
      </c>
      <c r="C9" s="19" t="n">
        <v>2040000</v>
      </c>
      <c r="D9" s="19" t="n">
        <v>2080800</v>
      </c>
      <c r="E9" s="19" t="n">
        <v>2122416</v>
      </c>
      <c r="F9" s="19" t="n">
        <v>2164864.32</v>
      </c>
      <c r="G9" s="19" t="n">
        <v>2208161.61</v>
      </c>
      <c r="H9" s="19" t="n">
        <v>2252324.84</v>
      </c>
      <c r="I9" s="19" t="n">
        <v>2297371.34</v>
      </c>
      <c r="J9" s="19" t="n">
        <v>2343318.76</v>
      </c>
      <c r="K9" s="19" t="n">
        <v>2390185.14</v>
      </c>
      <c r="L9" s="19" t="n">
        <v>2437988.84</v>
      </c>
      <c r="M9" s="19" t="n">
        <v>2486748.62</v>
      </c>
      <c r="N9" s="19" t="n">
        <v>2536483.59</v>
      </c>
      <c r="O9" s="19" t="n">
        <v>2587213.26</v>
      </c>
      <c r="P9" s="19" t="n">
        <v>2638957.53</v>
      </c>
      <c r="Q9" s="19" t="n">
        <v>2691736.68</v>
      </c>
      <c r="R9" s="19" t="n">
        <v>2745571.41</v>
      </c>
      <c r="S9" s="19" t="n">
        <v>2800482.84</v>
      </c>
      <c r="T9" s="19" t="n">
        <v>2856492.5</v>
      </c>
      <c r="U9" s="19" t="n">
        <v>2913622.35</v>
      </c>
      <c r="V9" s="19" t="n">
        <v>2971894.79</v>
      </c>
      <c r="W9" s="19" t="n">
        <v>3031332.69</v>
      </c>
      <c r="X9" s="19" t="n">
        <v>3091959.34</v>
      </c>
      <c r="Y9" s="19" t="n">
        <v>1563938.45</v>
      </c>
      <c r="Z9" s="19" t="n">
        <v>0</v>
      </c>
      <c r="AA9" s="19" t="n"/>
      <c r="AB9" s="19" t="n"/>
      <c r="AC9" s="19" t="n"/>
      <c r="AD9" s="19" t="n"/>
      <c r="AE9" s="19" t="n"/>
      <c r="AF9" s="19" t="n"/>
      <c r="AG9" s="19" t="n"/>
      <c r="AH9" s="19" t="n"/>
      <c r="AI9" s="2" t="n"/>
      <c r="AJ9" s="2" t="n"/>
    </row>
    <row r="10">
      <c r="A10" s="2" t="inlineStr">
        <is>
          <t>Nominal Lifecycle Costs [$]</t>
        </is>
      </c>
      <c r="B10" s="18" t="n">
        <v>1000000</v>
      </c>
      <c r="C10" s="18" t="n">
        <v>1020000</v>
      </c>
      <c r="D10" s="18" t="n">
        <v>1040400</v>
      </c>
      <c r="E10" s="18" t="n">
        <v>1061208</v>
      </c>
      <c r="F10" s="18" t="n">
        <v>1082432.16</v>
      </c>
      <c r="G10" s="18" t="n">
        <v>1104080.8</v>
      </c>
      <c r="H10" s="18" t="n">
        <v>1126162.42</v>
      </c>
      <c r="I10" s="18" t="n">
        <v>1148685.67</v>
      </c>
      <c r="J10" s="18" t="n">
        <v>1171659.38</v>
      </c>
      <c r="K10" s="18" t="n">
        <v>1195092.57</v>
      </c>
      <c r="L10" s="18" t="n">
        <v>1218994.42</v>
      </c>
      <c r="M10" s="18" t="n">
        <v>1243374.31</v>
      </c>
      <c r="N10" s="18" t="n">
        <v>1268241.79</v>
      </c>
      <c r="O10" s="18" t="n">
        <v>1293606.63</v>
      </c>
      <c r="P10" s="18" t="n">
        <v>1319478.76</v>
      </c>
      <c r="Q10" s="18" t="n">
        <v>1345868.34</v>
      </c>
      <c r="R10" s="18" t="n">
        <v>1372785.71</v>
      </c>
      <c r="S10" s="18" t="n">
        <v>1400241.42</v>
      </c>
      <c r="T10" s="18" t="n">
        <v>1428246.25</v>
      </c>
      <c r="U10" s="18" t="n">
        <v>1456811.17</v>
      </c>
      <c r="V10" s="19" t="n">
        <v>1485947.4</v>
      </c>
      <c r="W10" s="19" t="n">
        <v>1515666.34</v>
      </c>
      <c r="X10" s="19" t="n">
        <v>1545979.67</v>
      </c>
      <c r="Y10" s="19" t="n">
        <v>788449.63</v>
      </c>
      <c r="Z10" s="19" t="n">
        <v>0</v>
      </c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2" t="n"/>
      <c r="AJ10" s="2" t="n"/>
    </row>
    <row r="11">
      <c r="A11" s="2" t="inlineStr">
        <is>
          <t>Project Cashflow [$]</t>
        </is>
      </c>
      <c r="B11" s="19">
        <f>B8-B9-B10</f>
        <v/>
      </c>
      <c r="C11" s="19">
        <f>C8-C9-C10</f>
        <v/>
      </c>
      <c r="D11" s="19">
        <f>D8-D9-D10</f>
        <v/>
      </c>
      <c r="E11" s="19">
        <f>E8-E9-E10</f>
        <v/>
      </c>
      <c r="F11" s="19">
        <f>F8-F9-F10</f>
        <v/>
      </c>
      <c r="G11" s="19">
        <f>G8-G9-G10</f>
        <v/>
      </c>
      <c r="H11" s="19">
        <f>H8-H9-H10</f>
        <v/>
      </c>
      <c r="I11" s="19">
        <f>I8-I9-I10</f>
        <v/>
      </c>
      <c r="J11" s="19">
        <f>J8-J9-J10</f>
        <v/>
      </c>
      <c r="K11" s="19">
        <f>K8-K9-K10</f>
        <v/>
      </c>
      <c r="L11" s="19">
        <f>L8-L9-L10</f>
        <v/>
      </c>
      <c r="M11" s="19">
        <f>M8-M9-M10</f>
        <v/>
      </c>
      <c r="N11" s="19">
        <f>N8-N9-N10</f>
        <v/>
      </c>
      <c r="O11" s="19">
        <f>O8-O9-O10</f>
        <v/>
      </c>
      <c r="P11" s="19">
        <f>P8-P9-P10</f>
        <v/>
      </c>
      <c r="Q11" s="19">
        <f>Q8-Q9-Q10</f>
        <v/>
      </c>
      <c r="R11" s="19">
        <f>R8-R9-R10</f>
        <v/>
      </c>
      <c r="S11" s="19">
        <f>S8-S9-S10</f>
        <v/>
      </c>
      <c r="T11" s="19">
        <f>T8-T9-T10</f>
        <v/>
      </c>
      <c r="U11" s="19">
        <f>U8-U9-U10</f>
        <v/>
      </c>
      <c r="V11" s="19">
        <f>V8-V9-V10</f>
        <v/>
      </c>
      <c r="W11" s="19">
        <f>W8-W9-W10</f>
        <v/>
      </c>
      <c r="X11" s="19">
        <f>X8-X9-X10</f>
        <v/>
      </c>
      <c r="Y11" s="19">
        <f>Y8-Y9-Y10</f>
        <v/>
      </c>
      <c r="Z11" s="19">
        <f>Z8-Z9-Z10</f>
        <v/>
      </c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2" t="n"/>
      <c r="AJ11" s="2" t="n"/>
    </row>
    <row r="12">
      <c r="A12" s="2" t="inlineStr">
        <is>
          <t>Interest Expense (Refinance) [$]</t>
        </is>
      </c>
      <c r="B12" s="18">
        <f>B10 * 'model_Assumptions'!B12 * (B8 / 'model_Assumptions'!B13)</f>
        <v/>
      </c>
      <c r="C12" s="18">
        <f>C10 * 'model_Assumptions'!B12 * (C8 / 'model_Assumptions'!B13)</f>
        <v/>
      </c>
      <c r="D12" s="18">
        <f>D10 * 'model_Assumptions'!B12 * (D8 / 'model_Assumptions'!B13)</f>
        <v/>
      </c>
      <c r="E12" s="18">
        <f>E10 * 'model_Assumptions'!B12 * (E8 / 'model_Assumptions'!B13)</f>
        <v/>
      </c>
      <c r="F12" s="18">
        <f>F10 * 'model_Assumptions'!B12 * (F8 / 'model_Assumptions'!B13)</f>
        <v/>
      </c>
      <c r="G12" s="18">
        <f>G10 * 'model_Assumptions'!$B$12 * (G8 / 'model_Assumptions'!$B$13)</f>
        <v/>
      </c>
      <c r="H12" s="18">
        <f>H10 * 'model_Assumptions'!$B$12 * (H8 / 'model_Assumptions'!$B$13)</f>
        <v/>
      </c>
      <c r="I12" s="18">
        <f>I10 * 'model_Assumptions'!$B$12 * (I8 / 'model_Assumptions'!$B$13)</f>
        <v/>
      </c>
      <c r="J12" s="18">
        <f>J10 * 'model_Assumptions'!$B$12 * (J8 / 'model_Assumptions'!$B$13)</f>
        <v/>
      </c>
      <c r="K12" s="18">
        <f>K10 * 'model_Assumptions'!$B$12 * (K8 / 'model_Assumptions'!$B$13)</f>
        <v/>
      </c>
      <c r="L12" s="18">
        <f>L10 * 'model_Assumptions'!$B$12 * (L8 / 'model_Assumptions'!$B$13)</f>
        <v/>
      </c>
      <c r="M12" s="18">
        <f>M10 * 'model_Assumptions'!$B$12 * (M8 / 'model_Assumptions'!$B$13)</f>
        <v/>
      </c>
      <c r="N12" s="18">
        <f>N10 * 'model_Assumptions'!$B$12 * (N8 / 'model_Assumptions'!$B$13)</f>
        <v/>
      </c>
      <c r="O12" s="18">
        <f>O27</f>
        <v/>
      </c>
      <c r="P12" s="18">
        <f>P27</f>
        <v/>
      </c>
      <c r="Q12" s="18">
        <f>Q27</f>
        <v/>
      </c>
      <c r="R12" s="18">
        <f>R27</f>
        <v/>
      </c>
      <c r="S12" s="18">
        <f>S27</f>
        <v/>
      </c>
      <c r="T12" s="18">
        <f>T27</f>
        <v/>
      </c>
      <c r="U12" s="18">
        <f>U27</f>
        <v/>
      </c>
      <c r="V12" s="19">
        <f>V27</f>
        <v/>
      </c>
      <c r="W12" s="19">
        <f>W27</f>
        <v/>
      </c>
      <c r="X12" s="19">
        <f>X27</f>
        <v/>
      </c>
      <c r="Y12" s="19">
        <f>Y27</f>
        <v/>
      </c>
      <c r="Z12" s="19">
        <f>Z27</f>
        <v/>
      </c>
      <c r="AA12" s="19">
        <f>AA27</f>
        <v/>
      </c>
      <c r="AB12" s="19">
        <f>AB27</f>
        <v/>
      </c>
      <c r="AC12" s="19">
        <f>AC27</f>
        <v/>
      </c>
      <c r="AD12" s="19">
        <f>AD27</f>
        <v/>
      </c>
      <c r="AE12" s="19">
        <f>AE27</f>
        <v/>
      </c>
      <c r="AF12" s="19">
        <f>AF27</f>
        <v/>
      </c>
      <c r="AG12" s="19">
        <f>AG27</f>
        <v/>
      </c>
      <c r="AH12" s="19">
        <f>AH27</f>
        <v/>
      </c>
      <c r="AI12" s="2">
        <f>AI27</f>
        <v/>
      </c>
      <c r="AJ12" s="2">
        <f>AJ27</f>
        <v/>
      </c>
    </row>
    <row r="13">
      <c r="A13" s="2" t="inlineStr">
        <is>
          <t>Opening Balance [$]</t>
        </is>
      </c>
      <c r="B13" s="19">
        <f>B10 - B11</f>
        <v/>
      </c>
      <c r="C13" s="19">
        <f>C10 - C11</f>
        <v/>
      </c>
      <c r="D13" s="19">
        <f>D10 - D11</f>
        <v/>
      </c>
      <c r="E13" s="19">
        <f>E10 - E11</f>
        <v/>
      </c>
      <c r="F13" s="19">
        <f>F10 - F11</f>
        <v/>
      </c>
      <c r="G13" s="19">
        <f>G10-G11</f>
        <v/>
      </c>
      <c r="H13" s="19">
        <f>H10-H11</f>
        <v/>
      </c>
      <c r="I13" s="19">
        <f>I10-I11</f>
        <v/>
      </c>
      <c r="J13" s="19">
        <f>J10-J11</f>
        <v/>
      </c>
      <c r="K13" s="19">
        <f>K10-K11</f>
        <v/>
      </c>
      <c r="L13" s="19">
        <f>L10-L11</f>
        <v/>
      </c>
      <c r="M13" s="19">
        <f>M10-M11</f>
        <v/>
      </c>
      <c r="N13" s="19">
        <f>N10-N11</f>
        <v/>
      </c>
      <c r="O13" s="19">
        <f>'model_Workings'!B3</f>
        <v/>
      </c>
      <c r="P13" s="19">
        <f>O16</f>
        <v/>
      </c>
      <c r="Q13" s="19">
        <f>P16</f>
        <v/>
      </c>
      <c r="R13" s="19">
        <f>Q16</f>
        <v/>
      </c>
      <c r="S13" s="19">
        <f>R16</f>
        <v/>
      </c>
      <c r="T13" s="19">
        <f>S16</f>
        <v/>
      </c>
      <c r="U13" s="19">
        <f>T16</f>
        <v/>
      </c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2" t="n"/>
      <c r="AJ13" s="2" t="n"/>
    </row>
    <row r="14">
      <c r="A14" s="2" t="inlineStr">
        <is>
          <t>Principal Repayment [$]</t>
        </is>
      </c>
      <c r="B14" s="18">
        <f>'model_Workings'!B4 * (B8 / 'model_Workings'!B5)</f>
        <v/>
      </c>
      <c r="C14" s="18">
        <f>'model_Workings'!B4 * (C8 / 'model_Workings'!B5)</f>
        <v/>
      </c>
      <c r="D14" s="18">
        <f>'model_Workings'!B4 * (D8 / 'model_Workings'!B5)</f>
        <v/>
      </c>
      <c r="E14" s="18">
        <f>'model_Workings'!B4 * (E8 / 'model_Workings'!B5)</f>
        <v/>
      </c>
      <c r="F14" s="18" t="n"/>
      <c r="G14" s="18">
        <f>'model_Workings'!$B$4 * (G8 / 'model_Workings'!$B$5)</f>
        <v/>
      </c>
      <c r="H14" s="18">
        <f>'model_Workings'!$B$4 * (H8 / 'model_Workings'!$B$5)</f>
        <v/>
      </c>
      <c r="I14" s="18">
        <f>'model_Workings'!$B$4 * (I8 / 'model_Workings'!$B$5)</f>
        <v/>
      </c>
      <c r="J14" s="18">
        <f>'model_Workings'!$B$4 * (J8 / 'model_Workings'!$B$5)</f>
        <v/>
      </c>
      <c r="K14" s="18">
        <f>'model_Workings'!$B$4 * (K8 / 'model_Workings'!$B$5)</f>
        <v/>
      </c>
      <c r="L14" s="18">
        <f>'model_Workings'!$B$4 * (L8 / 'model_Workings'!$B$5)</f>
        <v/>
      </c>
      <c r="M14" s="18">
        <f>'model_Workings'!$B$4 * (M8 / 'model_Workings'!$B$5)</f>
        <v/>
      </c>
      <c r="N14" s="18">
        <f>'model_Workings'!$B$4 * (N8 / 'model_Workings'!$B$5)</f>
        <v/>
      </c>
      <c r="O14" s="18">
        <f>O13*(O16/O20)</f>
        <v/>
      </c>
      <c r="P14" s="18">
        <f>P13*(P16/P20)</f>
        <v/>
      </c>
      <c r="Q14" s="18">
        <f>Q13*(Q16/Q20)</f>
        <v/>
      </c>
      <c r="R14" s="18">
        <f>R13*(R16/R20)</f>
        <v/>
      </c>
      <c r="S14" s="18">
        <f>S13*(S16/S20)</f>
        <v/>
      </c>
      <c r="T14" s="18">
        <f>T13*(T16/T20)</f>
        <v/>
      </c>
      <c r="U14" s="18">
        <f>U13*(U16/U20)</f>
        <v/>
      </c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2" t="n"/>
      <c r="AJ14" s="2" t="n"/>
    </row>
    <row r="15">
      <c r="A15" s="2" t="inlineStr">
        <is>
          <t>Interest Expense [$]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>
        <f>O13*(O16/'model_Assumptions'!$B$13)*'model_Assumptions'!$B$12</f>
        <v/>
      </c>
      <c r="P15" s="19">
        <f>P13*(P16/'model_Assumptions'!$B$13)*'model_Assumptions'!$B$12</f>
        <v/>
      </c>
      <c r="Q15" s="19">
        <f>Q13*(Q16/'model_Assumptions'!$B$13)*'model_Assumptions'!$B$12</f>
        <v/>
      </c>
      <c r="R15" s="19">
        <f>R13*(R16/'model_Assumptions'!$B$13)*'model_Assumptions'!$B$12</f>
        <v/>
      </c>
      <c r="S15" s="19">
        <f>S13*(S16/'model_Assumptions'!$B$13)*'model_Assumptions'!$B$12</f>
        <v/>
      </c>
      <c r="T15" s="19">
        <f>T13*(T16/'model_Assumptions'!$B$13)*'model_Assumptions'!$B$12</f>
        <v/>
      </c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2" t="n"/>
      <c r="AJ15" s="2" t="n"/>
    </row>
    <row r="16">
      <c r="A16" s="2" t="inlineStr">
        <is>
          <t>Closing Balance [$]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>
        <f>O13-O14</f>
        <v/>
      </c>
      <c r="P16" s="19">
        <f>P13-P14</f>
        <v/>
      </c>
      <c r="Q16" s="19">
        <f>Q13-Q14</f>
        <v/>
      </c>
      <c r="R16" s="19">
        <f>R13-R14</f>
        <v/>
      </c>
      <c r="S16" s="19">
        <f>S13-S14</f>
        <v/>
      </c>
      <c r="T16" s="19">
        <f>T13-T14</f>
        <v/>
      </c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2" t="n"/>
      <c r="AJ16" s="2" t="n"/>
    </row>
    <row r="17">
      <c r="A17" s="2" t="inlineStr">
        <is>
          <t>Fee Amortization [$]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2" t="n"/>
      <c r="AJ17" s="2" t="n"/>
    </row>
    <row r="18">
      <c r="A18" s="2" t="inlineStr">
        <is>
          <t>Arrangement Fee Cash Flow [$]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2" t="n"/>
      <c r="AJ18" s="2" t="n"/>
    </row>
    <row r="19">
      <c r="A19" s="2" t="inlineStr">
        <is>
          <t>DSCR [x]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2" t="n"/>
      <c r="AJ19" s="2" t="n"/>
    </row>
    <row r="20">
      <c r="A20" s="2" t="inlineStr">
        <is>
          <t>Total days to maturity [days]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>
        <f>SUM(O16:AH16)</f>
        <v/>
      </c>
      <c r="P20" s="15">
        <f>SUM(P16:AH16)</f>
        <v/>
      </c>
      <c r="Q20" s="15">
        <f>SUM(Q16:AH16)</f>
        <v/>
      </c>
      <c r="R20" s="15">
        <f>SUM(R16:AH16)</f>
        <v/>
      </c>
      <c r="S20" s="15">
        <f>SUM(S16:AH16)</f>
        <v/>
      </c>
      <c r="T20" s="15">
        <f>SUM(T16:AH16)</f>
        <v/>
      </c>
      <c r="U20" s="15">
        <f>SUM(U16:AH16)</f>
        <v/>
      </c>
      <c r="V20" s="15">
        <f>SUM(V16:AH16)</f>
        <v/>
      </c>
      <c r="W20" s="15">
        <f>SUM(W16:AH16)</f>
        <v/>
      </c>
      <c r="X20" s="15">
        <f>SUM(X16:AH16)</f>
        <v/>
      </c>
      <c r="Y20" s="15">
        <f>SUM(Y16:AH16)</f>
        <v/>
      </c>
      <c r="Z20" s="15">
        <f>SUM(Z16:AH16)</f>
        <v/>
      </c>
      <c r="AA20" s="15">
        <f>SUM(AA16:AH16)</f>
        <v/>
      </c>
      <c r="AB20" s="15">
        <f>SUM(AB16:AH16)</f>
        <v/>
      </c>
      <c r="AC20" s="15">
        <f>SUM(AC16:AH16)</f>
        <v/>
      </c>
      <c r="AD20" s="15">
        <f>SUM(AD16:AH16)</f>
        <v/>
      </c>
      <c r="AE20" s="15">
        <f>SUM(AE16:AH16)</f>
        <v/>
      </c>
      <c r="AF20" s="15">
        <f>SUM(AF16:AH16)</f>
        <v/>
      </c>
      <c r="AG20" s="15">
        <f>SUM(AG16:AH16)</f>
        <v/>
      </c>
      <c r="AH20" s="15">
        <f>SUM(AH16:AH16)</f>
        <v/>
      </c>
      <c r="AI20" s="2" t="n"/>
      <c r="AJ20" s="2" t="n"/>
    </row>
    <row r="21">
      <c r="A21" s="2" t="inlineStr">
        <is>
          <t>Refinancing Debt Schedule - Part A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2" t="n"/>
      <c r="AJ21" s="2" t="n"/>
    </row>
    <row r="22">
      <c r="A22" s="2" t="inlineStr">
        <is>
          <t>Year</t>
        </is>
      </c>
      <c r="B22" s="15" t="n">
        <v>2017</v>
      </c>
      <c r="C22" s="15" t="n">
        <v>2018</v>
      </c>
      <c r="D22" s="15" t="n">
        <v>2019</v>
      </c>
      <c r="E22" s="15" t="n">
        <v>2020</v>
      </c>
      <c r="F22" s="15" t="n">
        <v>2021</v>
      </c>
      <c r="G22" s="15" t="n">
        <v>2022</v>
      </c>
      <c r="H22" s="15" t="n">
        <v>2023</v>
      </c>
      <c r="I22" s="15" t="n">
        <v>2024</v>
      </c>
      <c r="J22" s="15" t="n">
        <v>2025</v>
      </c>
      <c r="K22" s="15" t="n">
        <v>2026</v>
      </c>
      <c r="L22" s="15" t="n">
        <v>2027</v>
      </c>
      <c r="M22" s="15" t="n">
        <v>2028</v>
      </c>
      <c r="N22" s="15" t="n">
        <v>2029</v>
      </c>
      <c r="O22" s="15" t="n">
        <v>2030</v>
      </c>
      <c r="P22" s="15" t="n">
        <v>2031</v>
      </c>
      <c r="Q22" s="15" t="n">
        <v>2032</v>
      </c>
      <c r="R22" s="15" t="n">
        <v>2033</v>
      </c>
      <c r="S22" s="15" t="n">
        <v>2034</v>
      </c>
      <c r="T22" s="15" t="n">
        <v>2035</v>
      </c>
      <c r="U22" s="15" t="n">
        <v>2036</v>
      </c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2" t="n"/>
      <c r="AJ22" s="2" t="n"/>
    </row>
    <row r="23">
      <c r="A23" s="2" t="inlineStr">
        <is>
          <t>Days Active [days]</t>
        </is>
      </c>
      <c r="B23" s="15">
        <f>MIN(DATE(B22,12,31), DATE(2036,6,30)) - DATE(B22,1,1) + 1</f>
        <v/>
      </c>
      <c r="C23" s="15" t="n">
        <v>365</v>
      </c>
      <c r="D23" s="15" t="n">
        <v>365</v>
      </c>
      <c r="E23" s="15" t="n">
        <v>366</v>
      </c>
      <c r="F23" s="15" t="n">
        <v>365</v>
      </c>
      <c r="G23" s="15" t="n">
        <v>365</v>
      </c>
      <c r="H23" s="15" t="n">
        <v>365</v>
      </c>
      <c r="I23" s="15" t="n">
        <v>366</v>
      </c>
      <c r="J23" s="15" t="n">
        <v>365</v>
      </c>
      <c r="K23" s="15" t="n">
        <v>365</v>
      </c>
      <c r="L23" s="15" t="n">
        <v>365</v>
      </c>
      <c r="M23" s="15" t="n">
        <v>366</v>
      </c>
      <c r="N23" s="15" t="n">
        <v>365</v>
      </c>
      <c r="O23" s="15" t="n">
        <v>365</v>
      </c>
      <c r="P23" s="15" t="n">
        <v>365</v>
      </c>
      <c r="Q23" s="15" t="n">
        <v>366</v>
      </c>
      <c r="R23" s="15" t="n">
        <v>365</v>
      </c>
      <c r="S23" s="15" t="n">
        <v>365</v>
      </c>
      <c r="T23" s="15" t="n">
        <v>365</v>
      </c>
      <c r="U23" s="15" t="n">
        <v>182</v>
      </c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2" t="n"/>
      <c r="AJ23" s="2" t="n"/>
    </row>
    <row r="24">
      <c r="A24" s="2" t="inlineStr">
        <is>
          <t>Total Days to Maturity [days]</t>
        </is>
      </c>
      <c r="B24" s="15">
        <f>DATE(2036,6,30) - DATE(B22,1,1) + 1</f>
        <v/>
      </c>
      <c r="C24" s="15">
        <f>DATE(2036,6,30)-DATE(C22,1,1)+1</f>
        <v/>
      </c>
      <c r="D24" s="15">
        <f>DATE(2036,6,30)-DATE(D22,1,1)+1</f>
        <v/>
      </c>
      <c r="E24" s="15">
        <f>DATE(2036,6,30)-DATE(E22,1,1)+1</f>
        <v/>
      </c>
      <c r="F24" s="15">
        <f>DATE(2036,6,30)-DATE(F22,1,1)+1</f>
        <v/>
      </c>
      <c r="G24" s="15">
        <f>DATE(2036,6,30)-DATE(G22,1,1)+1</f>
        <v/>
      </c>
      <c r="H24" s="15">
        <f>DATE(2036,6,30)-DATE(H22,1,1)+1</f>
        <v/>
      </c>
      <c r="I24" s="15">
        <f>DATE(2036,6,30)-DATE(I22,1,1)+1</f>
        <v/>
      </c>
      <c r="J24" s="15">
        <f>DATE(2036,6,30)-DATE(J22,1,1)+1</f>
        <v/>
      </c>
      <c r="K24" s="15">
        <f>DATE(2036,6,30)-DATE(K22,1,1)+1</f>
        <v/>
      </c>
      <c r="L24" s="15">
        <f>DATE(2036,6,30)-DATE(L22,1,1)+1</f>
        <v/>
      </c>
      <c r="M24" s="15">
        <f>DATE(2036,6,30)-DATE(M22,1,1)+1</f>
        <v/>
      </c>
      <c r="N24" s="15">
        <f>DATE(2036,6,30)-DATE(N22,1,1)+1</f>
        <v/>
      </c>
      <c r="O24" s="15">
        <f>DATE(2036,6,30)-DATE(O22,1,1)+1</f>
        <v/>
      </c>
      <c r="P24" s="15">
        <f>DATE(2036,6,30)-DATE(P22,1,1)+1</f>
        <v/>
      </c>
      <c r="Q24" s="15">
        <f>DATE(2036,6,30)-DATE(Q22,1,1)+1</f>
        <v/>
      </c>
      <c r="R24" s="15">
        <f>DATE(2036,6,30)-DATE(R22,1,1)+1</f>
        <v/>
      </c>
      <c r="S24" s="15">
        <f>DATE(2036,6,30)-DATE(S22,1,1)+1</f>
        <v/>
      </c>
      <c r="T24" s="15">
        <f>DATE(2036,6,30)-DATE(T22,1,1)+1</f>
        <v/>
      </c>
      <c r="U24" s="15">
        <f>DATE(2036,6,30)-DATE(U22,1,1)+1</f>
        <v/>
      </c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2" t="n"/>
      <c r="AJ24" s="2" t="n"/>
    </row>
    <row r="25">
      <c r="A25" s="2" t="inlineStr">
        <is>
          <t>Opening Balance [$]</t>
        </is>
      </c>
      <c r="B25" s="19">
        <f>'model_Workings'!$B$3</f>
        <v/>
      </c>
      <c r="C25" s="19">
        <f>B28</f>
        <v/>
      </c>
      <c r="D25" s="19">
        <f>C28</f>
        <v/>
      </c>
      <c r="E25" s="19">
        <f>D28</f>
        <v/>
      </c>
      <c r="F25" s="19">
        <f>E28</f>
        <v/>
      </c>
      <c r="G25" s="19">
        <f>F28</f>
        <v/>
      </c>
      <c r="H25" s="19">
        <f>G28</f>
        <v/>
      </c>
      <c r="I25" s="19">
        <f>H28</f>
        <v/>
      </c>
      <c r="J25" s="19">
        <f>I28</f>
        <v/>
      </c>
      <c r="K25" s="19">
        <f>J28</f>
        <v/>
      </c>
      <c r="L25" s="19">
        <f>K28</f>
        <v/>
      </c>
      <c r="M25" s="19">
        <f>L28</f>
        <v/>
      </c>
      <c r="N25" s="19">
        <f>M28</f>
        <v/>
      </c>
      <c r="O25" s="19">
        <f>N28</f>
        <v/>
      </c>
      <c r="P25" s="19">
        <f>O28</f>
        <v/>
      </c>
      <c r="Q25" s="19">
        <f>P28</f>
        <v/>
      </c>
      <c r="R25" s="19">
        <f>Q28</f>
        <v/>
      </c>
      <c r="S25" s="19">
        <f>R28</f>
        <v/>
      </c>
      <c r="T25" s="19">
        <f>S28</f>
        <v/>
      </c>
      <c r="U25" s="19">
        <f>T28</f>
        <v/>
      </c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2" t="n"/>
      <c r="AJ25" s="2" t="n"/>
    </row>
    <row r="26">
      <c r="A26" s="2" t="inlineStr">
        <is>
          <t>Principal Repayment [$]</t>
        </is>
      </c>
      <c r="B26" s="19">
        <f>B25 * (B23 / B24)</f>
        <v/>
      </c>
      <c r="C26" s="19">
        <f>C25 * (C23 / C24)</f>
        <v/>
      </c>
      <c r="D26" s="19">
        <f>D25 * (D23 / D24)</f>
        <v/>
      </c>
      <c r="E26" s="19">
        <f>E25 * (E23 / E24)</f>
        <v/>
      </c>
      <c r="F26" s="19">
        <f>F25 * (F23 / F24)</f>
        <v/>
      </c>
      <c r="G26" s="19">
        <f>G25 * (G23 / G24)</f>
        <v/>
      </c>
      <c r="H26" s="19">
        <f>H25 * (H23 / H24)</f>
        <v/>
      </c>
      <c r="I26" s="19">
        <f>I25 * (I23 / I24)</f>
        <v/>
      </c>
      <c r="J26" s="19">
        <f>J25 * (J23 / J24)</f>
        <v/>
      </c>
      <c r="K26" s="19">
        <f>K25 * (K23 / K24)</f>
        <v/>
      </c>
      <c r="L26" s="19">
        <f>L25 * (L23 / L24)</f>
        <v/>
      </c>
      <c r="M26" s="19">
        <f>M25 * (M23 / M24)</f>
        <v/>
      </c>
      <c r="N26" s="19">
        <f>N25 * (N23 / N24)</f>
        <v/>
      </c>
      <c r="O26" s="19">
        <f>O25 * (O23 / O24)</f>
        <v/>
      </c>
      <c r="P26" s="19">
        <f>P25 * (P23 / P24)</f>
        <v/>
      </c>
      <c r="Q26" s="19">
        <f>Q25 * (Q23 / Q24)</f>
        <v/>
      </c>
      <c r="R26" s="19">
        <f>R25 * (R23 / R24)</f>
        <v/>
      </c>
      <c r="S26" s="19">
        <f>S25 * (S23 / S24)</f>
        <v/>
      </c>
      <c r="T26" s="19">
        <f>T25 * (T23 / T24)</f>
        <v/>
      </c>
      <c r="U26" s="19">
        <f>U25 * (U23 / U24)</f>
        <v/>
      </c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2" t="n"/>
      <c r="AJ26" s="2" t="n"/>
    </row>
    <row r="27">
      <c r="A27" s="2" t="inlineStr">
        <is>
          <t>Interest Expense [$]</t>
        </is>
      </c>
      <c r="B27" s="19">
        <f>B25 * 'model_Assumptions'!$B$12 * (B23 / 'model_Assumptions'!$B$13)</f>
        <v/>
      </c>
      <c r="C27" s="19">
        <f>C25 * 'model_Assumptions'!$B$12 * (C23 / 'model_Assumptions'!$B$13)</f>
        <v/>
      </c>
      <c r="D27" s="19">
        <f>D25 * 'model_Assumptions'!$B$12 * (D23 / 'model_Assumptions'!$B$13)</f>
        <v/>
      </c>
      <c r="E27" s="19">
        <f>E25 * 'model_Assumptions'!$B$12 * (E23 / 'model_Assumptions'!$B$13)</f>
        <v/>
      </c>
      <c r="F27" s="19">
        <f>F25 * 'model_Assumptions'!$B$12 * (F23 / 'model_Assumptions'!$B$13)</f>
        <v/>
      </c>
      <c r="G27" s="19">
        <f>G25 * 'model_Assumptions'!$B$12 * (G23 / 'model_Assumptions'!$B$13)</f>
        <v/>
      </c>
      <c r="H27" s="19">
        <f>H25 * 'model_Assumptions'!$B$12 * (H23 / 'model_Assumptions'!$B$13)</f>
        <v/>
      </c>
      <c r="I27" s="19">
        <f>I25 * 'model_Assumptions'!$B$12 * (I23 / 'model_Assumptions'!$B$13)</f>
        <v/>
      </c>
      <c r="J27" s="19">
        <f>J25 * 'model_Assumptions'!$B$12 * (J23 / 'model_Assumptions'!$B$13)</f>
        <v/>
      </c>
      <c r="K27" s="19">
        <f>K25 * 'model_Assumptions'!$B$12 * (K23 / 'model_Assumptions'!$B$13)</f>
        <v/>
      </c>
      <c r="L27" s="19">
        <f>L25 * 'model_Assumptions'!$B$12 * (L23 / 'model_Assumptions'!$B$13)</f>
        <v/>
      </c>
      <c r="M27" s="19">
        <f>M25 * 'model_Assumptions'!$B$12 * (M23 / 'model_Assumptions'!$B$13)</f>
        <v/>
      </c>
      <c r="N27" s="19">
        <f>N25 * 'model_Assumptions'!$B$12 * (N23 / 'model_Assumptions'!$B$13)</f>
        <v/>
      </c>
      <c r="O27" s="19">
        <f>O25 * 'model_Assumptions'!$B$12 * (O23 / 'model_Assumptions'!$B$13)</f>
        <v/>
      </c>
      <c r="P27" s="19">
        <f>P25 * 'model_Assumptions'!$B$12 * (P23 / 'model_Assumptions'!$B$13)</f>
        <v/>
      </c>
      <c r="Q27" s="19">
        <f>Q25 * 'model_Assumptions'!$B$12 * (Q23 / 'model_Assumptions'!$B$13)</f>
        <v/>
      </c>
      <c r="R27" s="19">
        <f>R25 * 'model_Assumptions'!$B$12 * (R23 / 'model_Assumptions'!$B$13)</f>
        <v/>
      </c>
      <c r="S27" s="19">
        <f>S25 * 'model_Assumptions'!$B$12 * (S23 / 'model_Assumptions'!$B$13)</f>
        <v/>
      </c>
      <c r="T27" s="19">
        <f>T25 * 'model_Assumptions'!$B$12 * (T23 / 'model_Assumptions'!$B$13)</f>
        <v/>
      </c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2" t="n"/>
      <c r="AJ27" s="2" t="n"/>
    </row>
    <row r="28">
      <c r="A28" s="2" t="inlineStr">
        <is>
          <t>Closing Balance [$]</t>
        </is>
      </c>
      <c r="B28" s="19">
        <f>B25-B26</f>
        <v/>
      </c>
      <c r="C28" s="19">
        <f>C25-C26</f>
        <v/>
      </c>
      <c r="D28" s="19">
        <f>D25-D26</f>
        <v/>
      </c>
      <c r="E28" s="19">
        <f>E25-E26</f>
        <v/>
      </c>
      <c r="F28" s="19">
        <f>F25-F26</f>
        <v/>
      </c>
      <c r="G28" s="19">
        <f>G25-G26</f>
        <v/>
      </c>
      <c r="H28" s="19">
        <f>H25-H26</f>
        <v/>
      </c>
      <c r="I28" s="19">
        <f>I25-I26</f>
        <v/>
      </c>
      <c r="J28" s="19">
        <f>J25-J26</f>
        <v/>
      </c>
      <c r="K28" s="19">
        <f>K25-K26</f>
        <v/>
      </c>
      <c r="L28" s="19">
        <f>L25-L26</f>
        <v/>
      </c>
      <c r="M28" s="19">
        <f>M25-M26</f>
        <v/>
      </c>
      <c r="N28" s="19">
        <f>N25-N26</f>
        <v/>
      </c>
      <c r="O28" s="19">
        <f>O25-O26</f>
        <v/>
      </c>
      <c r="P28" s="19">
        <f>P25-P26</f>
        <v/>
      </c>
      <c r="Q28" s="19">
        <f>Q25-Q26</f>
        <v/>
      </c>
      <c r="R28" s="19">
        <f>R25-R26</f>
        <v/>
      </c>
      <c r="S28" s="19">
        <f>S25-S26</f>
        <v/>
      </c>
      <c r="T28" s="19">
        <f>T25-T26</f>
        <v/>
      </c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2" t="n"/>
      <c r="AJ28" s="2" t="n"/>
    </row>
    <row r="29">
      <c r="A29" s="2" t="inlineStr">
        <is>
          <t>Fee Amortization [$]</t>
        </is>
      </c>
      <c r="B29" s="19">
        <f>'model_Workings'!$B$4 * (B23 / 'model_Workings'!$B$5)</f>
        <v/>
      </c>
      <c r="C29" s="19">
        <f>'model_Workings'!$B$4 * (C23 / 'model_Workings'!$B$5)</f>
        <v/>
      </c>
      <c r="D29" s="19">
        <f>'model_Workings'!$B$4 * (D23 / 'model_Workings'!$B$5)</f>
        <v/>
      </c>
      <c r="E29" s="19">
        <f>'model_Workings'!$B$4 * (E23 / 'model_Workings'!$B$5)</f>
        <v/>
      </c>
      <c r="F29" s="19">
        <f>'model_Workings'!$B$4 * (F23 / 'model_Workings'!$B$5)</f>
        <v/>
      </c>
      <c r="G29" s="19">
        <f>'model_Workings'!$B$4 * (G23 / 'model_Workings'!$B$5)</f>
        <v/>
      </c>
      <c r="H29" s="19">
        <f>'model_Workings'!$B$4 * (H23 / 'model_Workings'!$B$5)</f>
        <v/>
      </c>
      <c r="I29" s="19">
        <f>'model_Workings'!$B$4 * (I23 / 'model_Workings'!$B$5)</f>
        <v/>
      </c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2" t="n"/>
      <c r="AJ29" s="2" t="n"/>
    </row>
    <row r="30">
      <c r="A30" s="2" t="inlineStr">
        <is>
          <t>Refinancing Debt Schedule (Part A)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2" t="n"/>
      <c r="AJ30" s="2" t="n"/>
    </row>
    <row r="31">
      <c r="A31" s="2" t="inlineStr">
        <is>
          <t>Year</t>
        </is>
      </c>
      <c r="B31" s="15" t="n">
        <v>2017</v>
      </c>
      <c r="C31" s="15" t="n">
        <v>2018</v>
      </c>
      <c r="D31" s="15" t="n">
        <v>2019</v>
      </c>
      <c r="E31" s="15" t="n">
        <v>2020</v>
      </c>
      <c r="F31" s="15" t="n">
        <v>2021</v>
      </c>
      <c r="G31" s="15" t="n">
        <v>2022</v>
      </c>
      <c r="H31" s="15" t="n">
        <v>2023</v>
      </c>
      <c r="I31" s="15" t="n">
        <v>2024</v>
      </c>
      <c r="J31" s="15" t="n">
        <v>2025</v>
      </c>
      <c r="K31" s="15" t="n">
        <v>2026</v>
      </c>
      <c r="L31" s="15" t="n">
        <v>2027</v>
      </c>
      <c r="M31" s="15" t="n">
        <v>2028</v>
      </c>
      <c r="N31" s="15" t="n">
        <v>2029</v>
      </c>
      <c r="O31" s="15" t="n">
        <v>2030</v>
      </c>
      <c r="P31" s="15" t="n">
        <v>2031</v>
      </c>
      <c r="Q31" s="15" t="n">
        <v>2032</v>
      </c>
      <c r="R31" s="15" t="n">
        <v>2033</v>
      </c>
      <c r="S31" s="15" t="n">
        <v>2034</v>
      </c>
      <c r="T31" s="15" t="n">
        <v>2035</v>
      </c>
      <c r="U31" s="15" t="n">
        <v>2036</v>
      </c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2" t="n"/>
      <c r="AJ31" s="2" t="n"/>
    </row>
    <row r="32">
      <c r="A32" s="2" t="inlineStr">
        <is>
          <t>Days Active [days]</t>
        </is>
      </c>
      <c r="B32" s="15" t="n">
        <v>365</v>
      </c>
      <c r="C32" s="15" t="n">
        <v>365</v>
      </c>
      <c r="D32" s="15" t="n">
        <v>365</v>
      </c>
      <c r="E32" s="15" t="n">
        <v>366</v>
      </c>
      <c r="F32" s="15" t="n">
        <v>365</v>
      </c>
      <c r="G32" s="15" t="n">
        <v>365</v>
      </c>
      <c r="H32" s="15" t="n">
        <v>365</v>
      </c>
      <c r="I32" s="15" t="n">
        <v>366</v>
      </c>
      <c r="J32" s="15" t="n">
        <v>365</v>
      </c>
      <c r="K32" s="15" t="n">
        <v>365</v>
      </c>
      <c r="L32" s="15" t="n">
        <v>365</v>
      </c>
      <c r="M32" s="15" t="n">
        <v>366</v>
      </c>
      <c r="N32" s="15" t="n">
        <v>365</v>
      </c>
      <c r="O32" s="15" t="n">
        <v>365</v>
      </c>
      <c r="P32" s="15" t="n">
        <v>365</v>
      </c>
      <c r="Q32" s="15" t="n">
        <v>366</v>
      </c>
      <c r="R32" s="15" t="n">
        <v>365</v>
      </c>
      <c r="S32" s="15" t="n">
        <v>365</v>
      </c>
      <c r="T32" s="15" t="n">
        <v>365</v>
      </c>
      <c r="U32" s="15" t="n">
        <v>182</v>
      </c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2" t="n"/>
      <c r="AJ32" s="2" t="n"/>
    </row>
    <row r="33">
      <c r="A33" s="2" t="inlineStr">
        <is>
          <t>Total Days to Maturity [days]</t>
        </is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>
        <f>P32+Q33</f>
        <v/>
      </c>
      <c r="Q33" s="15">
        <f>Q32+R33</f>
        <v/>
      </c>
      <c r="R33" s="15">
        <f>R32+S33</f>
        <v/>
      </c>
      <c r="S33" s="15">
        <f>S32+T33</f>
        <v/>
      </c>
      <c r="T33" s="15">
        <f>T32+U33</f>
        <v/>
      </c>
      <c r="U33" s="15">
        <f>U32</f>
        <v/>
      </c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2" t="n"/>
      <c r="AJ33" s="2" t="n"/>
    </row>
    <row r="34">
      <c r="A34" s="2" t="inlineStr">
        <is>
          <t>Opening Balance [$]</t>
        </is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2" t="n"/>
      <c r="AJ34" s="2" t="n"/>
    </row>
    <row r="35">
      <c r="A35" s="2" t="inlineStr">
        <is>
          <t>Principal Repayment [$]</t>
        </is>
      </c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2" t="n"/>
      <c r="AJ35" s="2" t="n"/>
    </row>
    <row r="36">
      <c r="A36" s="2" t="inlineStr">
        <is>
          <t>Interest Expense [$]</t>
        </is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2" t="n"/>
      <c r="AJ36" s="2" t="n"/>
    </row>
    <row r="37">
      <c r="A37" s="2" t="inlineStr">
        <is>
          <t>Closing Balance [$]</t>
        </is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2" t="n"/>
      <c r="AJ37" s="2" t="n"/>
    </row>
    <row r="38">
      <c r="A38" s="2" t="inlineStr">
        <is>
          <t>Arrangement Fee Amortization [$]</t>
        </is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2" t="n"/>
      <c r="AJ38" s="2" t="n"/>
    </row>
    <row r="39">
      <c r="A39" s="2" t="inlineStr">
        <is>
          <t>--- Part A DSCR Calculations ---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  <row r="40">
      <c r="A40" s="2" t="inlineStr">
        <is>
          <t>Project Cashflow (Apportioned) [$]</t>
        </is>
      </c>
      <c r="B40" s="2">
        <f>B11*(B16/B15)</f>
        <v/>
      </c>
      <c r="C40" s="2">
        <f>C11*(C16/C15)</f>
        <v/>
      </c>
      <c r="D40" s="2">
        <f>D11*(D16/D15)</f>
        <v/>
      </c>
      <c r="E40" s="2">
        <f>E11*(E16/E15)</f>
        <v/>
      </c>
      <c r="F40" s="2">
        <f>F11*(F16/F15)</f>
        <v/>
      </c>
      <c r="G40" s="2">
        <f>G11*(G16/G15)</f>
        <v/>
      </c>
      <c r="H40" s="2">
        <f>H11*(H16/H15)</f>
        <v/>
      </c>
      <c r="I40" s="2">
        <f>I11*(I16/I15)</f>
        <v/>
      </c>
      <c r="J40" s="2">
        <f>J11*(J16/J15)</f>
        <v/>
      </c>
      <c r="K40" s="2">
        <f>K11*(K16/K15)</f>
        <v/>
      </c>
      <c r="L40" s="2">
        <f>L11*(L16/L15)</f>
        <v/>
      </c>
      <c r="M40" s="2">
        <f>M11*(M16/M15)</f>
        <v/>
      </c>
      <c r="N40" s="2">
        <f>N11*(N16/N15)</f>
        <v/>
      </c>
      <c r="O40" s="2">
        <f>O11*(O16/O15)</f>
        <v/>
      </c>
      <c r="P40" s="2">
        <f>P11*(P16/P15)</f>
        <v/>
      </c>
      <c r="Q40" s="2">
        <f>Q11*(Q16/Q15)</f>
        <v/>
      </c>
      <c r="R40" s="2">
        <f>R11*(R16/R15)</f>
        <v/>
      </c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>
      <c r="A41" s="2" t="inlineStr">
        <is>
          <t>Debt Service (Part A) [$]</t>
        </is>
      </c>
      <c r="B41" s="2">
        <f>B14+B15</f>
        <v/>
      </c>
      <c r="C41" s="2">
        <f>C14+C15</f>
        <v/>
      </c>
      <c r="D41" s="2">
        <f>D14+D15</f>
        <v/>
      </c>
      <c r="E41" s="2">
        <f>E14+E15</f>
        <v/>
      </c>
      <c r="F41" s="2">
        <f>F14+F15</f>
        <v/>
      </c>
      <c r="G41" s="2">
        <f>G14+G15</f>
        <v/>
      </c>
      <c r="H41" s="2">
        <f>H14+H15</f>
        <v/>
      </c>
      <c r="I41" s="2">
        <f>I14+I15</f>
        <v/>
      </c>
      <c r="J41" s="2">
        <f>J14+J15</f>
        <v/>
      </c>
      <c r="K41" s="2">
        <f>K14+K15</f>
        <v/>
      </c>
      <c r="L41" s="2">
        <f>L14+L15</f>
        <v/>
      </c>
      <c r="M41" s="2">
        <f>M14+M15</f>
        <v/>
      </c>
      <c r="N41" s="2">
        <f>N14+N15</f>
        <v/>
      </c>
      <c r="O41" s="2">
        <f>O14+O15</f>
        <v/>
      </c>
      <c r="P41" s="2">
        <f>P14+P15</f>
        <v/>
      </c>
      <c r="Q41" s="2">
        <f>Q14+Q15</f>
        <v/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</row>
    <row r="42">
      <c r="A42" s="2" t="inlineStr">
        <is>
          <t>DSCR (Part A) [x]</t>
        </is>
      </c>
      <c r="B42" s="2">
        <f>IFERROR(B40/B41, 0)</f>
        <v/>
      </c>
      <c r="C42" s="2">
        <f>IFERROR(C40/C41, 0)</f>
        <v/>
      </c>
      <c r="D42" s="2">
        <f>IFERROR(D40/D41, 0)</f>
        <v/>
      </c>
      <c r="E42" s="2">
        <f>IFERROR(E40/E41, 0)</f>
        <v/>
      </c>
      <c r="F42" s="2">
        <f>IFERROR(F40/F41, 0)</f>
        <v/>
      </c>
      <c r="G42" s="2">
        <f>IFERROR(G40/G41, 0)</f>
        <v/>
      </c>
      <c r="H42" s="2">
        <f>IFERROR(H40/H41, 0)</f>
        <v/>
      </c>
      <c r="I42" s="2">
        <f>IFERROR(I40/I41, 0)</f>
        <v/>
      </c>
      <c r="J42" s="2">
        <f>IFERROR(J40/J41, 0)</f>
        <v/>
      </c>
      <c r="K42" s="2">
        <f>IFERROR(K40/K41, 0)</f>
        <v/>
      </c>
      <c r="L42" s="2">
        <f>IFERROR(L40/L41, 0)</f>
        <v/>
      </c>
      <c r="M42" s="2">
        <f>IFERROR(M40/M41, 0)</f>
        <v/>
      </c>
      <c r="N42" s="2">
        <f>IFERROR(N40/N41, 0)</f>
        <v/>
      </c>
      <c r="O42" s="2">
        <f>IFERROR(O40/O41, 0)</f>
        <v/>
      </c>
      <c r="P42" s="2">
        <f>IFERROR(P40/P41, 0)</f>
        <v/>
      </c>
      <c r="Q42" s="2">
        <f>IFERROR(Q40/Q41, 0)</f>
        <v/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2" t="inlineStr">
        <is>
          <t>Part B Calculations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</row>
    <row r="46">
      <c r="A46" s="2" t="inlineStr">
        <is>
          <t>Year</t>
        </is>
      </c>
      <c r="B46" s="2" t="n">
        <v>2017</v>
      </c>
      <c r="C46" s="2" t="n">
        <v>2018</v>
      </c>
      <c r="D46" s="2" t="n">
        <v>2019</v>
      </c>
      <c r="E46" s="2" t="n">
        <v>2020</v>
      </c>
      <c r="F46" s="2" t="n">
        <v>2021</v>
      </c>
      <c r="G46" s="2" t="n">
        <v>2022</v>
      </c>
      <c r="H46" s="2" t="n">
        <v>2023</v>
      </c>
      <c r="I46" s="2" t="n">
        <v>2024</v>
      </c>
      <c r="J46" s="2" t="n">
        <v>2025</v>
      </c>
      <c r="K46" s="2" t="n">
        <v>2026</v>
      </c>
      <c r="L46" s="2" t="n">
        <v>2027</v>
      </c>
      <c r="M46" s="2" t="n">
        <v>2028</v>
      </c>
      <c r="N46" s="2" t="n">
        <v>2029</v>
      </c>
      <c r="O46" s="2" t="n">
        <v>2030</v>
      </c>
      <c r="P46" s="2" t="n">
        <v>2031</v>
      </c>
      <c r="Q46" s="2" t="n">
        <v>2032</v>
      </c>
      <c r="R46" s="2" t="n">
        <v>2033</v>
      </c>
      <c r="S46" s="2" t="n">
        <v>2034</v>
      </c>
      <c r="T46" s="2" t="n">
        <v>2035</v>
      </c>
      <c r="U46" s="2" t="n">
        <v>2036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>
      <c r="A47" s="2" t="inlineStr">
        <is>
          <t>Project Cashflow [$]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</row>
    <row r="48">
      <c r="A48" s="2" t="inlineStr">
        <is>
          <t>Target Debt Service (DSCR=1.8) [$]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</row>
    <row r="49">
      <c r="A49" s="2" t="inlineStr">
        <is>
          <t>Discount Factor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</row>
    <row r="50">
      <c r="A50" s="2" t="inlineStr">
        <is>
          <t>Present Value of Debt Service [$]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2" t="n"/>
      <c r="B1" s="2" t="n"/>
      <c r="C1" s="2" t="n"/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inlineStr">
        <is>
          <t>What is the amount drawn for the refinancing debt in Part A?</t>
        </is>
      </c>
      <c r="C6" s="18">
        <f>'model_Workings'!B3</f>
        <v/>
      </c>
    </row>
    <row r="7">
      <c r="A7" s="2" t="n"/>
      <c r="B7" s="2" t="inlineStr">
        <is>
          <t>What is the refinance debt repayment amount on 31 December 2022 in Part A?</t>
        </is>
      </c>
      <c r="C7" s="18">
        <f>'model_Workings'!G26</f>
        <v/>
      </c>
    </row>
    <row r="8">
      <c r="A8" s="2" t="n"/>
      <c r="B8" s="2" t="inlineStr">
        <is>
          <t>What is the arrangement fee amortization in 2024?</t>
        </is>
      </c>
      <c r="C8" s="18">
        <f>'model_Workings'!I29</f>
        <v/>
      </c>
    </row>
    <row r="9">
      <c r="A9" s="2" t="n"/>
      <c r="B9" s="2" t="inlineStr">
        <is>
          <t>What is the total interest paid for the refinancing loan in Part A?</t>
        </is>
      </c>
      <c r="C9" s="18">
        <f>SUM('model_Workings'!B27:U27)</f>
        <v/>
      </c>
    </row>
    <row r="10">
      <c r="A10" s="2" t="n"/>
      <c r="B10" s="2" t="inlineStr">
        <is>
          <t>What is the dividend paid in 2034 in Part A?</t>
        </is>
      </c>
      <c r="C10" s="18">
        <f>'model_Financials'!AF24</f>
        <v/>
      </c>
    </row>
    <row r="11">
      <c r="A11" s="2" t="n"/>
      <c r="B11" s="2" t="inlineStr">
        <is>
          <t>What are the Net Assets on the balance sheet on 31 December 2020 in Part A?</t>
        </is>
      </c>
      <c r="C11" s="18">
        <f>'model_Financials'!R60</f>
        <v/>
      </c>
    </row>
    <row r="12">
      <c r="A12" s="2" t="n"/>
      <c r="B12" s="2" t="inlineStr">
        <is>
          <t>What is the average DSCR prior to amending the repayment mechanism?</t>
        </is>
      </c>
      <c r="C12" s="18" t="n"/>
    </row>
    <row r="13">
      <c r="A13" s="2" t="n"/>
      <c r="B13" s="2" t="inlineStr">
        <is>
          <t>What is the target debt service amount on 30 June 2036 in Part B?</t>
        </is>
      </c>
      <c r="C13" s="18" t="n"/>
    </row>
    <row r="14">
      <c r="A14" s="2" t="n"/>
      <c r="B14" s="2" t="inlineStr">
        <is>
          <t>What are the final 3 digits of the amount drawn in Part B?</t>
        </is>
      </c>
      <c r="C14" s="18" t="n"/>
    </row>
    <row r="15">
      <c r="A15" s="2" t="n"/>
      <c r="B15" s="2" t="inlineStr">
        <is>
          <t>What is the dividend made to the shareholders on 31 December 2016 in Part B?</t>
        </is>
      </c>
      <c r="C15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</cols>
  <sheetData>
    <row r="1">
      <c r="A1" s="27" t="inlineStr">
        <is>
          <t>Project Financial Statements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>
      <c r="A2" s="27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>
      <c r="A3" s="27" t="inlineStr">
        <is>
          <t>P&amp;L / Cashflow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inlineStr">
        <is>
          <t>Revenues [$]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</row>
    <row r="5">
      <c r="A5" s="2" t="inlineStr">
        <is>
          <t>Operating Costs [$]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</row>
    <row r="6">
      <c r="A6" s="2" t="inlineStr">
        <is>
          <t>Lifecycle Costs [$]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</row>
    <row r="7">
      <c r="A7" s="2" t="inlineStr">
        <is>
          <t>Project Cashflow [$]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</row>
    <row r="8">
      <c r="A8" s="2" t="inlineStr">
        <is>
          <t>Refinancing Principal [$]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>
        <f>'model_Workings'!B26</f>
        <v/>
      </c>
      <c r="P8" s="19">
        <f>'model_Workings'!C26</f>
        <v/>
      </c>
      <c r="Q8" s="19">
        <f>'model_Workings'!D26</f>
        <v/>
      </c>
      <c r="R8" s="19">
        <f>'model_Workings'!E26</f>
        <v/>
      </c>
      <c r="S8" s="19">
        <f>'model_Workings'!F26</f>
        <v/>
      </c>
      <c r="T8" s="19">
        <f>'model_Workings'!G26</f>
        <v/>
      </c>
      <c r="U8" s="19">
        <f>'model_Workings'!H26</f>
        <v/>
      </c>
      <c r="V8" s="19">
        <f>'model_Workings'!I26</f>
        <v/>
      </c>
      <c r="W8" s="19">
        <f>'model_Workings'!J26</f>
        <v/>
      </c>
      <c r="X8" s="19">
        <f>'model_Workings'!K26</f>
        <v/>
      </c>
      <c r="Y8" s="19">
        <f>'model_Workings'!L26</f>
        <v/>
      </c>
      <c r="Z8" s="19">
        <f>'model_Workings'!M26</f>
        <v/>
      </c>
      <c r="AA8" s="19">
        <f>'model_Workings'!N26</f>
        <v/>
      </c>
      <c r="AB8" s="19">
        <f>'model_Workings'!O26</f>
        <v/>
      </c>
      <c r="AC8" s="19">
        <f>'model_Workings'!P26</f>
        <v/>
      </c>
      <c r="AD8" s="19">
        <f>'model_Workings'!Q26</f>
        <v/>
      </c>
      <c r="AE8" s="19">
        <f>'model_Workings'!R26</f>
        <v/>
      </c>
      <c r="AF8" s="19">
        <f>'model_Workings'!S26</f>
        <v/>
      </c>
      <c r="AG8" s="19">
        <f>'model_Workings'!T26</f>
        <v/>
      </c>
      <c r="AH8" s="19">
        <f>'model_Workings'!U26</f>
        <v/>
      </c>
    </row>
    <row r="9">
      <c r="A9" s="2" t="inlineStr">
        <is>
          <t>Refinancing Interest [$]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>
        <f>'model_Workings'!B27</f>
        <v/>
      </c>
      <c r="P9" s="19">
        <f>'model_Workings'!C27</f>
        <v/>
      </c>
      <c r="Q9" s="19">
        <f>'model_Workings'!D27</f>
        <v/>
      </c>
      <c r="R9" s="19">
        <f>'model_Workings'!E27</f>
        <v/>
      </c>
      <c r="S9" s="19">
        <f>'model_Workings'!F27</f>
        <v/>
      </c>
      <c r="T9" s="19">
        <f>'model_Workings'!G27</f>
        <v/>
      </c>
      <c r="U9" s="19">
        <f>'model_Workings'!H27</f>
        <v/>
      </c>
      <c r="V9" s="19">
        <f>'model_Workings'!I27</f>
        <v/>
      </c>
      <c r="W9" s="19">
        <f>'model_Workings'!J27</f>
        <v/>
      </c>
      <c r="X9" s="19">
        <f>'model_Workings'!K27</f>
        <v/>
      </c>
      <c r="Y9" s="19">
        <f>'model_Workings'!L27</f>
        <v/>
      </c>
      <c r="Z9" s="19">
        <f>'model_Workings'!M27</f>
        <v/>
      </c>
      <c r="AA9" s="19">
        <f>'model_Workings'!N27</f>
        <v/>
      </c>
      <c r="AB9" s="19">
        <f>'model_Workings'!O27</f>
        <v/>
      </c>
      <c r="AC9" s="19">
        <f>'model_Workings'!P27</f>
        <v/>
      </c>
      <c r="AD9" s="19">
        <f>'model_Workings'!Q27</f>
        <v/>
      </c>
      <c r="AE9" s="19">
        <f>'model_Workings'!R27</f>
        <v/>
      </c>
      <c r="AF9" s="19">
        <f>'model_Workings'!S27</f>
        <v/>
      </c>
      <c r="AG9" s="19">
        <f>'model_Workings'!T27</f>
        <v/>
      </c>
      <c r="AH9" s="19">
        <f>'model_Workings'!U27</f>
        <v/>
      </c>
    </row>
    <row r="10">
      <c r="A10" s="2" t="inlineStr">
        <is>
          <t>Arrangement Fee (Cash) [$]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>
        <f>'model_Workings'!B4</f>
        <v/>
      </c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</row>
    <row r="11">
      <c r="A11" s="2" t="inlineStr">
        <is>
          <t>Dividends [$]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</row>
    <row r="12">
      <c r="A12" s="2" t="inlineStr">
        <is>
          <t>Net Profit [$]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</row>
    <row r="13">
      <c r="A13" s="2" t="inlineStr">
        <is>
          <t>Amortization of Fee [$]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>
        <f>'model_Workings'!B29</f>
        <v/>
      </c>
      <c r="P13" s="19">
        <f>'model_Workings'!C29</f>
        <v/>
      </c>
      <c r="Q13" s="19">
        <f>'model_Workings'!D29</f>
        <v/>
      </c>
      <c r="R13" s="19">
        <f>'model_Workings'!E29</f>
        <v/>
      </c>
      <c r="S13" s="19">
        <f>'model_Workings'!F29</f>
        <v/>
      </c>
      <c r="T13" s="19">
        <f>'model_Workings'!G29</f>
        <v/>
      </c>
      <c r="U13" s="19">
        <f>'model_Workings'!H29</f>
        <v/>
      </c>
      <c r="V13" s="19">
        <f>'model_Workings'!I29</f>
        <v/>
      </c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</row>
    <row r="14">
      <c r="A14" s="2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</row>
    <row r="15">
      <c r="A15" s="2" t="inlineStr">
        <is>
          <t>Balance Sheet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</row>
    <row r="16">
      <c r="A16" s="2" t="inlineStr">
        <is>
          <t>Fixed Assets [$]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</row>
    <row r="17">
      <c r="A17" s="2" t="inlineStr">
        <is>
          <t>Fee Asset [$]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</row>
    <row r="18">
      <c r="A18" s="2" t="inlineStr">
        <is>
          <t>Cash [$]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</row>
    <row r="19">
      <c r="A19" s="2" t="inlineStr">
        <is>
          <t>Refinancing Debt [$]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</row>
    <row r="20">
      <c r="A20" s="2" t="inlineStr">
        <is>
          <t>Net Assets [$]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</row>
    <row r="21">
      <c r="A21" s="2" t="inlineStr">
        <is>
          <t>Retained Earnings [$]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2026-08-16T10:50:19Z</dcterms:created>
  <dcterms:modified xsi:type="dcterms:W3CDTF">2026-08-16T16:23:23Z</dcterms:modified>
</cp:coreProperties>
</file>