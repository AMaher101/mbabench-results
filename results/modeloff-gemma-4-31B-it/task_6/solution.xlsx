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24" sheetId="3" state="visible" r:id="rId3"/>
    <sheet name="answers_Q25" sheetId="4" state="visible" r:id="rId4"/>
    <sheet name="answers_Q26" sheetId="5" state="visible" r:id="rId5"/>
    <sheet name="answers_Q27" sheetId="6" state="visible" r:id="rId6"/>
    <sheet name="answers_Q28" sheetId="7" state="visible" r:id="rId7"/>
    <sheet name="answers_Q29" sheetId="8" state="visible" r:id="rId8"/>
    <sheet name="answers_Q30" sheetId="9" state="visible" r:id="rId9"/>
    <sheet name="answers_Q31" sheetId="10" state="visible" r:id="rId10"/>
    <sheet name="answers_Q32" sheetId="11" state="visible" r:id="rId11"/>
    <sheet name="answers_Q33" sheetId="12" state="visible" r:id="rId12"/>
    <sheet name="answers_Q34" sheetId="13" state="visible" r:id="rId13"/>
    <sheet name="answers_Q35" sheetId="14" state="visible" r:id="rId14"/>
    <sheet name="answers_Q36" sheetId="15" state="visible" r:id="rId15"/>
    <sheet name="answers_Q37" sheetId="16" state="visible" r:id="rId16"/>
    <sheet name="model_Bruce" sheetId="17" state="visible" r:id="rId17"/>
    <sheet name="model_Earle" sheetId="18" state="visible" r:id="rId18"/>
    <sheet name="model_Rich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_);($#,##0)"/>
  </numFmts>
  <fonts count="7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2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theme="1"/>
      <sz val="14"/>
    </font>
  </fonts>
  <fills count="3">
    <fill>
      <patternFill/>
    </fill>
    <fill>
      <patternFill patternType="gray125"/>
    </fill>
    <fill>
      <patternFill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1" fillId="0" borderId="1" pivotButton="0" quotePrefix="0" xfId="0"/>
    <xf numFmtId="1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0" fontId="1" fillId="0" borderId="1" applyAlignment="1" pivotButton="0" quotePrefix="0" xfId="0">
      <alignment horizontal="right"/>
    </xf>
    <xf numFmtId="164" fontId="1" fillId="0" borderId="0" pivotButton="0" quotePrefix="0" xfId="0"/>
    <xf numFmtId="0" fontId="1" fillId="2" borderId="0" pivotButton="0" quotePrefix="0" xfId="0"/>
    <xf numFmtId="164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1" fillId="0" borderId="0" pivotButton="0" quotePrefix="0" xfId="0"/>
    <xf numFmtId="165" fontId="1" fillId="0" borderId="0" applyAlignment="1" pivotButton="0" quotePrefix="0" xfId="0">
      <alignment horizontal="right"/>
    </xf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25" t="inlineStr">
        <is>
          <t>Mortality Table (Currently 0)</t>
        </is>
      </c>
      <c r="B1" s="1" t="n"/>
    </row>
    <row r="2">
      <c r="A2" s="7" t="inlineStr">
        <is>
          <t>Age [years]</t>
        </is>
      </c>
      <c r="B2" s="7" t="inlineStr">
        <is>
          <t>Prob. Death [prob]</t>
        </is>
      </c>
    </row>
    <row r="3">
      <c r="A3" s="8" t="n">
        <v>0</v>
      </c>
      <c r="B3" s="9" t="n">
        <v>0.055</v>
      </c>
    </row>
    <row r="4">
      <c r="A4" s="8" t="n">
        <v>1</v>
      </c>
      <c r="B4" s="9" t="n">
        <v>0.04</v>
      </c>
    </row>
    <row r="5">
      <c r="A5" s="8" t="n">
        <v>2</v>
      </c>
      <c r="B5" s="9" t="n">
        <v>0.026</v>
      </c>
    </row>
    <row r="6">
      <c r="A6" s="8" t="n">
        <v>3</v>
      </c>
      <c r="B6" s="9" t="n">
        <v>0.023</v>
      </c>
    </row>
    <row r="7">
      <c r="A7" s="8" t="n">
        <v>4</v>
      </c>
      <c r="B7" s="9" t="n">
        <v>0.019</v>
      </c>
    </row>
    <row r="8">
      <c r="A8" s="8" t="n">
        <v>5</v>
      </c>
      <c r="B8" s="9" t="n">
        <v>0.019</v>
      </c>
    </row>
    <row r="9">
      <c r="A9" s="8" t="n">
        <v>6</v>
      </c>
      <c r="B9" s="9" t="n">
        <v>0.019</v>
      </c>
    </row>
    <row r="10">
      <c r="A10" s="8" t="n">
        <v>7</v>
      </c>
      <c r="B10" s="9" t="n">
        <v>0.02</v>
      </c>
    </row>
    <row r="11">
      <c r="A11" s="8" t="n">
        <v>8</v>
      </c>
      <c r="B11" s="9" t="n">
        <v>0.023</v>
      </c>
    </row>
    <row r="12">
      <c r="A12" s="8" t="n">
        <v>9</v>
      </c>
      <c r="B12" s="9" t="n">
        <v>0.027</v>
      </c>
    </row>
    <row r="13">
      <c r="A13" s="8" t="n">
        <v>10</v>
      </c>
      <c r="B13" s="9" t="n">
        <v>0.035</v>
      </c>
    </row>
    <row r="14">
      <c r="A14" s="8" t="n">
        <v>11</v>
      </c>
      <c r="B14" s="9" t="n">
        <v>0.04</v>
      </c>
    </row>
    <row r="15">
      <c r="A15" s="8" t="n">
        <v>12</v>
      </c>
      <c r="B15" s="9" t="n">
        <v>0.06</v>
      </c>
    </row>
    <row r="16">
      <c r="A16" s="8" t="n">
        <v>13</v>
      </c>
      <c r="B16" s="9" t="n">
        <v>0.07000000000000001</v>
      </c>
    </row>
    <row r="17">
      <c r="A17" s="8" t="n">
        <v>14</v>
      </c>
      <c r="B17" s="9" t="n">
        <v>0.08</v>
      </c>
    </row>
    <row r="18">
      <c r="A18" s="8" t="n">
        <v>15</v>
      </c>
      <c r="B18" s="9" t="n">
        <v>0.095</v>
      </c>
    </row>
    <row r="19">
      <c r="A19" s="8" t="n">
        <v>16</v>
      </c>
      <c r="B19" s="9" t="n">
        <v>0.094</v>
      </c>
    </row>
    <row r="20">
      <c r="A20" s="8" t="n">
        <v>17</v>
      </c>
      <c r="B20" s="9" t="n">
        <v>0.081</v>
      </c>
    </row>
    <row r="21">
      <c r="A21" s="8" t="n">
        <v>18</v>
      </c>
      <c r="B21" s="9" t="n">
        <v>0.075</v>
      </c>
    </row>
    <row r="22">
      <c r="A22" s="8" t="n">
        <v>19</v>
      </c>
      <c r="B22" s="9" t="n">
        <v>0.05</v>
      </c>
    </row>
    <row r="23">
      <c r="A23" s="8" t="n">
        <v>20</v>
      </c>
      <c r="B23" s="9" t="n">
        <v>0.0245</v>
      </c>
    </row>
    <row r="24">
      <c r="A24" s="8" t="n">
        <v>21</v>
      </c>
      <c r="B24" s="9" t="n">
        <v>0.01225</v>
      </c>
    </row>
    <row r="25">
      <c r="A25" s="8" t="n">
        <v>22</v>
      </c>
      <c r="B25" s="9" t="n">
        <v>0.006125</v>
      </c>
    </row>
    <row r="26">
      <c r="A26" s="8" t="n">
        <v>23</v>
      </c>
      <c r="B26" s="9" t="n">
        <v>0.006125</v>
      </c>
    </row>
    <row r="27">
      <c r="A27" s="8" t="n"/>
      <c r="B27" s="9" t="n"/>
    </row>
    <row r="28">
      <c r="A28" s="8" t="inlineStr">
        <is>
          <t>Lapse rate age &lt;= 10 [%]</t>
        </is>
      </c>
      <c r="B28" s="9" t="n">
        <v>0.03</v>
      </c>
    </row>
    <row r="29">
      <c r="A29" s="8" t="inlineStr">
        <is>
          <t>Lapse rate age &gt;= 11 [%]</t>
        </is>
      </c>
      <c r="B29" s="9" t="n">
        <v>0.01</v>
      </c>
    </row>
    <row r="30">
      <c r="A30" s="8" t="inlineStr">
        <is>
          <t>Admin Fee 2019 [$]</t>
        </is>
      </c>
      <c r="B30" s="20" t="n">
        <v>2.5</v>
      </c>
    </row>
    <row r="31">
      <c r="A31" s="8" t="inlineStr">
        <is>
          <t>Expense Inflation [%]</t>
        </is>
      </c>
      <c r="B31" s="9" t="n">
        <v>0.02</v>
      </c>
    </row>
    <row r="32">
      <c r="A32" s="8" t="inlineStr">
        <is>
          <t>Wrap-up Fee [$]</t>
        </is>
      </c>
      <c r="B32" s="20" t="n">
        <v>20</v>
      </c>
    </row>
    <row r="33">
      <c r="A33" s="8" t="inlineStr">
        <is>
          <t>Capital Discount Rate [%]</t>
        </is>
      </c>
      <c r="B33" s="9" t="n">
        <v>0.1</v>
      </c>
    </row>
    <row r="34">
      <c r="A34" s="8" t="inlineStr">
        <is>
          <t>Interest Rate [%]</t>
        </is>
      </c>
      <c r="B34" s="9" t="n">
        <v>0.03</v>
      </c>
    </row>
    <row r="35">
      <c r="A35" s="8" t="inlineStr">
        <is>
          <t>Transfer Discount Rate [%]</t>
        </is>
      </c>
      <c r="B35" s="9" t="n">
        <v>0.05</v>
      </c>
    </row>
    <row r="36">
      <c r="A36" s="8" t="n"/>
      <c r="B36" s="11" t="n"/>
    </row>
    <row r="37">
      <c r="A37" s="8" t="inlineStr">
        <is>
          <t>Bruce Age [years]</t>
        </is>
      </c>
      <c r="B37" s="11" t="n">
        <v>0</v>
      </c>
    </row>
    <row r="38">
      <c r="A38" s="8" t="inlineStr">
        <is>
          <t>Earle Age [years]</t>
        </is>
      </c>
      <c r="B38" s="11" t="n">
        <v>8</v>
      </c>
    </row>
    <row r="39">
      <c r="A39" s="8" t="inlineStr">
        <is>
          <t>Richard Age [years]</t>
        </is>
      </c>
      <c r="B39" s="11" t="n">
        <v>15</v>
      </c>
    </row>
    <row r="40">
      <c r="A40" s="8" t="n"/>
      <c r="B40" s="11" t="n"/>
    </row>
    <row r="41">
      <c r="A41" s="8" t="inlineStr">
        <is>
          <t>Bruce Cover [$]</t>
        </is>
      </c>
      <c r="B41" s="20" t="n">
        <v>1000</v>
      </c>
    </row>
    <row r="42">
      <c r="A42" s="8" t="inlineStr">
        <is>
          <t>Earle Cover [$]</t>
        </is>
      </c>
      <c r="B42" s="20" t="n">
        <v>750</v>
      </c>
    </row>
    <row r="43">
      <c r="A43" s="8" t="inlineStr">
        <is>
          <t>Riskier Investment Rate [%]</t>
        </is>
      </c>
      <c r="B43" s="9" t="n">
        <v>0.1</v>
      </c>
    </row>
    <row r="44">
      <c r="A44" s="1" t="inlineStr">
        <is>
          <t>Bruce Premium [$]</t>
        </is>
      </c>
      <c r="B44" s="21" t="n">
        <v>50</v>
      </c>
    </row>
    <row r="45">
      <c r="A45" s="1" t="inlineStr">
        <is>
          <t>Bruce Optimal Premium [$]</t>
        </is>
      </c>
      <c r="B4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3" customWidth="1" min="3" max="3"/>
    <col width="22" customWidth="1" min="4" max="4"/>
    <col width="12" customWidth="1" min="5" max="5"/>
  </cols>
  <sheetData>
    <row r="1">
      <c r="A1" s="2" t="inlineStr">
        <is>
          <t>Mortality Calculation</t>
        </is>
      </c>
      <c r="B1" s="1" t="n"/>
      <c r="C1" s="1" t="n"/>
      <c r="D1" s="1" t="n"/>
      <c r="E1" s="1" t="n"/>
    </row>
    <row r="2">
      <c r="A2" s="7" t="inlineStr">
        <is>
          <t>Age [years]</t>
        </is>
      </c>
      <c r="B2" s="7" t="inlineStr">
        <is>
          <t>Prob Death given 0 [prob]</t>
        </is>
      </c>
      <c r="C2" s="7" t="inlineStr">
        <is>
          <t>Cum Prob Death [prob]</t>
        </is>
      </c>
      <c r="D2" s="7" t="inlineStr">
        <is>
          <t>Survival Prob [prob]</t>
        </is>
      </c>
      <c r="E2" s="24" t="inlineStr">
        <is>
          <t>q_x [prob]</t>
        </is>
      </c>
    </row>
    <row r="3">
      <c r="A3" s="8" t="n">
        <v>0</v>
      </c>
      <c r="B3" s="14">
        <f>'model_Assumptions'!B3</f>
        <v/>
      </c>
      <c r="C3" s="15" t="n">
        <v>0.055</v>
      </c>
      <c r="D3" s="15" t="n">
        <v>0.945</v>
      </c>
      <c r="E3" s="12">
        <f>B3/1</f>
        <v/>
      </c>
    </row>
    <row r="4">
      <c r="A4" s="8" t="n">
        <v>1</v>
      </c>
      <c r="B4" s="14">
        <f>'model_Assumptions'!B4</f>
        <v/>
      </c>
      <c r="C4" s="15">
        <f>C3+B4</f>
        <v/>
      </c>
      <c r="D4" s="15">
        <f>1-C4</f>
        <v/>
      </c>
      <c r="E4" s="12">
        <f>B4/D3</f>
        <v/>
      </c>
    </row>
    <row r="5">
      <c r="A5" s="8" t="n">
        <v>2</v>
      </c>
      <c r="B5" s="14">
        <f>'model_Assumptions'!B5</f>
        <v/>
      </c>
      <c r="C5" s="15">
        <f>C4+B5</f>
        <v/>
      </c>
      <c r="D5" s="15">
        <f>1-C5</f>
        <v/>
      </c>
      <c r="E5" s="12">
        <f>B5/D4</f>
        <v/>
      </c>
    </row>
    <row r="6">
      <c r="A6" s="8" t="n">
        <v>3</v>
      </c>
      <c r="B6" s="14">
        <f>'model_Assumptions'!B6</f>
        <v/>
      </c>
      <c r="C6" s="15">
        <f>C5+B6</f>
        <v/>
      </c>
      <c r="D6" s="15">
        <f>1-C6</f>
        <v/>
      </c>
      <c r="E6" s="12">
        <f>B6/D5</f>
        <v/>
      </c>
    </row>
    <row r="7">
      <c r="A7" s="8" t="n">
        <v>4</v>
      </c>
      <c r="B7" s="14">
        <f>'model_Assumptions'!B7</f>
        <v/>
      </c>
      <c r="C7" s="15">
        <f>C6+B7</f>
        <v/>
      </c>
      <c r="D7" s="15">
        <f>1-C7</f>
        <v/>
      </c>
      <c r="E7" s="12">
        <f>B7/D6</f>
        <v/>
      </c>
    </row>
    <row r="8">
      <c r="A8" s="8" t="n">
        <v>5</v>
      </c>
      <c r="B8" s="14">
        <f>'model_Assumptions'!B8</f>
        <v/>
      </c>
      <c r="C8" s="15">
        <f>C7+B8</f>
        <v/>
      </c>
      <c r="D8" s="15">
        <f>1-C8</f>
        <v/>
      </c>
      <c r="E8" s="12">
        <f>B8/D7</f>
        <v/>
      </c>
    </row>
    <row r="9">
      <c r="A9" s="8" t="n">
        <v>6</v>
      </c>
      <c r="B9" s="14">
        <f>'model_Assumptions'!B9</f>
        <v/>
      </c>
      <c r="C9" s="15">
        <f>C8+B9</f>
        <v/>
      </c>
      <c r="D9" s="15">
        <f>1-C9</f>
        <v/>
      </c>
      <c r="E9" s="12">
        <f>B9/D8</f>
        <v/>
      </c>
    </row>
    <row r="10">
      <c r="A10" s="8" t="n">
        <v>7</v>
      </c>
      <c r="B10" s="14">
        <f>'model_Assumptions'!B10</f>
        <v/>
      </c>
      <c r="C10" s="15">
        <f>C9+B10</f>
        <v/>
      </c>
      <c r="D10" s="15">
        <f>1-C10</f>
        <v/>
      </c>
      <c r="E10" s="12">
        <f>B10/D9</f>
        <v/>
      </c>
    </row>
    <row r="11">
      <c r="A11" s="8" t="n">
        <v>8</v>
      </c>
      <c r="B11" s="14">
        <f>'model_Assumptions'!B11</f>
        <v/>
      </c>
      <c r="C11" s="15">
        <f>C10+B11</f>
        <v/>
      </c>
      <c r="D11" s="15">
        <f>1-C11</f>
        <v/>
      </c>
      <c r="E11" s="12">
        <f>B11/D10</f>
        <v/>
      </c>
    </row>
    <row r="12">
      <c r="A12" s="8" t="n">
        <v>9</v>
      </c>
      <c r="B12" s="14">
        <f>'model_Assumptions'!B12</f>
        <v/>
      </c>
      <c r="C12" s="15">
        <f>C11+B12</f>
        <v/>
      </c>
      <c r="D12" s="15">
        <f>1-C12</f>
        <v/>
      </c>
      <c r="E12" s="12">
        <f>B12/D11</f>
        <v/>
      </c>
    </row>
    <row r="13">
      <c r="A13" s="8" t="n">
        <v>10</v>
      </c>
      <c r="B13" s="14">
        <f>'model_Assumptions'!B13</f>
        <v/>
      </c>
      <c r="C13" s="15">
        <f>C12+B13</f>
        <v/>
      </c>
      <c r="D13" s="15">
        <f>1-C13</f>
        <v/>
      </c>
      <c r="E13" s="12">
        <f>B13/D12</f>
        <v/>
      </c>
    </row>
    <row r="14">
      <c r="A14" s="8" t="n">
        <v>11</v>
      </c>
      <c r="B14" s="14">
        <f>'model_Assumptions'!B14</f>
        <v/>
      </c>
      <c r="C14" s="15">
        <f>C13+B14</f>
        <v/>
      </c>
      <c r="D14" s="15">
        <f>1-C14</f>
        <v/>
      </c>
      <c r="E14" s="12">
        <f>B14/D13</f>
        <v/>
      </c>
    </row>
    <row r="15">
      <c r="A15" s="8" t="n">
        <v>12</v>
      </c>
      <c r="B15" s="14">
        <f>'model_Assumptions'!B15</f>
        <v/>
      </c>
      <c r="C15" s="15">
        <f>C14+B15</f>
        <v/>
      </c>
      <c r="D15" s="15">
        <f>1-C15</f>
        <v/>
      </c>
      <c r="E15" s="12">
        <f>B15/D14</f>
        <v/>
      </c>
    </row>
    <row r="16">
      <c r="A16" s="8" t="n">
        <v>13</v>
      </c>
      <c r="B16" s="14">
        <f>'model_Assumptions'!B16</f>
        <v/>
      </c>
      <c r="C16" s="15">
        <f>C15+B16</f>
        <v/>
      </c>
      <c r="D16" s="15">
        <f>1-C16</f>
        <v/>
      </c>
      <c r="E16" s="12">
        <f>B16/D15</f>
        <v/>
      </c>
    </row>
    <row r="17">
      <c r="A17" s="8" t="n">
        <v>14</v>
      </c>
      <c r="B17" s="14">
        <f>'model_Assumptions'!B17</f>
        <v/>
      </c>
      <c r="C17" s="15">
        <f>C16+B17</f>
        <v/>
      </c>
      <c r="D17" s="15">
        <f>1-C17</f>
        <v/>
      </c>
      <c r="E17" s="12">
        <f>B17/D16</f>
        <v/>
      </c>
    </row>
    <row r="18">
      <c r="A18" s="8" t="n">
        <v>15</v>
      </c>
      <c r="B18" s="14">
        <f>'model_Assumptions'!B18</f>
        <v/>
      </c>
      <c r="C18" s="15">
        <f>C17+B18</f>
        <v/>
      </c>
      <c r="D18" s="15">
        <f>1-C18</f>
        <v/>
      </c>
      <c r="E18" s="12">
        <f>B18/D17</f>
        <v/>
      </c>
    </row>
    <row r="19">
      <c r="A19" s="8" t="n">
        <v>16</v>
      </c>
      <c r="B19" s="14">
        <f>'model_Assumptions'!B19</f>
        <v/>
      </c>
      <c r="C19" s="15">
        <f>C18+B19</f>
        <v/>
      </c>
      <c r="D19" s="15">
        <f>1-C19</f>
        <v/>
      </c>
      <c r="E19" s="12">
        <f>B19/D18</f>
        <v/>
      </c>
    </row>
    <row r="20">
      <c r="A20" s="8" t="n">
        <v>17</v>
      </c>
      <c r="B20" s="14">
        <f>'model_Assumptions'!B20</f>
        <v/>
      </c>
      <c r="C20" s="15">
        <f>C19+B20</f>
        <v/>
      </c>
      <c r="D20" s="15">
        <f>1-C20</f>
        <v/>
      </c>
      <c r="E20" s="12">
        <f>B20/D19</f>
        <v/>
      </c>
    </row>
    <row r="21">
      <c r="A21" s="8" t="n">
        <v>18</v>
      </c>
      <c r="B21" s="14">
        <f>'model_Assumptions'!B21</f>
        <v/>
      </c>
      <c r="C21" s="15">
        <f>C20+B21</f>
        <v/>
      </c>
      <c r="D21" s="15">
        <f>1-C21</f>
        <v/>
      </c>
      <c r="E21" s="12">
        <f>B21/D20</f>
        <v/>
      </c>
    </row>
    <row r="22">
      <c r="A22" s="8" t="n">
        <v>19</v>
      </c>
      <c r="B22" s="14">
        <f>'model_Assumptions'!B22</f>
        <v/>
      </c>
      <c r="C22" s="15">
        <f>C21+B22</f>
        <v/>
      </c>
      <c r="D22" s="15">
        <f>1-C22</f>
        <v/>
      </c>
      <c r="E22" s="12">
        <f>B22/D21</f>
        <v/>
      </c>
    </row>
    <row r="23">
      <c r="A23" s="8" t="n">
        <v>20</v>
      </c>
      <c r="B23" s="14">
        <f>'model_Assumptions'!B23</f>
        <v/>
      </c>
      <c r="C23" s="15">
        <f>C22+B23</f>
        <v/>
      </c>
      <c r="D23" s="15">
        <f>1-C23</f>
        <v/>
      </c>
      <c r="E23" s="12">
        <f>B23/D22</f>
        <v/>
      </c>
    </row>
    <row r="24">
      <c r="A24" s="8" t="n">
        <v>21</v>
      </c>
      <c r="B24" s="14">
        <f>'model_Assumptions'!B24</f>
        <v/>
      </c>
      <c r="C24" s="15">
        <f>C23+B24</f>
        <v/>
      </c>
      <c r="D24" s="15">
        <f>1-C24</f>
        <v/>
      </c>
      <c r="E24" s="12">
        <f>B24/D23</f>
        <v/>
      </c>
    </row>
    <row r="25">
      <c r="A25" s="8" t="n">
        <v>22</v>
      </c>
      <c r="B25" s="14">
        <f>'model_Assumptions'!B25</f>
        <v/>
      </c>
      <c r="C25" s="15">
        <f>C24+B25</f>
        <v/>
      </c>
      <c r="D25" s="15">
        <f>1-C25</f>
        <v/>
      </c>
      <c r="E25" s="12">
        <f>B25/D24</f>
        <v/>
      </c>
    </row>
    <row r="26">
      <c r="A26" s="8" t="n">
        <v>23</v>
      </c>
      <c r="B26" s="14">
        <f>'model_Assumptions'!B26</f>
        <v/>
      </c>
      <c r="C26" s="15">
        <f>C25+B26</f>
        <v/>
      </c>
      <c r="D26" s="15">
        <f>1-C26</f>
        <v/>
      </c>
      <c r="E26" s="12">
        <f>B26/D25</f>
        <v/>
      </c>
    </row>
    <row r="27">
      <c r="A27" s="1" t="inlineStr">
        <is>
          <t>24</t>
        </is>
      </c>
      <c r="B27" s="1" t="n">
        <v>0.006125</v>
      </c>
      <c r="C27" s="1">
        <f>C26+B27</f>
        <v/>
      </c>
      <c r="D27" s="1">
        <f>1-C27</f>
        <v/>
      </c>
      <c r="E27" s="1">
        <f>B27/D26</f>
        <v/>
      </c>
    </row>
    <row r="28">
      <c r="A28" s="1" t="inlineStr">
        <is>
          <t>25</t>
        </is>
      </c>
      <c r="B28" s="1" t="n">
        <v>0.006125</v>
      </c>
      <c r="C28" s="1">
        <f>C27+B28</f>
        <v/>
      </c>
      <c r="D28" s="1">
        <f>1-C28</f>
        <v/>
      </c>
      <c r="E28" s="1">
        <f>B28/D27</f>
        <v/>
      </c>
    </row>
    <row r="29">
      <c r="A29" s="1" t="inlineStr">
        <is>
          <t>26</t>
        </is>
      </c>
      <c r="B29" s="1" t="n">
        <v>0.006125</v>
      </c>
      <c r="C29" s="1">
        <f>C28+B29</f>
        <v/>
      </c>
      <c r="D29" s="1">
        <f>1-C29</f>
        <v/>
      </c>
      <c r="E29" s="1">
        <f>B29/D28</f>
        <v/>
      </c>
    </row>
    <row r="30">
      <c r="A30" s="1" t="inlineStr">
        <is>
          <t>27</t>
        </is>
      </c>
      <c r="B30" s="1" t="n">
        <v>0.006125</v>
      </c>
      <c r="C30" s="1">
        <f>C29+B30</f>
        <v/>
      </c>
      <c r="D30" s="1">
        <f>1-C30</f>
        <v/>
      </c>
      <c r="E30" s="1">
        <f>B30/D29</f>
        <v/>
      </c>
    </row>
    <row r="31">
      <c r="A31" s="1" t="inlineStr">
        <is>
          <t>28</t>
        </is>
      </c>
      <c r="B31" s="1" t="n">
        <v>0.006125</v>
      </c>
      <c r="C31" s="1">
        <f>C30+B31</f>
        <v/>
      </c>
      <c r="D31" s="1">
        <f>1-C31</f>
        <v/>
      </c>
      <c r="E31" s="1">
        <f>B31/D30</f>
        <v/>
      </c>
    </row>
    <row r="32">
      <c r="A32" s="1" t="inlineStr">
        <is>
          <t>29</t>
        </is>
      </c>
      <c r="B32" s="1" t="n">
        <v>0.006125</v>
      </c>
      <c r="C32" s="1">
        <f>C31+B32</f>
        <v/>
      </c>
      <c r="D32" s="1">
        <f>1-C32</f>
        <v/>
      </c>
      <c r="E32" s="1">
        <f>B32/D31</f>
        <v/>
      </c>
    </row>
    <row r="33">
      <c r="A33" s="1" t="inlineStr">
        <is>
          <t>30</t>
        </is>
      </c>
      <c r="B33" s="1" t="n">
        <v>0.006125</v>
      </c>
      <c r="C33" s="1">
        <f>C32+B33</f>
        <v/>
      </c>
      <c r="D33" s="1">
        <f>1-C33</f>
        <v/>
      </c>
      <c r="E33" s="1">
        <f>B33/D32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4" customWidth="1" min="5" max="5"/>
    <col width="15" customWidth="1" min="6" max="6"/>
    <col width="15" customWidth="1" min="7" max="7"/>
    <col width="17" customWidth="1" min="8" max="8"/>
    <col width="13" customWidth="1" min="9" max="9"/>
    <col width="14" customWidth="1" min="10" max="10"/>
    <col width="14" customWidth="1" min="11" max="11"/>
    <col width="21" customWidth="1" min="12" max="12"/>
  </cols>
  <sheetData>
    <row r="1">
      <c r="A1" s="25" t="inlineStr">
        <is>
          <t>Bruce Policy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" t="inlineStr">
        <is>
          <t>Year</t>
        </is>
      </c>
      <c r="B2" s="3" t="inlineStr">
        <is>
          <t>Age</t>
        </is>
      </c>
      <c r="C2" s="3" t="inlineStr">
        <is>
          <t>S_t [prob]</t>
        </is>
      </c>
      <c r="D2" s="3" t="inlineStr">
        <is>
          <t>P_t [prob]</t>
        </is>
      </c>
      <c r="E2" s="3" t="inlineStr">
        <is>
          <t>Exp Prem [$]</t>
        </is>
      </c>
      <c r="F2" s="3" t="inlineStr">
        <is>
          <t>Exp Admin [$]</t>
        </is>
      </c>
      <c r="G2" s="3" t="inlineStr">
        <is>
          <t>Exp Claim [$]</t>
        </is>
      </c>
      <c r="H2" s="3" t="inlineStr">
        <is>
          <t>Exp Wrap-up [$]</t>
        </is>
      </c>
      <c r="I2" s="3" t="inlineStr">
        <is>
          <t>Reg Cap [S]</t>
        </is>
      </c>
      <c r="J2" s="3" t="inlineStr">
        <is>
          <t>Interest [$]</t>
        </is>
      </c>
      <c r="K2" s="3" t="inlineStr">
        <is>
          <t>Transfer [$]</t>
        </is>
      </c>
      <c r="L2" s="3" t="inlineStr">
        <is>
          <t>Cash flow pre-T [$]</t>
        </is>
      </c>
    </row>
    <row r="3">
      <c r="A3" s="1" t="n">
        <v>0</v>
      </c>
      <c r="B3" s="1" t="n">
        <v>0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2026-08-15T22:31:46Z</dcterms:created>
  <dcterms:modified xsi:type="dcterms:W3CDTF">2026-08-16T01:19:16Z</dcterms:modified>
</cp:coreProperties>
</file>