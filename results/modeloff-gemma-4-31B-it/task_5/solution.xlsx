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ssumptions" sheetId="1" state="visible" r:id="rId1"/>
    <sheet name="model_Workings" sheetId="2" state="visible" r:id="rId2"/>
    <sheet name="answers_Q28" sheetId="3" state="visible" r:id="rId3"/>
    <sheet name="answers_Q29" sheetId="4" state="visible" r:id="rId4"/>
    <sheet name="answers_Q30" sheetId="5" state="visible" r:id="rId5"/>
    <sheet name="answers_Q31" sheetId="6" state="visible" r:id="rId6"/>
    <sheet name="answers_Q32" sheetId="7" state="visible" r:id="rId7"/>
    <sheet name="answers_Q33" sheetId="8" state="visible" r:id="rId8"/>
    <sheet name="answers_Q34" sheetId="9" state="visible" r:id="rId9"/>
    <sheet name="answers_Q35" sheetId="10" state="visible" r:id="rId10"/>
    <sheet name="answers_Q36" sheetId="11" state="visible" r:id="rId11"/>
    <sheet name="answers_Q37" sheetId="12" state="visible" r:id="rId12"/>
    <sheet name="model_DB" sheetId="13" state="visible" r:id="rId13"/>
    <sheet name="model_SL" sheetId="14" state="visible" r:id="rId14"/>
    <sheet name="model_UOP" sheetId="15" state="visible" r:id="rId15"/>
    <sheet name="model_SY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_);($#,##0)"/>
  </numFmts>
  <fonts count="5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color rgb="00008000"/>
      <sz val="11"/>
    </font>
  </fonts>
  <fills count="4">
    <fill>
      <patternFill/>
    </fill>
    <fill>
      <patternFill patternType="gray125"/>
    </fill>
    <fill>
      <patternFill>
        <fgColor rgb="00002060"/>
        <bgColor rgb="00002060"/>
      </patternFill>
    </fill>
    <fill>
      <patternFill>
        <fgColor rgb="001F4E78"/>
        <bgColor rgb="001F4E78"/>
      </patternFill>
    </fill>
  </fills>
  <borders count="2">
    <border>
      <left/>
      <right/>
      <top/>
      <bottom/>
      <diagonal/>
    </border>
    <border>
      <left/>
      <right/>
      <top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2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165" fontId="4" fillId="0" borderId="0" applyAlignment="1" pivotButton="0" quotePrefix="0" xfId="0">
      <alignment horizontal="right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8" t="inlineStr">
        <is>
          <t>General Assumptions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" t="inlineStr">
        <is>
          <t>Tax Rate [%]</t>
        </is>
      </c>
      <c r="B2" s="4" t="n">
        <v>0.32</v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>
      <c r="A3" s="1" t="inlineStr">
        <is>
          <t>Inflation Rate [%]</t>
        </is>
      </c>
      <c r="B3" s="4" t="n">
        <v>0.02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>
      <c r="A4" s="1" t="inlineStr">
        <is>
          <t>Discount Rate [%]</t>
        </is>
      </c>
      <c r="B4" s="4" t="n">
        <v>0.11</v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" t="inlineStr">
        <is>
          <t>Useful Life Multiplier [x]</t>
        </is>
      </c>
      <c r="B5" s="3" t="n">
        <v>1</v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>
      <c r="A7" s="8" t="inlineStr">
        <is>
          <t>Capital Expenditure (Real) [$m]</t>
        </is>
      </c>
      <c r="B7" s="8" t="inlineStr">
        <is>
          <t>2017</t>
        </is>
      </c>
      <c r="C7" s="8" t="inlineStr">
        <is>
          <t>2018</t>
        </is>
      </c>
      <c r="D7" s="8" t="inlineStr">
        <is>
          <t>2019</t>
        </is>
      </c>
      <c r="E7" s="8" t="inlineStr">
        <is>
          <t>2020</t>
        </is>
      </c>
      <c r="F7" s="8" t="inlineStr">
        <is>
          <t>2021</t>
        </is>
      </c>
      <c r="G7" s="8" t="inlineStr">
        <is>
          <t>2022</t>
        </is>
      </c>
      <c r="H7" s="8" t="inlineStr">
        <is>
          <t>2023</t>
        </is>
      </c>
      <c r="I7" s="8" t="inlineStr">
        <is>
          <t>2024</t>
        </is>
      </c>
      <c r="J7" s="8" t="inlineStr">
        <is>
          <t>2025</t>
        </is>
      </c>
      <c r="K7" s="8" t="inlineStr">
        <is>
          <t>2026</t>
        </is>
      </c>
      <c r="L7" s="8" t="inlineStr">
        <is>
          <t>2027</t>
        </is>
      </c>
      <c r="M7" s="8" t="inlineStr">
        <is>
          <t>2028</t>
        </is>
      </c>
      <c r="N7" s="8" t="inlineStr">
        <is>
          <t>2029</t>
        </is>
      </c>
      <c r="O7" s="8" t="inlineStr">
        <is>
          <t>2030</t>
        </is>
      </c>
      <c r="P7" s="8" t="inlineStr">
        <is>
          <t>2031</t>
        </is>
      </c>
      <c r="Q7" s="8" t="inlineStr">
        <is>
          <t>2032</t>
        </is>
      </c>
      <c r="R7" s="8" t="inlineStr">
        <is>
          <t>2033</t>
        </is>
      </c>
      <c r="S7" s="8" t="inlineStr">
        <is>
          <t>2034</t>
        </is>
      </c>
      <c r="T7" s="8" t="inlineStr">
        <is>
          <t>2035</t>
        </is>
      </c>
      <c r="U7" s="8" t="inlineStr">
        <is>
          <t>2036</t>
        </is>
      </c>
    </row>
    <row r="8">
      <c r="A8" s="1" t="inlineStr">
        <is>
          <t>Class A</t>
        </is>
      </c>
      <c r="B8" s="5" t="n">
        <v>30</v>
      </c>
      <c r="C8" s="5" t="n">
        <v>35</v>
      </c>
      <c r="D8" s="5" t="n">
        <v>40</v>
      </c>
      <c r="E8" s="5" t="n">
        <v>45</v>
      </c>
      <c r="F8" s="5" t="n">
        <v>50</v>
      </c>
      <c r="G8" s="5" t="n">
        <v>55</v>
      </c>
      <c r="H8" s="5" t="n">
        <v>60</v>
      </c>
      <c r="I8" s="5" t="n">
        <v>65</v>
      </c>
      <c r="J8" s="5" t="n">
        <v>70</v>
      </c>
      <c r="K8" s="5" t="n">
        <v>65</v>
      </c>
      <c r="L8" s="5" t="n">
        <v>60</v>
      </c>
      <c r="M8" s="5" t="n">
        <v>55</v>
      </c>
      <c r="N8" s="5" t="n">
        <v>40</v>
      </c>
      <c r="O8" s="5" t="n">
        <v>45</v>
      </c>
      <c r="P8" s="5" t="n">
        <v>40</v>
      </c>
      <c r="Q8" s="5" t="n">
        <v>35</v>
      </c>
      <c r="R8" s="5" t="n">
        <v>30</v>
      </c>
      <c r="S8" s="5" t="n">
        <v>25</v>
      </c>
      <c r="T8" s="5" t="n">
        <v>20</v>
      </c>
      <c r="U8" s="5" t="n">
        <v>15</v>
      </c>
    </row>
    <row r="9">
      <c r="A9" s="1" t="inlineStr">
        <is>
          <t>Class B</t>
        </is>
      </c>
      <c r="B9" s="5" t="n">
        <v>5</v>
      </c>
      <c r="C9" s="5" t="n">
        <v>10</v>
      </c>
      <c r="D9" s="5" t="n">
        <v>15</v>
      </c>
      <c r="E9" s="5" t="n">
        <v>20</v>
      </c>
      <c r="F9" s="5" t="n">
        <v>25</v>
      </c>
      <c r="G9" s="5" t="n">
        <v>30</v>
      </c>
      <c r="H9" s="5" t="n">
        <v>35</v>
      </c>
      <c r="I9" s="5" t="n">
        <v>40</v>
      </c>
      <c r="J9" s="5" t="n">
        <v>45</v>
      </c>
      <c r="K9" s="5" t="n">
        <v>50</v>
      </c>
      <c r="L9" s="5" t="n">
        <v>55</v>
      </c>
      <c r="M9" s="5" t="n">
        <v>60</v>
      </c>
      <c r="N9" s="5" t="n">
        <v>65</v>
      </c>
      <c r="O9" s="5" t="n">
        <v>70</v>
      </c>
      <c r="P9" s="5" t="n">
        <v>75</v>
      </c>
      <c r="Q9" s="5" t="n">
        <v>80</v>
      </c>
      <c r="R9" s="5" t="n">
        <v>85</v>
      </c>
      <c r="S9" s="5" t="n">
        <v>90</v>
      </c>
      <c r="T9" s="5" t="n">
        <v>95</v>
      </c>
      <c r="U9" s="5" t="n">
        <v>100</v>
      </c>
    </row>
    <row r="10">
      <c r="A10" s="1" t="inlineStr">
        <is>
          <t>Class C</t>
        </is>
      </c>
      <c r="B10" s="5" t="n">
        <v>80</v>
      </c>
      <c r="C10" s="5" t="n">
        <v>77</v>
      </c>
      <c r="D10" s="5" t="n">
        <v>74</v>
      </c>
      <c r="E10" s="5" t="n">
        <v>71</v>
      </c>
      <c r="F10" s="5" t="n">
        <v>68</v>
      </c>
      <c r="G10" s="5" t="n">
        <v>65</v>
      </c>
      <c r="H10" s="5" t="n">
        <v>62</v>
      </c>
      <c r="I10" s="5" t="n">
        <v>59</v>
      </c>
      <c r="J10" s="5" t="n">
        <v>56</v>
      </c>
      <c r="K10" s="5" t="n">
        <v>53</v>
      </c>
      <c r="L10" s="5" t="n">
        <v>50</v>
      </c>
      <c r="M10" s="5" t="n">
        <v>47</v>
      </c>
      <c r="N10" s="5" t="n">
        <v>44</v>
      </c>
      <c r="O10" s="5" t="n">
        <v>41</v>
      </c>
      <c r="P10" s="5" t="n">
        <v>38</v>
      </c>
      <c r="Q10" s="5" t="n">
        <v>35</v>
      </c>
      <c r="R10" s="5" t="n">
        <v>32</v>
      </c>
      <c r="S10" s="5" t="n">
        <v>29</v>
      </c>
      <c r="T10" s="5" t="n">
        <v>26</v>
      </c>
      <c r="U10" s="5" t="n">
        <v>23</v>
      </c>
    </row>
    <row r="11">
      <c r="A11" s="1" t="inlineStr">
        <is>
          <t>Class D</t>
        </is>
      </c>
      <c r="B11" s="5" t="n">
        <v>200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200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200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200</v>
      </c>
      <c r="U11" s="5" t="n">
        <v>0</v>
      </c>
    </row>
    <row r="12">
      <c r="A12" s="1" t="inlineStr">
        <is>
          <t>Class E</t>
        </is>
      </c>
      <c r="B12" s="5" t="n">
        <v>30</v>
      </c>
      <c r="C12" s="5" t="n">
        <v>20</v>
      </c>
      <c r="D12" s="5" t="n">
        <v>22</v>
      </c>
      <c r="E12" s="5" t="n">
        <v>22</v>
      </c>
      <c r="F12" s="5" t="n">
        <v>22</v>
      </c>
      <c r="G12" s="5" t="n">
        <v>25</v>
      </c>
      <c r="H12" s="5" t="n">
        <v>22</v>
      </c>
      <c r="I12" s="5" t="n">
        <v>24</v>
      </c>
      <c r="J12" s="5" t="n">
        <v>29</v>
      </c>
      <c r="K12" s="5" t="n">
        <v>22</v>
      </c>
      <c r="L12" s="5" t="n">
        <v>27</v>
      </c>
      <c r="M12" s="5" t="n">
        <v>21</v>
      </c>
      <c r="N12" s="5" t="n">
        <v>29</v>
      </c>
      <c r="O12" s="5" t="n">
        <v>27</v>
      </c>
      <c r="P12" s="5" t="n">
        <v>30</v>
      </c>
      <c r="Q12" s="5" t="n">
        <v>29</v>
      </c>
      <c r="R12" s="5" t="n">
        <v>22</v>
      </c>
      <c r="S12" s="5" t="n">
        <v>26</v>
      </c>
      <c r="T12" s="5" t="n">
        <v>30</v>
      </c>
      <c r="U12" s="5" t="n">
        <v>21</v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1" t="inlineStr">
        <is>
          <t>Asset Profiles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8" t="inlineStr">
        <is>
          <t>Class</t>
        </is>
      </c>
      <c r="B15" s="8" t="inlineStr">
        <is>
          <t>DB Rate [%]</t>
        </is>
      </c>
      <c r="C15" s="8" t="inlineStr">
        <is>
          <t>Life [y]</t>
        </is>
      </c>
      <c r="D15" s="8" t="inlineStr">
        <is>
          <t>SYD Life [y]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1" t="inlineStr">
        <is>
          <t>Class A</t>
        </is>
      </c>
      <c r="B16" s="4" t="n">
        <v>0.4</v>
      </c>
      <c r="C16" s="3" t="n">
        <v>12</v>
      </c>
      <c r="D16" s="3" t="n">
        <v>12</v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inlineStr">
        <is>
          <t>Class B</t>
        </is>
      </c>
      <c r="B17" s="4" t="n">
        <v>0.05</v>
      </c>
      <c r="C17" s="3" t="n">
        <v>9</v>
      </c>
      <c r="D17" s="3" t="n">
        <v>9</v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1" t="inlineStr">
        <is>
          <t>Class C</t>
        </is>
      </c>
      <c r="B18" s="4" t="n">
        <v>0.15</v>
      </c>
      <c r="C18" s="3" t="n">
        <v>7</v>
      </c>
      <c r="D18" s="3" t="n">
        <v>7</v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1" t="inlineStr">
        <is>
          <t>Class D</t>
        </is>
      </c>
      <c r="B19" s="4" t="n">
        <v>0.2</v>
      </c>
      <c r="C19" s="3" t="n">
        <v>15</v>
      </c>
      <c r="D19" s="3" t="n">
        <v>15</v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1" t="inlineStr">
        <is>
          <t>Class E</t>
        </is>
      </c>
      <c r="B20" s="4" t="n">
        <v>0.15</v>
      </c>
      <c r="C20" s="3" t="n">
        <v>24</v>
      </c>
      <c r="D20" s="3" t="n">
        <v>24</v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>
      <c r="A22" s="8" t="inlineStr">
        <is>
          <t>Units of Production Profile (%)</t>
        </is>
      </c>
      <c r="B22" s="8" t="inlineStr">
        <is>
          <t>Yr1</t>
        </is>
      </c>
      <c r="C22" s="8" t="inlineStr">
        <is>
          <t>Yr2</t>
        </is>
      </c>
      <c r="D22" s="8" t="inlineStr">
        <is>
          <t>Yr3</t>
        </is>
      </c>
      <c r="E22" s="8" t="inlineStr">
        <is>
          <t>Yr4</t>
        </is>
      </c>
      <c r="F22" s="8" t="inlineStr">
        <is>
          <t>Yr5</t>
        </is>
      </c>
      <c r="G22" s="8" t="inlineStr">
        <is>
          <t>Yr6</t>
        </is>
      </c>
      <c r="H22" s="8" t="inlineStr">
        <is>
          <t>Yr7</t>
        </is>
      </c>
      <c r="I22" s="8" t="inlineStr">
        <is>
          <t>Yr8</t>
        </is>
      </c>
      <c r="J22" s="8" t="inlineStr">
        <is>
          <t>Yr9</t>
        </is>
      </c>
      <c r="K22" s="8" t="inlineStr">
        <is>
          <t>Yr10</t>
        </is>
      </c>
      <c r="L22" s="8" t="inlineStr">
        <is>
          <t>Yr11</t>
        </is>
      </c>
      <c r="M22" s="8" t="inlineStr">
        <is>
          <t>Yr12</t>
        </is>
      </c>
      <c r="N22" s="8" t="inlineStr">
        <is>
          <t>Yr13</t>
        </is>
      </c>
      <c r="O22" s="8" t="inlineStr">
        <is>
          <t>Yr14</t>
        </is>
      </c>
      <c r="P22" s="8" t="inlineStr">
        <is>
          <t>Yr15</t>
        </is>
      </c>
      <c r="Q22" s="8" t="inlineStr">
        <is>
          <t>Yr16</t>
        </is>
      </c>
      <c r="R22" s="8" t="inlineStr">
        <is>
          <t>Yr17</t>
        </is>
      </c>
      <c r="S22" s="8" t="inlineStr">
        <is>
          <t>Yr18</t>
        </is>
      </c>
      <c r="T22" s="8" t="inlineStr">
        <is>
          <t>Yr19</t>
        </is>
      </c>
      <c r="U22" s="8" t="inlineStr">
        <is>
          <t>Yr20</t>
        </is>
      </c>
    </row>
    <row r="23">
      <c r="A23" s="1" t="inlineStr">
        <is>
          <t>Class A</t>
        </is>
      </c>
      <c r="B23" s="4" t="n">
        <v>0.15</v>
      </c>
      <c r="C23" s="4" t="n">
        <v>0.13</v>
      </c>
      <c r="D23" s="4" t="n">
        <v>0.11</v>
      </c>
      <c r="E23" s="4" t="n">
        <v>0.08</v>
      </c>
      <c r="F23" s="4" t="n">
        <v>0.02</v>
      </c>
      <c r="G23" s="4" t="n">
        <v>0.12</v>
      </c>
      <c r="H23" s="4" t="n">
        <v>0.03</v>
      </c>
      <c r="I23" s="4" t="n">
        <v>0.08</v>
      </c>
      <c r="J23" s="4" t="n">
        <v>0.06</v>
      </c>
      <c r="K23" s="4" t="n">
        <v>0.01</v>
      </c>
      <c r="L23" s="4" t="n">
        <v>0.13</v>
      </c>
      <c r="M23" s="4" t="n">
        <v>0.08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</row>
    <row r="24">
      <c r="A24" s="1" t="inlineStr">
        <is>
          <t>Class B</t>
        </is>
      </c>
      <c r="B24" s="4" t="n">
        <v>0.14</v>
      </c>
      <c r="C24" s="4" t="n">
        <v>0.22</v>
      </c>
      <c r="D24" s="4" t="n">
        <v>0.1</v>
      </c>
      <c r="E24" s="4" t="n">
        <v>0.1</v>
      </c>
      <c r="F24" s="4" t="n">
        <v>0.07000000000000001</v>
      </c>
      <c r="G24" s="4" t="n">
        <v>0.02</v>
      </c>
      <c r="H24" s="4" t="n">
        <v>0.05</v>
      </c>
      <c r="I24" s="4" t="n">
        <v>0.24</v>
      </c>
      <c r="J24" s="4" t="n">
        <v>0.06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</row>
    <row r="25">
      <c r="A25" s="1" t="inlineStr">
        <is>
          <t>Class C</t>
        </is>
      </c>
      <c r="B25" s="4" t="n">
        <v>0.16</v>
      </c>
      <c r="C25" s="4" t="n">
        <v>0.12</v>
      </c>
      <c r="D25" s="4" t="n">
        <v>0.03</v>
      </c>
      <c r="E25" s="4" t="n">
        <v>0.27</v>
      </c>
      <c r="F25" s="4" t="n">
        <v>0.13</v>
      </c>
      <c r="G25" s="4" t="n">
        <v>0.25</v>
      </c>
      <c r="H25" s="4" t="n">
        <v>0.04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</row>
    <row r="26">
      <c r="A26" s="1" t="inlineStr">
        <is>
          <t>Class D</t>
        </is>
      </c>
      <c r="B26" s="4" t="n">
        <v>0.04</v>
      </c>
      <c r="C26" s="4" t="n">
        <v>0.02</v>
      </c>
      <c r="D26" s="4" t="n">
        <v>0.08</v>
      </c>
      <c r="E26" s="4" t="n">
        <v>0.03</v>
      </c>
      <c r="F26" s="4" t="n">
        <v>0.05</v>
      </c>
      <c r="G26" s="4" t="n">
        <v>0.14</v>
      </c>
      <c r="H26" s="4" t="n">
        <v>0.08</v>
      </c>
      <c r="I26" s="4" t="n">
        <v>0.07000000000000001</v>
      </c>
      <c r="J26" s="4" t="n">
        <v>0.05</v>
      </c>
      <c r="K26" s="4" t="n">
        <v>0.02</v>
      </c>
      <c r="L26" s="4" t="n">
        <v>0.05</v>
      </c>
      <c r="M26" s="4" t="n">
        <v>0.07000000000000001</v>
      </c>
      <c r="N26" s="4" t="n">
        <v>0.02</v>
      </c>
      <c r="O26" s="4" t="n">
        <v>0.08</v>
      </c>
      <c r="P26" s="4" t="n">
        <v>0.2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</row>
    <row r="27">
      <c r="A27" s="1" t="inlineStr">
        <is>
          <t>Class E</t>
        </is>
      </c>
      <c r="B27" s="4" t="n">
        <v>0.04</v>
      </c>
      <c r="C27" s="4" t="n">
        <v>0.19</v>
      </c>
      <c r="D27" s="4" t="n">
        <v>0.08</v>
      </c>
      <c r="E27" s="4" t="n">
        <v>0.04</v>
      </c>
      <c r="F27" s="4" t="n">
        <v>0.19</v>
      </c>
      <c r="G27" s="4" t="n">
        <v>0.03</v>
      </c>
      <c r="H27" s="4" t="n">
        <v>0.12</v>
      </c>
      <c r="I27" s="4" t="n">
        <v>0.01</v>
      </c>
      <c r="J27" s="4" t="n">
        <v>0.11</v>
      </c>
      <c r="K27" s="4" t="n">
        <v>0.14</v>
      </c>
      <c r="L27" s="4" t="n">
        <v>0.05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</cols>
  <sheetData>
    <row r="1">
      <c r="A1" s="8" t="inlineStr">
        <is>
          <t>Period</t>
        </is>
      </c>
      <c r="B1" s="8" t="inlineStr">
        <is>
          <t>2017</t>
        </is>
      </c>
      <c r="C1" s="8" t="inlineStr">
        <is>
          <t>2018</t>
        </is>
      </c>
      <c r="D1" s="8" t="inlineStr">
        <is>
          <t>2019</t>
        </is>
      </c>
      <c r="E1" s="8" t="inlineStr">
        <is>
          <t>2020</t>
        </is>
      </c>
      <c r="F1" s="8" t="inlineStr">
        <is>
          <t>2021</t>
        </is>
      </c>
      <c r="G1" s="8" t="inlineStr">
        <is>
          <t>2022</t>
        </is>
      </c>
      <c r="H1" s="8" t="inlineStr">
        <is>
          <t>2023</t>
        </is>
      </c>
      <c r="I1" s="8" t="inlineStr">
        <is>
          <t>2024</t>
        </is>
      </c>
      <c r="J1" s="8" t="inlineStr">
        <is>
          <t>2025</t>
        </is>
      </c>
      <c r="K1" s="8" t="inlineStr">
        <is>
          <t>2026</t>
        </is>
      </c>
      <c r="L1" s="8" t="inlineStr">
        <is>
          <t>2027</t>
        </is>
      </c>
      <c r="M1" s="8" t="inlineStr">
        <is>
          <t>2028</t>
        </is>
      </c>
      <c r="N1" s="8" t="inlineStr">
        <is>
          <t>2029</t>
        </is>
      </c>
      <c r="O1" s="8" t="inlineStr">
        <is>
          <t>2030</t>
        </is>
      </c>
      <c r="P1" s="8" t="inlineStr">
        <is>
          <t>2031</t>
        </is>
      </c>
      <c r="Q1" s="8" t="inlineStr">
        <is>
          <t>2032</t>
        </is>
      </c>
      <c r="R1" s="8" t="inlineStr">
        <is>
          <t>2033</t>
        </is>
      </c>
      <c r="S1" s="8" t="inlineStr">
        <is>
          <t>2034</t>
        </is>
      </c>
      <c r="T1" s="8" t="inlineStr">
        <is>
          <t>2035</t>
        </is>
      </c>
      <c r="U1" s="8" t="inlineStr">
        <is>
          <t>2036</t>
        </is>
      </c>
    </row>
    <row r="2">
      <c r="A2" s="1" t="inlineStr">
        <is>
          <t>Nominal CapEx [$/m]</t>
        </is>
      </c>
      <c r="B2" s="6" t="n">
        <v>0</v>
      </c>
      <c r="C2" s="6" t="n">
        <v>1</v>
      </c>
      <c r="D2" s="6" t="n">
        <v>2</v>
      </c>
      <c r="E2" s="6" t="n">
        <v>3</v>
      </c>
      <c r="F2" s="6" t="n">
        <v>4</v>
      </c>
      <c r="G2" s="6" t="n">
        <v>5</v>
      </c>
      <c r="H2" s="6" t="n">
        <v>6</v>
      </c>
      <c r="I2" s="6" t="n">
        <v>7</v>
      </c>
      <c r="J2" s="6" t="n">
        <v>8</v>
      </c>
      <c r="K2" s="6" t="n">
        <v>9</v>
      </c>
      <c r="L2" s="6" t="n">
        <v>10</v>
      </c>
      <c r="M2" s="6" t="n">
        <v>11</v>
      </c>
      <c r="N2" s="6" t="n">
        <v>12</v>
      </c>
      <c r="O2" s="6" t="n">
        <v>13</v>
      </c>
      <c r="P2" s="6" t="n">
        <v>14</v>
      </c>
      <c r="Q2" s="6" t="n">
        <v>15</v>
      </c>
      <c r="R2" s="6" t="n">
        <v>16</v>
      </c>
      <c r="S2" s="6" t="n">
        <v>17</v>
      </c>
      <c r="T2" s="6" t="n">
        <v>18</v>
      </c>
      <c r="U2" s="6" t="n">
        <v>19</v>
      </c>
    </row>
    <row r="3">
      <c r="A3" s="1" t="inlineStr">
        <is>
          <t>Class A</t>
        </is>
      </c>
      <c r="B3" s="9">
        <f>'model_Assumptions'!B8*(1+'model_Assumptions'!$B$3)^B2</f>
        <v/>
      </c>
      <c r="C3" s="9">
        <f>'model_Assumptions'!C8*(1+'model_Assumptions'!$B$3)^C2</f>
        <v/>
      </c>
      <c r="D3" s="9">
        <f>'model_Assumptions'!D8*(1+'model_Assumptions'!$B$3)^D2</f>
        <v/>
      </c>
      <c r="E3" s="9">
        <f>'model_Assumptions'!E8*(1+'model_Assumptions'!$B$3)^E2</f>
        <v/>
      </c>
      <c r="F3" s="9">
        <f>'model_Assumptions'!F8*(1+'model_Assumptions'!$B$3)^F2</f>
        <v/>
      </c>
      <c r="G3" s="9">
        <f>'model_Assumptions'!G8*(1+'model_Assumptions'!$B$3)^G2</f>
        <v/>
      </c>
      <c r="H3" s="9">
        <f>'model_Assumptions'!H8*(1+'model_Assumptions'!$B$3)^H2</f>
        <v/>
      </c>
      <c r="I3" s="9">
        <f>'model_Assumptions'!I8*(1+'model_Assumptions'!$B$3)^I2</f>
        <v/>
      </c>
      <c r="J3" s="9">
        <f>'model_Assumptions'!J8*(1+'model_Assumptions'!$B$3)^J2</f>
        <v/>
      </c>
      <c r="K3" s="9">
        <f>'model_Assumptions'!K8*(1+'model_Assumptions'!$B$3)^K2</f>
        <v/>
      </c>
      <c r="L3" s="9">
        <f>'model_Assumptions'!L8*(1+'model_Assumptions'!$B$3)^L2</f>
        <v/>
      </c>
      <c r="M3" s="9">
        <f>'model_Assumptions'!M8*(1+'model_Assumptions'!$B$3)^M2</f>
        <v/>
      </c>
      <c r="N3" s="9">
        <f>'model_Assumptions'!N8*(1+'model_Assumptions'!$B$3)^N2</f>
        <v/>
      </c>
      <c r="O3" s="9">
        <f>'model_Assumptions'!O8*(1+'model_Assumptions'!$B$3)^O2</f>
        <v/>
      </c>
      <c r="P3" s="9">
        <f>'model_Assumptions'!P8*(1+'model_Assumptions'!$B$3)^P2</f>
        <v/>
      </c>
      <c r="Q3" s="9">
        <f>'model_Assumptions'!Q8*(1+'model_Assumptions'!$B$3)^Q2</f>
        <v/>
      </c>
      <c r="R3" s="9">
        <f>'model_Assumptions'!R8*(1+'model_Assumptions'!$B$3)^R2</f>
        <v/>
      </c>
      <c r="S3" s="9">
        <f>'model_Assumptions'!S8*(1+'model_Assumptions'!$B$3)^S2</f>
        <v/>
      </c>
      <c r="T3" s="9">
        <f>'model_Assumptions'!T8*(1+'model_Assumptions'!$B$3)^T2</f>
        <v/>
      </c>
      <c r="U3" s="9">
        <f>'model_Assumptions'!U8*(1+'model_Assumptions'!$B$3)^U2</f>
        <v/>
      </c>
    </row>
    <row r="4">
      <c r="A4" s="1" t="inlineStr">
        <is>
          <t>Class B</t>
        </is>
      </c>
      <c r="B4" s="9">
        <f>'model_Assumptions'!B9*(1+'model_Assumptions'!$B$3)^B2</f>
        <v/>
      </c>
      <c r="C4" s="9">
        <f>'model_Assumptions'!C9*(1+'model_Assumptions'!$B$3)^C2</f>
        <v/>
      </c>
      <c r="D4" s="9">
        <f>'model_Assumptions'!D9*(1+'model_Assumptions'!$B$3)^D2</f>
        <v/>
      </c>
      <c r="E4" s="9">
        <f>'model_Assumptions'!E9*(1+'model_Assumptions'!$B$3)^E2</f>
        <v/>
      </c>
      <c r="F4" s="9">
        <f>'model_Assumptions'!F9*(1+'model_Assumptions'!$B$3)^F2</f>
        <v/>
      </c>
      <c r="G4" s="9">
        <f>'model_Assumptions'!G9*(1+'model_Assumptions'!$B$3)^G2</f>
        <v/>
      </c>
      <c r="H4" s="9">
        <f>'model_Assumptions'!H9*(1+'model_Assumptions'!$B$3)^H2</f>
        <v/>
      </c>
      <c r="I4" s="9">
        <f>'model_Assumptions'!I9*(1+'model_Assumptions'!$B$3)^I2</f>
        <v/>
      </c>
      <c r="J4" s="9">
        <f>'model_Assumptions'!J9*(1+'model_Assumptions'!$B$3)^J2</f>
        <v/>
      </c>
      <c r="K4" s="9">
        <f>'model_Assumptions'!K9*(1+'model_Assumptions'!$B$3)^K2</f>
        <v/>
      </c>
      <c r="L4" s="9">
        <f>'model_Assumptions'!L9*(1+'model_Assumptions'!$B$3)^L2</f>
        <v/>
      </c>
      <c r="M4" s="9">
        <f>'model_Assumptions'!M9*(1+'model_Assumptions'!$B$3)^M2</f>
        <v/>
      </c>
      <c r="N4" s="9">
        <f>'model_Assumptions'!N9*(1+'model_Assumptions'!$B$3)^N2</f>
        <v/>
      </c>
      <c r="O4" s="9">
        <f>'model_Assumptions'!O9*(1+'model_Assumptions'!$B$3)^O2</f>
        <v/>
      </c>
      <c r="P4" s="9">
        <f>'model_Assumptions'!P9*(1+'model_Assumptions'!$B$3)^P2</f>
        <v/>
      </c>
      <c r="Q4" s="9">
        <f>'model_Assumptions'!Q9*(1+'model_Assumptions'!$B$3)^Q2</f>
        <v/>
      </c>
      <c r="R4" s="9">
        <f>'model_Assumptions'!R9*(1+'model_Assumptions'!$B$3)^R2</f>
        <v/>
      </c>
      <c r="S4" s="9">
        <f>'model_Assumptions'!S9*(1+'model_Assumptions'!$B$3)^S2</f>
        <v/>
      </c>
      <c r="T4" s="9">
        <f>'model_Assumptions'!T9*(1+'model_Assumptions'!$B$3)^T2</f>
        <v/>
      </c>
      <c r="U4" s="9">
        <f>'model_Assumptions'!U9*(1+'model_Assumptions'!$B$3)^U2</f>
        <v/>
      </c>
    </row>
    <row r="5">
      <c r="A5" s="1" t="inlineStr">
        <is>
          <t>Class C</t>
        </is>
      </c>
      <c r="B5" s="9">
        <f>'model_Assumptions'!B10*(1+'model_Assumptions'!$B$3)^B2</f>
        <v/>
      </c>
      <c r="C5" s="9">
        <f>'model_Assumptions'!C10*(1+'model_Assumptions'!$B$3)^C2</f>
        <v/>
      </c>
      <c r="D5" s="9">
        <f>'model_Assumptions'!D10*(1+'model_Assumptions'!$B$3)^D2</f>
        <v/>
      </c>
      <c r="E5" s="9">
        <f>'model_Assumptions'!E10*(1+'model_Assumptions'!$B$3)^E2</f>
        <v/>
      </c>
      <c r="F5" s="9">
        <f>'model_Assumptions'!F10*(1+'model_Assumptions'!$B$3)^F2</f>
        <v/>
      </c>
      <c r="G5" s="9">
        <f>'model_Assumptions'!G10*(1+'model_Assumptions'!$B$3)^G2</f>
        <v/>
      </c>
      <c r="H5" s="9">
        <f>'model_Assumptions'!H10*(1+'model_Assumptions'!$B$3)^H2</f>
        <v/>
      </c>
      <c r="I5" s="9">
        <f>'model_Assumptions'!I10*(1+'model_Assumptions'!$B$3)^I2</f>
        <v/>
      </c>
      <c r="J5" s="9">
        <f>'model_Assumptions'!J10*(1+'model_Assumptions'!$B$3)^J2</f>
        <v/>
      </c>
      <c r="K5" s="9">
        <f>'model_Assumptions'!K10*(1+'model_Assumptions'!$B$3)^K2</f>
        <v/>
      </c>
      <c r="L5" s="9">
        <f>'model_Assumptions'!L10*(1+'model_Assumptions'!$B$3)^L2</f>
        <v/>
      </c>
      <c r="M5" s="9">
        <f>'model_Assumptions'!M10*(1+'model_Assumptions'!$B$3)^M2</f>
        <v/>
      </c>
      <c r="N5" s="9">
        <f>'model_Assumptions'!N10*(1+'model_Assumptions'!$B$3)^N2</f>
        <v/>
      </c>
      <c r="O5" s="9">
        <f>'model_Assumptions'!O10*(1+'model_Assumptions'!$B$3)^O2</f>
        <v/>
      </c>
      <c r="P5" s="9">
        <f>'model_Assumptions'!P10*(1+'model_Assumptions'!$B$3)^P2</f>
        <v/>
      </c>
      <c r="Q5" s="9">
        <f>'model_Assumptions'!Q10*(1+'model_Assumptions'!$B$3)^Q2</f>
        <v/>
      </c>
      <c r="R5" s="9">
        <f>'model_Assumptions'!R10*(1+'model_Assumptions'!$B$3)^R2</f>
        <v/>
      </c>
      <c r="S5" s="9">
        <f>'model_Assumptions'!S10*(1+'model_Assumptions'!$B$3)^S2</f>
        <v/>
      </c>
      <c r="T5" s="9">
        <f>'model_Assumptions'!T10*(1+'model_Assumptions'!$B$3)^T2</f>
        <v/>
      </c>
      <c r="U5" s="9">
        <f>'model_Assumptions'!U10*(1+'model_Assumptions'!$B$3)^U2</f>
        <v/>
      </c>
    </row>
    <row r="6">
      <c r="A6" s="1" t="inlineStr">
        <is>
          <t>Class D</t>
        </is>
      </c>
      <c r="B6" s="9">
        <f>'model_Assumptions'!B11*(1+'model_Assumptions'!$B$3)^B2</f>
        <v/>
      </c>
      <c r="C6" s="9">
        <f>'model_Assumptions'!C11*(1+'model_Assumptions'!$B$3)^C2</f>
        <v/>
      </c>
      <c r="D6" s="9">
        <f>'model_Assumptions'!D11*(1+'model_Assumptions'!$B$3)^D2</f>
        <v/>
      </c>
      <c r="E6" s="9">
        <f>'model_Assumptions'!E11*(1+'model_Assumptions'!$B$3)^E2</f>
        <v/>
      </c>
      <c r="F6" s="9">
        <f>'model_Assumptions'!F11*(1+'model_Assumptions'!$B$3)^F2</f>
        <v/>
      </c>
      <c r="G6" s="9">
        <f>'model_Assumptions'!G11*(1+'model_Assumptions'!$B$3)^G2</f>
        <v/>
      </c>
      <c r="H6" s="9">
        <f>'model_Assumptions'!H11*(1+'model_Assumptions'!$B$3)^H2</f>
        <v/>
      </c>
      <c r="I6" s="9">
        <f>'model_Assumptions'!I11*(1+'model_Assumptions'!$B$3)^I2</f>
        <v/>
      </c>
      <c r="J6" s="9">
        <f>'model_Assumptions'!J11*(1+'model_Assumptions'!$B$3)^J2</f>
        <v/>
      </c>
      <c r="K6" s="9">
        <f>'model_Assumptions'!K11*(1+'model_Assumptions'!$B$3)^K2</f>
        <v/>
      </c>
      <c r="L6" s="9">
        <f>'model_Assumptions'!L11*(1+'model_Assumptions'!$B$3)^L2</f>
        <v/>
      </c>
      <c r="M6" s="9">
        <f>'model_Assumptions'!M11*(1+'model_Assumptions'!$B$3)^M2</f>
        <v/>
      </c>
      <c r="N6" s="9">
        <f>'model_Assumptions'!N11*(1+'model_Assumptions'!$B$3)^N2</f>
        <v/>
      </c>
      <c r="O6" s="9">
        <f>'model_Assumptions'!O11*(1+'model_Assumptions'!$B$3)^O2</f>
        <v/>
      </c>
      <c r="P6" s="9">
        <f>'model_Assumptions'!P11*(1+'model_Assumptions'!$B$3)^P2</f>
        <v/>
      </c>
      <c r="Q6" s="9">
        <f>'model_Assumptions'!Q11*(1+'model_Assumptions'!$B$3)^Q2</f>
        <v/>
      </c>
      <c r="R6" s="9">
        <f>'model_Assumptions'!R11*(1+'model_Assumptions'!$B$3)^R2</f>
        <v/>
      </c>
      <c r="S6" s="9">
        <f>'model_Assumptions'!S11*(1+'model_Assumptions'!$B$3)^S2</f>
        <v/>
      </c>
      <c r="T6" s="9">
        <f>'model_Assumptions'!T11*(1+'model_Assumptions'!$B$3)^T2</f>
        <v/>
      </c>
      <c r="U6" s="9">
        <f>'model_Assumptions'!U11*(1+'model_Assumptions'!$B$3)^U2</f>
        <v/>
      </c>
    </row>
    <row r="7">
      <c r="A7" s="1" t="inlineStr">
        <is>
          <t>Class E</t>
        </is>
      </c>
      <c r="B7" s="9">
        <f>'model_Assumptions'!B12*(1+'model_Assumptions'!$B$3)^B2</f>
        <v/>
      </c>
      <c r="C7" s="9">
        <f>'model_Assumptions'!C12*(1+'model_Assumptions'!$B$3)^C2</f>
        <v/>
      </c>
      <c r="D7" s="9">
        <f>'model_Assumptions'!D12*(1+'model_Assumptions'!$B$3)^D2</f>
        <v/>
      </c>
      <c r="E7" s="9">
        <f>'model_Assumptions'!E12*(1+'model_Assumptions'!$B$3)^E2</f>
        <v/>
      </c>
      <c r="F7" s="9">
        <f>'model_Assumptions'!F12*(1+'model_Assumptions'!$B$3)^F2</f>
        <v/>
      </c>
      <c r="G7" s="9">
        <f>'model_Assumptions'!G12*(1+'model_Assumptions'!$B$3)^G2</f>
        <v/>
      </c>
      <c r="H7" s="9">
        <f>'model_Assumptions'!H12*(1+'model_Assumptions'!$B$3)^H2</f>
        <v/>
      </c>
      <c r="I7" s="9">
        <f>'model_Assumptions'!I12*(1+'model_Assumptions'!$B$3)^I2</f>
        <v/>
      </c>
      <c r="J7" s="9">
        <f>'model_Assumptions'!J12*(1+'model_Assumptions'!$B$3)^J2</f>
        <v/>
      </c>
      <c r="K7" s="9">
        <f>'model_Assumptions'!K12*(1+'model_Assumptions'!$B$3)^K2</f>
        <v/>
      </c>
      <c r="L7" s="9">
        <f>'model_Assumptions'!L12*(1+'model_Assumptions'!$B$3)^L2</f>
        <v/>
      </c>
      <c r="M7" s="9">
        <f>'model_Assumptions'!M12*(1+'model_Assumptions'!$B$3)^M2</f>
        <v/>
      </c>
      <c r="N7" s="9">
        <f>'model_Assumptions'!N12*(1+'model_Assumptions'!$B$3)^N2</f>
        <v/>
      </c>
      <c r="O7" s="9">
        <f>'model_Assumptions'!O12*(1+'model_Assumptions'!$B$3)^O2</f>
        <v/>
      </c>
      <c r="P7" s="9">
        <f>'model_Assumptions'!P12*(1+'model_Assumptions'!$B$3)^P2</f>
        <v/>
      </c>
      <c r="Q7" s="9">
        <f>'model_Assumptions'!Q12*(1+'model_Assumptions'!$B$3)^Q2</f>
        <v/>
      </c>
      <c r="R7" s="9">
        <f>'model_Assumptions'!R12*(1+'model_Assumptions'!$B$3)^R2</f>
        <v/>
      </c>
      <c r="S7" s="9">
        <f>'model_Assumptions'!S12*(1+'model_Assumptions'!$B$3)^S2</f>
        <v/>
      </c>
      <c r="T7" s="9">
        <f>'model_Assumptions'!T12*(1+'model_Assumptions'!$B$3)^T2</f>
        <v/>
      </c>
      <c r="U7" s="9">
        <f>'model_Assumptions'!U12*(1+'model_Assumptions'!$B$3)^U2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</cols>
  <sheetData>
    <row r="1">
      <c r="A1" s="8" t="inlineStr">
        <is>
          <t>Period</t>
        </is>
      </c>
      <c r="B1" s="8" t="inlineStr">
        <is>
          <t>2017</t>
        </is>
      </c>
      <c r="C1" s="8" t="inlineStr">
        <is>
          <t>2018</t>
        </is>
      </c>
      <c r="D1" s="8" t="inlineStr">
        <is>
          <t>2019</t>
        </is>
      </c>
      <c r="E1" s="8" t="inlineStr">
        <is>
          <t>2020</t>
        </is>
      </c>
      <c r="F1" s="8" t="inlineStr">
        <is>
          <t>2021</t>
        </is>
      </c>
      <c r="G1" s="8" t="inlineStr">
        <is>
          <t>2022</t>
        </is>
      </c>
      <c r="H1" s="8" t="inlineStr">
        <is>
          <t>2023</t>
        </is>
      </c>
      <c r="I1" s="8" t="inlineStr">
        <is>
          <t>2024</t>
        </is>
      </c>
      <c r="J1" s="8" t="inlineStr">
        <is>
          <t>2025</t>
        </is>
      </c>
      <c r="K1" s="8" t="inlineStr">
        <is>
          <t>2026</t>
        </is>
      </c>
      <c r="L1" s="8" t="inlineStr">
        <is>
          <t>2027</t>
        </is>
      </c>
      <c r="M1" s="8" t="inlineStr">
        <is>
          <t>2028</t>
        </is>
      </c>
      <c r="N1" s="8" t="inlineStr">
        <is>
          <t>2029</t>
        </is>
      </c>
      <c r="O1" s="8" t="inlineStr">
        <is>
          <t>2030</t>
        </is>
      </c>
      <c r="P1" s="8" t="inlineStr">
        <is>
          <t>2031</t>
        </is>
      </c>
      <c r="Q1" s="8" t="inlineStr">
        <is>
          <t>2032</t>
        </is>
      </c>
      <c r="R1" s="8" t="inlineStr">
        <is>
          <t>2033</t>
        </is>
      </c>
      <c r="S1" s="8" t="inlineStr">
        <is>
          <t>2034</t>
        </is>
      </c>
      <c r="T1" s="8" t="inlineStr">
        <is>
          <t>2035</t>
        </is>
      </c>
      <c r="U1" s="8" t="inlineStr">
        <is>
          <t>2036</t>
        </is>
      </c>
    </row>
    <row r="2">
      <c r="A2" s="1" t="inlineStr">
        <is>
          <t>Class A - Opening Balance</t>
        </is>
      </c>
      <c r="B2" s="6" t="n"/>
      <c r="C2" s="6">
        <f>B5</f>
        <v/>
      </c>
      <c r="D2" s="6">
        <f>C5</f>
        <v/>
      </c>
      <c r="E2" s="6">
        <f>D5</f>
        <v/>
      </c>
      <c r="F2" s="6">
        <f>E5</f>
        <v/>
      </c>
      <c r="G2" s="6">
        <f>F5</f>
        <v/>
      </c>
      <c r="H2" s="6">
        <f>G5</f>
        <v/>
      </c>
      <c r="I2" s="6">
        <f>H5</f>
        <v/>
      </c>
      <c r="J2" s="6">
        <f>I5</f>
        <v/>
      </c>
      <c r="K2" s="6">
        <f>J5</f>
        <v/>
      </c>
      <c r="L2" s="6">
        <f>K5</f>
        <v/>
      </c>
      <c r="M2" s="6">
        <f>L5</f>
        <v/>
      </c>
      <c r="N2" s="6">
        <f>M5</f>
        <v/>
      </c>
      <c r="O2" s="6">
        <f>N5</f>
        <v/>
      </c>
      <c r="P2" s="6">
        <f>O5</f>
        <v/>
      </c>
      <c r="Q2" s="6">
        <f>P5</f>
        <v/>
      </c>
      <c r="R2" s="6">
        <f>Q5</f>
        <v/>
      </c>
      <c r="S2" s="6">
        <f>R5</f>
        <v/>
      </c>
      <c r="T2" s="6">
        <f>S5</f>
        <v/>
      </c>
      <c r="U2" s="6">
        <f>T5</f>
        <v/>
      </c>
    </row>
    <row r="3">
      <c r="A3" s="1" t="inlineStr">
        <is>
          <t>Class A - Addition</t>
        </is>
      </c>
      <c r="B3" s="9">
        <f>'model_Workings'!B3</f>
        <v/>
      </c>
      <c r="C3" s="9">
        <f>'model_Workings'!C3</f>
        <v/>
      </c>
      <c r="D3" s="9">
        <f>'model_Workings'!D3</f>
        <v/>
      </c>
      <c r="E3" s="9">
        <f>'model_Workings'!E3</f>
        <v/>
      </c>
      <c r="F3" s="9">
        <f>'model_Workings'!F3</f>
        <v/>
      </c>
      <c r="G3" s="9">
        <f>'model_Workings'!G3</f>
        <v/>
      </c>
      <c r="H3" s="9">
        <f>'model_Workings'!H3</f>
        <v/>
      </c>
      <c r="I3" s="9">
        <f>'model_Workings'!I3</f>
        <v/>
      </c>
      <c r="J3" s="9">
        <f>'model_Workings'!J3</f>
        <v/>
      </c>
      <c r="K3" s="9">
        <f>'model_Workings'!K3</f>
        <v/>
      </c>
      <c r="L3" s="9">
        <f>'model_Workings'!L3</f>
        <v/>
      </c>
      <c r="M3" s="9">
        <f>'model_Workings'!M3</f>
        <v/>
      </c>
      <c r="N3" s="9">
        <f>'model_Workings'!N3</f>
        <v/>
      </c>
      <c r="O3" s="9">
        <f>'model_Workings'!O3</f>
        <v/>
      </c>
      <c r="P3" s="9">
        <f>'model_Workings'!P3</f>
        <v/>
      </c>
      <c r="Q3" s="9">
        <f>'model_Workings'!Q3</f>
        <v/>
      </c>
      <c r="R3" s="9">
        <f>'model_Workings'!R3</f>
        <v/>
      </c>
      <c r="S3" s="9">
        <f>'model_Workings'!S3</f>
        <v/>
      </c>
      <c r="T3" s="9">
        <f>'model_Workings'!T3</f>
        <v/>
      </c>
      <c r="U3" s="9">
        <f>'model_Workings'!U3</f>
        <v/>
      </c>
    </row>
    <row r="4">
      <c r="A4" s="1" t="inlineStr">
        <is>
          <t>Class A - Depreciation</t>
        </is>
      </c>
      <c r="B4" s="9">
        <f>(B2+B3)*'model_Assumptions'!$B$16</f>
        <v/>
      </c>
      <c r="C4" s="9">
        <f>(C2+C3)*'model_Assumptions'!$B$16</f>
        <v/>
      </c>
      <c r="D4" s="9">
        <f>(D2+D3)*'model_Assumptions'!$B$16</f>
        <v/>
      </c>
      <c r="E4" s="9">
        <f>(E2+E3)*'model_Assumptions'!$B$16</f>
        <v/>
      </c>
      <c r="F4" s="9">
        <f>(F2+F3)*'model_Assumptions'!$B$16</f>
        <v/>
      </c>
      <c r="G4" s="9">
        <f>(G2+G3)*'model_Assumptions'!$B$16</f>
        <v/>
      </c>
      <c r="H4" s="9">
        <f>(H2+H3)*'model_Assumptions'!$B$16</f>
        <v/>
      </c>
      <c r="I4" s="9">
        <f>(I2+I3)*'model_Assumptions'!$B$16</f>
        <v/>
      </c>
      <c r="J4" s="9">
        <f>(J2+J3)*'model_Assumptions'!$B$16</f>
        <v/>
      </c>
      <c r="K4" s="9">
        <f>(K2+K3)*'model_Assumptions'!$B$16</f>
        <v/>
      </c>
      <c r="L4" s="9">
        <f>(L2+L3)*'model_Assumptions'!$B$16</f>
        <v/>
      </c>
      <c r="M4" s="9">
        <f>(M2+M3)*'model_Assumptions'!$B$16</f>
        <v/>
      </c>
      <c r="N4" s="9">
        <f>(N2+N3)*'model_Assumptions'!$B$16</f>
        <v/>
      </c>
      <c r="O4" s="9">
        <f>(O2+O3)*'model_Assumptions'!$B$16</f>
        <v/>
      </c>
      <c r="P4" s="9">
        <f>(P2+P3)*'model_Assumptions'!$B$16</f>
        <v/>
      </c>
      <c r="Q4" s="9">
        <f>(Q2+Q3)*'model_Assumptions'!$B$16</f>
        <v/>
      </c>
      <c r="R4" s="9">
        <f>(R2+R3)*'model_Assumptions'!$B$16</f>
        <v/>
      </c>
      <c r="S4" s="9">
        <f>(S2+S3)*'model_Assumptions'!$B$16</f>
        <v/>
      </c>
      <c r="T4" s="9">
        <f>(T2+T3)*'model_Assumptions'!$B$16</f>
        <v/>
      </c>
      <c r="U4" s="9">
        <f>(U2+U3)*'model_Assumptions'!$B$16</f>
        <v/>
      </c>
    </row>
    <row r="5">
      <c r="A5" s="1" t="inlineStr">
        <is>
          <t>Class A - Closing Balance</t>
        </is>
      </c>
      <c r="B5" s="6">
        <f>B2+B3-B4</f>
        <v/>
      </c>
      <c r="C5" s="6">
        <f>C2+C3-C4</f>
        <v/>
      </c>
      <c r="D5" s="6">
        <f>D2+D3-D4</f>
        <v/>
      </c>
      <c r="E5" s="6">
        <f>E2+E3-E4</f>
        <v/>
      </c>
      <c r="F5" s="6">
        <f>F2+F3-F4</f>
        <v/>
      </c>
      <c r="G5" s="6">
        <f>G2+G3-G4</f>
        <v/>
      </c>
      <c r="H5" s="6">
        <f>H2+H3-H4</f>
        <v/>
      </c>
      <c r="I5" s="6">
        <f>I2+I3-I4</f>
        <v/>
      </c>
      <c r="J5" s="6">
        <f>J2+J3-J4</f>
        <v/>
      </c>
      <c r="K5" s="6">
        <f>K2+K3-K4</f>
        <v/>
      </c>
      <c r="L5" s="6">
        <f>L2+L3-L4</f>
        <v/>
      </c>
      <c r="M5" s="6">
        <f>M2+M3-M4</f>
        <v/>
      </c>
      <c r="N5" s="6">
        <f>N2+N3-N4</f>
        <v/>
      </c>
      <c r="O5" s="6">
        <f>O2+O3-O4</f>
        <v/>
      </c>
      <c r="P5" s="6">
        <f>P2+P3-P4</f>
        <v/>
      </c>
      <c r="Q5" s="6">
        <f>Q2+Q3-Q4</f>
        <v/>
      </c>
      <c r="R5" s="6">
        <f>R2+R3-R4</f>
        <v/>
      </c>
      <c r="S5" s="6">
        <f>S2+S3-S4</f>
        <v/>
      </c>
      <c r="T5" s="6">
        <f>T2+T3-T4</f>
        <v/>
      </c>
      <c r="U5" s="6">
        <f>U2+U3-U4</f>
        <v/>
      </c>
    </row>
    <row r="6">
      <c r="A6" s="1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</row>
    <row r="7">
      <c r="A7" s="1" t="inlineStr">
        <is>
          <t>Class B - Opening Balance</t>
        </is>
      </c>
      <c r="B7" s="6" t="n"/>
      <c r="C7" s="6">
        <f>B10</f>
        <v/>
      </c>
      <c r="D7" s="6">
        <f>C10</f>
        <v/>
      </c>
      <c r="E7" s="6">
        <f>D10</f>
        <v/>
      </c>
      <c r="F7" s="6">
        <f>E10</f>
        <v/>
      </c>
      <c r="G7" s="6">
        <f>F10</f>
        <v/>
      </c>
      <c r="H7" s="6">
        <f>G10</f>
        <v/>
      </c>
      <c r="I7" s="6">
        <f>H10</f>
        <v/>
      </c>
      <c r="J7" s="6">
        <f>I10</f>
        <v/>
      </c>
      <c r="K7" s="6">
        <f>J10</f>
        <v/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1" t="inlineStr">
        <is>
          <t>Class B - Addition</t>
        </is>
      </c>
      <c r="B8" s="9">
        <f>'model_Workings'!B4</f>
        <v/>
      </c>
      <c r="C8" s="9">
        <f>'model_Workings'!C4</f>
        <v/>
      </c>
      <c r="D8" s="9">
        <f>'model_Workings'!D4</f>
        <v/>
      </c>
      <c r="E8" s="9">
        <f>'model_Workings'!E4</f>
        <v/>
      </c>
      <c r="F8" s="9">
        <f>'model_Workings'!F4</f>
        <v/>
      </c>
      <c r="G8" s="9">
        <f>'model_Workings'!G4</f>
        <v/>
      </c>
      <c r="H8" s="9">
        <f>'model_Workings'!H4</f>
        <v/>
      </c>
      <c r="I8" s="9">
        <f>'model_Workings'!I4</f>
        <v/>
      </c>
      <c r="J8" s="9">
        <f>'model_Workings'!J4</f>
        <v/>
      </c>
      <c r="K8" s="9">
        <f>'model_Workings'!K4</f>
        <v/>
      </c>
      <c r="L8" s="9">
        <f>'model_Workings'!L4</f>
        <v/>
      </c>
      <c r="M8" s="9">
        <f>'model_Workings'!M4</f>
        <v/>
      </c>
      <c r="N8" s="9">
        <f>'model_Workings'!N4</f>
        <v/>
      </c>
      <c r="O8" s="9">
        <f>'model_Workings'!O4</f>
        <v/>
      </c>
      <c r="P8" s="9">
        <f>'model_Workings'!P4</f>
        <v/>
      </c>
      <c r="Q8" s="9">
        <f>'model_Workings'!Q4</f>
        <v/>
      </c>
      <c r="R8" s="9">
        <f>'model_Workings'!R4</f>
        <v/>
      </c>
      <c r="S8" s="9">
        <f>'model_Workings'!S4</f>
        <v/>
      </c>
      <c r="T8" s="9">
        <f>'model_Workings'!T4</f>
        <v/>
      </c>
      <c r="U8" s="9">
        <f>'model_Workings'!U4</f>
        <v/>
      </c>
    </row>
    <row r="9">
      <c r="A9" s="1" t="inlineStr">
        <is>
          <t>Class B - Depreciation</t>
        </is>
      </c>
      <c r="B9" s="9">
        <f>(B7+B8)*'model_Assumptions'!$B$17</f>
        <v/>
      </c>
      <c r="C9" s="9">
        <f>(C7+C8)*'model_Assumptions'!$B$17</f>
        <v/>
      </c>
      <c r="D9" s="9">
        <f>(D7+D8)*'model_Assumptions'!$B$17</f>
        <v/>
      </c>
      <c r="E9" s="9">
        <f>(E7+E8)*'model_Assumptions'!$B$17</f>
        <v/>
      </c>
      <c r="F9" s="9">
        <f>(F7+F8)*'model_Assumptions'!$B$17</f>
        <v/>
      </c>
      <c r="G9" s="9">
        <f>(G7+G8)*'model_Assumptions'!$B$17</f>
        <v/>
      </c>
      <c r="H9" s="9">
        <f>(H7+H8)*'model_Assumptions'!$B$17</f>
        <v/>
      </c>
      <c r="I9" s="9">
        <f>(I7+I8)*'model_Assumptions'!$B$17</f>
        <v/>
      </c>
      <c r="J9" s="9">
        <f>(J7+J8)*'model_Assumptions'!$B$17</f>
        <v/>
      </c>
      <c r="K9" s="9">
        <f>(K7+K8)*'model_Assumptions'!$B$17</f>
        <v/>
      </c>
      <c r="L9" s="9">
        <f>(L7+L8)*'model_Assumptions'!$B$17</f>
        <v/>
      </c>
      <c r="M9" s="9">
        <f>(M7+M8)*'model_Assumptions'!$B$17</f>
        <v/>
      </c>
      <c r="N9" s="9">
        <f>(N7+N8)*'model_Assumptions'!$B$17</f>
        <v/>
      </c>
      <c r="O9" s="9">
        <f>(O7+O8)*'model_Assumptions'!$B$17</f>
        <v/>
      </c>
      <c r="P9" s="9">
        <f>(P7+P8)*'model_Assumptions'!$B$17</f>
        <v/>
      </c>
      <c r="Q9" s="9">
        <f>(Q7+Q8)*'model_Assumptions'!$B$17</f>
        <v/>
      </c>
      <c r="R9" s="9">
        <f>(R7+R8)*'model_Assumptions'!$B$17</f>
        <v/>
      </c>
      <c r="S9" s="9">
        <f>(S7+S8)*'model_Assumptions'!$B$17</f>
        <v/>
      </c>
      <c r="T9" s="9">
        <f>(T7+T8)*'model_Assumptions'!$B$17</f>
        <v/>
      </c>
      <c r="U9" s="9">
        <f>(U7+U8)*'model_Assumptions'!$B$17</f>
        <v/>
      </c>
    </row>
    <row r="10">
      <c r="A10" s="1" t="inlineStr">
        <is>
          <t>Class B - Closing Balance</t>
        </is>
      </c>
      <c r="B10" s="6">
        <f>B7+B8-B9</f>
        <v/>
      </c>
      <c r="C10" s="6">
        <f>C7+C8-C9</f>
        <v/>
      </c>
      <c r="D10" s="6">
        <f>D7+D8-D9</f>
        <v/>
      </c>
      <c r="E10" s="6">
        <f>E7+E8-E9</f>
        <v/>
      </c>
      <c r="F10" s="6">
        <f>F7+F8-F9</f>
        <v/>
      </c>
      <c r="G10" s="6">
        <f>G7+G8-G9</f>
        <v/>
      </c>
      <c r="H10" s="6">
        <f>H7+H8-H9</f>
        <v/>
      </c>
      <c r="I10" s="6">
        <f>I7+I8-I9</f>
        <v/>
      </c>
      <c r="J10" s="6">
        <f>J7+J8-J9</f>
        <v/>
      </c>
      <c r="K10" s="6">
        <f>K7+K8-K9</f>
        <v/>
      </c>
      <c r="L10" s="6">
        <f>L7+L8-L9</f>
        <v/>
      </c>
      <c r="M10" s="6">
        <f>M7+M8-M9</f>
        <v/>
      </c>
      <c r="N10" s="6">
        <f>N7+N8-N9</f>
        <v/>
      </c>
      <c r="O10" s="6">
        <f>O7+O8-O9</f>
        <v/>
      </c>
      <c r="P10" s="6">
        <f>P7+P8-P9</f>
        <v/>
      </c>
      <c r="Q10" s="6">
        <f>Q7+Q8-Q9</f>
        <v/>
      </c>
      <c r="R10" s="6">
        <f>R7+R8-R9</f>
        <v/>
      </c>
      <c r="S10" s="6">
        <f>S7+S8-S9</f>
        <v/>
      </c>
      <c r="T10" s="6">
        <f>T7+T8-T9</f>
        <v/>
      </c>
      <c r="U10" s="6">
        <f>U7+U8-U9</f>
        <v/>
      </c>
    </row>
    <row r="11">
      <c r="A11" s="1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</row>
    <row r="12">
      <c r="A12" s="1" t="inlineStr">
        <is>
          <t>Class C - Opening Balance</t>
        </is>
      </c>
      <c r="B12" s="6" t="n">
        <v>0</v>
      </c>
      <c r="C12" s="6">
        <f>B15</f>
        <v/>
      </c>
      <c r="D12" s="6">
        <f>C15</f>
        <v/>
      </c>
      <c r="E12" s="6">
        <f>D15</f>
        <v/>
      </c>
      <c r="F12" s="6">
        <f>E15</f>
        <v/>
      </c>
      <c r="G12" s="6">
        <f>F15</f>
        <v/>
      </c>
      <c r="H12" s="6">
        <f>G15</f>
        <v/>
      </c>
      <c r="I12" s="6">
        <f>H15</f>
        <v/>
      </c>
      <c r="J12" s="6">
        <f>I15</f>
        <v/>
      </c>
      <c r="K12" s="6">
        <f>J15</f>
        <v/>
      </c>
      <c r="L12" s="6">
        <f>K15</f>
        <v/>
      </c>
      <c r="M12" s="6">
        <f>L15</f>
        <v/>
      </c>
      <c r="N12" s="6">
        <f>M15</f>
        <v/>
      </c>
      <c r="O12" s="6">
        <f>N15</f>
        <v/>
      </c>
      <c r="P12" s="6">
        <f>O15</f>
        <v/>
      </c>
      <c r="Q12" s="6">
        <f>P15</f>
        <v/>
      </c>
      <c r="R12" s="6">
        <f>Q15</f>
        <v/>
      </c>
      <c r="S12" s="6">
        <f>R15</f>
        <v/>
      </c>
      <c r="T12" s="6">
        <f>S15</f>
        <v/>
      </c>
      <c r="U12" s="6">
        <f>T15</f>
        <v/>
      </c>
    </row>
    <row r="13">
      <c r="A13" s="1" t="inlineStr">
        <is>
          <t>Class C - Addition</t>
        </is>
      </c>
      <c r="B13" s="9">
        <f>'model_Workings'!B5</f>
        <v/>
      </c>
      <c r="C13" s="9">
        <f>'model_Workings'!C5</f>
        <v/>
      </c>
      <c r="D13" s="9">
        <f>'model_Workings'!D5</f>
        <v/>
      </c>
      <c r="E13" s="9">
        <f>'model_Workings'!E5</f>
        <v/>
      </c>
      <c r="F13" s="9">
        <f>'model_Workings'!F5</f>
        <v/>
      </c>
      <c r="G13" s="9">
        <f>'model_Workings'!G5</f>
        <v/>
      </c>
      <c r="H13" s="9">
        <f>'model_Workings'!H5</f>
        <v/>
      </c>
      <c r="I13" s="9">
        <f>'model_Workings'!I5</f>
        <v/>
      </c>
      <c r="J13" s="9">
        <f>'model_Workings'!J5</f>
        <v/>
      </c>
      <c r="K13" s="9">
        <f>'model_Workings'!K5</f>
        <v/>
      </c>
      <c r="L13" s="9">
        <f>'model_Workings'!L5</f>
        <v/>
      </c>
      <c r="M13" s="9">
        <f>'model_Workings'!M5</f>
        <v/>
      </c>
      <c r="N13" s="9">
        <f>'model_Workings'!N5</f>
        <v/>
      </c>
      <c r="O13" s="9">
        <f>'model_Workings'!O5</f>
        <v/>
      </c>
      <c r="P13" s="9">
        <f>'model_Workings'!P5</f>
        <v/>
      </c>
      <c r="Q13" s="9">
        <f>'model_Workings'!Q5</f>
        <v/>
      </c>
      <c r="R13" s="9">
        <f>'model_Workings'!R5</f>
        <v/>
      </c>
      <c r="S13" s="9">
        <f>'model_Workings'!S5</f>
        <v/>
      </c>
      <c r="T13" s="9">
        <f>'model_Workings'!T5</f>
        <v/>
      </c>
      <c r="U13" s="9">
        <f>'model_Workings'!U5</f>
        <v/>
      </c>
    </row>
    <row r="14">
      <c r="A14" s="1" t="inlineStr">
        <is>
          <t>Class C - Depreciation</t>
        </is>
      </c>
      <c r="B14" s="9">
        <f>(B12+B13)*'model_Assumptions'!$B$18</f>
        <v/>
      </c>
      <c r="C14" s="9">
        <f>(C12+C13)*'model_Assumptions'!$B$18</f>
        <v/>
      </c>
      <c r="D14" s="9">
        <f>(D12+D13)*'model_Assumptions'!$B$18</f>
        <v/>
      </c>
      <c r="E14" s="9">
        <f>(E12+E13)*'model_Assumptions'!$B$18</f>
        <v/>
      </c>
      <c r="F14" s="9">
        <f>(F12+F13)*'model_Assumptions'!$B$18</f>
        <v/>
      </c>
      <c r="G14" s="9">
        <f>(G12+G13)*'model_Assumptions'!$B$18</f>
        <v/>
      </c>
      <c r="H14" s="9">
        <f>(H12+H13)*'model_Assumptions'!$B$18</f>
        <v/>
      </c>
      <c r="I14" s="9">
        <f>(I12+I13)*'model_Assumptions'!$B$18</f>
        <v/>
      </c>
      <c r="J14" s="9">
        <f>(J12+J13)*'model_Assumptions'!$B$18</f>
        <v/>
      </c>
      <c r="K14" s="9">
        <f>(K12+K13)*'model_Assumptions'!$B$18</f>
        <v/>
      </c>
      <c r="L14" s="9">
        <f>(L12+L13)*'model_Assumptions'!$B$18</f>
        <v/>
      </c>
      <c r="M14" s="9">
        <f>(M12+M13)*'model_Assumptions'!$B$18</f>
        <v/>
      </c>
      <c r="N14" s="9">
        <f>(N12+N13)*'model_Assumptions'!$B$18</f>
        <v/>
      </c>
      <c r="O14" s="9">
        <f>(O12+O13)*'model_Assumptions'!$B$18</f>
        <v/>
      </c>
      <c r="P14" s="9">
        <f>(P12+P13)*'model_Assumptions'!$B$18</f>
        <v/>
      </c>
      <c r="Q14" s="9">
        <f>(Q12+Q13)*'model_Assumptions'!$B$18</f>
        <v/>
      </c>
      <c r="R14" s="9">
        <f>(R12+R13)*'model_Assumptions'!$B$18</f>
        <v/>
      </c>
      <c r="S14" s="9">
        <f>(S12+S13)*'model_Assumptions'!$B$18</f>
        <v/>
      </c>
      <c r="T14" s="9">
        <f>(T12+T13)*'model_Assumptions'!$B$18</f>
        <v/>
      </c>
      <c r="U14" s="9">
        <f>(U12+U13)*'model_Assumptions'!$B$18</f>
        <v/>
      </c>
    </row>
    <row r="15">
      <c r="A15" s="1" t="inlineStr">
        <is>
          <t>Class C - Closing Balance</t>
        </is>
      </c>
      <c r="B15" s="6">
        <f>B12+B13-B14</f>
        <v/>
      </c>
      <c r="C15" s="6">
        <f>C12+C13-C14</f>
        <v/>
      </c>
      <c r="D15" s="6">
        <f>D12+D13-D14</f>
        <v/>
      </c>
      <c r="E15" s="6">
        <f>E12+E13-E14</f>
        <v/>
      </c>
      <c r="F15" s="6">
        <f>F12+F13-F14</f>
        <v/>
      </c>
      <c r="G15" s="6">
        <f>G12+G13-G14</f>
        <v/>
      </c>
      <c r="H15" s="6">
        <f>H12+H13-H14</f>
        <v/>
      </c>
      <c r="I15" s="6">
        <f>I12+I13-I14</f>
        <v/>
      </c>
      <c r="J15" s="6">
        <f>J12+J13-J14</f>
        <v/>
      </c>
      <c r="K15" s="6">
        <f>K12+K13-K14</f>
        <v/>
      </c>
      <c r="L15" s="6">
        <f>L12+L13-L14</f>
        <v/>
      </c>
      <c r="M15" s="6">
        <f>M12+M13-M14</f>
        <v/>
      </c>
      <c r="N15" s="6">
        <f>N12+N13-N14</f>
        <v/>
      </c>
      <c r="O15" s="6">
        <f>O12+O13-O14</f>
        <v/>
      </c>
      <c r="P15" s="6">
        <f>P12+P13-P14</f>
        <v/>
      </c>
      <c r="Q15" s="6">
        <f>Q12+Q13-Q14</f>
        <v/>
      </c>
      <c r="R15" s="6">
        <f>R12+R13-R14</f>
        <v/>
      </c>
      <c r="S15" s="6">
        <f>S12+S13-S14</f>
        <v/>
      </c>
      <c r="T15" s="6">
        <f>T12+T13-T14</f>
        <v/>
      </c>
      <c r="U15" s="6">
        <f>U12+U13-U14</f>
        <v/>
      </c>
    </row>
    <row r="16">
      <c r="A16" s="1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>
      <c r="A17" s="1" t="inlineStr">
        <is>
          <t>Class D - Opening Balance</t>
        </is>
      </c>
      <c r="B17" s="6" t="n">
        <v>0</v>
      </c>
      <c r="C17" s="6">
        <f>B20</f>
        <v/>
      </c>
      <c r="D17" s="6">
        <f>C20</f>
        <v/>
      </c>
      <c r="E17" s="6">
        <f>D20</f>
        <v/>
      </c>
      <c r="F17" s="6">
        <f>E20</f>
        <v/>
      </c>
      <c r="G17" s="6">
        <f>F20</f>
        <v/>
      </c>
      <c r="H17" s="6">
        <f>G20</f>
        <v/>
      </c>
      <c r="I17" s="6">
        <f>H20</f>
        <v/>
      </c>
      <c r="J17" s="6">
        <f>I20</f>
        <v/>
      </c>
      <c r="K17" s="6">
        <f>J20</f>
        <v/>
      </c>
      <c r="L17" s="6">
        <f>K20</f>
        <v/>
      </c>
      <c r="M17" s="6">
        <f>L20</f>
        <v/>
      </c>
      <c r="N17" s="6">
        <f>M20</f>
        <v/>
      </c>
      <c r="O17" s="6">
        <f>N20</f>
        <v/>
      </c>
      <c r="P17" s="6">
        <f>O20</f>
        <v/>
      </c>
      <c r="Q17" s="6">
        <f>P20</f>
        <v/>
      </c>
      <c r="R17" s="6">
        <f>Q20</f>
        <v/>
      </c>
      <c r="S17" s="6">
        <f>R20</f>
        <v/>
      </c>
      <c r="T17" s="6">
        <f>S20</f>
        <v/>
      </c>
      <c r="U17" s="6">
        <f>T20</f>
        <v/>
      </c>
    </row>
    <row r="18">
      <c r="A18" s="1" t="inlineStr">
        <is>
          <t>Class D - Addition</t>
        </is>
      </c>
      <c r="B18" s="9">
        <f>'model_Workings'!B6</f>
        <v/>
      </c>
      <c r="C18" s="9">
        <f>'model_Workings'!C6</f>
        <v/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>
      <c r="A19" s="1" t="inlineStr">
        <is>
          <t>Class D - Depreciation</t>
        </is>
      </c>
      <c r="B19" s="9">
        <f>(B17+B18)*'model_Assumptions'!$B$19</f>
        <v/>
      </c>
      <c r="C19" s="9">
        <f>(C17+C18)*'model_Assumptions'!$B$19</f>
        <v/>
      </c>
      <c r="D19" s="9">
        <f>(D17+D18)*'model_Assumptions'!$B$19</f>
        <v/>
      </c>
      <c r="E19" s="9">
        <f>(E17+E18)*'model_Assumptions'!$B$19</f>
        <v/>
      </c>
      <c r="F19" s="9">
        <f>(F17+F18)*'model_Assumptions'!$B$19</f>
        <v/>
      </c>
      <c r="G19" s="9">
        <f>(G17+G18)*'model_Assumptions'!$B$19</f>
        <v/>
      </c>
      <c r="H19" s="9">
        <f>(H17+H18)*'model_Assumptions'!$B$19</f>
        <v/>
      </c>
      <c r="I19" s="9">
        <f>(I17+I18)*'model_Assumptions'!$B$19</f>
        <v/>
      </c>
      <c r="J19" s="9">
        <f>(J17+J18)*'model_Assumptions'!$B$19</f>
        <v/>
      </c>
      <c r="K19" s="9">
        <f>(K17+K18)*'model_Assumptions'!$B$19</f>
        <v/>
      </c>
      <c r="L19" s="9">
        <f>(L17+L18)*'model_Assumptions'!$B$19</f>
        <v/>
      </c>
      <c r="M19" s="9">
        <f>(M17+M18)*'model_Assumptions'!$B$19</f>
        <v/>
      </c>
      <c r="N19" s="9">
        <f>(N17+N18)*'model_Assumptions'!$B$19</f>
        <v/>
      </c>
      <c r="O19" s="9">
        <f>(O17+O18)*'model_Assumptions'!$B$19</f>
        <v/>
      </c>
      <c r="P19" s="9">
        <f>(P17+P18)*'model_Assumptions'!$B$19</f>
        <v/>
      </c>
      <c r="Q19" s="9">
        <f>(Q17+Q18)*'model_Assumptions'!$B$19</f>
        <v/>
      </c>
      <c r="R19" s="9">
        <f>(R17+R18)*'model_Assumptions'!$B$19</f>
        <v/>
      </c>
      <c r="S19" s="9">
        <f>(S17+S18)*'model_Assumptions'!$B$19</f>
        <v/>
      </c>
      <c r="T19" s="9">
        <f>(T17+T18)*'model_Assumptions'!$B$19</f>
        <v/>
      </c>
      <c r="U19" s="9">
        <f>(U17+U18)*'model_Assumptions'!$B$19</f>
        <v/>
      </c>
    </row>
    <row r="20">
      <c r="A20" s="1" t="inlineStr">
        <is>
          <t>Class D - Closing Balance</t>
        </is>
      </c>
      <c r="B20" s="6">
        <f>B17+B18-B19</f>
        <v/>
      </c>
      <c r="C20" s="6">
        <f>C17+C18-C19</f>
        <v/>
      </c>
      <c r="D20" s="6">
        <f>D17+D18-D19</f>
        <v/>
      </c>
      <c r="E20" s="6">
        <f>E17+E18-E19</f>
        <v/>
      </c>
      <c r="F20" s="6">
        <f>F17+F18-F19</f>
        <v/>
      </c>
      <c r="G20" s="6">
        <f>G17+G18-G19</f>
        <v/>
      </c>
      <c r="H20" s="6">
        <f>H17+H18-H19</f>
        <v/>
      </c>
      <c r="I20" s="6">
        <f>I17+I18-I19</f>
        <v/>
      </c>
      <c r="J20" s="6">
        <f>J17+J18-J19</f>
        <v/>
      </c>
      <c r="K20" s="6">
        <f>K17+K18-K19</f>
        <v/>
      </c>
      <c r="L20" s="6">
        <f>L17+L18-L19</f>
        <v/>
      </c>
      <c r="M20" s="6">
        <f>M17+M18-M19</f>
        <v/>
      </c>
      <c r="N20" s="6">
        <f>N17+N18-N19</f>
        <v/>
      </c>
      <c r="O20" s="6">
        <f>O17+O18-O19</f>
        <v/>
      </c>
      <c r="P20" s="6">
        <f>P17+P18-P19</f>
        <v/>
      </c>
      <c r="Q20" s="6">
        <f>Q17+Q18-Q19</f>
        <v/>
      </c>
      <c r="R20" s="6">
        <f>R17+R18-R19</f>
        <v/>
      </c>
      <c r="S20" s="6">
        <f>S17+S18-S19</f>
        <v/>
      </c>
      <c r="T20" s="6">
        <f>T17+T18-T19</f>
        <v/>
      </c>
      <c r="U20" s="6">
        <f>U17+U18-U19</f>
        <v/>
      </c>
    </row>
    <row r="21">
      <c r="A21" s="1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</row>
    <row r="22">
      <c r="A22" s="1" t="inlineStr">
        <is>
          <t>Class E - Opening Balance</t>
        </is>
      </c>
      <c r="B22" s="6" t="n">
        <v>0</v>
      </c>
      <c r="C22" s="6">
        <f>B25</f>
        <v/>
      </c>
      <c r="D22" s="6">
        <f>C25</f>
        <v/>
      </c>
      <c r="E22" s="6">
        <f>D25</f>
        <v/>
      </c>
      <c r="F22" s="6">
        <f>E25</f>
        <v/>
      </c>
      <c r="G22" s="6">
        <f>F25</f>
        <v/>
      </c>
      <c r="H22" s="6">
        <f>G25</f>
        <v/>
      </c>
      <c r="I22" s="6">
        <f>H25</f>
        <v/>
      </c>
      <c r="J22" s="6">
        <f>I25</f>
        <v/>
      </c>
      <c r="K22" s="6">
        <f>J25</f>
        <v/>
      </c>
      <c r="L22" s="6">
        <f>K25</f>
        <v/>
      </c>
      <c r="M22" s="6">
        <f>L25</f>
        <v/>
      </c>
      <c r="N22" s="6">
        <f>M25</f>
        <v/>
      </c>
      <c r="O22" s="6">
        <f>N25</f>
        <v/>
      </c>
      <c r="P22" s="6">
        <f>O25</f>
        <v/>
      </c>
      <c r="Q22" s="6">
        <f>P25</f>
        <v/>
      </c>
      <c r="R22" s="6">
        <f>Q25</f>
        <v/>
      </c>
      <c r="S22" s="6">
        <f>R25</f>
        <v/>
      </c>
      <c r="T22" s="6">
        <f>S25</f>
        <v/>
      </c>
      <c r="U22" s="6">
        <f>T25</f>
        <v/>
      </c>
    </row>
    <row r="23">
      <c r="A23" s="1" t="inlineStr">
        <is>
          <t>Class E - Addition</t>
        </is>
      </c>
      <c r="B23" s="9">
        <f>'model_Workings'!B7</f>
        <v/>
      </c>
      <c r="C23" s="9">
        <f>'model_Workings'!C7</f>
        <v/>
      </c>
      <c r="D23" s="9">
        <f>'model_Workings'!D7</f>
        <v/>
      </c>
      <c r="E23" s="9">
        <f>'model_Workings'!E7</f>
        <v/>
      </c>
      <c r="F23" s="9">
        <f>'model_Workings'!F7</f>
        <v/>
      </c>
      <c r="G23" s="9">
        <f>'model_Workings'!G7</f>
        <v/>
      </c>
      <c r="H23" s="9">
        <f>'model_Workings'!H7</f>
        <v/>
      </c>
      <c r="I23" s="9">
        <f>'model_Workings'!I7</f>
        <v/>
      </c>
      <c r="J23" s="9">
        <f>'model_Workings'!J7</f>
        <v/>
      </c>
      <c r="K23" s="9">
        <f>'model_Workings'!K7</f>
        <v/>
      </c>
      <c r="L23" s="9">
        <f>'model_Workings'!L7</f>
        <v/>
      </c>
      <c r="M23" s="9">
        <f>'model_Workings'!M7</f>
        <v/>
      </c>
      <c r="N23" s="9">
        <f>'model_Workings'!N7</f>
        <v/>
      </c>
      <c r="O23" s="9">
        <f>'model_Workings'!O7</f>
        <v/>
      </c>
      <c r="P23" s="9">
        <f>'model_Workings'!P7</f>
        <v/>
      </c>
      <c r="Q23" s="9">
        <f>'model_Workings'!Q7</f>
        <v/>
      </c>
      <c r="R23" s="9">
        <f>'model_Workings'!R7</f>
        <v/>
      </c>
      <c r="S23" s="9">
        <f>'model_Workings'!S7</f>
        <v/>
      </c>
      <c r="T23" s="9">
        <f>'model_Workings'!T7</f>
        <v/>
      </c>
      <c r="U23" s="9">
        <f>'model_Workings'!U7</f>
        <v/>
      </c>
    </row>
    <row r="24">
      <c r="A24" s="1" t="inlineStr">
        <is>
          <t>Class E - Depreciation</t>
        </is>
      </c>
      <c r="B24" s="9">
        <f>(B22+B23)*'model_Assumptions'!$B$20</f>
        <v/>
      </c>
      <c r="C24" s="9">
        <f>(C22+C23)*'model_Assumptions'!$B$20</f>
        <v/>
      </c>
      <c r="D24" s="9">
        <f>(D22+D23)*'model_Assumptions'!$B$20</f>
        <v/>
      </c>
      <c r="E24" s="9">
        <f>(E22+E23)*'model_Assumptions'!$B$20</f>
        <v/>
      </c>
      <c r="F24" s="9">
        <f>(F22+F23)*'model_Assumptions'!$B$20</f>
        <v/>
      </c>
      <c r="G24" s="9">
        <f>(G22+G23)*'model_Assumptions'!$B$20</f>
        <v/>
      </c>
      <c r="H24" s="9">
        <f>(H22+H23)*'model_Assumptions'!$B$20</f>
        <v/>
      </c>
      <c r="I24" s="9">
        <f>(I22+I23)*'model_Assumptions'!$B$20</f>
        <v/>
      </c>
      <c r="J24" s="9">
        <f>(J22+J23)*'model_Assumptions'!$B$20</f>
        <v/>
      </c>
      <c r="K24" s="9">
        <f>(K22+K23)*'model_Assumptions'!$B$20</f>
        <v/>
      </c>
      <c r="L24" s="9">
        <f>(L22+L23)*'model_Assumptions'!$B$20</f>
        <v/>
      </c>
      <c r="M24" s="9">
        <f>(M22+M23)*'model_Assumptions'!$B$20</f>
        <v/>
      </c>
      <c r="N24" s="9">
        <f>(N22+N23)*'model_Assumptions'!$B$20</f>
        <v/>
      </c>
      <c r="O24" s="9">
        <f>(O22+O23)*'model_Assumptions'!$B$20</f>
        <v/>
      </c>
      <c r="P24" s="9">
        <f>(P22+P23)*'model_Assumptions'!$B$20</f>
        <v/>
      </c>
      <c r="Q24" s="9">
        <f>(Q22+Q23)*'model_Assumptions'!$B$20</f>
        <v/>
      </c>
      <c r="R24" s="9">
        <f>(R22+R23)*'model_Assumptions'!$B$20</f>
        <v/>
      </c>
      <c r="S24" s="9">
        <f>(S22+S23)*'model_Assumptions'!$B$20</f>
        <v/>
      </c>
      <c r="T24" s="9">
        <f>(T22+T23)*'model_Assumptions'!$B$20</f>
        <v/>
      </c>
      <c r="U24" s="9">
        <f>(U22+U23)*'model_Assumptions'!$B$20</f>
        <v/>
      </c>
    </row>
    <row r="25">
      <c r="A25" s="1" t="inlineStr">
        <is>
          <t>Class E - Closing Balance</t>
        </is>
      </c>
      <c r="B25" s="6">
        <f>B22+B23-B24</f>
        <v/>
      </c>
      <c r="C25" s="6">
        <f>C22+C23-C24</f>
        <v/>
      </c>
      <c r="D25" s="6">
        <f>D22+D23-D24</f>
        <v/>
      </c>
      <c r="E25" s="6">
        <f>E22+E23-E24</f>
        <v/>
      </c>
      <c r="F25" s="6">
        <f>F22+F23-F24</f>
        <v/>
      </c>
      <c r="G25" s="6">
        <f>G22+G23-G24</f>
        <v/>
      </c>
      <c r="H25" s="6">
        <f>H22+H23-H24</f>
        <v/>
      </c>
      <c r="I25" s="6">
        <f>I22+I23-I24</f>
        <v/>
      </c>
      <c r="J25" s="6">
        <f>J22+J23-J24</f>
        <v/>
      </c>
      <c r="K25" s="6">
        <f>K22+K23-K24</f>
        <v/>
      </c>
      <c r="L25" s="6">
        <f>L22+L23-L24</f>
        <v/>
      </c>
      <c r="M25" s="6">
        <f>M22+M23-M24</f>
        <v/>
      </c>
      <c r="N25" s="6">
        <f>N22+N23-N24</f>
        <v/>
      </c>
      <c r="O25" s="6">
        <f>O22+O23-O24</f>
        <v/>
      </c>
      <c r="P25" s="6">
        <f>P22+P23-P24</f>
        <v/>
      </c>
      <c r="Q25" s="6">
        <f>Q22+Q23-Q24</f>
        <v/>
      </c>
      <c r="R25" s="6">
        <f>R22+R23-R24</f>
        <v/>
      </c>
      <c r="S25" s="6">
        <f>S22+S23-S24</f>
        <v/>
      </c>
      <c r="T25" s="6">
        <f>T22+T23-T24</f>
        <v/>
      </c>
      <c r="U25" s="6">
        <f>U22+U23-U24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</cols>
  <sheetData>
    <row r="1">
      <c r="A1" s="8" t="inlineStr">
        <is>
          <t>Period</t>
        </is>
      </c>
      <c r="B1" s="8" t="inlineStr">
        <is>
          <t>2017</t>
        </is>
      </c>
      <c r="C1" s="8" t="inlineStr">
        <is>
          <t>2018</t>
        </is>
      </c>
      <c r="D1" s="8" t="inlineStr">
        <is>
          <t>2019</t>
        </is>
      </c>
      <c r="E1" s="8" t="inlineStr">
        <is>
          <t>2020</t>
        </is>
      </c>
      <c r="F1" s="8" t="inlineStr">
        <is>
          <t>2021</t>
        </is>
      </c>
      <c r="G1" s="8" t="inlineStr">
        <is>
          <t>2022</t>
        </is>
      </c>
      <c r="H1" s="8" t="inlineStr">
        <is>
          <t>2023</t>
        </is>
      </c>
      <c r="I1" s="8" t="inlineStr">
        <is>
          <t>2024</t>
        </is>
      </c>
      <c r="J1" s="8" t="inlineStr">
        <is>
          <t>2025</t>
        </is>
      </c>
      <c r="K1" s="8" t="inlineStr">
        <is>
          <t>2026</t>
        </is>
      </c>
      <c r="L1" s="8" t="inlineStr">
        <is>
          <t>2027</t>
        </is>
      </c>
      <c r="M1" s="8" t="inlineStr">
        <is>
          <t>2028</t>
        </is>
      </c>
      <c r="N1" s="8" t="inlineStr">
        <is>
          <t>2029</t>
        </is>
      </c>
      <c r="O1" s="8" t="inlineStr">
        <is>
          <t>2030</t>
        </is>
      </c>
      <c r="P1" s="8" t="inlineStr">
        <is>
          <t>2031</t>
        </is>
      </c>
      <c r="Q1" s="8" t="inlineStr">
        <is>
          <t>2032</t>
        </is>
      </c>
      <c r="R1" s="8" t="inlineStr">
        <is>
          <t>2033</t>
        </is>
      </c>
      <c r="S1" s="8" t="inlineStr">
        <is>
          <t>2034</t>
        </is>
      </c>
      <c r="T1" s="8" t="inlineStr">
        <is>
          <t>2035</t>
        </is>
      </c>
      <c r="U1" s="8" t="inlineStr">
        <is>
          <t>2036</t>
        </is>
      </c>
    </row>
    <row r="2">
      <c r="A2" s="1" t="inlineStr">
        <is>
          <t>Class A Total Depr</t>
        </is>
      </c>
      <c r="B2" s="9">
        <f>SUMPRODUCT('model_Workings'!$B$3:$U$3 / 'model_Assumptions'!$C$16, ('model_Workings'!B$2 - 'model_Workings'!$B$2:$U$2 &gt;= 0) * ('model_Workings'!B$2 - 'model_Workings'!$B$2:$U$2 &lt; 'model_Assumptions'!$C$16))</f>
        <v/>
      </c>
      <c r="C2" s="9">
        <f>SUMPRODUCT('model_Workings'!$B$3:$U$3 / 'model_Assumptions'!$C$16, ('model_Workings'!C$2 - 'model_Workings'!$B$2:$U$2 &gt;= 0) * ('model_Workings'!C$2 - 'model_Workings'!$B$2:$U$2 &lt; 'model_Assumptions'!$C$16))</f>
        <v/>
      </c>
      <c r="D2" s="9">
        <f>SUMPRODUCT('model_Workings'!$B$3:$U$3 / 'model_Assumptions'!$C$16, ('model_Workings'!D$2 - 'model_Workings'!$B$2:$U$2 &gt;= 0) * ('model_Workings'!D$2 - 'model_Workings'!$B$2:$U$2 &lt; 'model_Assumptions'!$C$16))</f>
        <v/>
      </c>
      <c r="E2" s="9">
        <f>SUMPRODUCT('model_Workings'!$B$3:$U$3 / 'model_Assumptions'!$C$16, ('model_Workings'!E$2 - 'model_Workings'!$B$2:$U$2 &gt;= 0) * ('model_Workings'!E$2 - 'model_Workings'!$B$2:$U$2 &lt; 'model_Assumptions'!$C$16))</f>
        <v/>
      </c>
      <c r="F2" s="9">
        <f>SUMPRODUCT('model_Workings'!$B$3:$U$3 / 'model_Assumptions'!$C$16, ('model_Workings'!F$2 - 'model_Workings'!$B$2:$U$2 &gt;= 0) * ('model_Workings'!F$2 - 'model_Workings'!$B$2:$U$2 &lt; 'model_Assumptions'!$C$16))</f>
        <v/>
      </c>
      <c r="G2" s="9">
        <f>SUMPRODUCT('model_Workings'!$B$3:$U$3 / 'model_Assumptions'!$C$16, ('model_Workings'!G$2 - 'model_Workings'!$B$2:$U$2 &gt;= 0) * ('model_Workings'!G$2 - 'model_Workings'!$B$2:$U$2 &lt; 'model_Assumptions'!$C$16))</f>
        <v/>
      </c>
      <c r="H2" s="9">
        <f>SUMPRODUCT('model_Workings'!$B$3:$U$3 / 'model_Assumptions'!$C$16, ('model_Workings'!H$2 - 'model_Workings'!$B$2:$U$2 &gt;= 0) * ('model_Workings'!H$2 - 'model_Workings'!$B$2:$U$2 &lt; 'model_Assumptions'!$C$16))</f>
        <v/>
      </c>
      <c r="I2" s="9">
        <f>SUMPRODUCT('model_Workings'!$B$3:$U$3 / 'model_Assumptions'!$C$16, ('model_Workings'!I$2 - 'model_Workings'!$B$2:$U$2 &gt;= 0) * ('model_Workings'!I$2 - 'model_Workings'!$B$2:$U$2 &lt; 'model_Assumptions'!$C$16))</f>
        <v/>
      </c>
      <c r="J2" s="9">
        <f>SUMPRODUCT('model_Workings'!$B$3:$U$3 / 'model_Assumptions'!$C$16, ('model_Workings'!J$2 - 'model_Workings'!$B$2:$U$2 &gt;= 0) * ('model_Workings'!J$2 - 'model_Workings'!$B$2:$U$2 &lt; 'model_Assumptions'!$C$16))</f>
        <v/>
      </c>
      <c r="K2" s="9">
        <f>SUMPRODUCT('model_Workings'!$B$3:$U$3 / 'model_Assumptions'!$C$16, ('model_Workings'!K$2 - 'model_Workings'!$B$2:$U$2 &gt;= 0) * ('model_Workings'!K$2 - 'model_Workings'!$B$2:$U$2 &lt; 'model_Assumptions'!$C$16))</f>
        <v/>
      </c>
      <c r="L2" s="9">
        <f>SUMPRODUCT('model_Workings'!$B$3:$U$3 / 'model_Assumptions'!$C$16, ('model_Workings'!L$2 - 'model_Workings'!$B$2:$U$2 &gt;= 0) * ('model_Workings'!L$2 - 'model_Workings'!$B$2:$U$2 &lt; 'model_Assumptions'!$C$16))</f>
        <v/>
      </c>
      <c r="M2" s="9">
        <f>SUMPRODUCT('model_Workings'!$B$3:$U$3 / 'model_Assumptions'!$C$16, ('model_Workings'!M$2 - 'model_Workings'!$B$2:$U$2 &gt;= 0) * ('model_Workings'!M$2 - 'model_Workings'!$B$2:$U$2 &lt; 'model_Assumptions'!$C$16))</f>
        <v/>
      </c>
      <c r="N2" s="9">
        <f>SUMPRODUCT('model_Workings'!$B$3:$U$3 / 'model_Assumptions'!$C$16, ('model_Workings'!N$2 - 'model_Workings'!$B$2:$U$2 &gt;= 0) * ('model_Workings'!N$2 - 'model_Workings'!$B$2:$U$2 &lt; 'model_Assumptions'!$C$16))</f>
        <v/>
      </c>
      <c r="O2" s="9">
        <f>SUMPRODUCT('model_Workings'!$B$3:$U$3 / 'model_Assumptions'!$C$16, ('model_Workings'!O$2 - 'model_Workings'!$B$2:$U$2 &gt;= 0) * ('model_Workings'!O$2 - 'model_Workings'!$B$2:$U$2 &lt; 'model_Assumptions'!$C$16))</f>
        <v/>
      </c>
      <c r="P2" s="9">
        <f>SUMPRODUCT('model_Workings'!$B$3:$U$3 / 'model_Assumptions'!$C$16, ('model_Workings'!P$2 - 'model_Workings'!$B$2:$U$2 &gt;= 0) * ('model_Workings'!P$2 - 'model_Workings'!$B$2:$U$2 &lt; 'model_Assumptions'!$C$16))</f>
        <v/>
      </c>
      <c r="Q2" s="9">
        <f>SUMPRODUCT('model_Workings'!$B$3:$U$3 / 'model_Assumptions'!$C$16, ('model_Workings'!Q$2 - 'model_Workings'!$B$2:$U$2 &gt;= 0) * ('model_Workings'!Q$2 - 'model_Workings'!$B$2:$U$2 &lt; 'model_Assumptions'!$C$16))</f>
        <v/>
      </c>
      <c r="R2" s="9">
        <f>SUMPRODUCT('model_Workings'!$B$3:$U$3 / 'model_Assumptions'!$C$16, ('model_Workings'!R$2 - 'model_Workings'!$B$2:$U$2 &gt;= 0) * ('model_Workings'!R$2 - 'model_Workings'!$B$2:$U$2 &lt; 'model_Assumptions'!$C$16))</f>
        <v/>
      </c>
      <c r="S2" s="9">
        <f>SUMPRODUCT('model_Workings'!$B$3:$U$3 / 'model_Assumptions'!$C$16, ('model_Workings'!S$2 - 'model_Workings'!$B$2:$U$2 &gt;= 0) * ('model_Workings'!S$2 - 'model_Workings'!$B$2:$U$2 &lt; 'model_Assumptions'!$C$16))</f>
        <v/>
      </c>
      <c r="T2" s="9">
        <f>SUMPRODUCT('model_Workings'!$B$3:$U$3 / 'model_Assumptions'!$C$16, ('model_Workings'!T$2 - 'model_Workings'!$B$2:$U$2 &gt;= 0) * ('model_Workings'!T$2 - 'model_Workings'!$B$2:$U$2 &lt; 'model_Assumptions'!$C$16))</f>
        <v/>
      </c>
      <c r="U2" s="9">
        <f>SUMPRODUCT('model_Workings'!$B$3:$U$3 / 'model_Assumptions'!$C$16, ('model_Workings'!U$2 - 'model_Workings'!$B$2:$U$2 &gt;= 0) * ('model_Workings'!U$2 - 'model_Workings'!$B$2:$U$2 &lt; 'model_Assumptions'!$C$16))</f>
        <v/>
      </c>
    </row>
    <row r="3">
      <c r="A3" s="1" t="inlineStr">
        <is>
          <t>Class B Total Depr</t>
        </is>
      </c>
      <c r="B3" s="9">
        <f>SUMPRODUCT('model_Workings'!$B$4:$U$4 / 'model_Assumptions'!$C$17, ('model_Workings'!B$2 - 'model_Workings'!$B$2:$U$2 &gt;= 0) * ('model_Workings'!B$2 - 'model_Workings'!$B$2:$U$2 &lt; 'model_Assumptions'!$C$17))</f>
        <v/>
      </c>
      <c r="C3" s="9">
        <f>SUMPRODUCT('model_Workings'!$B$4:$U$4 / 'model_Assumptions'!$C$17, ('model_Workings'!C$2 - 'model_Workings'!$B$2:$U$2 &gt;= 0) * ('model_Workings'!C$2 - 'model_Workings'!$B$2:$U$2 &lt; 'model_Assumptions'!$C$17))</f>
        <v/>
      </c>
      <c r="D3" s="9">
        <f>SUMPRODUCT('model_Workings'!$B$4:$U$4 / 'model_Assumptions'!$C$17, ('model_Workings'!D$2 - 'model_Workings'!$B$2:$U$2 &gt;= 0) * ('model_Workings'!D$2 - 'model_Workings'!$B$2:$U$2 &lt; 'model_Assumptions'!$C$17))</f>
        <v/>
      </c>
      <c r="E3" s="9">
        <f>SUMPRODUCT('model_Workings'!$B$4:$U$4 / 'model_Assumptions'!$C$17, ('model_Workings'!E$2 - 'model_Workings'!$B$2:$U$2 &gt;= 0) * ('model_Workings'!E$2 - 'model_Workings'!$B$2:$U$2 &lt; 'model_Assumptions'!$C$17))</f>
        <v/>
      </c>
      <c r="F3" s="9">
        <f>SUMPRODUCT('model_Workings'!$B$4:$U$4 / 'model_Assumptions'!$C$17, ('model_Workings'!F$2 - 'model_Workings'!$B$2:$U$2 &gt;= 0) * ('model_Workings'!F$2 - 'model_Workings'!$B$2:$U$2 &lt; 'model_Assumptions'!$C$17))</f>
        <v/>
      </c>
      <c r="G3" s="9">
        <f>SUMPRODUCT('model_Workings'!$B$4:$U$4 / 'model_Assumptions'!$C$17, ('model_Workings'!G$2 - 'model_Workings'!$B$2:$U$2 &gt;= 0) * ('model_Workings'!G$2 - 'model_Workings'!$B$2:$U$2 &lt; 'model_Assumptions'!$C$17))</f>
        <v/>
      </c>
      <c r="H3" s="9">
        <f>SUMPRODUCT('model_Workings'!$B$4:$U$4 / 'model_Assumptions'!$C$17, ('model_Workings'!H$2 - 'model_Workings'!$B$2:$U$2 &gt;= 0) * ('model_Workings'!H$2 - 'model_Workings'!$B$2:$U$2 &lt; 'model_Assumptions'!$C$17))</f>
        <v/>
      </c>
      <c r="I3" s="9">
        <f>SUMPRODUCT('model_Workings'!$B$4:$U$4 / 'model_Assumptions'!$C$17, ('model_Workings'!I$2 - 'model_Workings'!$B$2:$U$2 &gt;= 0) * ('model_Workings'!I$2 - 'model_Workings'!$B$2:$U$2 &lt; 'model_Assumptions'!$C$17))</f>
        <v/>
      </c>
      <c r="J3" s="9">
        <f>SUMPRODUCT('model_Workings'!$B$4:$U$4 / 'model_Assumptions'!$C$17, ('model_Workings'!J$2 - 'model_Workings'!$B$2:$U$2 &gt;= 0) * ('model_Workings'!J$2 - 'model_Workings'!$B$2:$U$2 &lt; 'model_Assumptions'!$C$17))</f>
        <v/>
      </c>
      <c r="K3" s="9">
        <f>SUMPRODUCT('model_Workings'!$B$4:$U$4 / 'model_Assumptions'!$C$17, ('model_Workings'!K$2 - 'model_Workings'!$B$2:$U$2 &gt;= 0) * ('model_Workings'!K$2 - 'model_Workings'!$B$2:$U$2 &lt; 'model_Assumptions'!$C$17))</f>
        <v/>
      </c>
      <c r="L3" s="9">
        <f>SUMPRODUCT('model_Workings'!$B$4:$U$4 / 'model_Assumptions'!$C$17, ('model_Workings'!L$2 - 'model_Workings'!$B$2:$U$2 &gt;= 0) * ('model_Workings'!L$2 - 'model_Workings'!$B$2:$U$2 &lt; 'model_Assumptions'!$C$17))</f>
        <v/>
      </c>
      <c r="M3" s="9">
        <f>SUMPRODUCT('model_Workings'!$B$4:$U$4 / 'model_Assumptions'!$C$17, ('model_Workings'!M$2 - 'model_Workings'!$B$2:$U$2 &gt;= 0) * ('model_Workings'!M$2 - 'model_Workings'!$B$2:$U$2 &lt; 'model_Assumptions'!$C$17))</f>
        <v/>
      </c>
      <c r="N3" s="9">
        <f>SUMPRODUCT('model_Workings'!$B$4:$U$4 / 'model_Assumptions'!$C$17, ('model_Workings'!N$2 - 'model_Workings'!$B$2:$U$2 &gt;= 0) * ('model_Workings'!N$2 - 'model_Workings'!$B$2:$U$2 &lt; 'model_Assumptions'!$C$17))</f>
        <v/>
      </c>
      <c r="O3" s="9">
        <f>SUMPRODUCT('model_Workings'!$B$4:$U$4 / 'model_Assumptions'!$C$17, ('model_Workings'!O$2 - 'model_Workings'!$B$2:$U$2 &gt;= 0) * ('model_Workings'!O$2 - 'model_Workings'!$B$2:$U$2 &lt; 'model_Assumptions'!$C$17))</f>
        <v/>
      </c>
      <c r="P3" s="9">
        <f>SUMPRODUCT('model_Workings'!$B$4:$U$4 / 'model_Assumptions'!$C$17, ('model_Workings'!P$2 - 'model_Workings'!$B$2:$U$2 &gt;= 0) * ('model_Workings'!P$2 - 'model_Workings'!$B$2:$U$2 &lt; 'model_Assumptions'!$C$17))</f>
        <v/>
      </c>
      <c r="Q3" s="9">
        <f>SUMPRODUCT('model_Workings'!$B$4:$U$4 / 'model_Assumptions'!$C$17, ('model_Workings'!Q$2 - 'model_Workings'!$B$2:$U$2 &gt;= 0) * ('model_Workings'!Q$2 - 'model_Workings'!$B$2:$U$2 &lt; 'model_Assumptions'!$C$17))</f>
        <v/>
      </c>
      <c r="R3" s="9">
        <f>SUMPRODUCT('model_Workings'!$B$4:$U$4 / 'model_Assumptions'!$C$17, ('model_Workings'!R$2 - 'model_Workings'!$B$2:$U$2 &gt;= 0) * ('model_Workings'!R$2 - 'model_Workings'!$B$2:$U$2 &lt; 'model_Assumptions'!$C$17))</f>
        <v/>
      </c>
      <c r="S3" s="9">
        <f>SUMPRODUCT('model_Workings'!$B$4:$U$4 / 'model_Assumptions'!$C$17, ('model_Workings'!S$2 - 'model_Workings'!$B$2:$U$2 &gt;= 0) * ('model_Workings'!S$2 - 'model_Workings'!$B$2:$U$2 &lt; 'model_Assumptions'!$C$17))</f>
        <v/>
      </c>
      <c r="T3" s="9">
        <f>SUMPRODUCT('model_Workings'!$B$4:$U$4 / 'model_Assumptions'!$C$17, ('model_Workings'!T$2 - 'model_Workings'!$B$2:$U$2 &gt;= 0) * ('model_Workings'!T$2 - 'model_Workings'!$B$2:$U$2 &lt; 'model_Assumptions'!$C$17))</f>
        <v/>
      </c>
      <c r="U3" s="9">
        <f>SUMPRODUCT('model_Workings'!$B$4:$U$4 / 'model_Assumptions'!$C$17, ('model_Workings'!U$2 - 'model_Workings'!$B$2:$U$2 &gt;= 0) * ('model_Workings'!U$2 - 'model_Workings'!$B$2:$U$2 &lt; 'model_Assumptions'!$C$17))</f>
        <v/>
      </c>
    </row>
    <row r="4">
      <c r="A4" s="1" t="inlineStr">
        <is>
          <t>Class C Total Depr</t>
        </is>
      </c>
      <c r="B4" s="9">
        <f>SUMPRODUCT('model_Workings'!$B$5:$U$5 / 'model_Assumptions'!$C$18, ('model_Workings'!B$2 - 'model_Workings'!$B$2:$U$2 &gt;= 0) * ('model_Workings'!B$2 - 'model_Workings'!$B$2:$U$2 &lt; 'model_Assumptions'!$C$18))</f>
        <v/>
      </c>
      <c r="C4" s="9">
        <f>SUMPRODUCT('model_Workings'!$B$5:$U$5 / 'model_Assumptions'!$C$18, ('model_Workings'!C$2 - 'model_Workings'!$B$2:$U$2 &gt;= 0) * ('model_Workings'!C$2 - 'model_Workings'!$B$2:$U$2 &lt; 'model_Assumptions'!$C$18))</f>
        <v/>
      </c>
      <c r="D4" s="9">
        <f>SUMPRODUCT('model_Workings'!$B$5:$U$5 / 'model_Assumptions'!$C$18, ('model_Workings'!D$2 - 'model_Workings'!$B$2:$U$2 &gt;= 0) * ('model_Workings'!D$2 - 'model_Workings'!$B$2:$U$2 &lt; 'model_Assumptions'!$C$18))</f>
        <v/>
      </c>
      <c r="E4" s="9">
        <f>SUMPRODUCT('model_Workings'!$B$5:$U$5 / 'model_Assumptions'!$C$18, ('model_Workings'!E$2 - 'model_Workings'!$B$2:$U$2 &gt;= 0) * ('model_Workings'!E$2 - 'model_Workings'!$B$2:$U$2 &lt; 'model_Assumptions'!$C$18))</f>
        <v/>
      </c>
      <c r="F4" s="9">
        <f>SUMPRODUCT('model_Workings'!$B$5:$U$5 / 'model_Assumptions'!$C$18, ('model_Workings'!F$2 - 'model_Workings'!$B$2:$U$2 &gt;= 0) * ('model_Workings'!F$2 - 'model_Workings'!$B$2:$U$2 &lt; 'model_Assumptions'!$C$18))</f>
        <v/>
      </c>
      <c r="G4" s="9">
        <f>SUMPRODUCT('model_Workings'!$B$5:$U$5 / 'model_Assumptions'!$C$18, ('model_Workings'!G$2 - 'model_Workings'!$B$2:$U$2 &gt;= 0) * ('model_Workings'!G$2 - 'model_Workings'!$B$2:$U$2 &lt; 'model_Assumptions'!$C$18))</f>
        <v/>
      </c>
      <c r="H4" s="9">
        <f>SUMPRODUCT('model_Workings'!$B$5:$U$5 / 'model_Assumptions'!$C$18, ('model_Workings'!H$2 - 'model_Workings'!$B$2:$U$2 &gt;= 0) * ('model_Workings'!H$2 - 'model_Workings'!$B$2:$U$2 &lt; 'model_Assumptions'!$C$18))</f>
        <v/>
      </c>
      <c r="I4" s="9">
        <f>SUMPRODUCT('model_Workings'!$B$5:$U$5 / 'model_Assumptions'!$C$18, ('model_Workings'!I$2 - 'model_Workings'!$B$2:$U$2 &gt;= 0) * ('model_Workings'!I$2 - 'model_Workings'!$B$2:$U$2 &lt; 'model_Assumptions'!$C$18))</f>
        <v/>
      </c>
      <c r="J4" s="9">
        <f>SUMPRODUCT('model_Workings'!$B$5:$U$5 / 'model_Assumptions'!$C$18, ('model_Workings'!J$2 - 'model_Workings'!$B$2:$U$2 &gt;= 0) * ('model_Workings'!J$2 - 'model_Workings'!$B$2:$U$2 &lt; 'model_Assumptions'!$C$18))</f>
        <v/>
      </c>
      <c r="K4" s="9">
        <f>SUMPRODUCT('model_Workings'!$B$5:$U$5 / 'model_Assumptions'!$C$18, ('model_Workings'!K$2 - 'model_Workings'!$B$2:$U$2 &gt;= 0) * ('model_Workings'!K$2 - 'model_Workings'!$B$2:$U$2 &lt; 'model_Assumptions'!$C$18))</f>
        <v/>
      </c>
      <c r="L4" s="9">
        <f>SUMPRODUCT('model_Workings'!$B$5:$U$5 / 'model_Assumptions'!$C$18, ('model_Workings'!L$2 - 'model_Workings'!$B$2:$U$2 &gt;= 0) * ('model_Workings'!L$2 - 'model_Workings'!$B$2:$U$2 &lt; 'model_Assumptions'!$C$18))</f>
        <v/>
      </c>
      <c r="M4" s="9">
        <f>SUMPRODUCT('model_Workings'!$B$5:$U$5 / 'model_Assumptions'!$C$18, ('model_Workings'!M$2 - 'model_Workings'!$B$2:$U$2 &gt;= 0) * ('model_Workings'!M$2 - 'model_Workings'!$B$2:$U$2 &lt; 'model_Assumptions'!$C$18))</f>
        <v/>
      </c>
      <c r="N4" s="9">
        <f>SUMPRODUCT('model_Workings'!$B$5:$U$5 / 'model_Assumptions'!$C$18, ('model_Workings'!N$2 - 'model_Workings'!$B$2:$U$2 &gt;= 0) * ('model_Workings'!N$2 - 'model_Workings'!$B$2:$U$2 &lt; 'model_Assumptions'!$C$18))</f>
        <v/>
      </c>
      <c r="O4" s="9">
        <f>SUMPRODUCT('model_Workings'!$B$5:$U$5 / 'model_Assumptions'!$C$18, ('model_Workings'!O$2 - 'model_Workings'!$B$2:$U$2 &gt;= 0) * ('model_Workings'!O$2 - 'model_Workings'!$B$2:$U$2 &lt; 'model_Assumptions'!$C$18))</f>
        <v/>
      </c>
      <c r="P4" s="9">
        <f>SUMPRODUCT('model_Workings'!$B$5:$U$5 / 'model_Assumptions'!$C$18, ('model_Workings'!P$2 - 'model_Workings'!$B$2:$U$2 &gt;= 0) * ('model_Workings'!P$2 - 'model_Workings'!$B$2:$U$2 &lt; 'model_Assumptions'!$C$18))</f>
        <v/>
      </c>
      <c r="Q4" s="9">
        <f>SUMPRODUCT('model_Workings'!$B$5:$U$5 / 'model_Assumptions'!$C$18, ('model_Workings'!Q$2 - 'model_Workings'!$B$2:$U$2 &gt;= 0) * ('model_Workings'!Q$2 - 'model_Workings'!$B$2:$U$2 &lt; 'model_Assumptions'!$C$18))</f>
        <v/>
      </c>
      <c r="R4" s="9">
        <f>SUMPRODUCT('model_Workings'!$B$5:$U$5 / 'model_Assumptions'!$C$18, ('model_Workings'!R$2 - 'model_Workings'!$B$2:$U$2 &gt;= 0) * ('model_Workings'!R$2 - 'model_Workings'!$B$2:$U$2 &lt; 'model_Assumptions'!$C$18))</f>
        <v/>
      </c>
      <c r="S4" s="9">
        <f>SUMPRODUCT('model_Workings'!$B$5:$U$5 / 'model_Assumptions'!$C$18, ('model_Workings'!S$2 - 'model_Workings'!$B$2:$U$2 &gt;= 0) * ('model_Workings'!S$2 - 'model_Workings'!$B$2:$U$2 &lt; 'model_Assumptions'!$C$18))</f>
        <v/>
      </c>
      <c r="T4" s="9">
        <f>SUMPRODUCT('model_Workings'!$B$5:$U$5 / 'model_Assumptions'!$C$18, ('model_Workings'!T$2 - 'model_Workings'!$B$2:$U$2 &gt;= 0) * ('model_Workings'!T$2 - 'model_Workings'!$B$2:$U$2 &lt; 'model_Assumptions'!$C$18))</f>
        <v/>
      </c>
      <c r="U4" s="9">
        <f>SUMPRODUCT('model_Workings'!$B$5:$U$5 / 'model_Assumptions'!$C$18, ('model_Workings'!U$2 - 'model_Workings'!$B$2:$U$2 &gt;= 0) * ('model_Workings'!U$2 - 'model_Workings'!$B$2:$U$2 &lt; 'model_Assumptions'!$C$18))</f>
        <v/>
      </c>
    </row>
    <row r="5">
      <c r="A5" s="1" t="inlineStr">
        <is>
          <t>Class D Total Depr</t>
        </is>
      </c>
      <c r="B5" s="9">
        <f>SUMPRODUCT('model_Workings'!$B$6:$U$6 / 'model_Assumptions'!$C$19, ('model_Workings'!B$2 - 'model_Workings'!$B$2:$U$2 &gt;= 0) * ('model_Workings'!B$2 - 'model_Workings'!$B$2:$U$2 &lt; 'model_Assumptions'!$C$19))</f>
        <v/>
      </c>
      <c r="C5" s="9">
        <f>SUMPRODUCT('model_Workings'!$B$6:$U$6 / 'model_Assumptions'!$C$19, ('model_Workings'!C$2 - 'model_Workings'!$B$2:$U$2 &gt;= 0) * ('model_Workings'!C$2 - 'model_Workings'!$B$2:$U$2 &lt; 'model_Assumptions'!$C$19))</f>
        <v/>
      </c>
      <c r="D5" s="9">
        <f>SUMPRODUCT('model_Workings'!$B$6:$U$6 / 'model_Assumptions'!$C$19, ('model_Workings'!D$2 - 'model_Workings'!$B$2:$U$2 &gt;= 0) * ('model_Workings'!D$2 - 'model_Workings'!$B$2:$U$2 &lt; 'model_Assumptions'!$C$19))</f>
        <v/>
      </c>
      <c r="E5" s="9">
        <f>SUMPRODUCT('model_Workings'!$B$6:$U$6 / 'model_Assumptions'!$C$19, ('model_Workings'!E$2 - 'model_Workings'!$B$2:$U$2 &gt;= 0) * ('model_Workings'!E$2 - 'model_Workings'!$B$2:$U$2 &lt; 'model_Assumptions'!$C$19))</f>
        <v/>
      </c>
      <c r="F5" s="9">
        <f>SUMPRODUCT('model_Workings'!$B$6:$U$6 / 'model_Assumptions'!$C$19, ('model_Workings'!F$2 - 'model_Workings'!$B$2:$U$2 &gt;= 0) * ('model_Workings'!F$2 - 'model_Workings'!$B$2:$U$2 &lt; 'model_Assumptions'!$C$19))</f>
        <v/>
      </c>
      <c r="G5" s="9">
        <f>SUMPRODUCT('model_Workings'!$B$6:$U$6 / 'model_Assumptions'!$C$19, ('model_Workings'!G$2 - 'model_Workings'!$B$2:$U$2 &gt;= 0) * ('model_Workings'!G$2 - 'model_Workings'!$B$2:$U$2 &lt; 'model_Assumptions'!$C$19))</f>
        <v/>
      </c>
      <c r="H5" s="9">
        <f>SUMPRODUCT('model_Workings'!$B$6:$U$6 / 'model_Assumptions'!$C$19, ('model_Workings'!H$2 - 'model_Workings'!$B$2:$U$2 &gt;= 0) * ('model_Workings'!H$2 - 'model_Workings'!$B$2:$U$2 &lt; 'model_Assumptions'!$C$19))</f>
        <v/>
      </c>
      <c r="I5" s="9">
        <f>SUMPRODUCT('model_Workings'!$B$6:$U$6 / 'model_Assumptions'!$C$19, ('model_Workings'!I$2 - 'model_Workings'!$B$2:$U$2 &gt;= 0) * ('model_Workings'!I$2 - 'model_Workings'!$B$2:$U$2 &lt; 'model_Assumptions'!$C$19))</f>
        <v/>
      </c>
      <c r="J5" s="9">
        <f>SUMPRODUCT('model_Workings'!$B$6:$U$6 / 'model_Assumptions'!$C$19, ('model_Workings'!J$2 - 'model_Workings'!$B$2:$U$2 &gt;= 0) * ('model_Workings'!J$2 - 'model_Workings'!$B$2:$U$2 &lt; 'model_Assumptions'!$C$19))</f>
        <v/>
      </c>
      <c r="K5" s="9">
        <f>SUMPRODUCT('model_Workings'!$B$6:$U$6 / 'model_Assumptions'!$C$19, ('model_Workings'!K$2 - 'model_Workings'!$B$2:$U$2 &gt;= 0) * ('model_Workings'!K$2 - 'model_Workings'!$B$2:$U$2 &lt; 'model_Assumptions'!$C$19))</f>
        <v/>
      </c>
      <c r="L5" s="9">
        <f>SUMPRODUCT('model_Workings'!$B$6:$U$6 / 'model_Assumptions'!$C$19, ('model_Workings'!L$2 - 'model_Workings'!$B$2:$U$2 &gt;= 0) * ('model_Workings'!L$2 - 'model_Workings'!$B$2:$U$2 &lt; 'model_Assumptions'!$C$19))</f>
        <v/>
      </c>
      <c r="M5" s="9" t="n"/>
      <c r="N5" s="9" t="n"/>
      <c r="O5" s="9" t="n"/>
      <c r="P5" s="9" t="n"/>
      <c r="Q5" s="9" t="n"/>
      <c r="R5" s="9" t="n"/>
      <c r="S5" s="9" t="n"/>
      <c r="T5" s="9" t="n"/>
      <c r="U5" s="9" t="n"/>
    </row>
    <row r="6">
      <c r="A6" s="1" t="inlineStr">
        <is>
          <t>Class E Total Depr</t>
        </is>
      </c>
      <c r="B6" s="9">
        <f>SUMPRODUCT('model_Workings'!$B$7:$U$7 / 'model_Assumptions'!$C$20, ('model_Workings'!B$2 - 'model_Workings'!$B$2:$U$2 &gt;= 0) * ('model_Workings'!B$2 - 'model_Workings'!$B$2:$U$2 &lt; 'model_Assumptions'!$C$20))</f>
        <v/>
      </c>
      <c r="C6" s="9">
        <f>SUMPRODUCT('model_Workings'!$B$7:$U$7 / 'model_Assumptions'!$C$20, ('model_Workings'!C$2 - 'model_Workings'!$B$2:$U$2 &gt;= 0) * ('model_Workings'!C$2 - 'model_Workings'!$B$2:$U$2 &lt; 'model_Assumptions'!$C$20))</f>
        <v/>
      </c>
      <c r="D6" s="9">
        <f>SUMPRODUCT('model_Workings'!$B$7:$U$7 / 'model_Assumptions'!$C$20, ('model_Workings'!D$2 - 'model_Workings'!$B$2:$U$2 &gt;= 0) * ('model_Workings'!D$2 - 'model_Workings'!$B$2:$U$2 &lt; 'model_Assumptions'!$C$20))</f>
        <v/>
      </c>
      <c r="E6" s="9">
        <f>SUMPRODUCT('model_Workings'!$B$7:$U$7 / 'model_Assumptions'!$C$20, ('model_Workings'!E$2 - 'model_Workings'!$B$2:$U$2 &gt;= 0) * ('model_Workings'!E$2 - 'model_Workings'!$B$2:$U$2 &lt; 'model_Assumptions'!$C$20))</f>
        <v/>
      </c>
      <c r="F6" s="9">
        <f>SUMPRODUCT('model_Workings'!$B$7:$U$7 / 'model_Assumptions'!$C$20, ('model_Workings'!F$2 - 'model_Workings'!$B$2:$U$2 &gt;= 0) * ('model_Workings'!F$2 - 'model_Workings'!$B$2:$U$2 &lt; 'model_Assumptions'!$C$20))</f>
        <v/>
      </c>
      <c r="G6" s="9">
        <f>SUMPRODUCT('model_Workings'!$B$7:$U$7 / 'model_Assumptions'!$C$20, ('model_Workings'!G$2 - 'model_Workings'!$B$2:$U$2 &gt;= 0) * ('model_Workings'!G$2 - 'model_Workings'!$B$2:$U$2 &lt; 'model_Assumptions'!$C$20))</f>
        <v/>
      </c>
      <c r="H6" s="9">
        <f>SUMPRODUCT('model_Workings'!$B$7:$U$7 / 'model_Assumptions'!$C$20, ('model_Workings'!H$2 - 'model_Workings'!$B$2:$U$2 &gt;= 0) * ('model_Workings'!H$2 - 'model_Workings'!$B$2:$U$2 &lt; 'model_Assumptions'!$C$20))</f>
        <v/>
      </c>
      <c r="I6" s="9">
        <f>SUMPRODUCT('model_Workings'!$B$7:$U$7 / 'model_Assumptions'!$C$20, ('model_Workings'!I$2 - 'model_Workings'!$B$2:$U$2 &gt;= 0) * ('model_Workings'!I$2 - 'model_Workings'!$B$2:$U$2 &lt; 'model_Assumptions'!$C$20))</f>
        <v/>
      </c>
      <c r="J6" s="9">
        <f>SUMPRODUCT('model_Workings'!$B$7:$U$7 / 'model_Assumptions'!$C$20, ('model_Workings'!J$2 - 'model_Workings'!$B$2:$U$2 &gt;= 0) * ('model_Workings'!J$2 - 'model_Workings'!$B$2:$U$2 &lt; 'model_Assumptions'!$C$20))</f>
        <v/>
      </c>
      <c r="K6" s="9">
        <f>SUMPRODUCT('model_Workings'!$B$7:$U$7 / 'model_Assumptions'!$C$20, ('model_Workings'!K$2 - 'model_Workings'!$B$2:$U$2 &gt;= 0) * ('model_Workings'!K$2 - 'model_Workings'!$B$2:$U$2 &lt; 'model_Assumptions'!$C$20))</f>
        <v/>
      </c>
      <c r="L6" s="9">
        <f>SUMPRODUCT('model_Workings'!$B$7:$U$7 / 'model_Assumptions'!$C$20, ('model_Workings'!L$2 - 'model_Workings'!$B$2:$U$2 &gt;= 0) * ('model_Workings'!L$2 - 'model_Workings'!$B$2:$U$2 &lt; 'model_Assumptions'!$C$20))</f>
        <v/>
      </c>
      <c r="M6" s="9">
        <f>SUMPRODUCT('model_Workings'!$B$7:$U$7 / 'model_Assumptions'!$C$20, ('model_Workings'!M$2 - 'model_Workings'!$B$2:$U$2 &gt;= 0) * ('model_Workings'!M$2 - 'model_Workings'!$B$2:$U$2 &lt; 'model_Assumptions'!$C$20))</f>
        <v/>
      </c>
      <c r="N6" s="9">
        <f>SUMPRODUCT('model_Workings'!$B$7:$U$7 / 'model_Assumptions'!$C$20, ('model_Workings'!N$2 - 'model_Workings'!$B$2:$U$2 &gt;= 0) * ('model_Workings'!N$2 - 'model_Workings'!$B$2:$U$2 &lt; 'model_Assumptions'!$C$20))</f>
        <v/>
      </c>
      <c r="O6" s="9">
        <f>SUMPRODUCT('model_Workings'!$B$7:$U$7 / 'model_Assumptions'!$C$20, ('model_Workings'!O$2 - 'model_Workings'!$B$2:$U$2 &gt;= 0) * ('model_Workings'!O$2 - 'model_Workings'!$B$2:$U$2 &lt; 'model_Assumptions'!$C$20))</f>
        <v/>
      </c>
      <c r="P6" s="9">
        <f>SUMPRODUCT('model_Workings'!$B$7:$U$7 / 'model_Assumptions'!$C$20, ('model_Workings'!P$2 - 'model_Workings'!$B$2:$U$2 &gt;= 0) * ('model_Workings'!P$2 - 'model_Workings'!$B$2:$U$2 &lt; 'model_Assumptions'!$C$20))</f>
        <v/>
      </c>
      <c r="Q6" s="9">
        <f>SUMPRODUCT('model_Workings'!$B$7:$U$7 / 'model_Assumptions'!$C$20, ('model_Workings'!Q$2 - 'model_Workings'!$B$2:$U$2 &gt;= 0) * ('model_Workings'!Q$2 - 'model_Workings'!$B$2:$U$2 &lt; 'model_Assumptions'!$C$20))</f>
        <v/>
      </c>
      <c r="R6" s="9">
        <f>SUMPRODUCT('model_Workings'!$B$7:$U$7 / 'model_Assumptions'!$C$20, ('model_Workings'!R$2 - 'model_Workings'!$B$2:$U$2 &gt;= 0) * ('model_Workings'!R$2 - 'model_Workings'!$B$2:$U$2 &lt; 'model_Assumptions'!$C$20))</f>
        <v/>
      </c>
      <c r="S6" s="9">
        <f>SUMPRODUCT('model_Workings'!$B$7:$U$7 / 'model_Assumptions'!$C$20, ('model_Workings'!S$2 - 'model_Workings'!$B$2:$U$2 &gt;= 0) * ('model_Workings'!S$2 - 'model_Workings'!$B$2:$U$2 &lt; 'model_Assumptions'!$C$20))</f>
        <v/>
      </c>
      <c r="T6" s="9">
        <f>SUMPRODUCT('model_Workings'!$B$7:$U$7 / 'model_Assumptions'!$C$20, ('model_Workings'!T$2 - 'model_Workings'!$B$2:$U$2 &gt;= 0) * ('model_Workings'!T$2 - 'model_Workings'!$B$2:$U$2 &lt; 'model_Assumptions'!$C$20))</f>
        <v/>
      </c>
      <c r="U6" s="9">
        <f>SUMPRODUCT('model_Workings'!$B$7:$U$7 / 'model_Assumptions'!$C$20, ('model_Workings'!U$2 - 'model_Workings'!$B$2:$U$2 &gt;= 0) * ('model_Workings'!U$2 - 'model_Workings'!$B$2:$U$2 &lt; 'model_Assumptions'!$C$20))</f>
        <v/>
      </c>
    </row>
    <row r="7">
      <c r="A7" t="inlineStr">
        <is>
          <t>Total SL Depreciation</t>
        </is>
      </c>
      <c r="B7" s="10">
        <f>SUM(B2:B6)</f>
        <v/>
      </c>
      <c r="C7" s="10">
        <f>SUM(C2:C6)</f>
        <v/>
      </c>
      <c r="D7" s="10">
        <f>SUM(D2:D6)</f>
        <v/>
      </c>
      <c r="E7" s="10">
        <f>SUM(E2:E6)</f>
        <v/>
      </c>
      <c r="F7" s="10">
        <f>SUM(F2:F6)</f>
        <v/>
      </c>
      <c r="G7" s="10">
        <f>SUM(G2:G6)</f>
        <v/>
      </c>
      <c r="H7" s="10">
        <f>SUM(H2:H6)</f>
        <v/>
      </c>
      <c r="I7" s="10">
        <f>SUM(I2:I6)</f>
        <v/>
      </c>
      <c r="J7" s="10">
        <f>SUM(J2:J6)</f>
        <v/>
      </c>
      <c r="K7" s="10">
        <f>SUM(K2:K6)</f>
        <v/>
      </c>
      <c r="L7" s="10">
        <f>SUM(L2:L6)</f>
        <v/>
      </c>
      <c r="M7" s="10">
        <f>SUM(M2:M6)</f>
        <v/>
      </c>
      <c r="N7" s="10">
        <f>SUM(N2:N6)</f>
        <v/>
      </c>
      <c r="O7" s="10">
        <f>SUM(O2:O6)</f>
        <v/>
      </c>
      <c r="P7" s="10">
        <f>SUM(P2:P6)</f>
        <v/>
      </c>
      <c r="Q7" s="10">
        <f>SUM(Q2:Q6)</f>
        <v/>
      </c>
      <c r="R7" s="10">
        <f>SUM(R2:R6)</f>
        <v/>
      </c>
      <c r="S7" s="10">
        <f>SUM(S2:S6)</f>
        <v/>
      </c>
      <c r="T7" s="10">
        <f>SUM(T2:T6)</f>
        <v/>
      </c>
      <c r="U7" s="10">
        <f>SUM(U2:U6)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2026-08-15T17:17:35Z</dcterms:created>
  <dcterms:modified xsi:type="dcterms:W3CDTF">2026-08-15T22:27:28Z</dcterms:modified>
</cp:coreProperties>
</file>