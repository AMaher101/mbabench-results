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  <sheet name="model_Deprec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$#,##0_);($#,##0)"/>
    <numFmt numFmtId="167" formatCode="$#,##0"/>
    <numFmt numFmtId="168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rgb="00FFFFFF"/>
      <sz val="12"/>
    </font>
    <font>
      <name val="Calibri"/>
      <b val="1"/>
      <color rgb="00008000"/>
      <sz val="11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3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166" fontId="1" fillId="3" borderId="1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166" fontId="5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6" fontId="1" fillId="2" borderId="0" applyAlignment="1" pivotButton="0" quotePrefix="0" xfId="0">
      <alignment horizontal="right"/>
    </xf>
    <xf numFmtId="166" fontId="2" fillId="0" borderId="2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6" fillId="2" borderId="0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6" fontId="1" fillId="3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4" fontId="2" fillId="0" borderId="0" applyAlignment="1" pivotButton="0" quotePrefix="0" xfId="0">
      <alignment horizontal="right"/>
    </xf>
    <xf numFmtId="4" fontId="5" fillId="3" borderId="1" applyAlignment="1" pivotButton="0" quotePrefix="0" xfId="0">
      <alignment horizontal="center"/>
    </xf>
    <xf numFmtId="4" fontId="2" fillId="0" borderId="2" applyAlignment="1" pivotButton="0" quotePrefix="0" xfId="0">
      <alignment horizontal="right"/>
    </xf>
    <xf numFmtId="165" fontId="1" fillId="3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4" fontId="1" fillId="3" borderId="0" applyAlignment="1" pivotButton="0" quotePrefix="0" xfId="0">
      <alignment horizontal="right"/>
    </xf>
    <xf numFmtId="167" fontId="1" fillId="3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8" fontId="5" fillId="3" borderId="1" applyAlignment="1" pivotButton="0" quotePrefix="0" xfId="0">
      <alignment horizontal="center"/>
    </xf>
    <xf numFmtId="168" fontId="2" fillId="0" borderId="2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1" fillId="3" borderId="0" applyAlignment="1" pivotButton="0" quotePrefix="0" xfId="0">
      <alignment horizontal="right"/>
    </xf>
    <xf numFmtId="166" fontId="6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7" t="inlineStr">
        <is>
          <t>Assumption</t>
        </is>
      </c>
      <c r="B1" s="7" t="inlineStr">
        <is>
          <t>Value</t>
        </is>
      </c>
      <c r="C1" s="7" t="inlineStr">
        <is>
          <t>Unit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Tax Rate</t>
        </is>
      </c>
      <c r="B2" s="10" t="n">
        <v>0.4</v>
      </c>
      <c r="C2" s="2" t="inlineStr">
        <is>
          <t>[%]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Lease Multiple</t>
        </is>
      </c>
      <c r="B3" s="31" t="n">
        <v>8</v>
      </c>
      <c r="C3" s="2" t="inlineStr">
        <is>
          <t>[x]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Depreciation Rate</t>
        </is>
      </c>
      <c r="B4" s="10" t="n">
        <v>0.1</v>
      </c>
      <c r="C4" s="2" t="inlineStr">
        <is>
          <t>[%]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Leased Asset Proportion</t>
        </is>
      </c>
      <c r="B5" s="10" t="n">
        <v>0.45</v>
      </c>
      <c r="C5" s="2" t="inlineStr">
        <is>
          <t>[%]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7" t="inlineStr">
        <is>
          <t>ABC Normalization</t>
        </is>
      </c>
      <c r="B1" s="7" t="inlineStr">
        <is>
          <t>2010</t>
        </is>
      </c>
      <c r="C1" s="7" t="inlineStr">
        <is>
          <t>2011</t>
        </is>
      </c>
      <c r="D1" s="7" t="inlineStr">
        <is>
          <t>2012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Sales</t>
        </is>
      </c>
      <c r="B2" s="6" t="n">
        <v>115.1</v>
      </c>
      <c r="C2" s="6" t="n">
        <v>108.7</v>
      </c>
      <c r="D2" s="6" t="n">
        <v>113.6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Intercompany Sales</t>
        </is>
      </c>
      <c r="B3" s="6" t="n">
        <v>-5.8</v>
      </c>
      <c r="C3" s="6" t="n">
        <v>-4.2</v>
      </c>
      <c r="D3" s="6" t="n">
        <v>-3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Total Revenue</t>
        </is>
      </c>
      <c r="B4" s="6" t="n">
        <v>109.3</v>
      </c>
      <c r="C4" s="6" t="n">
        <v>104.5</v>
      </c>
      <c r="D4" s="6" t="n">
        <v>110.6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COGS</t>
        </is>
      </c>
      <c r="B5" s="6" t="n">
        <v>-50.6</v>
      </c>
      <c r="C5" s="6" t="n">
        <v>-48.9</v>
      </c>
      <c r="D5" s="6" t="n">
        <v>-51.2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SG&amp;A</t>
        </is>
      </c>
      <c r="B6" s="6" t="n">
        <v>-20.8</v>
      </c>
      <c r="C6" s="6" t="n">
        <v>-23.2</v>
      </c>
      <c r="D6" s="6" t="n">
        <v>-22.5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R&amp;D</t>
        </is>
      </c>
      <c r="B7" s="6" t="n">
        <v>-4</v>
      </c>
      <c r="C7" s="6" t="n">
        <v>-3.8</v>
      </c>
      <c r="D7" s="6" t="n">
        <v>-5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Operating Lease Expense</t>
        </is>
      </c>
      <c r="B8" s="6" t="n">
        <v>-4.1</v>
      </c>
      <c r="C8" s="6" t="n">
        <v>-4.2</v>
      </c>
      <c r="D8" s="6" t="n">
        <v>-3.9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Interest Expense</t>
        </is>
      </c>
      <c r="B9" s="6" t="n">
        <v>-2</v>
      </c>
      <c r="C9" s="6" t="n">
        <v>-2.1</v>
      </c>
      <c r="D9" s="6" t="n">
        <v>-1.9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FS Depreciation</t>
        </is>
      </c>
      <c r="B10" s="6" t="n">
        <v>-8</v>
      </c>
      <c r="C10" s="6" t="n">
        <v>-8</v>
      </c>
      <c r="D10" s="6" t="n">
        <v>-7.52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Merger Expenses</t>
        </is>
      </c>
      <c r="B11" s="6" t="n">
        <v>-0.8</v>
      </c>
      <c r="C11" s="6" t="n">
        <v>-0.2</v>
      </c>
      <c r="D11" s="6" t="n">
        <v>0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Gain/Loss Assets</t>
        </is>
      </c>
      <c r="B12" s="6" t="n">
        <v>0.5</v>
      </c>
      <c r="C12" s="6" t="n">
        <v>0</v>
      </c>
      <c r="D12" s="6" t="n">
        <v>-0.7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Amortization of Intangible Assets</t>
        </is>
      </c>
      <c r="B13" s="6" t="n">
        <v>-0.5</v>
      </c>
      <c r="C13" s="6" t="n">
        <v>-0.4</v>
      </c>
      <c r="D13" s="6" t="n">
        <v>-0.5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Insurance Settlements</t>
        </is>
      </c>
      <c r="B14" s="6" t="n">
        <v>0</v>
      </c>
      <c r="C14" s="6" t="n">
        <v>0</v>
      </c>
      <c r="D14" s="6" t="n">
        <v>0.6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" t="inlineStr">
        <is>
          <t>XYZ Normalization</t>
        </is>
      </c>
      <c r="B15" s="8" t="inlineStr">
        <is>
          <t>2010</t>
        </is>
      </c>
      <c r="C15" s="8" t="inlineStr">
        <is>
          <t>2011</t>
        </is>
      </c>
      <c r="D15" s="8" t="inlineStr">
        <is>
          <t>2012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Sales</t>
        </is>
      </c>
      <c r="B16" s="6" t="n">
        <v>75.2</v>
      </c>
      <c r="C16" s="6" t="n">
        <v>70.2</v>
      </c>
      <c r="D16" s="6" t="n">
        <v>79.3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Sales Discont</t>
        </is>
      </c>
      <c r="B17" s="6" t="n">
        <v>0</v>
      </c>
      <c r="C17" s="6" t="n">
        <v>0</v>
      </c>
      <c r="D17" s="6" t="n">
        <v>4.3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Total Revenue</t>
        </is>
      </c>
      <c r="B18" s="6" t="n">
        <v>75.2</v>
      </c>
      <c r="C18" s="6" t="n">
        <v>70.2</v>
      </c>
      <c r="D18" s="6" t="n">
        <v>83.59999999999999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COGS</t>
        </is>
      </c>
      <c r="B19" s="6" t="n">
        <v>-30.8</v>
      </c>
      <c r="C19" s="6" t="n">
        <v>-31.2</v>
      </c>
      <c r="D19" s="6" t="n">
        <v>-40.6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Selling Exp</t>
        </is>
      </c>
      <c r="B20" s="6" t="n">
        <v>-7.2</v>
      </c>
      <c r="C20" s="6" t="n">
        <v>-6.5</v>
      </c>
      <c r="D20" s="6" t="n">
        <v>-7.1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Admin Exp</t>
        </is>
      </c>
      <c r="B21" s="6" t="n">
        <v>-3.8</v>
      </c>
      <c r="C21" s="6" t="n">
        <v>-2.9</v>
      </c>
      <c r="D21" s="6" t="n">
        <v>-3.7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Operating Lease Expense</t>
        </is>
      </c>
      <c r="B22" s="6" t="n">
        <v>-3.8</v>
      </c>
      <c r="C22" s="6" t="n">
        <v>-3.4</v>
      </c>
      <c r="D22" s="6" t="n">
        <v>-4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Interest Expense</t>
        </is>
      </c>
      <c r="B23" s="6" t="n">
        <v>-0.8</v>
      </c>
      <c r="C23" s="6" t="n">
        <v>-0.7</v>
      </c>
      <c r="D23" s="6" t="n">
        <v>-0.8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FS Depreciation</t>
        </is>
      </c>
      <c r="B24" s="6" t="n">
        <v>-2.1</v>
      </c>
      <c r="C24" s="6" t="n">
        <v>-2.2</v>
      </c>
      <c r="D24" s="6" t="n">
        <v>-2.8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Restructuring</t>
        </is>
      </c>
      <c r="B25" s="6" t="n">
        <v>-1.2</v>
      </c>
      <c r="C25" s="6" t="n">
        <v>-0.8</v>
      </c>
      <c r="D25" s="6" t="n">
        <v>-0.2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Refinancing</t>
        </is>
      </c>
      <c r="B26" s="6" t="n">
        <v>0</v>
      </c>
      <c r="C26" s="6" t="n">
        <v>-0.3</v>
      </c>
      <c r="D26" s="6" t="n">
        <v>-0.4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Gain/(Loss) on Legal Settlement</t>
        </is>
      </c>
      <c r="B27" s="6" t="n">
        <v>0</v>
      </c>
      <c r="C27" s="6" t="n">
        <v>-0.2</v>
      </c>
      <c r="D27" s="6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6" t="n"/>
      <c r="C28" s="6" t="n"/>
      <c r="D28" s="6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6" t="n"/>
      <c r="C29" s="6" t="n"/>
      <c r="D29" s="6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Normalized EBITDA [ABC]</t>
        </is>
      </c>
      <c r="B30" s="6">
        <f>B4+B5+B6+B7</f>
        <v/>
      </c>
      <c r="C30" s="6">
        <f>C4+C5+C6+C7</f>
        <v/>
      </c>
      <c r="D30" s="6">
        <f>D4+D5+D6+D7</f>
        <v/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Normalized EBT [ABC]</t>
        </is>
      </c>
      <c r="B31" s="6">
        <f>B30+'model_Depreciation'!B5+B13+B9</f>
        <v/>
      </c>
      <c r="C31" s="6">
        <f>C30+'model_Depreciation'!C5+C13+C9</f>
        <v/>
      </c>
      <c r="D31" s="6">
        <f>D30+'model_Depreciation'!D5+D13+D9</f>
        <v/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Normalized Net Income [ABC]</t>
        </is>
      </c>
      <c r="B32" s="15">
        <f>B31*(1-'model_Assumptions'!$B$2)</f>
        <v/>
      </c>
      <c r="C32" s="15">
        <f>C31*(1-'model_Assumptions'!$B$2)</f>
        <v/>
      </c>
      <c r="D32" s="15">
        <f>D31*(1-'model_Assumptions'!$B$2)</f>
        <v/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6" t="n"/>
      <c r="C33" s="6" t="n"/>
      <c r="D33" s="6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6" t="n"/>
      <c r="C34" s="6" t="n"/>
      <c r="D34" s="6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6" t="n"/>
      <c r="C35" s="6" t="n"/>
      <c r="D35" s="6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6" t="n"/>
      <c r="C36" s="6" t="n"/>
      <c r="D36" s="6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6" t="n"/>
      <c r="C37" s="6" t="n"/>
      <c r="D37" s="6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6" t="n"/>
      <c r="C38" s="6" t="n"/>
      <c r="D38" s="6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6" t="n"/>
      <c r="C39" s="6" t="n"/>
      <c r="D39" s="6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Normalized EBITDA [XYZ]</t>
        </is>
      </c>
      <c r="B40" s="6">
        <f>B16+B19+B20+B21</f>
        <v/>
      </c>
      <c r="C40" s="6">
        <f>C16+C19+C20+C21</f>
        <v/>
      </c>
      <c r="D40" s="6">
        <f>D16+D19+D20+D21</f>
        <v/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Normalized EBT [XYZ]</t>
        </is>
      </c>
      <c r="B41" s="6">
        <f>B40+'model_Depreciation'!B11+B23</f>
        <v/>
      </c>
      <c r="C41" s="6">
        <f>C40+'model_Depreciation'!C11+C23</f>
        <v/>
      </c>
      <c r="D41" s="6">
        <f>D40+'model_Depreciation'!D11+D23</f>
        <v/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Normalized Net Income [XYZ]</t>
        </is>
      </c>
      <c r="B42" s="15">
        <f>B41*(1-'model_Assumptions'!$B$2)</f>
        <v/>
      </c>
      <c r="C42" s="15">
        <f>C41*(1-'model_Assumptions'!$B$2)</f>
        <v/>
      </c>
      <c r="D42" s="15">
        <f>D41*(1-'model_Assumptions'!$B$2)</f>
        <v/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6" t="n"/>
      <c r="C43" s="6" t="n"/>
      <c r="D43" s="6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6" t="n"/>
      <c r="C44" s="6" t="n"/>
      <c r="D44" s="6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6" t="n"/>
      <c r="C45" s="6" t="n"/>
      <c r="D45" s="6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6" t="n"/>
      <c r="C46" s="6" t="n"/>
      <c r="D46" s="6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6" t="n"/>
      <c r="C47" s="6" t="n"/>
      <c r="D47" s="6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6" t="n"/>
      <c r="C48" s="6" t="n"/>
      <c r="D48" s="6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6" t="n"/>
      <c r="C49" s="6" t="n"/>
      <c r="D49" s="6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ABC Notional Leased Assets [$]</t>
        </is>
      </c>
      <c r="B50" s="6">
        <f>B8*'model_Assumptions'!$B$3</f>
        <v/>
      </c>
      <c r="C50" s="6">
        <f>C8*'model_Assumptions'!$B$3</f>
        <v/>
      </c>
      <c r="D50" s="6">
        <f>D8*'model_Assumptions'!$B$3</f>
        <v/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ABC Total Tangible Assets [$]</t>
        </is>
      </c>
      <c r="B51" s="6">
        <f>IFERROR(B50/'model_Assumptions'!$B$5, 0)</f>
        <v/>
      </c>
      <c r="C51" s="6">
        <f>IFERROR(C50/'model_Assumptions'!$B$5, 0)</f>
        <v/>
      </c>
      <c r="D51" s="6">
        <f>IFERROR(D50/'model_Assumptions'!$B$5, 0)</f>
        <v/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ABC Notional Owned Assets [$]</t>
        </is>
      </c>
      <c r="B52" s="6">
        <f>B51*(1-'model_Assumptions'!$B$5)</f>
        <v/>
      </c>
      <c r="C52" s="6">
        <f>C51*(1-'model_Assumptions'!$B$5)</f>
        <v/>
      </c>
      <c r="D52" s="6">
        <f>D51*(1-'model_Assumptions'!$B$5)</f>
        <v/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ABC Normalized Depreciation [$]</t>
        </is>
      </c>
      <c r="B53" s="15">
        <f>-B52*'model_Assumptions'!$B$4</f>
        <v/>
      </c>
      <c r="C53" s="15">
        <f>-C52*'model_Assumptions'!$B$4</f>
        <v/>
      </c>
      <c r="D53" s="15">
        <f>-D52*'model_Assumptions'!$B$4</f>
        <v/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6" t="n"/>
      <c r="C54" s="6" t="n"/>
      <c r="D54" s="6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6" t="n"/>
      <c r="C55" s="6" t="n"/>
      <c r="D55" s="6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6" t="n"/>
      <c r="C56" s="6" t="n"/>
      <c r="D56" s="6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6" t="n"/>
      <c r="C57" s="6" t="n"/>
      <c r="D57" s="6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6" t="n"/>
      <c r="C58" s="6" t="n"/>
      <c r="D58" s="6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6" t="n"/>
      <c r="C59" s="6" t="n"/>
      <c r="D59" s="6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XYZ Notional Leased Assets [$]</t>
        </is>
      </c>
      <c r="B60" s="6">
        <f>B22*'model_Assumptions'!$B$3</f>
        <v/>
      </c>
      <c r="C60" s="6">
        <f>C22*'model_Assumptions'!$B$3</f>
        <v/>
      </c>
      <c r="D60" s="6">
        <f>D22*'model_Assumptions'!$B$3</f>
        <v/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XYZ Total Tangible Assets [$]</t>
        </is>
      </c>
      <c r="B61" s="6">
        <f>IFERROR(B60/'model_Assumptions'!$B$5, 0)</f>
        <v/>
      </c>
      <c r="C61" s="6">
        <f>IFERROR(C60/'model_Assumptions'!$B$5, 0)</f>
        <v/>
      </c>
      <c r="D61" s="6">
        <f>IFERROR(D60/'model_Assumptions'!$B$5, 0)</f>
        <v/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XYZ Notional Owned Assets [$]</t>
        </is>
      </c>
      <c r="B62" s="6">
        <f>B61*(1-'model_Assumptions'!$B$5)</f>
        <v/>
      </c>
      <c r="C62" s="6">
        <f>C61*(1-'model_Assumptions'!$B$5)</f>
        <v/>
      </c>
      <c r="D62" s="6">
        <f>D61*(1-'model_Assumptions'!$B$5)</f>
        <v/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XYZ Normalized Depreciation [$]</t>
        </is>
      </c>
      <c r="B63" s="15">
        <f>-B62*'model_Assumptions'!$B$4</f>
        <v/>
      </c>
      <c r="C63" s="15">
        <f>-C62*'model_Assumptions'!$B$4</f>
        <v/>
      </c>
      <c r="D63" s="15">
        <f>-D62*'model_Assumptions'!$B$4</f>
        <v/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6" t="n"/>
      <c r="C64" s="6" t="n"/>
      <c r="D64" s="6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6" t="n"/>
      <c r="C65" s="6" t="n"/>
      <c r="D65" s="6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6" t="n"/>
      <c r="C66" s="6" t="n"/>
      <c r="D66" s="6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6" t="n"/>
      <c r="C67" s="6" t="n"/>
      <c r="D67" s="6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6" t="n"/>
      <c r="C68" s="6" t="n"/>
      <c r="D68" s="6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6" t="n"/>
      <c r="C69" s="6" t="n"/>
      <c r="D69" s="6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XYZ CY Normalization</t>
        </is>
      </c>
      <c r="B70" s="6" t="inlineStr">
        <is>
          <t>2010</t>
        </is>
      </c>
      <c r="C70" s="6" t="inlineStr">
        <is>
          <t>2011</t>
        </is>
      </c>
      <c r="D70" s="6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Normalized EBITDA [CY]</t>
        </is>
      </c>
      <c r="B71" s="6">
        <f>(B40*3/12)+(C40*9/12)</f>
        <v/>
      </c>
      <c r="C71" s="6">
        <f>(C40*3/12)+(D40*9/12)</f>
        <v/>
      </c>
      <c r="D71" s="6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Normalized Net Income [CY]</t>
        </is>
      </c>
      <c r="B72" s="6">
        <f>((B40+'model_Depreciation'!B11+B23)*(1-'model_Assumptions'!$B$2)*3/12)+((C40+'model_Depreciation'!C11+C23)*(1-'model_Assumptions'!$B$2)*9/12)</f>
        <v/>
      </c>
      <c r="C72" s="6">
        <f>((C40+'model_Depreciation'!C11+C23)*(1-'model_Assumptions'!$B$2)*3/12)+((D40+'model_Depreciation'!D11+D23)*(1-'model_Assumptions'!$B$2)*9/12)</f>
        <v/>
      </c>
      <c r="D72" s="6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0" t="inlineStr">
        <is>
          <t>Notional carrying value of tangible leased and owned assets for ABC as at 1 Jan 2012</t>
        </is>
      </c>
      <c r="B1" s="37">
        <f>'model_Depreciation'!C3</f>
        <v/>
      </c>
      <c r="C1" s="20" t="inlineStr">
        <is>
          <t>[$m]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0" t="inlineStr">
        <is>
          <t>Normalized Net Income of ABC for the year ended 31 Dec 2010</t>
        </is>
      </c>
      <c r="B1" s="37">
        <f>'model_Workings'!B32</f>
        <v/>
      </c>
      <c r="C1" s="20" t="inlineStr">
        <is>
          <t>[$m]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0" t="inlineStr">
        <is>
          <t>Normalized Net Income of XYZ for the year ended 31 Mar 2012</t>
        </is>
      </c>
      <c r="B1" s="37">
        <f>'model_Workings'!D42</f>
        <v/>
      </c>
      <c r="C1" s="20" t="inlineStr">
        <is>
          <t>[$m]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0" t="inlineStr">
        <is>
          <t>Normalized EBITDA of XYZ for the year ended 31 Dec 2010</t>
        </is>
      </c>
      <c r="B1" s="37">
        <f>'model_Workings'!B71</f>
        <v/>
      </c>
      <c r="C1" s="20" t="inlineStr">
        <is>
          <t>[$m]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0" t="inlineStr">
        <is>
          <t>Consolidated Normalized EBITDA of ABC and XYZ for the year ended 31 Dec 2011</t>
        </is>
      </c>
      <c r="B1" s="37">
        <f>'model_Workings'!C30+'model_Workings'!C71</f>
        <v/>
      </c>
      <c r="C1" s="20" t="inlineStr">
        <is>
          <t>[$m]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7" t="inlineStr">
        <is>
          <t>ABC Normalization</t>
        </is>
      </c>
      <c r="B1" s="7" t="inlineStr">
        <is>
          <t>2010</t>
        </is>
      </c>
      <c r="C1" s="7" t="inlineStr">
        <is>
          <t>2011</t>
        </is>
      </c>
      <c r="D1" s="7" t="inlineStr">
        <is>
          <t>2012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Notional Leased Assets [$m]</t>
        </is>
      </c>
      <c r="B2" s="9">
        <f>'model_Workings'!B8*'model_Assumptions'!$B$3</f>
        <v/>
      </c>
      <c r="C2" s="9">
        <f>'model_Workings'!C8*'model_Assumptions'!$B$3</f>
        <v/>
      </c>
      <c r="D2" s="9">
        <f>'model_Workings'!D8*'model_Assumptions'!$B$3</f>
        <v/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Total Tangible Assets [$m]</t>
        </is>
      </c>
      <c r="B3" s="9">
        <f>IFERROR(B2/'model_Assumptions'!$B$5, 0)</f>
        <v/>
      </c>
      <c r="C3" s="9">
        <f>IFERROR(C2/'model_Assumptions'!$B$5, 0)</f>
        <v/>
      </c>
      <c r="D3" s="9">
        <f>IFERROR(D2/'model_Assumptions'!$B$5, 0)</f>
        <v/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Notional Owned Assets [$m]</t>
        </is>
      </c>
      <c r="B4" s="9">
        <f>B3*(1-'model_Assumptions'!$B$5)</f>
        <v/>
      </c>
      <c r="C4" s="9">
        <f>C3*(1-'model_Assumptions'!$B$5)</f>
        <v/>
      </c>
      <c r="D4" s="9">
        <f>D3*(1-'model_Assumptions'!$B$5)</f>
        <v/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Normalized Depreciation [$m]</t>
        </is>
      </c>
      <c r="B5" s="9">
        <f>-B3*'model_Assumptions'!$B$4</f>
        <v/>
      </c>
      <c r="C5" s="9">
        <f>-C3*'model_Assumptions'!$B$4</f>
        <v/>
      </c>
      <c r="D5" s="9">
        <f>-D3*'model_Assumptions'!$B$4</f>
        <v/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9" t="n"/>
      <c r="C6" s="9" t="n"/>
      <c r="D6" s="9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0" t="inlineStr">
        <is>
          <t>XYZ Normalization</t>
        </is>
      </c>
      <c r="B7" s="36" t="inlineStr">
        <is>
          <t>2010</t>
        </is>
      </c>
      <c r="C7" s="36" t="inlineStr">
        <is>
          <t>2011</t>
        </is>
      </c>
      <c r="D7" s="36" t="inlineStr">
        <is>
          <t>2012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Notional Leased Assets [$m]</t>
        </is>
      </c>
      <c r="B8" s="9">
        <f>'model_Workings'!B22*'model_Assumptions'!$B$3</f>
        <v/>
      </c>
      <c r="C8" s="9">
        <f>'model_Workings'!C22*'model_Assumptions'!$B$3</f>
        <v/>
      </c>
      <c r="D8" s="9">
        <f>'model_Workings'!D22*'model_Assumptions'!$B$3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Total Tangible Assets [$m]</t>
        </is>
      </c>
      <c r="B9" s="9">
        <f>IFERROR(B8/'model_Assumptions'!$B$5, 0)</f>
        <v/>
      </c>
      <c r="C9" s="9">
        <f>IFERROR(C8/'model_Assumptions'!$B$5, 0)</f>
        <v/>
      </c>
      <c r="D9" s="9">
        <f>IFERROR(D8/'model_Assumptions'!$B$5, 0)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Notional Owned Assets [$m]</t>
        </is>
      </c>
      <c r="B10" s="9">
        <f>B9*(1-'model_Assumptions'!$B$5)</f>
        <v/>
      </c>
      <c r="C10" s="9">
        <f>C9*(1-'model_Assumptions'!$B$5)</f>
        <v/>
      </c>
      <c r="D10" s="9">
        <f>D9*(1-'model_Assumptions'!$B$5)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Normalized Depreciation [$m]</t>
        </is>
      </c>
      <c r="B11" s="9">
        <f>-B9*'model_Assumptions'!$B$4</f>
        <v/>
      </c>
      <c r="C11" s="9">
        <f>-C9*'model_Assumptions'!$B$4</f>
        <v/>
      </c>
      <c r="D11" s="9">
        <f>-D9*'model_Assumptions'!$B$4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2026-08-16T07:20:13Z</dcterms:created>
  <dcterms:modified xsi:type="dcterms:W3CDTF">2026-08-16T10:12:37Z</dcterms:modified>
</cp:coreProperties>
</file>