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Assumptions" sheetId="1" state="visible" r:id="rId1"/>
    <sheet name="model_Workings" sheetId="2" state="visible" r:id="rId2"/>
    <sheet name="answers_Q1" sheetId="3" state="visible" r:id="rId3"/>
    <sheet name="answers_Sensitivity" sheetId="4" state="visible" r:id="rId4"/>
    <sheet name="model_Sensitiv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$#,##0"/>
    <numFmt numFmtId="166" formatCode="YYYY-MM-DD"/>
    <numFmt numFmtId="167" formatCode="$#,##0_);($#,##0)"/>
  </numFmts>
  <fonts count="6">
    <font>
      <name val="Calibri"/>
      <family val="2"/>
      <color theme="1"/>
      <sz val="11"/>
      <scheme val="minor"/>
    </font>
    <font>
      <name val="Calibri"/>
      <color theme="1"/>
      <sz val="11"/>
    </font>
    <font>
      <name val="Calibri"/>
      <b val="1"/>
      <color rgb="00FFFFFF"/>
      <sz val="11"/>
    </font>
    <font>
      <name val="Calibri"/>
      <color rgb="000000FF"/>
      <sz val="11"/>
    </font>
    <font>
      <name val="Calibri"/>
      <color rgb="00008000"/>
      <sz val="11"/>
    </font>
    <font>
      <name val="Calibri"/>
      <b val="1"/>
      <color rgb="00FFFFFF"/>
      <sz val="12"/>
    </font>
  </fonts>
  <fills count="4">
    <fill>
      <patternFill/>
    </fill>
    <fill>
      <patternFill patternType="gray125"/>
    </fill>
    <fill>
      <patternFill>
        <fgColor rgb="00002060"/>
        <bgColor rgb="00002060"/>
      </patternFill>
    </fill>
    <fill>
      <patternFill>
        <fgColor rgb="001F4E78"/>
        <bgColor rgb="001F4E78"/>
      </patternFill>
    </fill>
  </fills>
  <borders count="3">
    <border>
      <left/>
      <right/>
      <top/>
      <bottom/>
      <diagonal/>
    </border>
    <border>
      <left/>
      <right/>
      <top/>
      <bottom style="thin"/>
    </border>
    <border>
      <left/>
      <right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164" fontId="3" fillId="0" borderId="0" applyAlignment="1" pivotButton="0" quotePrefix="0" xfId="0">
      <alignment horizontal="right"/>
    </xf>
    <xf numFmtId="165" fontId="3" fillId="0" borderId="0" applyAlignment="1" pivotButton="0" quotePrefix="0" xfId="0">
      <alignment horizontal="right"/>
    </xf>
    <xf numFmtId="166" fontId="3" fillId="0" borderId="0" applyAlignment="1" pivotButton="0" quotePrefix="0" xfId="0">
      <alignment horizontal="right"/>
    </xf>
    <xf numFmtId="164" fontId="1" fillId="0" borderId="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4" fillId="0" borderId="0" pivotButton="0" quotePrefix="0" xfId="0"/>
    <xf numFmtId="164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7" fontId="4" fillId="0" borderId="0" applyAlignment="1" pivotButton="0" quotePrefix="0" xfId="0">
      <alignment horizontal="right"/>
    </xf>
    <xf numFmtId="167" fontId="1" fillId="0" borderId="0" applyAlignment="1" pivotButton="0" quotePrefix="0" xfId="0">
      <alignment horizontal="right"/>
    </xf>
    <xf numFmtId="167" fontId="1" fillId="0" borderId="0" pivotButton="0" quotePrefix="0" xfId="0"/>
    <xf numFmtId="167" fontId="4" fillId="0" borderId="0" pivotButton="0" quotePrefix="0" xfId="0"/>
    <xf numFmtId="167" fontId="1" fillId="0" borderId="1" applyAlignment="1" pivotButton="0" quotePrefix="0" xfId="0">
      <alignment horizontal="right"/>
    </xf>
    <xf numFmtId="167" fontId="4" fillId="0" borderId="1" pivotButton="0" quotePrefix="0" xfId="0"/>
    <xf numFmtId="0" fontId="2" fillId="3" borderId="0" applyAlignment="1" pivotButton="0" quotePrefix="0" xfId="0">
      <alignment horizontal="center"/>
    </xf>
    <xf numFmtId="167" fontId="1" fillId="0" borderId="1" pivotButton="0" quotePrefix="0" xfId="0"/>
    <xf numFmtId="164" fontId="1" fillId="0" borderId="0" pivotButton="0" quotePrefix="0" xfId="0"/>
    <xf numFmtId="0" fontId="5" fillId="2" borderId="0" applyAlignment="1" pivotButton="0" quotePrefix="0" xfId="0">
      <alignment horizontal="center"/>
    </xf>
    <xf numFmtId="167" fontId="1" fillId="0" borderId="2" applyAlignment="1" pivotButton="0" quotePrefix="0" xfId="0">
      <alignment horizontal="right"/>
    </xf>
    <xf numFmtId="167" fontId="1" fillId="0" borderId="2" pivotButton="0" quotePrefix="0" xfId="0"/>
    <xf numFmtId="167" fontId="5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21" t="inlineStr">
        <is>
          <t>Valuation Basics</t>
        </is>
      </c>
      <c r="B1" s="21" t="n"/>
      <c r="C1" s="21" t="n"/>
      <c r="D1" s="21" t="n"/>
      <c r="E1" s="21" t="n"/>
      <c r="F1" s="21" t="n"/>
    </row>
    <row r="2">
      <c r="A2" s="1" t="inlineStr">
        <is>
          <t>Valuation Basis Date</t>
        </is>
      </c>
      <c r="B2" s="6" t="inlineStr">
        <is>
          <t>2025-09-30</t>
        </is>
      </c>
      <c r="C2" s="1" t="n"/>
      <c r="D2" s="1" t="n"/>
      <c r="E2" s="1" t="n"/>
      <c r="F2" s="1" t="n"/>
    </row>
    <row r="3">
      <c r="A3" s="1" t="inlineStr">
        <is>
          <t>Valuation Date</t>
        </is>
      </c>
      <c r="B3" s="6" t="inlineStr">
        <is>
          <t>2026-04-12</t>
        </is>
      </c>
      <c r="C3" s="1" t="n"/>
      <c r="D3" s="1" t="n"/>
      <c r="E3" s="1" t="n"/>
      <c r="F3" s="1" t="n"/>
    </row>
    <row r="4">
      <c r="A4" s="2" t="inlineStr">
        <is>
          <t>Market Variables</t>
        </is>
      </c>
      <c r="B4" s="2" t="n"/>
      <c r="C4" s="2" t="n"/>
      <c r="D4" s="2" t="n"/>
      <c r="E4" s="2" t="n"/>
      <c r="F4" s="2" t="n"/>
    </row>
    <row r="5">
      <c r="A5" s="1" t="inlineStr">
        <is>
          <t>Risk-free Rate [%]</t>
        </is>
      </c>
      <c r="B5" s="4" t="n">
        <v>0.04317</v>
      </c>
      <c r="C5" s="1" t="n"/>
      <c r="D5" s="1" t="n"/>
      <c r="E5" s="1" t="n"/>
      <c r="F5" s="1" t="n"/>
    </row>
    <row r="6">
      <c r="A6" s="1" t="inlineStr">
        <is>
          <t>Adjusted Beta</t>
        </is>
      </c>
      <c r="B6" s="3" t="n">
        <v>1.1</v>
      </c>
      <c r="C6" s="1" t="n"/>
      <c r="D6" s="1" t="n"/>
      <c r="E6" s="1" t="n"/>
      <c r="F6" s="1" t="n"/>
    </row>
    <row r="7">
      <c r="A7" s="1" t="inlineStr">
        <is>
          <t>Market Risk Premium [%]</t>
        </is>
      </c>
      <c r="B7" s="4" t="n">
        <v>0.02793</v>
      </c>
      <c r="C7" s="1" t="n"/>
      <c r="D7" s="1" t="n"/>
      <c r="E7" s="1" t="n"/>
      <c r="F7" s="1" t="n"/>
    </row>
    <row r="8">
      <c r="A8" s="1" t="inlineStr">
        <is>
          <t>Cost of Debt [%]</t>
        </is>
      </c>
      <c r="B8" s="4" t="n">
        <v>0.04709927</v>
      </c>
      <c r="C8" s="1" t="n"/>
      <c r="D8" s="1" t="n"/>
      <c r="E8" s="1" t="n"/>
      <c r="F8" s="1" t="n"/>
    </row>
    <row r="9">
      <c r="A9" s="2" t="inlineStr">
        <is>
          <t>Growth Assumptions</t>
        </is>
      </c>
      <c r="B9" s="2" t="n"/>
      <c r="C9" s="2" t="n"/>
      <c r="D9" s="2" t="n"/>
      <c r="E9" s="2" t="n"/>
      <c r="F9" s="2" t="n"/>
    </row>
    <row r="10">
      <c r="A10" s="1" t="inlineStr">
        <is>
          <t>g1 [%]</t>
        </is>
      </c>
      <c r="B10" s="4" t="n">
        <v>0.05</v>
      </c>
      <c r="C10" s="1" t="n"/>
      <c r="D10" s="1" t="n"/>
      <c r="E10" s="1" t="n"/>
      <c r="F10" s="1" t="n"/>
    </row>
    <row r="11">
      <c r="A11" s="1" t="inlineStr">
        <is>
          <t>g1 end year</t>
        </is>
      </c>
      <c r="B11" s="3" t="n">
        <v>2035</v>
      </c>
      <c r="C11" s="1" t="n"/>
      <c r="D11" s="1" t="n"/>
      <c r="E11" s="1" t="n"/>
      <c r="F11" s="1" t="n"/>
    </row>
    <row r="12">
      <c r="A12" s="1" t="inlineStr">
        <is>
          <t>g2 [%]</t>
        </is>
      </c>
      <c r="B12" s="4" t="n">
        <v>0.02</v>
      </c>
      <c r="C12" s="1" t="n"/>
      <c r="D12" s="1" t="n"/>
      <c r="E12" s="1" t="n"/>
      <c r="F12" s="1" t="n"/>
    </row>
    <row r="13">
      <c r="A13" s="2" t="inlineStr">
        <is>
          <t>Financial Data Constants</t>
        </is>
      </c>
      <c r="B13" s="2" t="n"/>
      <c r="C13" s="2" t="n"/>
      <c r="D13" s="2" t="n"/>
      <c r="E13" s="2" t="n"/>
      <c r="F13" s="2" t="n"/>
    </row>
    <row r="14">
      <c r="A14" s="1" t="inlineStr">
        <is>
          <t>Total Debt [$m]</t>
        </is>
      </c>
      <c r="B14" s="5" t="n">
        <v>98657</v>
      </c>
      <c r="C14" s="1" t="n"/>
      <c r="D14" s="1" t="n"/>
      <c r="E14" s="1" t="n"/>
      <c r="F14" s="1" t="n"/>
    </row>
    <row r="15">
      <c r="A15" s="1" t="inlineStr">
        <is>
          <t>Book Value of Equity [$m]</t>
        </is>
      </c>
      <c r="B15" s="5" t="n">
        <v>73730</v>
      </c>
      <c r="C15" s="1" t="n"/>
      <c r="D15" s="1" t="n"/>
      <c r="E15" s="1" t="n"/>
      <c r="F15" s="1" t="n"/>
    </row>
    <row r="16">
      <c r="A16" s="1" t="inlineStr">
        <is>
          <t>Cash 2028 [$m]</t>
        </is>
      </c>
      <c r="B16" s="5" t="n">
        <v>128471</v>
      </c>
      <c r="C16" s="1" t="n"/>
      <c r="D16" s="1" t="n"/>
      <c r="E16" s="1" t="n"/>
      <c r="F16" s="1" t="n"/>
    </row>
    <row r="17">
      <c r="A17" s="1" t="inlineStr">
        <is>
          <t>Current Liab 2025 [$m]</t>
        </is>
      </c>
      <c r="B17" s="5" t="n">
        <v>165631</v>
      </c>
      <c r="C17" s="1" t="n"/>
      <c r="D17" s="1" t="n"/>
      <c r="E17" s="1" t="n"/>
      <c r="F17" s="1" t="n"/>
    </row>
    <row r="18">
      <c r="A18" s="2" t="inlineStr">
        <is>
          <t>Financial Data - EBIT</t>
        </is>
      </c>
      <c r="B18" s="2" t="inlineStr">
        <is>
          <t>2024</t>
        </is>
      </c>
      <c r="C18" s="2" t="inlineStr">
        <is>
          <t>2025</t>
        </is>
      </c>
      <c r="D18" s="2" t="inlineStr">
        <is>
          <t>2026e</t>
        </is>
      </c>
      <c r="E18" s="2" t="inlineStr">
        <is>
          <t>2027e</t>
        </is>
      </c>
      <c r="F18" s="2" t="n"/>
    </row>
    <row r="19">
      <c r="A19" s="1" t="inlineStr">
        <is>
          <t>EBIT [$m]</t>
        </is>
      </c>
      <c r="B19" s="5" t="n">
        <v>133050</v>
      </c>
      <c r="C19" s="5" t="n">
        <v>149518</v>
      </c>
      <c r="D19" s="5" t="n">
        <v>159666</v>
      </c>
      <c r="E19" s="5" t="n">
        <v>171750</v>
      </c>
      <c r="F19" s="5" t="n"/>
    </row>
    <row r="20">
      <c r="A20" s="1" t="inlineStr">
        <is>
          <t>Pretax Income [$m]</t>
        </is>
      </c>
      <c r="B20" s="5" t="n">
        <v>132729</v>
      </c>
      <c r="C20" s="5" t="n">
        <v>150175</v>
      </c>
      <c r="D20" s="5" t="n">
        <v>160109</v>
      </c>
      <c r="E20" s="5" t="n">
        <v>171879</v>
      </c>
      <c r="F20" s="5" t="n"/>
    </row>
    <row r="21">
      <c r="A21" s="1" t="inlineStr">
        <is>
          <t>Tax [$m]</t>
        </is>
      </c>
      <c r="B21" s="5" t="n">
        <v>20719</v>
      </c>
      <c r="C21" s="5" t="n">
        <v>25470</v>
      </c>
      <c r="D21" s="5" t="n">
        <v>26478</v>
      </c>
      <c r="E21" s="5" t="n">
        <v>28069</v>
      </c>
      <c r="F21" s="5" t="n"/>
    </row>
    <row r="22">
      <c r="A22" s="1" t="n"/>
      <c r="B22" s="3" t="n"/>
      <c r="C22" s="3" t="n"/>
      <c r="D22" s="3" t="n"/>
      <c r="E22" s="3" t="n"/>
      <c r="F22" s="3" t="n"/>
    </row>
    <row r="23">
      <c r="A23" s="2" t="inlineStr">
        <is>
          <t>Financial Data - Assets &amp; Liab</t>
        </is>
      </c>
      <c r="B23" s="2" t="inlineStr">
        <is>
          <t>2024</t>
        </is>
      </c>
      <c r="C23" s="2" t="inlineStr">
        <is>
          <t>2025</t>
        </is>
      </c>
      <c r="D23" s="2" t="inlineStr">
        <is>
          <t>2026e</t>
        </is>
      </c>
      <c r="E23" s="2" t="inlineStr">
        <is>
          <t>2027e</t>
        </is>
      </c>
      <c r="F23" s="2" t="inlineStr">
        <is>
          <t>2028e</t>
        </is>
      </c>
    </row>
    <row r="24">
      <c r="A24" s="1" t="inlineStr">
        <is>
          <t>Total Assets [$m]</t>
        </is>
      </c>
      <c r="B24" s="5" t="n">
        <v>364980</v>
      </c>
      <c r="C24" s="5" t="n">
        <v>359241</v>
      </c>
      <c r="D24" s="5" t="n">
        <v>384063</v>
      </c>
      <c r="E24" s="5" t="n">
        <v>417704</v>
      </c>
      <c r="F24" s="5" t="n">
        <v>458904</v>
      </c>
    </row>
    <row r="25">
      <c r="A25" s="1" t="inlineStr">
        <is>
          <t>Current Assets [$m]</t>
        </is>
      </c>
      <c r="B25" s="5" t="n">
        <v>152987</v>
      </c>
      <c r="C25" s="5" t="n">
        <v>147957</v>
      </c>
      <c r="D25" s="5" t="n">
        <v>171888</v>
      </c>
      <c r="E25" s="5" t="n">
        <v>214849</v>
      </c>
      <c r="F25" s="5" t="n">
        <v>258502</v>
      </c>
    </row>
    <row r="26">
      <c r="A26" s="1" t="inlineStr">
        <is>
          <t>Current Liab [$m]</t>
        </is>
      </c>
      <c r="B26" s="5" t="n">
        <v>165631</v>
      </c>
      <c r="C26" s="5" t="n">
        <v>167645</v>
      </c>
      <c r="D26" s="5" t="n">
        <v>174803</v>
      </c>
      <c r="E26" s="5" t="n">
        <v>183070</v>
      </c>
      <c r="F26" s="5" t="n"/>
    </row>
    <row r="27">
      <c r="A27" s="2" t="inlineStr">
        <is>
          <t>Sensitivity Parameters</t>
        </is>
      </c>
      <c r="B27" s="2" t="n"/>
      <c r="C27" s="2" t="n"/>
      <c r="D27" s="2" t="n"/>
      <c r="E27" s="2" t="n"/>
      <c r="F27" s="2" t="n"/>
    </row>
    <row r="28">
      <c r="A28" s="1" t="inlineStr">
        <is>
          <t>g1 start [%]</t>
        </is>
      </c>
      <c r="B28" s="4" t="n">
        <v>0.02</v>
      </c>
      <c r="C28" s="1" t="n"/>
      <c r="D28" s="1" t="n"/>
      <c r="E28" s="1" t="n"/>
      <c r="F28" s="1" t="n"/>
    </row>
    <row r="29">
      <c r="A29" s="1" t="inlineStr">
        <is>
          <t>g1 end [%]</t>
        </is>
      </c>
      <c r="B29" s="4" t="n">
        <v>0.1</v>
      </c>
      <c r="C29" s="1" t="n"/>
      <c r="D29" s="1" t="n"/>
      <c r="E29" s="1" t="n"/>
      <c r="F29" s="1" t="n"/>
    </row>
    <row r="30">
      <c r="A30" s="1" t="inlineStr">
        <is>
          <t>g1 step [%]</t>
        </is>
      </c>
      <c r="B30" s="4" t="n">
        <v>0.0025</v>
      </c>
      <c r="C30" s="1" t="n"/>
      <c r="D30" s="1" t="n"/>
      <c r="E30" s="1" t="n"/>
      <c r="F30" s="1" t="n"/>
    </row>
    <row r="31">
      <c r="A31" s="1" t="inlineStr">
        <is>
          <t>End year start</t>
        </is>
      </c>
      <c r="B31" s="3" t="n">
        <v>2038</v>
      </c>
      <c r="C31" s="1" t="n"/>
      <c r="D31" s="1" t="n"/>
      <c r="E31" s="1" t="n"/>
      <c r="F31" s="1" t="n"/>
    </row>
    <row r="32">
      <c r="A32" s="1" t="inlineStr">
        <is>
          <t>End year step [year]</t>
        </is>
      </c>
      <c r="B32" s="3" t="n">
        <v>1</v>
      </c>
      <c r="C32" s="1" t="n"/>
      <c r="D32" s="1" t="n"/>
      <c r="E32" s="1" t="n"/>
      <c r="F32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7" customWidth="1" min="3" max="3"/>
    <col width="17" customWidth="1" min="4" max="4"/>
  </cols>
  <sheetData>
    <row r="1">
      <c r="A1" s="21" t="inlineStr">
        <is>
          <t>1. Tax Rate Calculation</t>
        </is>
      </c>
      <c r="B1" s="21" t="n"/>
      <c r="C1" s="21" t="n"/>
      <c r="D1" s="21" t="n"/>
    </row>
    <row r="2">
      <c r="A2" s="1" t="inlineStr">
        <is>
          <t>2024 Tax Rate</t>
        </is>
      </c>
      <c r="B2" s="9">
        <f>'model_Assumptions'!B21/'model_Assumptions'!B20</f>
        <v/>
      </c>
      <c r="C2" s="1" t="n"/>
      <c r="D2" s="1" t="n"/>
    </row>
    <row r="3">
      <c r="A3" s="1" t="inlineStr">
        <is>
          <t>2025 Tax Rate</t>
        </is>
      </c>
      <c r="B3" s="9">
        <f>'model_Assumptions'!C21/'model_Assumptions'!C20</f>
        <v/>
      </c>
      <c r="C3" s="1" t="n"/>
      <c r="D3" s="1" t="n"/>
    </row>
    <row r="4">
      <c r="A4" s="1" t="inlineStr">
        <is>
          <t>2026e Tax Rate</t>
        </is>
      </c>
      <c r="B4" s="9">
        <f>'model_Assumptions'!D21/'model_Assumptions'!D20</f>
        <v/>
      </c>
      <c r="C4" s="1" t="n"/>
      <c r="D4" s="1" t="n"/>
    </row>
    <row r="5">
      <c r="A5" s="1" t="inlineStr">
        <is>
          <t>2027e Tax Rate</t>
        </is>
      </c>
      <c r="B5" s="9">
        <f>'model_Assumptions'!E21/'model_Assumptions'!E20</f>
        <v/>
      </c>
      <c r="C5" s="1" t="n"/>
      <c r="D5" s="1" t="n"/>
    </row>
    <row r="6">
      <c r="A6" s="1" t="inlineStr">
        <is>
          <t>Average Tax Rate [%]</t>
        </is>
      </c>
      <c r="B6" s="7">
        <f>AVERAGE(B2:B5)</f>
        <v/>
      </c>
      <c r="C6" s="1" t="n"/>
      <c r="D6" s="1" t="n"/>
    </row>
    <row r="7">
      <c r="A7" s="1" t="n"/>
      <c r="B7" s="1" t="n"/>
      <c r="C7" s="1" t="n"/>
      <c r="D7" s="1" t="n"/>
    </row>
    <row r="8">
      <c r="A8" s="2" t="inlineStr">
        <is>
          <t>2. WACC Calculation (Iterative)</t>
        </is>
      </c>
      <c r="B8" s="2" t="n"/>
      <c r="C8" s="2" t="n"/>
      <c r="D8" s="2" t="n"/>
    </row>
    <row r="9">
      <c r="A9" s="1" t="inlineStr">
        <is>
          <t>Cost of Equity</t>
        </is>
      </c>
      <c r="B9" s="10">
        <f>'model_Assumptions'!$B$5 + 'model_Assumptions'!$B$6 * 'model_Assumptions'!$B$7</f>
        <v/>
      </c>
      <c r="C9" s="1" t="n"/>
      <c r="D9" s="1" t="n"/>
    </row>
    <row r="10">
      <c r="A10" s="1" t="inlineStr">
        <is>
          <t>Cost of Debt (Pre-tax)</t>
        </is>
      </c>
      <c r="B10" s="10">
        <f>'model_Assumptions'!$B$8</f>
        <v/>
      </c>
      <c r="C10" s="1" t="n"/>
      <c r="D10" s="1" t="n"/>
    </row>
    <row r="11">
      <c r="A11" s="1" t="inlineStr">
        <is>
          <t>Cost of Debt (After-tax)</t>
        </is>
      </c>
      <c r="B11" s="7">
        <f>B10 * (1 - B6)</f>
        <v/>
      </c>
      <c r="C11" s="1" t="n"/>
      <c r="D11" s="1" t="n"/>
    </row>
    <row r="12">
      <c r="A12" s="1" t="inlineStr">
        <is>
          <t>Initial Weights (Book Value)</t>
        </is>
      </c>
      <c r="B12" s="1" t="n"/>
      <c r="C12" s="1" t="n"/>
      <c r="D12" s="1" t="n"/>
    </row>
    <row r="13">
      <c r="A13" s="1" t="inlineStr">
        <is>
          <t>WACC (Iteration 1 - Book)</t>
        </is>
      </c>
      <c r="B13" s="10">
        <f>B9 * ('model_Assumptions'!$B$15 / ('model_Assumptions'!$B$15 + 'model_Assumptions'!$B$14)) + B11 * ('model_Assumptions'!$B$14 / ('model_Assumptions'!$B$15 + 'model_Assumptions'!$B$14))</f>
        <v/>
      </c>
      <c r="C13" s="1" t="n"/>
      <c r="D13" s="1" t="n"/>
    </row>
    <row r="14">
      <c r="A14" s="1" t="inlineStr">
        <is>
          <t>WACC (Iteration 2 - Market)</t>
        </is>
      </c>
      <c r="B14" s="7">
        <f>B9 * (B38 / (B38 + B33)) + B11 * (B33 / (B38 + B33))</f>
        <v/>
      </c>
      <c r="C14" s="1" t="n"/>
      <c r="D14" s="1" t="n"/>
    </row>
    <row r="15">
      <c r="A15" s="1" t="n"/>
      <c r="B15" s="1" t="n"/>
      <c r="C15" s="1" t="n"/>
      <c r="D15" s="1" t="n"/>
    </row>
    <row r="16">
      <c r="A16" s="2" t="inlineStr">
        <is>
          <t>3. FCF Forecast (Explicit Period)</t>
        </is>
      </c>
      <c r="B16" s="2" t="n"/>
      <c r="C16" s="2" t="n"/>
      <c r="D16" s="2" t="n"/>
    </row>
    <row r="17">
      <c r="A17" s="1" t="inlineStr">
        <is>
          <t>Year</t>
        </is>
      </c>
      <c r="B17" s="1" t="inlineStr">
        <is>
          <t>2026e</t>
        </is>
      </c>
      <c r="C17" s="1" t="inlineStr">
        <is>
          <t>2027e</t>
        </is>
      </c>
      <c r="D17" s="1" t="inlineStr">
        <is>
          <t>2028e</t>
        </is>
      </c>
    </row>
    <row r="18">
      <c r="A18" s="1" t="inlineStr">
        <is>
          <t>EBIT [$m]</t>
        </is>
      </c>
      <c r="B18" s="12">
        <f>'model_Assumptions'!D19</f>
        <v/>
      </c>
      <c r="C18" s="12">
        <f>'model_Assumptions'!E19</f>
        <v/>
      </c>
      <c r="D18" s="12">
        <f>'model_Assumptions'!F19</f>
        <v/>
      </c>
    </row>
    <row r="19">
      <c r="A19" s="1" t="inlineStr">
        <is>
          <t>NOPAT [$m]</t>
        </is>
      </c>
      <c r="B19" s="13">
        <f>B18 * (1 - $B$6)</f>
        <v/>
      </c>
      <c r="C19" s="13">
        <f>C18 * (1 - $B$6)</f>
        <v/>
      </c>
      <c r="D19" s="13">
        <f>D18 * (1 - $B$6)</f>
        <v/>
      </c>
    </row>
    <row r="20">
      <c r="A20" s="1" t="inlineStr">
        <is>
          <t>Net Investment (Net Fixed Assets) [$m]</t>
        </is>
      </c>
      <c r="B20" s="12">
        <f>('model_Assumptions'!D24 - 'model_Assumptions'!D25) - ('model_Assumptions'!C24 - 'model_Assumptions'!C25)</f>
        <v/>
      </c>
      <c r="C20" s="12">
        <f>('model_Assumptions'!E24 - 'model_Assumptions'!E25) - ('model_Assumptions'!D24 - 'model_Assumptions'!D25)</f>
        <v/>
      </c>
      <c r="D20" s="12">
        <f>('model_Assumptions'!F24 - 'model_Assumptions'!F25) - ('model_Assumptions'!E24 - 'model_Assumptions'!E25)</f>
        <v/>
      </c>
    </row>
    <row r="21">
      <c r="A21" s="1" t="inlineStr">
        <is>
          <t>Change in NWC [$m]</t>
        </is>
      </c>
      <c r="B21" s="12">
        <f>('model_Assumptions'!D25 - 'model_Assumptions'!D26) - ('model_Assumptions'!C25 - 'model_Assumptions'!C26)</f>
        <v/>
      </c>
      <c r="C21" s="12">
        <f>('model_Assumptions'!E25 - 'model_Assumptions'!E26) - ('model_Assumptions'!D25 - 'model_Assumptions'!D26)</f>
        <v/>
      </c>
      <c r="D21" s="12">
        <f>('model_Assumptions'!F25 - 'model_Assumptions'!F26) - ('model_Assumptions'!E25 - 'model_Assumptions'!E26)</f>
        <v/>
      </c>
    </row>
    <row r="22">
      <c r="A22" s="1" t="inlineStr">
        <is>
          <t>Free Cash Flow (FCF) [$m]</t>
        </is>
      </c>
      <c r="B22" s="13">
        <f>B19 - B20 - B21</f>
        <v/>
      </c>
      <c r="C22" s="13">
        <f>C19 - C20 - C21</f>
        <v/>
      </c>
      <c r="D22" s="13">
        <f>D19 - D20 - D21</f>
        <v/>
      </c>
    </row>
    <row r="23">
      <c r="A23" s="1" t="inlineStr">
        <is>
          <t>Discount Factor</t>
        </is>
      </c>
      <c r="B23" s="13">
        <f>1 / (1 + $B$13)^(171/365)</f>
        <v/>
      </c>
      <c r="C23" s="13">
        <f>1 / (1 + $B$13)^(171/365 + 1)</f>
        <v/>
      </c>
      <c r="D23" s="13">
        <f>1 / (1 + $B$13)^(171/365 + 2)</f>
        <v/>
      </c>
    </row>
    <row r="24">
      <c r="A24" s="1" t="inlineStr">
        <is>
          <t>PV of FCF [$m]</t>
        </is>
      </c>
      <c r="B24" s="13">
        <f>B22 * B23</f>
        <v/>
      </c>
      <c r="C24" s="13">
        <f>C22 * C23</f>
        <v/>
      </c>
      <c r="D24" s="13">
        <f>D22 * D23</f>
        <v/>
      </c>
    </row>
    <row r="25">
      <c r="A25" s="1" t="n"/>
      <c r="B25" s="1" t="n"/>
      <c r="C25" s="1" t="n"/>
      <c r="D25" s="1" t="n"/>
    </row>
    <row r="26">
      <c r="A26" s="2" t="inlineStr">
        <is>
          <t>4. Terminal Value - Base Case</t>
        </is>
      </c>
      <c r="B26" s="2" t="n"/>
      <c r="C26" s="2" t="n"/>
      <c r="D26" s="2" t="n"/>
    </row>
    <row r="27">
      <c r="A27" s="1" t="inlineStr">
        <is>
          <t>Terminal Growth g1 [%]</t>
        </is>
      </c>
      <c r="B27" s="9">
        <f>'model_Assumptions'!$B$10</f>
        <v/>
      </c>
      <c r="C27" s="1" t="n"/>
      <c r="D27" s="1" t="n"/>
    </row>
    <row r="28">
      <c r="A28" s="1" t="inlineStr">
        <is>
          <t>End Year g1</t>
        </is>
      </c>
      <c r="B28" s="9">
        <f>'model_Assumptions'!$B$11</f>
        <v/>
      </c>
      <c r="C28" s="1" t="n"/>
      <c r="D28" s="1" t="n"/>
    </row>
    <row r="29">
      <c r="A29" s="1" t="inlineStr">
        <is>
          <t>Terminal Growth g2 [%]</t>
        </is>
      </c>
      <c r="B29" s="9">
        <f>'model_Assumptions'!$B$12</f>
        <v/>
      </c>
      <c r="C29" s="1" t="n"/>
      <c r="D29" s="1" t="n"/>
    </row>
    <row r="30">
      <c r="A30" s="1" t="inlineStr">
        <is>
          <t>PV of Stage 1 (g1 period) [$m]</t>
        </is>
      </c>
      <c r="B30" s="13">
        <f>(D22*(1+B27)/(B14-B27))*(1-((1+B27)/(1+B14))^(B28-2028))*D23</f>
        <v/>
      </c>
      <c r="C30" s="8" t="n"/>
      <c r="D30" s="8" t="n"/>
    </row>
    <row r="31">
      <c r="A31" s="1" t="inlineStr">
        <is>
          <t>PV of Stage 2 (g2 perpetual) [$m]</t>
        </is>
      </c>
      <c r="B31" s="13">
        <f>(D22*(1+B27)^(B28-2028)*(1+B29)/(B14-B29))*(1/(1+B14)^(B28-2028))*D23</f>
        <v/>
      </c>
      <c r="C31" s="8" t="n"/>
      <c r="D31" s="8" t="n"/>
    </row>
    <row r="32">
      <c r="A32" s="1" t="inlineStr">
        <is>
          <t>Total Enterprise Value (EV) [$m]</t>
        </is>
      </c>
      <c r="B32" s="13">
        <f>SUM(B24:D24)+B30+B31</f>
        <v/>
      </c>
      <c r="C32" s="8" t="n"/>
      <c r="D32" s="8" t="n"/>
    </row>
    <row r="33">
      <c r="A33" s="1" t="inlineStr">
        <is>
          <t>Less: Total Debt [$m]</t>
        </is>
      </c>
      <c r="B33" s="12">
        <f>'model_Assumptions'!$B$14</f>
        <v/>
      </c>
      <c r="C33" s="8" t="n"/>
      <c r="D33" s="8" t="n"/>
    </row>
    <row r="34">
      <c r="A34" s="1" t="inlineStr">
        <is>
          <t>Plus: Cash 2028 [$m]</t>
        </is>
      </c>
      <c r="B34" s="12">
        <f>'model_Assumptions'!$B$16</f>
        <v/>
      </c>
      <c r="C34" s="8" t="n"/>
      <c r="D34" s="8" t="n"/>
    </row>
    <row r="35">
      <c r="A35" s="1" t="inlineStr">
        <is>
          <t>Equity Value at Valuation Date [$m]</t>
        </is>
      </c>
      <c r="B35" s="22">
        <f>B32-B33+B34</f>
        <v/>
      </c>
      <c r="C35" s="8" t="n"/>
      <c r="D35" s="8" t="n"/>
    </row>
    <row r="36">
      <c r="A36" s="1" t="inlineStr">
        <is>
          <t>PV Stage 1 (v1) [$m]</t>
        </is>
      </c>
      <c r="B36" s="14">
        <f>(D22*(1+B27)/(B13-B27))*(1-((1+B27)/(1+B13))^(B28-2028))*D23</f>
        <v/>
      </c>
      <c r="C36" s="1" t="n"/>
      <c r="D36" s="1" t="n"/>
    </row>
    <row r="37">
      <c r="A37" s="1" t="inlineStr">
        <is>
          <t>PV Stage 2 (v1) [$m]</t>
        </is>
      </c>
      <c r="B37" s="14">
        <f>(D22*(1+B27)^(B28-2028)*(1+B29)/(B13-B29))*(1/(1+B13)^(B28-2028))*D23</f>
        <v/>
      </c>
      <c r="C37" s="1" t="n"/>
      <c r="D37" s="1" t="n"/>
    </row>
    <row r="38">
      <c r="A38" s="1" t="inlineStr">
        <is>
          <t>Equity Value (v1) [$m]</t>
        </is>
      </c>
      <c r="B38" s="23">
        <f>SUM(B24:D24)+B36+B37-B33+B34</f>
        <v/>
      </c>
      <c r="C38" s="1" t="n"/>
      <c r="D38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</cols>
  <sheetData>
    <row r="1">
      <c r="A1" s="21" t="inlineStr">
        <is>
          <t>Equity Value at Valuation Date [$m]</t>
        </is>
      </c>
      <c r="B1" s="24">
        <f>'model_Workings'!B35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0" customWidth="1" min="3" max="3"/>
  </cols>
  <sheetData>
    <row r="1">
      <c r="A1" s="21" t="inlineStr">
        <is>
          <t>Question</t>
        </is>
      </c>
      <c r="B1" s="21" t="inlineStr">
        <is>
          <t>Answer</t>
        </is>
      </c>
      <c r="C1" s="21" t="inlineStr">
        <is>
          <t>Unit</t>
        </is>
      </c>
    </row>
    <row r="2">
      <c r="A2" s="1" t="inlineStr">
        <is>
          <t>Q2: Equity Value (0.02 / 2033)</t>
        </is>
      </c>
      <c r="B2" s="14">
        <f>'model_Sensitivity'!F3</f>
        <v/>
      </c>
      <c r="C2" s="1" t="inlineStr">
        <is>
          <t>[$m]</t>
        </is>
      </c>
    </row>
    <row r="3">
      <c r="A3" s="1" t="inlineStr">
        <is>
          <t>Q3: Equity Value (0.0225 / 2037)</t>
        </is>
      </c>
      <c r="B3" s="14">
        <f>'model_Sensitivity'!F4</f>
        <v/>
      </c>
      <c r="C3" s="1" t="inlineStr">
        <is>
          <t>[$m]</t>
        </is>
      </c>
    </row>
    <row r="4">
      <c r="A4" s="1" t="inlineStr">
        <is>
          <t>Q4: Equity Value (0.0225 / 2038)</t>
        </is>
      </c>
      <c r="B4" s="14">
        <f>'model_Sensitivity'!F5</f>
        <v/>
      </c>
      <c r="C4" s="1" t="inlineStr">
        <is>
          <t>[$m]</t>
        </is>
      </c>
    </row>
    <row r="5">
      <c r="A5" s="1" t="inlineStr">
        <is>
          <t>Q5: Equity Value (0.025 / 2033)</t>
        </is>
      </c>
      <c r="B5" s="14">
        <f>'model_Sensitivity'!F6</f>
        <v/>
      </c>
      <c r="C5" s="1" t="inlineStr">
        <is>
          <t>[$m]</t>
        </is>
      </c>
    </row>
    <row r="6">
      <c r="A6" s="1" t="inlineStr">
        <is>
          <t>Q6: Equity Value (0.025 / 2037)</t>
        </is>
      </c>
      <c r="B6" s="14">
        <f>'model_Sensitivity'!F7</f>
        <v/>
      </c>
      <c r="C6" s="1" t="inlineStr">
        <is>
          <t>[$m]</t>
        </is>
      </c>
    </row>
    <row r="7">
      <c r="A7" s="1" t="inlineStr">
        <is>
          <t>Q7: Equity Value (0.035 / 2034)</t>
        </is>
      </c>
      <c r="B7" s="14">
        <f>'model_Sensitivity'!F8</f>
        <v/>
      </c>
      <c r="C7" s="1" t="inlineStr">
        <is>
          <t>[$m]</t>
        </is>
      </c>
    </row>
    <row r="8">
      <c r="A8" s="1" t="inlineStr">
        <is>
          <t>Q8: Equity Value (0.035 / 2036)</t>
        </is>
      </c>
      <c r="B8" s="14">
        <f>'model_Sensitivity'!F9</f>
        <v/>
      </c>
      <c r="C8" s="1" t="inlineStr">
        <is>
          <t>[$m]</t>
        </is>
      </c>
    </row>
    <row r="9">
      <c r="A9" s="1" t="inlineStr">
        <is>
          <t>Q9: Equity Value (0.0375 / 2030)</t>
        </is>
      </c>
      <c r="B9" s="14">
        <f>'model_Sensitivity'!F10</f>
        <v/>
      </c>
      <c r="C9" s="1" t="inlineStr">
        <is>
          <t>[$m]</t>
        </is>
      </c>
    </row>
    <row r="10">
      <c r="A10" s="1" t="inlineStr">
        <is>
          <t>Q10: Equity Value (0.0375 / 2034)</t>
        </is>
      </c>
      <c r="B10" s="14">
        <f>'model_Sensitivity'!F11</f>
        <v/>
      </c>
      <c r="C10" s="1" t="inlineStr">
        <is>
          <t>[$m]</t>
        </is>
      </c>
    </row>
    <row r="11">
      <c r="A11" s="1" t="inlineStr">
        <is>
          <t>Q11: Equity Value (0.0375 / 2035)</t>
        </is>
      </c>
      <c r="B11" s="14">
        <f>'model_Sensitivity'!F12</f>
        <v/>
      </c>
      <c r="C11" s="1" t="inlineStr">
        <is>
          <t>[$m]</t>
        </is>
      </c>
    </row>
    <row r="12">
      <c r="A12" s="1" t="inlineStr">
        <is>
          <t>Q12: Equity Value (0.04 / 2035)</t>
        </is>
      </c>
      <c r="B12" s="14">
        <f>'model_Sensitivity'!F13</f>
        <v/>
      </c>
      <c r="C12" s="1" t="inlineStr">
        <is>
          <t>[$m]</t>
        </is>
      </c>
    </row>
    <row r="13">
      <c r="A13" s="1" t="inlineStr">
        <is>
          <t>Q13: Equity Value (0.0425 / 2031)</t>
        </is>
      </c>
      <c r="B13" s="14">
        <f>'model_Sensitivity'!F14</f>
        <v/>
      </c>
      <c r="C13" s="1" t="inlineStr">
        <is>
          <t>[$m]</t>
        </is>
      </c>
    </row>
    <row r="14">
      <c r="A14" s="1" t="inlineStr">
        <is>
          <t>Q14: Equity Value (0.0425 / 2034)</t>
        </is>
      </c>
      <c r="B14" s="14">
        <f>'model_Sensitivity'!F15</f>
        <v/>
      </c>
      <c r="C14" s="1" t="inlineStr">
        <is>
          <t>[$m]</t>
        </is>
      </c>
    </row>
    <row r="15">
      <c r="A15" s="1" t="inlineStr">
        <is>
          <t>Q15: Equity Value (0.0425 / 2036)</t>
        </is>
      </c>
      <c r="B15" s="14">
        <f>'model_Sensitivity'!F16</f>
        <v/>
      </c>
      <c r="C15" s="1" t="inlineStr">
        <is>
          <t>[$m]</t>
        </is>
      </c>
    </row>
    <row r="16">
      <c r="A16" s="1" t="inlineStr">
        <is>
          <t>Q16: Equity Value (0.045 / 2029)</t>
        </is>
      </c>
      <c r="B16" s="14">
        <f>'model_Sensitivity'!F17</f>
        <v/>
      </c>
      <c r="C16" s="1" t="inlineStr">
        <is>
          <t>[$m]</t>
        </is>
      </c>
    </row>
    <row r="17">
      <c r="A17" s="1" t="inlineStr">
        <is>
          <t>Q17: Equity Value (0.045 / 2037)</t>
        </is>
      </c>
      <c r="B17" s="14">
        <f>'model_Sensitivity'!F18</f>
        <v/>
      </c>
      <c r="C17" s="1" t="inlineStr">
        <is>
          <t>[$m]</t>
        </is>
      </c>
    </row>
    <row r="18">
      <c r="A18" s="1" t="inlineStr">
        <is>
          <t>Q18: Equity Value (0.0475 / 2029)</t>
        </is>
      </c>
      <c r="B18" s="14">
        <f>'model_Sensitivity'!F19</f>
        <v/>
      </c>
      <c r="C18" s="1" t="inlineStr">
        <is>
          <t>[$m]</t>
        </is>
      </c>
    </row>
    <row r="19">
      <c r="A19" s="1" t="inlineStr">
        <is>
          <t>Q19: Equity Value (0.0475 / 2034)</t>
        </is>
      </c>
      <c r="B19" s="14">
        <f>'model_Sensitivity'!F20</f>
        <v/>
      </c>
      <c r="C19" s="1" t="inlineStr">
        <is>
          <t>[$m]</t>
        </is>
      </c>
    </row>
    <row r="20">
      <c r="A20" s="1" t="inlineStr">
        <is>
          <t>Q20: Equity Value (0.05 / 2038)</t>
        </is>
      </c>
      <c r="B20" s="14">
        <f>'model_Sensitivity'!F21</f>
        <v/>
      </c>
      <c r="C20" s="1" t="inlineStr">
        <is>
          <t>[$m]</t>
        </is>
      </c>
    </row>
    <row r="21">
      <c r="A21" s="1" t="inlineStr">
        <is>
          <t>Q21: Equity Value (0.055 / 2035)</t>
        </is>
      </c>
      <c r="B21" s="14">
        <f>'model_Sensitivity'!F22</f>
        <v/>
      </c>
      <c r="C21" s="1" t="inlineStr">
        <is>
          <t>[$m]</t>
        </is>
      </c>
    </row>
    <row r="22">
      <c r="A22" s="1" t="inlineStr">
        <is>
          <t>Q22: Equity Value (0.06 / 2036)</t>
        </is>
      </c>
      <c r="B22" s="14">
        <f>'model_Sensitivity'!F23</f>
        <v/>
      </c>
      <c r="C22" s="1" t="inlineStr">
        <is>
          <t>[$m]</t>
        </is>
      </c>
    </row>
    <row r="23">
      <c r="A23" s="1" t="inlineStr">
        <is>
          <t>Q23: Equity Value (0.0625 / 2034)</t>
        </is>
      </c>
      <c r="B23" s="14">
        <f>'model_Sensitivity'!F24</f>
        <v/>
      </c>
      <c r="C23" s="1" t="inlineStr">
        <is>
          <t>[$m]</t>
        </is>
      </c>
    </row>
    <row r="24">
      <c r="A24" s="1" t="inlineStr">
        <is>
          <t>Q24: Equity Value (0.065 / 2030)</t>
        </is>
      </c>
      <c r="B24" s="14">
        <f>'model_Sensitivity'!F25</f>
        <v/>
      </c>
      <c r="C24" s="1" t="inlineStr">
        <is>
          <t>[$m]</t>
        </is>
      </c>
    </row>
    <row r="25">
      <c r="A25" s="1" t="inlineStr">
        <is>
          <t>Q25: Equity Value (0.0675 / 2030)</t>
        </is>
      </c>
      <c r="B25" s="14">
        <f>'model_Sensitivity'!F26</f>
        <v/>
      </c>
      <c r="C25" s="1" t="inlineStr">
        <is>
          <t>[$m]</t>
        </is>
      </c>
    </row>
    <row r="26">
      <c r="A26" s="1" t="inlineStr">
        <is>
          <t>Q26: Equity Value (0.0725 / 2032)</t>
        </is>
      </c>
      <c r="B26" s="14">
        <f>'model_Sensitivity'!F27</f>
        <v/>
      </c>
      <c r="C26" s="1" t="inlineStr">
        <is>
          <t>[$m]</t>
        </is>
      </c>
    </row>
    <row r="27">
      <c r="A27" s="1" t="inlineStr">
        <is>
          <t>Q27: Equity Value (0.0725 / 2036)</t>
        </is>
      </c>
      <c r="B27" s="14">
        <f>'model_Sensitivity'!F28</f>
        <v/>
      </c>
      <c r="C27" s="1" t="inlineStr">
        <is>
          <t>[$m]</t>
        </is>
      </c>
    </row>
    <row r="28">
      <c r="A28" s="1" t="inlineStr">
        <is>
          <t>Q28: Equity Value (0.0875 / 2029)</t>
        </is>
      </c>
      <c r="B28" s="14">
        <f>'model_Sensitivity'!F29</f>
        <v/>
      </c>
      <c r="C28" s="1" t="inlineStr">
        <is>
          <t>[$m]</t>
        </is>
      </c>
    </row>
    <row r="29">
      <c r="A29" s="1" t="inlineStr">
        <is>
          <t>Q29: Equity Value (0.0875 / 2030)</t>
        </is>
      </c>
      <c r="B29" s="14">
        <f>'model_Sensitivity'!F30</f>
        <v/>
      </c>
      <c r="C29" s="1" t="inlineStr">
        <is>
          <t>[$m]</t>
        </is>
      </c>
    </row>
    <row r="30">
      <c r="A30" s="1" t="inlineStr">
        <is>
          <t>Q30: Equity Value (0.09 / 2029)</t>
        </is>
      </c>
      <c r="B30" s="14">
        <f>'model_Sensitivity'!F31</f>
        <v/>
      </c>
      <c r="C30" s="1" t="inlineStr">
        <is>
          <t>[$m]</t>
        </is>
      </c>
    </row>
    <row r="31">
      <c r="A31" s="1" t="inlineStr">
        <is>
          <t>Q31: Equity Value (0.09 / 2030)</t>
        </is>
      </c>
      <c r="B31" s="14">
        <f>'model_Sensitivity'!F32</f>
        <v/>
      </c>
      <c r="C31" s="1" t="inlineStr">
        <is>
          <t>[$m]</t>
        </is>
      </c>
    </row>
    <row r="32">
      <c r="A32" s="1" t="inlineStr">
        <is>
          <t>Q32: Equity Value (0.09 / 2031)</t>
        </is>
      </c>
      <c r="B32" s="14">
        <f>'model_Sensitivity'!F33</f>
        <v/>
      </c>
      <c r="C32" s="1" t="inlineStr">
        <is>
          <t>[$m]</t>
        </is>
      </c>
    </row>
    <row r="33">
      <c r="A33" s="1" t="inlineStr">
        <is>
          <t>Q33: Equity Value (0.09 / 2033)</t>
        </is>
      </c>
      <c r="B33" s="14">
        <f>'model_Sensitivity'!F34</f>
        <v/>
      </c>
      <c r="C33" s="1" t="inlineStr">
        <is>
          <t>[$m]</t>
        </is>
      </c>
    </row>
    <row r="34">
      <c r="A34" s="1" t="inlineStr">
        <is>
          <t>Q34: Equity Value (0.0925 / 2033)</t>
        </is>
      </c>
      <c r="B34" s="14">
        <f>'model_Sensitivity'!F35</f>
        <v/>
      </c>
      <c r="C34" s="1" t="inlineStr">
        <is>
          <t>[$m]</t>
        </is>
      </c>
    </row>
    <row r="35">
      <c r="A35" s="1" t="inlineStr">
        <is>
          <t>Q35: Equity Value (0.1 / 2030)</t>
        </is>
      </c>
      <c r="B35" s="14">
        <f>'model_Sensitivity'!F36</f>
        <v/>
      </c>
      <c r="C35" s="1" t="inlineStr">
        <is>
          <t>[$m]</t>
        </is>
      </c>
    </row>
    <row r="36">
      <c r="A36" s="1" t="inlineStr">
        <is>
          <t>Q36: Equity Value (0.1 / 2030)</t>
        </is>
      </c>
      <c r="B36" s="14">
        <f>'model_Sensitivity'!F37</f>
        <v/>
      </c>
      <c r="C36" s="1" t="inlineStr">
        <is>
          <t>[$m]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7" customWidth="1" min="4" max="4"/>
    <col width="17" customWidth="1" min="5" max="5"/>
    <col width="19" customWidth="1" min="6" max="6"/>
  </cols>
  <sheetData>
    <row r="1">
      <c r="A1" s="21" t="inlineStr">
        <is>
          <t>Scenario</t>
        </is>
      </c>
      <c r="B1" s="21" t="inlineStr">
        <is>
          <t>g1 [%]</t>
        </is>
      </c>
      <c r="C1" s="21" t="inlineStr">
        <is>
          <t>End Year</t>
        </is>
      </c>
      <c r="D1" s="21" t="inlineStr">
        <is>
          <t>PV Stage 1 [$m]</t>
        </is>
      </c>
      <c r="E1" s="21" t="inlineStr">
        <is>
          <t>PV Stage 2 [$m]</t>
        </is>
      </c>
      <c r="F1" s="21" t="inlineStr">
        <is>
          <t>Equity Value [$m]</t>
        </is>
      </c>
    </row>
    <row r="2">
      <c r="A2" s="1" t="inlineStr">
        <is>
          <t>Base Case</t>
        </is>
      </c>
      <c r="B2" s="20" t="n">
        <v>0.05</v>
      </c>
      <c r="C2" s="1" t="n">
        <v>2035</v>
      </c>
      <c r="D2" s="14">
        <f>('model_Workings'!$D$22*(1+B2)/('model_Workings'!$B$14-B2))*(1-((1+B2)/(1+'model_Workings'!$B$14))^(C2-2028))*'model_Workings'!$D$23</f>
        <v/>
      </c>
      <c r="E2" s="14">
        <f>('model_Workings'!$D$22*(1+B2)^(C2-2028)*(1+'model_Workings'!$B$29)/('model_Workings'!$B$14-'model_Workings'!$B$29))*(1/(1+'model_Workings'!$B$14)^(C2-2028))*'model_Workings'!$D$23</f>
        <v/>
      </c>
      <c r="F2" s="14">
        <f>SUM('model_Workings'!$B$24:$D$24)+D2+E2-'model_Assumptions'!$B$14+'model_Assumptions'!$B$16</f>
        <v/>
      </c>
    </row>
    <row r="3">
      <c r="A3" s="1" t="inlineStr">
        <is>
          <t>Q2</t>
        </is>
      </c>
      <c r="B3" s="20" t="n">
        <v>0.02</v>
      </c>
      <c r="C3" s="1" t="n">
        <v>2033</v>
      </c>
      <c r="D3" s="14">
        <f>('model_Workings'!$D$22*(1+B3)/('model_Workings'!$B$14-B3))*(1-((1+B3)/(1+'model_Workings'!$B$14))^(C3-2028))*'model_Workings'!$D$23</f>
        <v/>
      </c>
      <c r="E3" s="14">
        <f>('model_Workings'!$D$22*(1+B3)^(C3-2028)*(1+'model_Workings'!$B$29)/('model_Workings'!$B$14-'model_Workings'!$B$29))*(1/(1+'model_Workings'!$B$14)^(C3-2028))*'model_Workings'!$D$23</f>
        <v/>
      </c>
      <c r="F3" s="14">
        <f>SUM('model_Workings'!$B$24:$D$24)+D3+E3-'model_Assumptions'!$B$14+'model_Assumptions'!$B$16</f>
        <v/>
      </c>
    </row>
    <row r="4">
      <c r="A4" s="1" t="inlineStr">
        <is>
          <t>Q3</t>
        </is>
      </c>
      <c r="B4" s="20" t="n">
        <v>0.0225</v>
      </c>
      <c r="C4" s="1" t="n">
        <v>2037</v>
      </c>
      <c r="D4" s="14">
        <f>('model_Workings'!$D$22*(1+B4)/('model_Workings'!$B$14-B4))*(1-((1+B4)/(1+'model_Workings'!$B$14))^(C4-2028))*'model_Workings'!$D$23</f>
        <v/>
      </c>
      <c r="E4" s="14">
        <f>('model_Workings'!$D$22*(1+B4)^(C4-2028)*(1+'model_Workings'!$B$29)/('model_Workings'!$B$14-'model_Workings'!$B$29))*(1/(1+'model_Workings'!$B$14)^(C4-2028))*'model_Workings'!$D$23</f>
        <v/>
      </c>
      <c r="F4" s="14">
        <f>SUM('model_Workings'!$B$24:$D$24)+D4+E4-'model_Assumptions'!$B$14+'model_Assumptions'!$B$16</f>
        <v/>
      </c>
    </row>
    <row r="5">
      <c r="A5" s="1" t="inlineStr">
        <is>
          <t>Q4</t>
        </is>
      </c>
      <c r="B5" s="20" t="n">
        <v>0.0225</v>
      </c>
      <c r="C5" s="1" t="n">
        <v>2038</v>
      </c>
      <c r="D5" s="14">
        <f>('model_Workings'!$D$22*(1+B5)/('model_Workings'!$B$14-B5))*(1-((1+B5)/(1+'model_Workings'!$B$14))^(C5-2028))*'model_Workings'!$D$23</f>
        <v/>
      </c>
      <c r="E5" s="14">
        <f>('model_Workings'!$D$22*(1+B5)^(C5-2028)*(1+'model_Workings'!$B$29)/('model_Workings'!$B$14-'model_Workings'!$B$29))*(1/(1+'model_Workings'!$B$14)^(C5-2028))*'model_Workings'!$D$23</f>
        <v/>
      </c>
      <c r="F5" s="14">
        <f>SUM('model_Workings'!$B$24:$D$24)+D5+E5-'model_Assumptions'!$B$14+'model_Assumptions'!$B$16</f>
        <v/>
      </c>
    </row>
    <row r="6">
      <c r="A6" s="1" t="inlineStr">
        <is>
          <t>Q5</t>
        </is>
      </c>
      <c r="B6" s="20" t="n">
        <v>0.025</v>
      </c>
      <c r="C6" s="1" t="n">
        <v>2033</v>
      </c>
      <c r="D6" s="14">
        <f>('model_Workings'!$D$22*(1+B6)/('model_Workings'!$B$14-B6))*(1-((1+B6)/(1+'model_Workings'!$B$14))^(C6-2028))*'model_Workings'!$D$23</f>
        <v/>
      </c>
      <c r="E6" s="14">
        <f>('model_Workings'!$D$22*(1+B6)^(C6-2028)*(1+'model_Workings'!$B$29)/('model_Workings'!$B$14-'model_Workings'!$B$29))*(1/(1+'model_Workings'!$B$14)^(C6-2028))*'model_Workings'!$D$23</f>
        <v/>
      </c>
      <c r="F6" s="14">
        <f>SUM('model_Workings'!$B$24:$D$24)+D6+E6-'model_Assumptions'!$B$14+'model_Assumptions'!$B$16</f>
        <v/>
      </c>
    </row>
    <row r="7">
      <c r="A7" s="1" t="inlineStr">
        <is>
          <t>Q6</t>
        </is>
      </c>
      <c r="B7" s="20" t="n">
        <v>0.025</v>
      </c>
      <c r="C7" s="1" t="n">
        <v>2037</v>
      </c>
      <c r="D7" s="14">
        <f>('model_Workings'!$D$22*(1+B7)/('model_Workings'!$B$14-B7))*(1-((1+B7)/(1+'model_Workings'!$B$14))^(C7-2028))*'model_Workings'!$D$23</f>
        <v/>
      </c>
      <c r="E7" s="14">
        <f>('model_Workings'!$D$22*(1+B7)^(C7-2028)*(1+'model_Workings'!$B$29)/('model_Workings'!$B$14-'model_Workings'!$B$29))*(1/(1+'model_Workings'!$B$14)^(C7-2028))*'model_Workings'!$D$23</f>
        <v/>
      </c>
      <c r="F7" s="14">
        <f>SUM('model_Workings'!$B$24:$D$24)+D7+E7-'model_Assumptions'!$B$14+'model_Assumptions'!$B$16</f>
        <v/>
      </c>
    </row>
    <row r="8">
      <c r="A8" s="1" t="inlineStr">
        <is>
          <t>Q7</t>
        </is>
      </c>
      <c r="B8" s="20" t="n">
        <v>0.035</v>
      </c>
      <c r="C8" s="1" t="n">
        <v>2034</v>
      </c>
      <c r="D8" s="14">
        <f>('model_Workings'!$D$22*(1+B8)/('model_Workings'!$B$14-B8))*(1-((1+B8)/(1+'model_Workings'!$B$14))^(C8-2028))*'model_Workings'!$D$23</f>
        <v/>
      </c>
      <c r="E8" s="14">
        <f>('model_Workings'!$D$22*(1+B8)^(C8-2028)*(1+'model_Workings'!$B$29)/('model_Workings'!$B$14-'model_Workings'!$B$29))*(1/(1+'model_Workings'!$B$14)^(C8-2028))*'model_Workings'!$D$23</f>
        <v/>
      </c>
      <c r="F8" s="14">
        <f>SUM('model_Workings'!$B$24:$D$24)+D8+E8-'model_Assumptions'!$B$14+'model_Assumptions'!$B$16</f>
        <v/>
      </c>
    </row>
    <row r="9">
      <c r="A9" s="1" t="inlineStr">
        <is>
          <t>Q8</t>
        </is>
      </c>
      <c r="B9" s="20" t="n">
        <v>0.035</v>
      </c>
      <c r="C9" s="1" t="n">
        <v>2036</v>
      </c>
      <c r="D9" s="14">
        <f>('model_Workings'!$D$22*(1+B9)/('model_Workings'!$B$14-B9))*(1-((1+B9)/(1+'model_Workings'!$B$14))^(C9-2028))*'model_Workings'!$D$23</f>
        <v/>
      </c>
      <c r="E9" s="14">
        <f>('model_Workings'!$D$22*(1+B9)^(C9-2028)*(1+'model_Workings'!$B$29)/('model_Workings'!$B$14-'model_Workings'!$B$29))*(1/(1+'model_Workings'!$B$14)^(C9-2028))*'model_Workings'!$D$23</f>
        <v/>
      </c>
      <c r="F9" s="14">
        <f>SUM('model_Workings'!$B$24:$D$24)+D9+E9-'model_Assumptions'!$B$14+'model_Assumptions'!$B$16</f>
        <v/>
      </c>
    </row>
    <row r="10">
      <c r="A10" s="1" t="inlineStr">
        <is>
          <t>Q9</t>
        </is>
      </c>
      <c r="B10" s="20" t="n">
        <v>0.0375</v>
      </c>
      <c r="C10" s="1" t="n">
        <v>2030</v>
      </c>
      <c r="D10" s="14">
        <f>('model_Workings'!$D$22*(1+B10)/('model_Workings'!$B$14-B10))*(1-((1+B10)/(1+'model_Workings'!$B$14))^(C10-2028))*'model_Workings'!$D$23</f>
        <v/>
      </c>
      <c r="E10" s="14">
        <f>('model_Workings'!$D$22*(1+B10)^(C10-2028)*(1+'model_Workings'!$B$29)/('model_Workings'!$B$14-'model_Workings'!$B$29))*(1/(1+'model_Workings'!$B$14)^(C10-2028))*'model_Workings'!$D$23</f>
        <v/>
      </c>
      <c r="F10" s="14">
        <f>SUM('model_Workings'!$B$24:$D$24)+D10+E10-'model_Assumptions'!$B$14+'model_Assumptions'!$B$16</f>
        <v/>
      </c>
    </row>
    <row r="11">
      <c r="A11" s="1" t="inlineStr">
        <is>
          <t>Q10</t>
        </is>
      </c>
      <c r="B11" s="20" t="n">
        <v>0.0375</v>
      </c>
      <c r="C11" s="1" t="n">
        <v>2034</v>
      </c>
      <c r="D11" s="14">
        <f>('model_Workings'!$D$22*(1+B11)/('model_Workings'!$B$14-B11))*(1-((1+B11)/(1+'model_Workings'!$B$14))^(C11-2028))*'model_Workings'!$D$23</f>
        <v/>
      </c>
      <c r="E11" s="14">
        <f>('model_Workings'!$D$22*(1+B11)^(C11-2028)*(1+'model_Workings'!$B$29)/('model_Workings'!$B$14-'model_Workings'!$B$29))*(1/(1+'model_Workings'!$B$14)^(C11-2028))*'model_Workings'!$D$23</f>
        <v/>
      </c>
      <c r="F11" s="14">
        <f>SUM('model_Workings'!$B$24:$D$24)+D11+E11-'model_Assumptions'!$B$14+'model_Assumptions'!$B$16</f>
        <v/>
      </c>
    </row>
    <row r="12">
      <c r="A12" s="1" t="inlineStr">
        <is>
          <t>Q11</t>
        </is>
      </c>
      <c r="B12" s="20" t="n">
        <v>0.0375</v>
      </c>
      <c r="C12" s="1" t="n">
        <v>2035</v>
      </c>
      <c r="D12" s="14">
        <f>('model_Workings'!$D$22*(1+B12)/('model_Workings'!$B$14-B12))*(1-((1+B12)/(1+'model_Workings'!$B$14))^(C12-2028))*'model_Workings'!$D$23</f>
        <v/>
      </c>
      <c r="E12" s="14">
        <f>('model_Workings'!$D$22*(1+B12)^(C12-2028)*(1+'model_Workings'!$B$29)/('model_Workings'!$B$14-'model_Workings'!$B$29))*(1/(1+'model_Workings'!$B$14)^(C12-2028))*'model_Workings'!$D$23</f>
        <v/>
      </c>
      <c r="F12" s="14">
        <f>SUM('model_Workings'!$B$24:$D$24)+D12+E12-'model_Assumptions'!$B$14+'model_Assumptions'!$B$16</f>
        <v/>
      </c>
    </row>
    <row r="13">
      <c r="A13" s="1" t="inlineStr">
        <is>
          <t>Q12</t>
        </is>
      </c>
      <c r="B13" s="20" t="n">
        <v>0.04</v>
      </c>
      <c r="C13" s="1" t="n">
        <v>2035</v>
      </c>
      <c r="D13" s="14">
        <f>('model_Workings'!$D$22*(1+B13)/('model_Workings'!$B$14-B13))*(1-((1+B13)/(1+'model_Workings'!$B$14))^(C13-2028))*'model_Workings'!$D$23</f>
        <v/>
      </c>
      <c r="E13" s="14">
        <f>('model_Workings'!$D$22*(1+B13)^(C13-2028)*(1+'model_Workings'!$B$29)/('model_Workings'!$B$14-'model_Workings'!$B$29))*(1/(1+'model_Workings'!$B$14)^(C13-2028))*'model_Workings'!$D$23</f>
        <v/>
      </c>
      <c r="F13" s="14">
        <f>SUM('model_Workings'!$B$24:$D$24)+D13+E13-'model_Assumptions'!$B$14+'model_Assumptions'!$B$16</f>
        <v/>
      </c>
    </row>
    <row r="14">
      <c r="A14" s="1" t="inlineStr">
        <is>
          <t>Q13</t>
        </is>
      </c>
      <c r="B14" s="20" t="n">
        <v>0.0425</v>
      </c>
      <c r="C14" s="1" t="n">
        <v>2031</v>
      </c>
      <c r="D14" s="14">
        <f>('model_Workings'!$D$22*(1+B14)/('model_Workings'!$B$14-B14))*(1-((1+B14)/(1+'model_Workings'!$B$14))^(C14-2028))*'model_Workings'!$D$23</f>
        <v/>
      </c>
      <c r="E14" s="14">
        <f>('model_Workings'!$D$22*(1+B14)^(C14-2028)*(1+'model_Workings'!$B$29)/('model_Workings'!$B$14-'model_Workings'!$B$29))*(1/(1+'model_Workings'!$B$14)^(C14-2028))*'model_Workings'!$D$23</f>
        <v/>
      </c>
      <c r="F14" s="14">
        <f>SUM('model_Workings'!$B$24:$D$24)+D14+E14-'model_Assumptions'!$B$14+'model_Assumptions'!$B$16</f>
        <v/>
      </c>
    </row>
    <row r="15">
      <c r="A15" s="1" t="inlineStr">
        <is>
          <t>Q14</t>
        </is>
      </c>
      <c r="B15" s="20" t="n">
        <v>0.0425</v>
      </c>
      <c r="C15" s="1" t="n">
        <v>2034</v>
      </c>
      <c r="D15" s="14">
        <f>('model_Workings'!$D$22*(1+B15)/('model_Workings'!$B$14-B15))*(1-((1+B15)/(1+'model_Workings'!$B$14))^(C15-2028))*'model_Workings'!$D$23</f>
        <v/>
      </c>
      <c r="E15" s="14">
        <f>('model_Workings'!$D$22*(1+B15)^(C15-2028)*(1+'model_Workings'!$B$29)/('model_Workings'!$B$14-'model_Workings'!$B$29))*(1/(1+'model_Workings'!$B$14)^(C15-2028))*'model_Workings'!$D$23</f>
        <v/>
      </c>
      <c r="F15" s="14">
        <f>SUM('model_Workings'!$B$24:$D$24)+D15+E15-'model_Assumptions'!$B$14+'model_Assumptions'!$B$16</f>
        <v/>
      </c>
    </row>
    <row r="16">
      <c r="A16" s="1" t="inlineStr">
        <is>
          <t>Q15</t>
        </is>
      </c>
      <c r="B16" s="20" t="n">
        <v>0.0425</v>
      </c>
      <c r="C16" s="1" t="n">
        <v>2036</v>
      </c>
      <c r="D16" s="14">
        <f>('model_Workings'!$D$22*(1+B16)/('model_Workings'!$B$14-B16))*(1-((1+B16)/(1+'model_Workings'!$B$14))^(C16-2028))*'model_Workings'!$D$23</f>
        <v/>
      </c>
      <c r="E16" s="14">
        <f>('model_Workings'!$D$22*(1+B16)^(C16-2028)*(1+'model_Workings'!$B$29)/('model_Workings'!$B$14-'model_Workings'!$B$29))*(1/(1+'model_Workings'!$B$14)^(C16-2028))*'model_Workings'!$D$23</f>
        <v/>
      </c>
      <c r="F16" s="14">
        <f>SUM('model_Workings'!$B$24:$D$24)+D16+E16-'model_Assumptions'!$B$14+'model_Assumptions'!$B$16</f>
        <v/>
      </c>
    </row>
    <row r="17">
      <c r="A17" s="1" t="inlineStr">
        <is>
          <t>Q16</t>
        </is>
      </c>
      <c r="B17" s="20" t="n">
        <v>0.045</v>
      </c>
      <c r="C17" s="1" t="n">
        <v>2029</v>
      </c>
      <c r="D17" s="14">
        <f>('model_Workings'!$D$22*(1+B17)/('model_Workings'!$B$14-B17))*(1-((1+B17)/(1+'model_Workings'!$B$14))^(C17-2028))*'model_Workings'!$D$23</f>
        <v/>
      </c>
      <c r="E17" s="14">
        <f>('model_Workings'!$D$22*(1+B17)^(C17-2028)*(1+'model_Workings'!$B$29)/('model_Workings'!$B$14-'model_Workings'!$B$29))*(1/(1+'model_Workings'!$B$14)^(C17-2028))*'model_Workings'!$D$23</f>
        <v/>
      </c>
      <c r="F17" s="14">
        <f>SUM('model_Workings'!$B$24:$D$24)+D17+E17-'model_Assumptions'!$B$14+'model_Assumptions'!$B$16</f>
        <v/>
      </c>
    </row>
    <row r="18">
      <c r="A18" s="1" t="inlineStr">
        <is>
          <t>Q17</t>
        </is>
      </c>
      <c r="B18" s="20" t="n">
        <v>0.045</v>
      </c>
      <c r="C18" s="1" t="n">
        <v>2037</v>
      </c>
      <c r="D18" s="14">
        <f>('model_Workings'!$D$22*(1+B18)/('model_Workings'!$B$14-B18))*(1-((1+B18)/(1+'model_Workings'!$B$14))^(C18-2028))*'model_Workings'!$D$23</f>
        <v/>
      </c>
      <c r="E18" s="14">
        <f>('model_Workings'!$D$22*(1+B18)^(C18-2028)*(1+'model_Workings'!$B$29)/('model_Workings'!$B$14-'model_Workings'!$B$29))*(1/(1+'model_Workings'!$B$14)^(C18-2028))*'model_Workings'!$D$23</f>
        <v/>
      </c>
      <c r="F18" s="14">
        <f>SUM('model_Workings'!$B$24:$D$24)+D18+E18-'model_Assumptions'!$B$14+'model_Assumptions'!$B$16</f>
        <v/>
      </c>
    </row>
    <row r="19">
      <c r="A19" s="1" t="inlineStr">
        <is>
          <t>Q18</t>
        </is>
      </c>
      <c r="B19" s="20" t="n">
        <v>0.0475</v>
      </c>
      <c r="C19" s="1" t="n">
        <v>2029</v>
      </c>
      <c r="D19" s="14">
        <f>('model_Workings'!$D$22*(1+B19)/('model_Workings'!$B$14-B19))*(1-((1+B19)/(1+'model_Workings'!$B$14))^(C19-2028))*'model_Workings'!$D$23</f>
        <v/>
      </c>
      <c r="E19" s="14">
        <f>('model_Workings'!$D$22*(1+B19)^(C19-2028)*(1+'model_Workings'!$B$29)/('model_Workings'!$B$14-'model_Workings'!$B$29))*(1/(1+'model_Workings'!$B$14)^(C19-2028))*'model_Workings'!$D$23</f>
        <v/>
      </c>
      <c r="F19" s="14">
        <f>SUM('model_Workings'!$B$24:$D$24)+D19+E19-'model_Assumptions'!$B$14+'model_Assumptions'!$B$16</f>
        <v/>
      </c>
    </row>
    <row r="20">
      <c r="A20" s="1" t="inlineStr">
        <is>
          <t>Q19</t>
        </is>
      </c>
      <c r="B20" s="20" t="n">
        <v>0.0475</v>
      </c>
      <c r="C20" s="1" t="n">
        <v>2034</v>
      </c>
      <c r="D20" s="14">
        <f>('model_Workings'!$D$22*(1+B20)/('model_Workings'!$B$14-B20))*(1-((1+B20)/(1+'model_Workings'!$B$14))^(C20-2028))*'model_Workings'!$D$23</f>
        <v/>
      </c>
      <c r="E20" s="14">
        <f>('model_Workings'!$D$22*(1+B20)^(C20-2028)*(1+'model_Workings'!$B$29)/('model_Workings'!$B$14-'model_Workings'!$B$29))*(1/(1+'model_Workings'!$B$14)^(C20-2028))*'model_Workings'!$D$23</f>
        <v/>
      </c>
      <c r="F20" s="14">
        <f>SUM('model_Workings'!$B$24:$D$24)+D20+E20-'model_Assumptions'!$B$14+'model_Assumptions'!$B$16</f>
        <v/>
      </c>
    </row>
    <row r="21">
      <c r="A21" s="1" t="inlineStr">
        <is>
          <t>Q20</t>
        </is>
      </c>
      <c r="B21" s="20" t="n">
        <v>0.05</v>
      </c>
      <c r="C21" s="1" t="n">
        <v>2038</v>
      </c>
      <c r="D21" s="14">
        <f>('model_Workings'!$D$22*(1+B21)/('model_Workings'!$B$14-B21))*(1-((1+B21)/(1+'model_Workings'!$B$14))^(C21-2028))*'model_Workings'!$D$23</f>
        <v/>
      </c>
      <c r="E21" s="14">
        <f>('model_Workings'!$D$22*(1+B21)^(C21-2028)*(1+'model_Workings'!$B$29)/('model_Workings'!$B$14-'model_Workings'!$B$29))*(1/(1+'model_Workings'!$B$14)^(C21-2028))*'model_Workings'!$D$23</f>
        <v/>
      </c>
      <c r="F21" s="14">
        <f>SUM('model_Workings'!$B$24:$D$24)+D21+E21-'model_Assumptions'!$B$14+'model_Assumptions'!$B$16</f>
        <v/>
      </c>
    </row>
    <row r="22">
      <c r="A22" s="1" t="inlineStr">
        <is>
          <t>Q21</t>
        </is>
      </c>
      <c r="B22" s="20" t="n">
        <v>0.055</v>
      </c>
      <c r="C22" s="1" t="n">
        <v>2035</v>
      </c>
      <c r="D22" s="14">
        <f>('model_Workings'!$D$22*(1+B22)/('model_Workings'!$B$14-B22))*(1-((1+B22)/(1+'model_Workings'!$B$14))^(C22-2028))*'model_Workings'!$D$23</f>
        <v/>
      </c>
      <c r="E22" s="14">
        <f>('model_Workings'!$D$22*(1+B22)^(C22-2028)*(1+'model_Workings'!$B$29)/('model_Workings'!$B$14-'model_Workings'!$B$29))*(1/(1+'model_Workings'!$B$14)^(C22-2028))*'model_Workings'!$D$23</f>
        <v/>
      </c>
      <c r="F22" s="14">
        <f>SUM('model_Workings'!$B$24:$D$24)+D22+E22-'model_Assumptions'!$B$14+'model_Assumptions'!$B$16</f>
        <v/>
      </c>
    </row>
    <row r="23">
      <c r="A23" s="1" t="inlineStr">
        <is>
          <t>Q22</t>
        </is>
      </c>
      <c r="B23" s="20" t="n">
        <v>0.06</v>
      </c>
      <c r="C23" s="1" t="n">
        <v>2036</v>
      </c>
      <c r="D23" s="14">
        <f>('model_Workings'!$D$22*(1+B23)/('model_Workings'!$B$14-B23))*(1-((1+B23)/(1+'model_Workings'!$B$14))^(C23-2028))*'model_Workings'!$D$23</f>
        <v/>
      </c>
      <c r="E23" s="14">
        <f>('model_Workings'!$D$22*(1+B23)^(C23-2028)*(1+'model_Workings'!$B$29)/('model_Workings'!$B$14-'model_Workings'!$B$29))*(1/(1+'model_Workings'!$B$14)^(C23-2028))*'model_Workings'!$D$23</f>
        <v/>
      </c>
      <c r="F23" s="14">
        <f>SUM('model_Workings'!$B$24:$D$24)+D23+E23-'model_Assumptions'!$B$14+'model_Assumptions'!$B$16</f>
        <v/>
      </c>
    </row>
    <row r="24">
      <c r="A24" s="1" t="inlineStr">
        <is>
          <t>Q23</t>
        </is>
      </c>
      <c r="B24" s="20" t="n">
        <v>0.0625</v>
      </c>
      <c r="C24" s="1" t="n">
        <v>2034</v>
      </c>
      <c r="D24" s="14">
        <f>('model_Workings'!$D$22*(1+B24)/('model_Workings'!$B$14-B24))*(1-((1+B24)/(1+'model_Workings'!$B$14))^(C24-2028))*'model_Workings'!$D$23</f>
        <v/>
      </c>
      <c r="E24" s="14">
        <f>('model_Workings'!$D$22*(1+B24)^(C24-2028)*(1+'model_Workings'!$B$29)/('model_Workings'!$B$14-'model_Workings'!$B$29))*(1/(1+'model_Workings'!$B$14)^(C24-2028))*'model_Workings'!$D$23</f>
        <v/>
      </c>
      <c r="F24" s="14">
        <f>SUM('model_Workings'!$B$24:$D$24)+D24+E24-'model_Assumptions'!$B$14+'model_Assumptions'!$B$16</f>
        <v/>
      </c>
    </row>
    <row r="25">
      <c r="A25" s="1" t="inlineStr">
        <is>
          <t>Q24</t>
        </is>
      </c>
      <c r="B25" s="20" t="n">
        <v>0.065</v>
      </c>
      <c r="C25" s="1" t="n">
        <v>2030</v>
      </c>
      <c r="D25" s="14">
        <f>('model_Workings'!$D$22*(1+B25)/('model_Workings'!$B$14-B25))*(1-((1+B25)/(1+'model_Workings'!$B$14))^(C25-2028))*'model_Workings'!$D$23</f>
        <v/>
      </c>
      <c r="E25" s="14">
        <f>('model_Workings'!$D$22*(1+B25)^(C25-2028)*(1+'model_Workings'!$B$29)/('model_Workings'!$B$14-'model_Workings'!$B$29))*(1/(1+'model_Workings'!$B$14)^(C25-2028))*'model_Workings'!$D$23</f>
        <v/>
      </c>
      <c r="F25" s="14">
        <f>SUM('model_Workings'!$B$24:$D$24)+D25+E25-'model_Assumptions'!$B$14+'model_Assumptions'!$B$16</f>
        <v/>
      </c>
    </row>
    <row r="26">
      <c r="A26" s="1" t="inlineStr">
        <is>
          <t>Q25</t>
        </is>
      </c>
      <c r="B26" s="20" t="n">
        <v>0.0675</v>
      </c>
      <c r="C26" s="1" t="n">
        <v>2030</v>
      </c>
      <c r="D26" s="14">
        <f>('model_Workings'!$D$22*(1+B26)/('model_Workings'!$B$14-B26))*(1-((1+B26)/(1+'model_Workings'!$B$14))^(C26-2028))*'model_Workings'!$D$23</f>
        <v/>
      </c>
      <c r="E26" s="14">
        <f>('model_Workings'!$D$22*(1+B26)^(C26-2028)*(1+'model_Workings'!$B$29)/('model_Workings'!$B$14-'model_Workings'!$B$29))*(1/(1+'model_Workings'!$B$14)^(C26-2028))*'model_Workings'!$D$23</f>
        <v/>
      </c>
      <c r="F26" s="14">
        <f>SUM('model_Workings'!$B$24:$D$24)+D26+E26-'model_Assumptions'!$B$14+'model_Assumptions'!$B$16</f>
        <v/>
      </c>
    </row>
    <row r="27">
      <c r="A27" s="1" t="inlineStr">
        <is>
          <t>Q26</t>
        </is>
      </c>
      <c r="B27" s="20" t="n">
        <v>0.0725</v>
      </c>
      <c r="C27" s="1" t="n">
        <v>2032</v>
      </c>
      <c r="D27" s="14">
        <f>('model_Workings'!$D$22*(1+B27)/('model_Workings'!$B$14-B27))*(1-((1+B27)/(1+'model_Workings'!$B$14))^(C27-2028))*'model_Workings'!$D$23</f>
        <v/>
      </c>
      <c r="E27" s="14">
        <f>('model_Workings'!$D$22*(1+B27)^(C27-2028)*(1+'model_Workings'!$B$29)/('model_Workings'!$B$14-'model_Workings'!$B$29))*(1/(1+'model_Workings'!$B$14)^(C27-2028))*'model_Workings'!$D$23</f>
        <v/>
      </c>
      <c r="F27" s="14">
        <f>SUM('model_Workings'!$B$24:$D$24)+D27+E27-'model_Assumptions'!$B$14+'model_Assumptions'!$B$16</f>
        <v/>
      </c>
    </row>
    <row r="28">
      <c r="A28" s="1" t="inlineStr">
        <is>
          <t>Q27</t>
        </is>
      </c>
      <c r="B28" s="20" t="n">
        <v>0.0725</v>
      </c>
      <c r="C28" s="1" t="n">
        <v>2036</v>
      </c>
      <c r="D28" s="14">
        <f>('model_Workings'!$D$22*(1+B28)/('model_Workings'!$B$14-B28))*(1-((1+B28)/(1+'model_Workings'!$B$14))^(C28-2028))*'model_Workings'!$D$23</f>
        <v/>
      </c>
      <c r="E28" s="14">
        <f>('model_Workings'!$D$22*(1+B28)^(C28-2028)*(1+'model_Workings'!$B$29)/('model_Workings'!$B$14-'model_Workings'!$B$29))*(1/(1+'model_Workings'!$B$14)^(C28-2028))*'model_Workings'!$D$23</f>
        <v/>
      </c>
      <c r="F28" s="14">
        <f>SUM('model_Workings'!$B$24:$D$24)+D28+E28-'model_Assumptions'!$B$14+'model_Assumptions'!$B$16</f>
        <v/>
      </c>
    </row>
    <row r="29">
      <c r="A29" s="1" t="inlineStr">
        <is>
          <t>Q28</t>
        </is>
      </c>
      <c r="B29" s="20" t="n">
        <v>0.08749999999999999</v>
      </c>
      <c r="C29" s="1" t="n">
        <v>2029</v>
      </c>
      <c r="D29" s="14">
        <f>('model_Workings'!$D$22*(1+B29)/('model_Workings'!$B$14-B29))*(1-((1+B29)/(1+'model_Workings'!$B$14))^(C29-2028))*'model_Workings'!$D$23</f>
        <v/>
      </c>
      <c r="E29" s="14">
        <f>('model_Workings'!$D$22*(1+B29)^(C29-2028)*(1+'model_Workings'!$B$29)/('model_Workings'!$B$14-'model_Workings'!$B$29))*(1/(1+'model_Workings'!$B$14)^(C29-2028))*'model_Workings'!$D$23</f>
        <v/>
      </c>
      <c r="F29" s="14">
        <f>SUM('model_Workings'!$B$24:$D$24)+D29+E29-'model_Assumptions'!$B$14+'model_Assumptions'!$B$16</f>
        <v/>
      </c>
    </row>
    <row r="30">
      <c r="A30" s="1" t="inlineStr">
        <is>
          <t>Q29</t>
        </is>
      </c>
      <c r="B30" s="20" t="n">
        <v>0.08749999999999999</v>
      </c>
      <c r="C30" s="1" t="n">
        <v>2030</v>
      </c>
      <c r="D30" s="14">
        <f>('model_Workings'!$D$22*(1+B30)/('model_Workings'!$B$14-B30))*(1-((1+B30)/(1+'model_Workings'!$B$14))^(C30-2028))*'model_Workings'!$D$23</f>
        <v/>
      </c>
      <c r="E30" s="14">
        <f>('model_Workings'!$D$22*(1+B30)^(C30-2028)*(1+'model_Workings'!$B$29)/('model_Workings'!$B$14-'model_Workings'!$B$29))*(1/(1+'model_Workings'!$B$14)^(C30-2028))*'model_Workings'!$D$23</f>
        <v/>
      </c>
      <c r="F30" s="14">
        <f>SUM('model_Workings'!$B$24:$D$24)+D30+E30-'model_Assumptions'!$B$14+'model_Assumptions'!$B$16</f>
        <v/>
      </c>
    </row>
    <row r="31">
      <c r="A31" s="1" t="inlineStr">
        <is>
          <t>Q30</t>
        </is>
      </c>
      <c r="B31" s="20" t="n">
        <v>0.09</v>
      </c>
      <c r="C31" s="1" t="n">
        <v>2029</v>
      </c>
      <c r="D31" s="14">
        <f>('model_Workings'!$D$22*(1+B31)/('model_Workings'!$B$14-B31))*(1-((1+B31)/(1+'model_Workings'!$B$14))^(C31-2028))*'model_Workings'!$D$23</f>
        <v/>
      </c>
      <c r="E31" s="14">
        <f>('model_Workings'!$D$22*(1+B31)^(C31-2028)*(1+'model_Workings'!$B$29)/('model_Workings'!$B$14-'model_Workings'!$B$29))*(1/(1+'model_Workings'!$B$14)^(C31-2028))*'model_Workings'!$D$23</f>
        <v/>
      </c>
      <c r="F31" s="14">
        <f>SUM('model_Workings'!$B$24:$D$24)+D31+E31-'model_Assumptions'!$B$14+'model_Assumptions'!$B$16</f>
        <v/>
      </c>
    </row>
    <row r="32">
      <c r="A32" s="1" t="inlineStr">
        <is>
          <t>Q31</t>
        </is>
      </c>
      <c r="B32" s="20" t="n">
        <v>0.09</v>
      </c>
      <c r="C32" s="1" t="n">
        <v>2030</v>
      </c>
      <c r="D32" s="14">
        <f>('model_Workings'!$D$22*(1+B32)/('model_Workings'!$B$14-B32))*(1-((1+B32)/(1+'model_Workings'!$B$14))^(C32-2028))*'model_Workings'!$D$23</f>
        <v/>
      </c>
      <c r="E32" s="14">
        <f>('model_Workings'!$D$22*(1+B32)^(C32-2028)*(1+'model_Workings'!$B$29)/('model_Workings'!$B$14-'model_Workings'!$B$29))*(1/(1+'model_Workings'!$B$14)^(C32-2028))*'model_Workings'!$D$23</f>
        <v/>
      </c>
      <c r="F32" s="14">
        <f>SUM('model_Workings'!$B$24:$D$24)+D32+E32-'model_Assumptions'!$B$14+'model_Assumptions'!$B$16</f>
        <v/>
      </c>
    </row>
    <row r="33">
      <c r="A33" s="1" t="inlineStr">
        <is>
          <t>Q32</t>
        </is>
      </c>
      <c r="B33" s="20" t="n">
        <v>0.09</v>
      </c>
      <c r="C33" s="1" t="n">
        <v>2031</v>
      </c>
      <c r="D33" s="14">
        <f>('model_Workings'!$D$22*(1+B33)/('model_Workings'!$B$14-B33))*(1-((1+B33)/(1+'model_Workings'!$B$14))^(C33-2028))*'model_Workings'!$D$23</f>
        <v/>
      </c>
      <c r="E33" s="14">
        <f>('model_Workings'!$D$22*(1+B33)^(C33-2028)*(1+'model_Workings'!$B$29)/('model_Workings'!$B$14-'model_Workings'!$B$29))*(1/(1+'model_Workings'!$B$14)^(C33-2028))*'model_Workings'!$D$23</f>
        <v/>
      </c>
      <c r="F33" s="14">
        <f>SUM('model_Workings'!$B$24:$D$24)+D33+E33-'model_Assumptions'!$B$14+'model_Assumptions'!$B$16</f>
        <v/>
      </c>
    </row>
    <row r="34">
      <c r="A34" s="1" t="inlineStr">
        <is>
          <t>Q33</t>
        </is>
      </c>
      <c r="B34" s="20" t="n">
        <v>0.09</v>
      </c>
      <c r="C34" s="1" t="n">
        <v>2033</v>
      </c>
      <c r="D34" s="14">
        <f>('model_Workings'!$D$22*(1+B34)/('model_Workings'!$B$14-B34))*(1-((1+B34)/(1+'model_Workings'!$B$14))^(C34-2028))*'model_Workings'!$D$23</f>
        <v/>
      </c>
      <c r="E34" s="14">
        <f>('model_Workings'!$D$22*(1+B34)^(C34-2028)*(1+'model_Workings'!$B$29)/('model_Workings'!$B$14-'model_Workings'!$B$29))*(1/(1+'model_Workings'!$B$14)^(C34-2028))*'model_Workings'!$D$23</f>
        <v/>
      </c>
      <c r="F34" s="14">
        <f>SUM('model_Workings'!$B$24:$D$24)+D34+E34-'model_Assumptions'!$B$14+'model_Assumptions'!$B$16</f>
        <v/>
      </c>
    </row>
    <row r="35">
      <c r="A35" s="1" t="inlineStr">
        <is>
          <t>Q34</t>
        </is>
      </c>
      <c r="B35" s="20" t="n">
        <v>0.0925</v>
      </c>
      <c r="C35" s="1" t="n">
        <v>2033</v>
      </c>
      <c r="D35" s="14">
        <f>('model_Workings'!$D$22*(1+B35)/('model_Workings'!$B$14-B35))*(1-((1+B35)/(1+'model_Workings'!$B$14))^(C35-2028))*'model_Workings'!$D$23</f>
        <v/>
      </c>
      <c r="E35" s="14">
        <f>('model_Workings'!$D$22*(1+B35)^(C35-2028)*(1+'model_Workings'!$B$29)/('model_Workings'!$B$14-'model_Workings'!$B$29))*(1/(1+'model_Workings'!$B$14)^(C35-2028))*'model_Workings'!$D$23</f>
        <v/>
      </c>
      <c r="F35" s="14">
        <f>SUM('model_Workings'!$B$24:$D$24)+D35+E35-'model_Assumptions'!$B$14+'model_Assumptions'!$B$16</f>
        <v/>
      </c>
    </row>
    <row r="36">
      <c r="A36" s="1" t="inlineStr">
        <is>
          <t>Q35</t>
        </is>
      </c>
      <c r="B36" s="20" t="n">
        <v>0.1</v>
      </c>
      <c r="C36" s="1" t="n">
        <v>2030</v>
      </c>
      <c r="D36" s="14">
        <f>('model_Workings'!$D$22*(1+B36)/('model_Workings'!$B$14-B36))*(1-((1+B36)/(1+'model_Workings'!$B$14))^(C36-2028))*'model_Workings'!$D$23</f>
        <v/>
      </c>
      <c r="E36" s="14">
        <f>('model_Workings'!$D$22*(1+B36)^(C36-2028)*(1+'model_Workings'!$B$29)/('model_Workings'!$B$14-'model_Workings'!$B$29))*(1/(1+'model_Workings'!$B$14)^(C36-2028))*'model_Workings'!$D$23</f>
        <v/>
      </c>
      <c r="F36" s="14">
        <f>SUM('model_Workings'!$B$24:$D$24)+D36+E36-'model_Assumptions'!$B$14+'model_Assumptions'!$B$16</f>
        <v/>
      </c>
    </row>
    <row r="37">
      <c r="A37" s="1" t="inlineStr">
        <is>
          <t>Q36</t>
        </is>
      </c>
      <c r="B37" s="20" t="n">
        <v>0.1</v>
      </c>
      <c r="C37" s="1" t="n">
        <v>2030</v>
      </c>
      <c r="D37" s="14">
        <f>('model_Workings'!$D$22*(1+B37)/('model_Workings'!$B$14-B37))*(1-((1+B37)/(1+'model_Workings'!$B$14))^(C37-2028))*'model_Workings'!$D$23</f>
        <v/>
      </c>
      <c r="E37" s="14">
        <f>('model_Workings'!$D$22*(1+B37)^(C37-2028)*(1+'model_Workings'!$B$29)/('model_Workings'!$B$14-'model_Workings'!$B$29))*(1/(1+'model_Workings'!$B$14)^(C37-2028))*'model_Workings'!$D$23</f>
        <v/>
      </c>
      <c r="F37" s="14">
        <f>SUM('model_Workings'!$B$24:$D$24)+D37+E37-'model_Assumptions'!$B$14+'model_Assumptions'!$B$16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2026-08-17T01:16:47Z</dcterms:created>
  <dcterms:modified xsi:type="dcterms:W3CDTF">2026-08-17T03:42:13Z</dcterms:modified>
</cp:coreProperties>
</file>