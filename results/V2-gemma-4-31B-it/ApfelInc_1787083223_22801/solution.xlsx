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Assumptions" sheetId="1" state="visible" r:id="rId1"/>
    <sheet name="model_Workings" sheetId="2" state="visible" r:id="rId2"/>
    <sheet name="answers_Q1" sheetId="3" state="visible" r:id="rId3"/>
    <sheet name="answers_Q2-3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_);($#,##0)"/>
    <numFmt numFmtId="166" formatCode="0.0000"/>
    <numFmt numFmtId="167" formatCode="$#,##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theme="1"/>
      <sz val="11"/>
    </font>
    <font>
      <name val="Calibri"/>
      <color rgb="000000FF"/>
      <sz val="11"/>
    </font>
    <font>
      <name val="Calibri"/>
      <color rgb="00008000"/>
      <sz val="11"/>
    </font>
    <font>
      <name val="Calibri"/>
      <b val="1"/>
      <color rgb="00FFFFFF"/>
      <sz val="12"/>
    </font>
    <font>
      <name val="Calibri"/>
      <b val="1"/>
      <color rgb="00008000"/>
      <sz val="12"/>
    </font>
    <font>
      <name val="Calibri"/>
      <b val="1"/>
      <color rgb="00008000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/>
      <right/>
      <top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  <xf numFmtId="165" fontId="3" fillId="0" borderId="0" pivotButton="0" quotePrefix="0" xfId="0"/>
    <xf numFmtId="10" fontId="2" fillId="0" borderId="0" pivotButton="0" quotePrefix="0" xfId="0"/>
    <xf numFmtId="165" fontId="2" fillId="0" borderId="0" pivotButton="0" quotePrefix="0" xfId="0"/>
    <xf numFmtId="10" fontId="4" fillId="0" borderId="0" pivotButton="0" quotePrefix="0" xfId="0"/>
    <xf numFmtId="165" fontId="4" fillId="0" borderId="0" pivotButton="0" quotePrefix="0" xfId="0"/>
    <xf numFmtId="0" fontId="1" fillId="2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1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1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0" fontId="2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1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1" fillId="2" borderId="1" applyAlignment="1" pivotButton="0" quotePrefix="0" xfId="0">
      <alignment horizontal="center"/>
    </xf>
    <xf numFmtId="165" fontId="0" fillId="0" borderId="0" applyAlignment="1" pivotButton="0" quotePrefix="0" xfId="0">
      <alignment horizontal="right"/>
    </xf>
    <xf numFmtId="0" fontId="5" fillId="3" borderId="0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165" fontId="5" fillId="3" borderId="1" applyAlignment="1" pivotButton="0" quotePrefix="0" xfId="0">
      <alignment horizontal="center"/>
    </xf>
    <xf numFmtId="165" fontId="6" fillId="3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0" applyAlignment="1" pivotButton="0" quotePrefix="0" xfId="0">
      <alignment horizontal="left"/>
    </xf>
    <xf numFmtId="0" fontId="1" fillId="3" borderId="1" applyAlignment="1" pivotButton="0" quotePrefix="0" xfId="0">
      <alignment horizontal="center"/>
    </xf>
    <xf numFmtId="0" fontId="5" fillId="3" borderId="0" applyAlignment="1" pivotButton="0" quotePrefix="0" xfId="0">
      <alignment horizontal="left"/>
    </xf>
    <xf numFmtId="2" fontId="3" fillId="0" borderId="0" applyAlignment="1" pivotButton="0" quotePrefix="0" xfId="0">
      <alignment horizontal="right"/>
    </xf>
    <xf numFmtId="166" fontId="2" fillId="0" borderId="0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167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165" fontId="6" fillId="3" borderId="1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165" fontId="7" fillId="3" borderId="1" applyAlignment="1" pivotButton="0" quotePrefix="0" xfId="0">
      <alignment horizontal="right"/>
    </xf>
    <xf numFmtId="165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10" customWidth="1" min="4" max="4"/>
  </cols>
  <sheetData>
    <row r="1">
      <c r="A1" s="35" t="inlineStr">
        <is>
          <t>Category</t>
        </is>
      </c>
      <c r="B1" s="35" t="inlineStr">
        <is>
          <t>Parameter</t>
        </is>
      </c>
      <c r="C1" s="35" t="inlineStr">
        <is>
          <t>Value</t>
        </is>
      </c>
      <c r="D1" s="35" t="inlineStr">
        <is>
          <t>Unit</t>
        </is>
      </c>
    </row>
    <row r="2">
      <c r="A2" s="18" t="inlineStr">
        <is>
          <t>Dates</t>
        </is>
      </c>
      <c r="B2" s="18" t="inlineStr">
        <is>
          <t>Valuation Basis Date</t>
        </is>
      </c>
      <c r="C2" s="13" t="inlineStr">
        <is>
          <t>2025-09-30</t>
        </is>
      </c>
      <c r="D2" s="12" t="n"/>
    </row>
    <row r="3">
      <c r="A3" s="18" t="inlineStr">
        <is>
          <t>Dates</t>
        </is>
      </c>
      <c r="B3" s="18" t="inlineStr">
        <is>
          <t>Valuation Date</t>
        </is>
      </c>
      <c r="C3" s="13" t="inlineStr">
        <is>
          <t>2026-04-12</t>
        </is>
      </c>
      <c r="D3" s="12" t="n"/>
    </row>
    <row r="4">
      <c r="A4" s="18" t="inlineStr">
        <is>
          <t>Market</t>
        </is>
      </c>
      <c r="B4" s="18" t="inlineStr">
        <is>
          <t>Risk-free Rate</t>
        </is>
      </c>
      <c r="C4" s="14" t="n">
        <v>0.04317</v>
      </c>
      <c r="D4" s="12" t="inlineStr">
        <is>
          <t>[%]</t>
        </is>
      </c>
    </row>
    <row r="5">
      <c r="A5" s="18" t="inlineStr">
        <is>
          <t>Market</t>
        </is>
      </c>
      <c r="B5" s="18" t="inlineStr">
        <is>
          <t>Beta</t>
        </is>
      </c>
      <c r="C5" s="14" t="n">
        <v>1.1</v>
      </c>
      <c r="D5" s="12" t="n"/>
    </row>
    <row r="6">
      <c r="A6" s="18" t="inlineStr">
        <is>
          <t>Market</t>
        </is>
      </c>
      <c r="B6" s="18" t="inlineStr">
        <is>
          <t>Market Risk Premium</t>
        </is>
      </c>
      <c r="C6" s="14" t="n">
        <v>0.02793</v>
      </c>
      <c r="D6" s="12" t="inlineStr">
        <is>
          <t>[%]</t>
        </is>
      </c>
    </row>
    <row r="7">
      <c r="A7" s="18" t="inlineStr">
        <is>
          <t>Market</t>
        </is>
      </c>
      <c r="B7" s="18" t="inlineStr">
        <is>
          <t>Cost of Debt</t>
        </is>
      </c>
      <c r="C7" s="14" t="n">
        <v>0.0470992715</v>
      </c>
      <c r="D7" s="12" t="inlineStr">
        <is>
          <t>[%]</t>
        </is>
      </c>
    </row>
    <row r="8">
      <c r="A8" s="18" t="inlineStr">
        <is>
          <t>Growth</t>
        </is>
      </c>
      <c r="B8" s="18" t="inlineStr">
        <is>
          <t>g1 (Base)</t>
        </is>
      </c>
      <c r="C8" s="14" t="n">
        <v>0.05</v>
      </c>
      <c r="D8" s="12" t="inlineStr">
        <is>
          <t>[%]</t>
        </is>
      </c>
    </row>
    <row r="9">
      <c r="A9" s="18" t="inlineStr">
        <is>
          <t>Growth</t>
        </is>
      </c>
      <c r="B9" s="18" t="inlineStr">
        <is>
          <t>g1 End Year (Base)</t>
        </is>
      </c>
      <c r="C9" s="15" t="n">
        <v>2035</v>
      </c>
      <c r="D9" s="12" t="n"/>
    </row>
    <row r="10">
      <c r="A10" s="18" t="inlineStr">
        <is>
          <t>Growth</t>
        </is>
      </c>
      <c r="B10" s="18" t="inlineStr">
        <is>
          <t>g2 (Perpetual)</t>
        </is>
      </c>
      <c r="C10" s="14" t="n">
        <v>0.02</v>
      </c>
      <c r="D10" s="12" t="inlineStr">
        <is>
          <t>[%]</t>
        </is>
      </c>
    </row>
    <row r="11">
      <c r="A11" s="18" t="inlineStr">
        <is>
          <t>Financials</t>
        </is>
      </c>
      <c r="B11" s="18" t="inlineStr">
        <is>
          <t>Total Debt</t>
        </is>
      </c>
      <c r="C11" s="40" t="n">
        <v>98657</v>
      </c>
      <c r="D11" s="12" t="inlineStr">
        <is>
          <t>[$m]</t>
        </is>
      </c>
    </row>
    <row r="12">
      <c r="A12" s="18" t="inlineStr">
        <is>
          <t>Financials</t>
        </is>
      </c>
      <c r="B12" s="18" t="inlineStr">
        <is>
          <t>Total Equity (Book)</t>
        </is>
      </c>
      <c r="C12" s="40" t="n">
        <v>73730</v>
      </c>
      <c r="D12" s="12" t="inlineStr">
        <is>
          <t>[$m]</t>
        </is>
      </c>
    </row>
    <row r="13">
      <c r="A13" s="18" t="inlineStr">
        <is>
          <t>Sensitivity</t>
        </is>
      </c>
      <c r="B13" s="18" t="inlineStr">
        <is>
          <t>g1 Start Value</t>
        </is>
      </c>
      <c r="C13" s="14" t="n">
        <v>0.02</v>
      </c>
      <c r="D13" s="12" t="inlineStr">
        <is>
          <t>[%]</t>
        </is>
      </c>
    </row>
    <row r="14">
      <c r="A14" s="18" t="inlineStr">
        <is>
          <t>Sensitivity</t>
        </is>
      </c>
      <c r="B14" s="18" t="inlineStr">
        <is>
          <t>g1 End Value</t>
        </is>
      </c>
      <c r="C14" s="14" t="n">
        <v>0.1</v>
      </c>
      <c r="D14" s="12" t="inlineStr">
        <is>
          <t>[%]</t>
        </is>
      </c>
    </row>
    <row r="15">
      <c r="A15" s="18" t="inlineStr">
        <is>
          <t>Sensitivity</t>
        </is>
      </c>
      <c r="B15" s="18" t="inlineStr">
        <is>
          <t>g1 Step</t>
        </is>
      </c>
      <c r="C15" s="14" t="n">
        <v>0.0025</v>
      </c>
      <c r="D15" s="12" t="inlineStr">
        <is>
          <t>[%]</t>
        </is>
      </c>
    </row>
    <row r="16">
      <c r="A16" s="18" t="inlineStr">
        <is>
          <t>Sensitivity</t>
        </is>
      </c>
      <c r="B16" s="18" t="inlineStr">
        <is>
          <t>g1 End Year End Value</t>
        </is>
      </c>
      <c r="C16" s="15" t="n">
        <v>2038</v>
      </c>
      <c r="D16" s="12" t="n"/>
    </row>
    <row r="17">
      <c r="A17" s="18" t="inlineStr">
        <is>
          <t>Sensitivity</t>
        </is>
      </c>
      <c r="B17" s="18" t="inlineStr">
        <is>
          <t>g1 End Year Step</t>
        </is>
      </c>
      <c r="C17" s="15" t="n">
        <v>1</v>
      </c>
      <c r="D17" s="12" t="inlineStr">
        <is>
          <t>[year]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2" customWidth="1" min="12" max="12"/>
    <col width="17" customWidth="1" min="13" max="13"/>
    <col width="15" customWidth="1" min="14" max="14"/>
    <col width="19" customWidth="1" min="15" max="15"/>
    <col width="17" customWidth="1" min="16" max="16"/>
    <col width="21" customWidth="1" min="17" max="17"/>
    <col width="25" customWidth="1" min="18" max="18"/>
    <col width="22" customWidth="1" min="19" max="19"/>
    <col width="17" customWidth="1" min="20" max="20"/>
    <col width="10" customWidth="1" min="21" max="21"/>
  </cols>
  <sheetData>
    <row r="1">
      <c r="A1" s="35" t="inlineStr">
        <is>
          <t>Calculation</t>
        </is>
      </c>
      <c r="B1" s="35" t="inlineStr">
        <is>
          <t>Value</t>
        </is>
      </c>
      <c r="C1" s="35" t="inlineStr">
        <is>
          <t>Unit</t>
        </is>
      </c>
      <c r="D1" s="35" t="n"/>
      <c r="E1" s="35" t="inlineStr">
        <is>
          <t>Scenario</t>
        </is>
      </c>
      <c r="F1" s="35" t="inlineStr">
        <is>
          <t>g1 [%]</t>
        </is>
      </c>
      <c r="G1" s="35" t="inlineStr">
        <is>
          <t>End Year [year]</t>
        </is>
      </c>
      <c r="H1" s="35" t="inlineStr">
        <is>
          <t>NOPAT 2026 [$m]</t>
        </is>
      </c>
      <c r="I1" s="35" t="inlineStr">
        <is>
          <t>NOPAT 2027 [$m]</t>
        </is>
      </c>
      <c r="J1" s="35" t="inlineStr">
        <is>
          <t>NOPAT 2028 [$m]</t>
        </is>
      </c>
      <c r="K1" s="35" t="inlineStr">
        <is>
          <t>PV FCF [$m]</t>
        </is>
      </c>
      <c r="L1" s="35" t="inlineStr">
        <is>
          <t>n [years]</t>
        </is>
      </c>
      <c r="M1" s="35" t="inlineStr">
        <is>
          <t>PV TV [$m]</t>
        </is>
      </c>
      <c r="N1" s="35" t="inlineStr">
        <is>
          <t>EV Basis [$m]</t>
        </is>
      </c>
      <c r="O1" s="35" t="inlineStr">
        <is>
          <t>Equity Basis [$m]</t>
        </is>
      </c>
      <c r="P1" s="35" t="inlineStr">
        <is>
          <t>Market WACC [%]</t>
        </is>
      </c>
      <c r="Q1" s="35" t="inlineStr">
        <is>
          <t>Final EV Basis [$m]</t>
        </is>
      </c>
      <c r="R1" s="35" t="inlineStr">
        <is>
          <t>Final Equity Basis [$m]</t>
        </is>
      </c>
      <c r="S1" s="35" t="inlineStr">
        <is>
          <t>Equity Val Date [$m]</t>
        </is>
      </c>
      <c r="T1" s="35" t="inlineStr">
        <is>
          <t>Net Debt [$m]</t>
        </is>
      </c>
      <c r="U1" s="35" t="inlineStr">
        <is>
          <t>Days/365</t>
        </is>
      </c>
    </row>
    <row r="2">
      <c r="A2" s="18" t="inlineStr">
        <is>
          <t>Tax Rate 2025</t>
        </is>
      </c>
      <c r="B2" s="19">
        <f>25470/150175</f>
        <v/>
      </c>
      <c r="C2" s="12" t="n"/>
      <c r="D2" s="12" t="n"/>
      <c r="E2" s="12" t="inlineStr">
        <is>
          <t>Base</t>
        </is>
      </c>
      <c r="F2" s="14" t="n">
        <v>0.05</v>
      </c>
      <c r="G2" s="30" t="n">
        <v>2035</v>
      </c>
      <c r="H2" s="20">
        <f>149518 * (1 - $B$5)</f>
        <v/>
      </c>
      <c r="I2" s="20">
        <f>159666 * (1 - $B$5)</f>
        <v/>
      </c>
      <c r="J2" s="20">
        <f>171750 * (1 - $B$5)</f>
        <v/>
      </c>
      <c r="K2" s="20">
        <f>(H2-3480)/(1+$B$8)^1 + (I2-993)/(1+$B$8)^2 + (J2+3904)/(1+$B$8)^3</f>
        <v/>
      </c>
      <c r="L2" s="20">
        <f>G2 - 2028</f>
        <v/>
      </c>
      <c r="M2" s="20">
        <f>IFERROR((J2+3904)*(1+F2)/($B$8-F2)*(1-((1+F2)/(1+$B$8))^L2) + ((J2+3904)*(1+F2)^L2*(1+'model_Assumptions'!$C$10))/($B$8-'model_Assumptions'!$C$10)/(1+$B$8)^L2, 0)</f>
        <v/>
      </c>
      <c r="N2" s="20">
        <f>K2 + M2</f>
        <v/>
      </c>
      <c r="O2" s="20">
        <f>N2 - T2</f>
        <v/>
      </c>
      <c r="P2" s="19">
        <f>$B$8</f>
        <v/>
      </c>
      <c r="Q2" s="20">
        <f>N2</f>
        <v/>
      </c>
      <c r="R2" s="20">
        <f>O2</f>
        <v/>
      </c>
      <c r="S2" s="20">
        <f>R2 * (1 + $B$8)^U2</f>
        <v/>
      </c>
      <c r="T2" s="22">
        <f>'model_Assumptions'!$C$11 - 128471</f>
        <v/>
      </c>
      <c r="U2" s="38" t="n">
        <v>0.5315</v>
      </c>
    </row>
    <row r="3">
      <c r="A3" s="18" t="inlineStr">
        <is>
          <t>Tax Rate 2026</t>
        </is>
      </c>
      <c r="B3" s="19">
        <f>26478/160109</f>
        <v/>
      </c>
      <c r="C3" s="12" t="n"/>
      <c r="D3" s="12" t="n"/>
      <c r="E3" s="12" t="inlineStr">
        <is>
          <t>Q2</t>
        </is>
      </c>
      <c r="F3" s="14" t="n">
        <v>0.02</v>
      </c>
      <c r="G3" s="30" t="n">
        <v>2033</v>
      </c>
      <c r="H3" s="20" t="n"/>
      <c r="I3" s="20" t="n"/>
      <c r="J3" s="20" t="n"/>
      <c r="K3" s="20">
        <f>$B$17</f>
        <v/>
      </c>
      <c r="L3" s="20">
        <f>G3-2028</f>
        <v/>
      </c>
      <c r="M3" s="20">
        <f>IFERROR(($B$16)*(1+F3)/($B$8-F3)*(1-((1+F3)/(1+$B$8))^L3) + ($B$16*(1+F3)^L3*(1+'model_Assumptions'!$C$10))/($B$8-'model_Assumptions'!$C$10)/(1+$B$8)^L3, 0)</f>
        <v/>
      </c>
      <c r="N3" s="20">
        <f>K3+M3</f>
        <v/>
      </c>
      <c r="O3" s="20">
        <f>N3-T3</f>
        <v/>
      </c>
      <c r="P3" s="19" t="n"/>
      <c r="Q3" s="20">
        <f>N3</f>
        <v/>
      </c>
      <c r="R3" s="20">
        <f>O3</f>
        <v/>
      </c>
      <c r="S3" s="20">
        <f>O3*(1+$B$8)^U3</f>
        <v/>
      </c>
      <c r="T3" s="22">
        <f>T2</f>
        <v/>
      </c>
      <c r="U3" s="38">
        <f>U2</f>
        <v/>
      </c>
    </row>
    <row r="4">
      <c r="A4" s="18" t="inlineStr">
        <is>
          <t>Tax Rate 2027</t>
        </is>
      </c>
      <c r="B4" s="19">
        <f>28069/171879</f>
        <v/>
      </c>
      <c r="C4" s="12" t="n"/>
      <c r="D4" s="12" t="n"/>
      <c r="E4" s="12" t="inlineStr">
        <is>
          <t>Q3</t>
        </is>
      </c>
      <c r="F4" s="14" t="n">
        <v>0.0225</v>
      </c>
      <c r="G4" s="30" t="n">
        <v>2037</v>
      </c>
      <c r="H4" s="20" t="n"/>
      <c r="I4" s="20" t="n"/>
      <c r="J4" s="20" t="n"/>
      <c r="K4" s="20">
        <f>$B$17</f>
        <v/>
      </c>
      <c r="L4" s="20">
        <f>G4-2028</f>
        <v/>
      </c>
      <c r="M4" s="20">
        <f>IFERROR(($B$16)*(1+F4)/($B$8-F4)*(1-((1+F4)/(1+$B$8))^L4) + ($B$16*(1+F4)^L4*(1+'model_Assumptions'!$C$10))/($B$8-'model_Assumptions'!$C$10)/(1+$B$8)^L4, 0)</f>
        <v/>
      </c>
      <c r="N4" s="20">
        <f>K4+M4</f>
        <v/>
      </c>
      <c r="O4" s="20">
        <f>N4-T4</f>
        <v/>
      </c>
      <c r="P4" s="19" t="n"/>
      <c r="Q4" s="20" t="n"/>
      <c r="R4" s="20" t="n"/>
      <c r="S4" s="20">
        <f>O4*(1+$B$8)^U4</f>
        <v/>
      </c>
      <c r="T4" s="22">
        <f>T2</f>
        <v/>
      </c>
      <c r="U4" s="38">
        <f>U2</f>
        <v/>
      </c>
    </row>
    <row r="5">
      <c r="A5" s="18" t="inlineStr">
        <is>
          <t>Average Tax Rate</t>
        </is>
      </c>
      <c r="B5" s="19">
        <f>AVERAGE(B2:B4)</f>
        <v/>
      </c>
      <c r="C5" s="12" t="n"/>
      <c r="D5" s="12" t="n"/>
      <c r="E5" s="12" t="inlineStr">
        <is>
          <t>Q4</t>
        </is>
      </c>
      <c r="F5" s="14" t="n">
        <v>0.0225</v>
      </c>
      <c r="G5" s="30" t="n">
        <v>2038</v>
      </c>
      <c r="H5" s="20" t="n"/>
      <c r="I5" s="20" t="n"/>
      <c r="J5" s="20" t="n"/>
      <c r="K5" s="20">
        <f>$B$17</f>
        <v/>
      </c>
      <c r="L5" s="20">
        <f>G5-2028</f>
        <v/>
      </c>
      <c r="M5" s="20">
        <f>IFERROR(($B$16)*(1+F5)/($B$8-F5)*(1-((1+F5)/(1+$B$8))^L5) + ($B$16*(1+F5)^L5*(1+'model_Assumptions'!$C$10))/($B$8-'model_Assumptions'!$C$10)/(1+$B$8)^L5, 0)</f>
        <v/>
      </c>
      <c r="N5" s="20">
        <f>K5+M5</f>
        <v/>
      </c>
      <c r="O5" s="20">
        <f>N5-T5</f>
        <v/>
      </c>
      <c r="P5" s="19" t="n"/>
      <c r="Q5" s="20" t="n"/>
      <c r="R5" s="20" t="n"/>
      <c r="S5" s="20">
        <f>O5*(1+$B$8)^U5</f>
        <v/>
      </c>
      <c r="T5" s="22">
        <f>T2</f>
        <v/>
      </c>
      <c r="U5" s="38">
        <f>U2</f>
        <v/>
      </c>
    </row>
    <row r="6">
      <c r="A6" s="18" t="inlineStr">
        <is>
          <t>Cost of Equity (Re)</t>
        </is>
      </c>
      <c r="B6" s="21">
        <f>'model_Assumptions'!$C$4 + 'model_Assumptions'!$C$5 * 'model_Assumptions'!$C$6</f>
        <v/>
      </c>
      <c r="C6" s="12" t="n"/>
      <c r="D6" s="12" t="n"/>
      <c r="E6" s="12" t="inlineStr">
        <is>
          <t>Q5</t>
        </is>
      </c>
      <c r="F6" s="14" t="n">
        <v>0.025</v>
      </c>
      <c r="G6" s="30" t="n">
        <v>2033</v>
      </c>
      <c r="H6" s="20" t="n"/>
      <c r="I6" s="20" t="n"/>
      <c r="J6" s="20" t="n"/>
      <c r="K6" s="20">
        <f>$B$17</f>
        <v/>
      </c>
      <c r="L6" s="20">
        <f>G6-2028</f>
        <v/>
      </c>
      <c r="M6" s="20">
        <f>IFERROR(($B$16)*(1+F6)/($B$8-F6)*(1-((1+F6)/(1+$B$8))^L6) + ($B$16*(1+F6)^L6*(1+'model_Assumptions'!$C$10))/($B$8-'model_Assumptions'!$C$10)/(1+$B$8)^L6, 0)</f>
        <v/>
      </c>
      <c r="N6" s="20">
        <f>K6+M6</f>
        <v/>
      </c>
      <c r="O6" s="20">
        <f>N6-T6</f>
        <v/>
      </c>
      <c r="P6" s="19" t="n"/>
      <c r="Q6" s="20" t="n"/>
      <c r="R6" s="20" t="n"/>
      <c r="S6" s="20">
        <f>O6*(1+$B$8)^U6</f>
        <v/>
      </c>
      <c r="T6" s="22">
        <f>T2</f>
        <v/>
      </c>
      <c r="U6" s="38">
        <f>U2</f>
        <v/>
      </c>
    </row>
    <row r="7">
      <c r="A7" s="18" t="inlineStr">
        <is>
          <t>After-tax Cost of Debt</t>
        </is>
      </c>
      <c r="B7" s="21">
        <f>'model_Assumptions'!$C$7 * (1 - B5)</f>
        <v/>
      </c>
      <c r="C7" s="12" t="n"/>
      <c r="D7" s="12" t="n"/>
      <c r="E7" s="12" t="inlineStr">
        <is>
          <t>Q6</t>
        </is>
      </c>
      <c r="F7" s="14" t="n">
        <v>0.025</v>
      </c>
      <c r="G7" s="30" t="n">
        <v>2037</v>
      </c>
      <c r="H7" s="20" t="n"/>
      <c r="I7" s="20" t="n"/>
      <c r="J7" s="20" t="n"/>
      <c r="K7" s="20">
        <f>$B$17</f>
        <v/>
      </c>
      <c r="L7" s="20">
        <f>G7-2028</f>
        <v/>
      </c>
      <c r="M7" s="20">
        <f>IFERROR(($B$16)*(1+F7)/($B$8-F7)*(1-((1+F7)/(1+$B$8))^L7) + ($B$16*(1+F7)^L7*(1+'model_Assumptions'!$C$10))/($B$8-'model_Assumptions'!$C$10)/(1+$B$8)^L7, 0)</f>
        <v/>
      </c>
      <c r="N7" s="20">
        <f>K7+M7</f>
        <v/>
      </c>
      <c r="O7" s="20">
        <f>N7-T7</f>
        <v/>
      </c>
      <c r="P7" s="19" t="n"/>
      <c r="Q7" s="20" t="n"/>
      <c r="R7" s="20" t="n"/>
      <c r="S7" s="20">
        <f>O7*(1+$B$8)^U7</f>
        <v/>
      </c>
      <c r="T7" s="22">
        <f>T2</f>
        <v/>
      </c>
      <c r="U7" s="38">
        <f>U2</f>
        <v/>
      </c>
    </row>
    <row r="8">
      <c r="A8" s="18" t="inlineStr">
        <is>
          <t>Initial WACC (Book Value)</t>
        </is>
      </c>
      <c r="B8" s="21">
        <f>( 'model_Assumptions'!$C$12 / ('model_Assumptions'!$C$11 + 'model_Assumptions'!$C$12) * B6 ) + ( 'model_Assumptions'!$C$11 / ('model_Assumptions'!$C$11 + 'model_Assumptions'!$C$12) * B7 )</f>
        <v/>
      </c>
      <c r="C8" s="12" t="n"/>
      <c r="D8" s="12" t="n"/>
      <c r="E8" s="12" t="inlineStr">
        <is>
          <t>Q7</t>
        </is>
      </c>
      <c r="F8" s="14" t="n">
        <v>0.035</v>
      </c>
      <c r="G8" s="30" t="n">
        <v>2034</v>
      </c>
      <c r="H8" s="20" t="n"/>
      <c r="I8" s="20" t="n"/>
      <c r="J8" s="20" t="n"/>
      <c r="K8" s="20">
        <f>$B$17</f>
        <v/>
      </c>
      <c r="L8" s="20">
        <f>G8-2028</f>
        <v/>
      </c>
      <c r="M8" s="20">
        <f>IFERROR(($B$16)*(1+F8)/($B$8-F8)*(1-((1+F8)/(1+$B$8))^L8) + ($B$16*(1+F8)^L8*(1+'model_Assumptions'!$C$10))/($B$8-'model_Assumptions'!$C$10)/(1+$B$8)^L8, 0)</f>
        <v/>
      </c>
      <c r="N8" s="20">
        <f>K8+M8</f>
        <v/>
      </c>
      <c r="O8" s="20">
        <f>N8-T8</f>
        <v/>
      </c>
      <c r="P8" s="19" t="n"/>
      <c r="Q8" s="20" t="n"/>
      <c r="R8" s="20" t="n"/>
      <c r="S8" s="20">
        <f>O8*(1+$B$8)^U8</f>
        <v/>
      </c>
      <c r="T8" s="22">
        <f>T2</f>
        <v/>
      </c>
      <c r="U8" s="38">
        <f>U2</f>
        <v/>
      </c>
    </row>
    <row r="9">
      <c r="A9" s="18" t="n"/>
      <c r="B9" s="12" t="n"/>
      <c r="C9" s="12" t="n"/>
      <c r="D9" s="12" t="n"/>
      <c r="E9" s="12" t="inlineStr">
        <is>
          <t>Q8</t>
        </is>
      </c>
      <c r="F9" s="14" t="n">
        <v>0.035</v>
      </c>
      <c r="G9" s="30" t="n">
        <v>2036</v>
      </c>
      <c r="H9" s="20" t="n"/>
      <c r="I9" s="20" t="n"/>
      <c r="J9" s="20" t="n"/>
      <c r="K9" s="20">
        <f>$B$17</f>
        <v/>
      </c>
      <c r="L9" s="20">
        <f>G9-2028</f>
        <v/>
      </c>
      <c r="M9" s="20">
        <f>IFERROR(($B$16)*(1+F9)/($B$8-F9)*(1-((1+F9)/(1+$B$8))^L9) + ($B$16*(1+F9)^L9*(1+'model_Assumptions'!$C$10))/($B$8-'model_Assumptions'!$C$10)/(1+$B$8)^L9, 0)</f>
        <v/>
      </c>
      <c r="N9" s="20">
        <f>K9+M9</f>
        <v/>
      </c>
      <c r="O9" s="20">
        <f>N9-T9</f>
        <v/>
      </c>
      <c r="P9" s="19" t="n"/>
      <c r="Q9" s="20" t="n"/>
      <c r="R9" s="20" t="n"/>
      <c r="S9" s="20">
        <f>O9*(1+$B$8)^U9</f>
        <v/>
      </c>
      <c r="T9" s="22">
        <f>T2</f>
        <v/>
      </c>
      <c r="U9" s="38">
        <f>U2</f>
        <v/>
      </c>
    </row>
    <row r="10">
      <c r="A10" s="18" t="inlineStr">
        <is>
          <t>Base Case DCF</t>
        </is>
      </c>
      <c r="B10" s="12" t="n"/>
      <c r="C10" s="12" t="n"/>
      <c r="D10" s="12" t="n"/>
      <c r="E10" s="12" t="inlineStr">
        <is>
          <t>Q9</t>
        </is>
      </c>
      <c r="F10" s="14" t="n">
        <v>0.0375</v>
      </c>
      <c r="G10" s="30" t="n">
        <v>2030</v>
      </c>
      <c r="H10" s="20" t="n"/>
      <c r="I10" s="20" t="n"/>
      <c r="J10" s="20" t="n"/>
      <c r="K10" s="20">
        <f>B17</f>
        <v/>
      </c>
      <c r="L10" s="20">
        <f>G10-2028</f>
        <v/>
      </c>
      <c r="M10" s="20">
        <f>IFERROR(($B$16)*(1+F10)/($B$8-F10)*(1-((1+F10)/(1+$B$8))^L10) + ($B$16*(1+F10)^L10*(1+'model_Assumptions'!$C$10))/($B$8-'model_Assumptions'!$C$10)/(1+$B$8)^L10, 0)</f>
        <v/>
      </c>
      <c r="N10" s="20">
        <f>K10+M10</f>
        <v/>
      </c>
      <c r="O10" s="20">
        <f>N10-T10</f>
        <v/>
      </c>
      <c r="P10" s="19" t="n"/>
      <c r="Q10" s="20" t="n"/>
      <c r="R10" s="20" t="n"/>
      <c r="S10" s="20">
        <f>O10*(1+$B$8)^U10</f>
        <v/>
      </c>
      <c r="T10" s="22">
        <f>T2</f>
        <v/>
      </c>
      <c r="U10" s="38">
        <f>U2</f>
        <v/>
      </c>
    </row>
    <row r="11">
      <c r="A11" s="18" t="inlineStr">
        <is>
          <t>NOPAT 2026 [$m]</t>
        </is>
      </c>
      <c r="B11" s="20">
        <f>149518 * (1 - B5)</f>
        <v/>
      </c>
      <c r="C11" s="12" t="n"/>
      <c r="D11" s="12" t="n"/>
      <c r="E11" s="12" t="inlineStr">
        <is>
          <t>Q10</t>
        </is>
      </c>
      <c r="F11" s="14" t="n">
        <v>0.0375</v>
      </c>
      <c r="G11" s="30" t="n">
        <v>2034</v>
      </c>
      <c r="H11" s="20" t="n"/>
      <c r="I11" s="20" t="n"/>
      <c r="J11" s="20" t="n"/>
      <c r="K11" s="20">
        <f>B17</f>
        <v/>
      </c>
      <c r="L11" s="20">
        <f>G11-2028</f>
        <v/>
      </c>
      <c r="M11" s="20">
        <f>IFERROR(($B$16)*(1+F11)/($B$8-F11)*(1-((1+F11)/(1+$B$8))^L11) + ($B$16*(1+F11)^L11*(1+'model_Assumptions'!$C$10))/($B$8-'model_Assumptions'!$C$10)/(1+$B$8)^L11, 0)</f>
        <v/>
      </c>
      <c r="N11" s="20">
        <f>K11+M11</f>
        <v/>
      </c>
      <c r="O11" s="20">
        <f>N11-T11</f>
        <v/>
      </c>
      <c r="P11" s="19" t="n"/>
      <c r="Q11" s="20" t="n"/>
      <c r="R11" s="20" t="n"/>
      <c r="S11" s="20">
        <f>O11*(1+$B$8)^U11</f>
        <v/>
      </c>
      <c r="T11" s="22">
        <f>T2</f>
        <v/>
      </c>
      <c r="U11" s="38">
        <f>U2</f>
        <v/>
      </c>
    </row>
    <row r="12">
      <c r="A12" s="18" t="inlineStr">
        <is>
          <t>NOPAT 2027 [$m]</t>
        </is>
      </c>
      <c r="B12" s="20">
        <f>159666 * (1 - B5)</f>
        <v/>
      </c>
      <c r="C12" s="12" t="n"/>
      <c r="D12" s="12" t="n"/>
      <c r="E12" s="12" t="inlineStr">
        <is>
          <t>Q11</t>
        </is>
      </c>
      <c r="F12" s="14" t="n">
        <v>0.0375</v>
      </c>
      <c r="G12" s="30" t="n">
        <v>2035</v>
      </c>
      <c r="H12" s="20" t="n"/>
      <c r="I12" s="20" t="n"/>
      <c r="J12" s="20" t="n"/>
      <c r="K12" s="20">
        <f>B17</f>
        <v/>
      </c>
      <c r="L12" s="20">
        <f>G12-2028</f>
        <v/>
      </c>
      <c r="M12" s="20">
        <f>IFERROR(($B$16)*(1+F12)/($B$8-F12)*(1-((1+F12)/(1+$B$8))^L12) + ($B$16*(1+F12)^L12*(1+'model_Assumptions'!$C$10))/($B$8-'model_Assumptions'!$C$10)/(1+$B$8)^L12, 0)</f>
        <v/>
      </c>
      <c r="N12" s="20">
        <f>K12+M12</f>
        <v/>
      </c>
      <c r="O12" s="20">
        <f>N12-T12</f>
        <v/>
      </c>
      <c r="P12" s="19" t="n"/>
      <c r="Q12" s="20" t="n"/>
      <c r="R12" s="20" t="n"/>
      <c r="S12" s="20">
        <f>O12*(1+$B$8)^U12</f>
        <v/>
      </c>
      <c r="T12" s="22">
        <f>T2</f>
        <v/>
      </c>
      <c r="U12" s="38">
        <f>U2</f>
        <v/>
      </c>
    </row>
    <row r="13">
      <c r="A13" s="18" t="inlineStr">
        <is>
          <t>NOPAT 2028 [$m]</t>
        </is>
      </c>
      <c r="B13" s="20">
        <f>171750 * (1 - B5)</f>
        <v/>
      </c>
      <c r="C13" s="12" t="n"/>
      <c r="D13" s="12" t="n"/>
      <c r="E13" s="12" t="inlineStr">
        <is>
          <t>Q12</t>
        </is>
      </c>
      <c r="F13" s="14" t="n">
        <v>0.04</v>
      </c>
      <c r="G13" s="30" t="n">
        <v>2035</v>
      </c>
      <c r="H13" s="20" t="n"/>
      <c r="I13" s="20" t="n"/>
      <c r="J13" s="20" t="n"/>
      <c r="K13" s="20">
        <f>B17</f>
        <v/>
      </c>
      <c r="L13" s="20">
        <f>G13-2028</f>
        <v/>
      </c>
      <c r="M13" s="20">
        <f>IFERROR(($B$16)*(1+F13)/($B$8-F13)*(1-((1+F13)/(1+$B$8))^L13) + ($B$16*(1+F13)^L13*(1+'model_Assumptions'!$C$10))/($B$8-'model_Assumptions'!$C$10)/(1+$B$8)^L13, 0)</f>
        <v/>
      </c>
      <c r="N13" s="20">
        <f>K13+M13</f>
        <v/>
      </c>
      <c r="O13" s="20">
        <f>N13-T13</f>
        <v/>
      </c>
      <c r="P13" s="19" t="n"/>
      <c r="Q13" s="20" t="n"/>
      <c r="R13" s="20" t="n"/>
      <c r="S13" s="20">
        <f>O13*(1+$B$8)^U13</f>
        <v/>
      </c>
      <c r="T13" s="22">
        <f>T2</f>
        <v/>
      </c>
      <c r="U13" s="38">
        <f>U2</f>
        <v/>
      </c>
    </row>
    <row r="14">
      <c r="A14" s="18" t="inlineStr">
        <is>
          <t>FCF 2026 [$m]</t>
        </is>
      </c>
      <c r="B14" s="20">
        <f>B11 - 3480</f>
        <v/>
      </c>
      <c r="C14" s="12" t="n"/>
      <c r="D14" s="12" t="n"/>
      <c r="E14" s="12" t="inlineStr">
        <is>
          <t>Q13</t>
        </is>
      </c>
      <c r="F14" s="14" t="n">
        <v>0.0425</v>
      </c>
      <c r="G14" s="30" t="n">
        <v>2031</v>
      </c>
      <c r="H14" s="20" t="n"/>
      <c r="I14" s="20" t="n"/>
      <c r="J14" s="20" t="n"/>
      <c r="K14" s="20">
        <f>B17</f>
        <v/>
      </c>
      <c r="L14" s="20">
        <f>G14-2028</f>
        <v/>
      </c>
      <c r="M14" s="20">
        <f>IFERROR(($B$16)*(1+F14)/($B$8-F14)*(1-((1+F14)/(1+$B$8))^L14) + ($B$16*(1+F14)^L14*(1+'model_Assumptions'!$C$10))/($B$8-'model_Assumptions'!$C$10)/(1+$B$8)^L14, 0)</f>
        <v/>
      </c>
      <c r="N14" s="20">
        <f>K14+M14</f>
        <v/>
      </c>
      <c r="O14" s="20">
        <f>N14-T14</f>
        <v/>
      </c>
      <c r="P14" s="19" t="n"/>
      <c r="Q14" s="20" t="n"/>
      <c r="R14" s="20" t="n"/>
      <c r="S14" s="20">
        <f>O14*(1+$B$8)^U14</f>
        <v/>
      </c>
      <c r="T14" s="22">
        <f>T2</f>
        <v/>
      </c>
      <c r="U14" s="38">
        <f>U2</f>
        <v/>
      </c>
    </row>
    <row r="15">
      <c r="A15" s="18" t="inlineStr">
        <is>
          <t>FCF 2027 [$m]</t>
        </is>
      </c>
      <c r="B15" s="20">
        <f>B12 - 993</f>
        <v/>
      </c>
      <c r="C15" s="12" t="n"/>
      <c r="D15" s="12" t="n"/>
      <c r="E15" s="12" t="inlineStr">
        <is>
          <t>Q14</t>
        </is>
      </c>
      <c r="F15" s="14" t="n">
        <v>0.0425</v>
      </c>
      <c r="G15" s="30" t="n">
        <v>2034</v>
      </c>
      <c r="H15" s="20" t="n"/>
      <c r="I15" s="20" t="n"/>
      <c r="J15" s="20" t="n"/>
      <c r="K15" s="20">
        <f>B17</f>
        <v/>
      </c>
      <c r="L15" s="20">
        <f>G15-2028</f>
        <v/>
      </c>
      <c r="M15" s="20">
        <f>IFERROR(($B$16)*(1+F15)/($B$8-F15)*(1-((1+F15)/(1+$B$8))^L15) + ($B$16*(1+F15)^L15*(1+'model_Assumptions'!$C$10))/($B$8-'model_Assumptions'!$C$10)/(1+$B$8)^L15, 0)</f>
        <v/>
      </c>
      <c r="N15" s="20">
        <f>K15+M15</f>
        <v/>
      </c>
      <c r="O15" s="20">
        <f>N15-T15</f>
        <v/>
      </c>
      <c r="P15" s="19" t="n"/>
      <c r="Q15" s="20" t="n"/>
      <c r="R15" s="20" t="n"/>
      <c r="S15" s="20">
        <f>O15*(1+$B$8)^U15</f>
        <v/>
      </c>
      <c r="T15" s="22">
        <f>T2</f>
        <v/>
      </c>
      <c r="U15" s="38">
        <f>U2</f>
        <v/>
      </c>
    </row>
    <row r="16">
      <c r="A16" s="18" t="inlineStr">
        <is>
          <t>FCF 2028 [$m]</t>
        </is>
      </c>
      <c r="B16" s="20">
        <f>B13 + 3904</f>
        <v/>
      </c>
      <c r="C16" s="12" t="n"/>
      <c r="D16" s="12" t="n"/>
      <c r="E16" s="12" t="inlineStr">
        <is>
          <t>Q15</t>
        </is>
      </c>
      <c r="F16" s="14" t="n">
        <v>0.0425</v>
      </c>
      <c r="G16" s="30" t="n">
        <v>2036</v>
      </c>
      <c r="H16" s="20" t="n"/>
      <c r="I16" s="20" t="n"/>
      <c r="J16" s="20" t="n"/>
      <c r="K16" s="20">
        <f>B17</f>
        <v/>
      </c>
      <c r="L16" s="20">
        <f>G16-2028</f>
        <v/>
      </c>
      <c r="M16" s="20">
        <f>IFERROR(($B$16)*(1+F16)/($B$8-F16)*(1-((1+F16)/(1+$B$8))^L16) + ($B$16*(1+F16)^L16*(1+'model_Assumptions'!$C$10))/($B$8-'model_Assumptions'!$C$10)/(1+$B$8)^L16, 0)</f>
        <v/>
      </c>
      <c r="N16" s="20">
        <f>K16+M16</f>
        <v/>
      </c>
      <c r="O16" s="20">
        <f>N16-T16</f>
        <v/>
      </c>
      <c r="P16" s="19" t="n"/>
      <c r="Q16" s="20" t="n"/>
      <c r="R16" s="20" t="n"/>
      <c r="S16" s="20">
        <f>O16*(1+$B$8)^U16</f>
        <v/>
      </c>
      <c r="T16" s="22">
        <f>T2</f>
        <v/>
      </c>
      <c r="U16" s="38">
        <f>U2</f>
        <v/>
      </c>
    </row>
    <row r="17">
      <c r="A17" s="18" t="inlineStr">
        <is>
          <t>PV FCF (Explicit) [$m]</t>
        </is>
      </c>
      <c r="B17" s="20">
        <f>B14/(1+B8)^1 + B15/(1+B8)^2 + B16/(1+B8)^3</f>
        <v/>
      </c>
      <c r="C17" s="12" t="n"/>
      <c r="D17" s="12" t="n"/>
      <c r="E17" s="12" t="inlineStr">
        <is>
          <t>Q16</t>
        </is>
      </c>
      <c r="F17" s="14" t="n">
        <v>0.045</v>
      </c>
      <c r="G17" s="30" t="n">
        <v>2029</v>
      </c>
      <c r="H17" s="20" t="n"/>
      <c r="I17" s="20" t="n"/>
      <c r="J17" s="20" t="n"/>
      <c r="K17" s="20">
        <f>B17</f>
        <v/>
      </c>
      <c r="L17" s="20">
        <f>G17-2028</f>
        <v/>
      </c>
      <c r="M17" s="20">
        <f>IFERROR(($B$16)*(1+F17)/($B$8-F17)*(1-((1+F17)/(1+$B$8))^L17) + ($B$16*(1+F17)^L17*(1+'model_Assumptions'!$C$10))/($B$8-'model_Assumptions'!$C$10)/(1+$B$8)^L17, 0)</f>
        <v/>
      </c>
      <c r="N17" s="20">
        <f>K17+M17</f>
        <v/>
      </c>
      <c r="O17" s="20">
        <f>N17-T17</f>
        <v/>
      </c>
      <c r="P17" s="19" t="n"/>
      <c r="Q17" s="20" t="n"/>
      <c r="R17" s="20" t="n"/>
      <c r="S17" s="20">
        <f>O17*(1+$B$8)^U17</f>
        <v/>
      </c>
      <c r="T17" s="22">
        <f>T2</f>
        <v/>
      </c>
      <c r="U17" s="38">
        <f>U2</f>
        <v/>
      </c>
    </row>
    <row r="18">
      <c r="A18" s="18" t="inlineStr">
        <is>
          <t>Terminal Value (End Year) [$m]</t>
        </is>
      </c>
      <c r="B18" s="20" t="n"/>
      <c r="C18" s="12" t="n"/>
      <c r="D18" s="12" t="n"/>
      <c r="E18" s="12" t="inlineStr">
        <is>
          <t>Q17</t>
        </is>
      </c>
      <c r="F18" s="14" t="n">
        <v>0.045</v>
      </c>
      <c r="G18" s="30" t="n">
        <v>2037</v>
      </c>
      <c r="H18" s="20" t="n"/>
      <c r="I18" s="20" t="n"/>
      <c r="J18" s="20" t="n"/>
      <c r="K18" s="20">
        <f>B17</f>
        <v/>
      </c>
      <c r="L18" s="20">
        <f>G18-2028</f>
        <v/>
      </c>
      <c r="M18" s="20">
        <f>IFERROR(($B$16)*(1+F18)/($B$8-F18)*(1-((1+F18)/(1+$B$8))^L18) + ($B$16*(1+F18)^L18*(1+'model_Assumptions'!$C$10))/($B$8-'model_Assumptions'!$C$10)/(1+$B$8)^L18, 0)</f>
        <v/>
      </c>
      <c r="N18" s="20">
        <f>K18+M18</f>
        <v/>
      </c>
      <c r="O18" s="20">
        <f>N18-T18</f>
        <v/>
      </c>
      <c r="P18" s="19" t="n"/>
      <c r="Q18" s="20" t="n"/>
      <c r="R18" s="20" t="n"/>
      <c r="S18" s="20">
        <f>O18*(1+$B$8)^U18</f>
        <v/>
      </c>
      <c r="T18" s="22">
        <f>T2</f>
        <v/>
      </c>
      <c r="U18" s="38">
        <f>U2</f>
        <v/>
      </c>
    </row>
    <row r="19">
      <c r="A19" s="18" t="inlineStr">
        <is>
          <t>PV TV [$m]</t>
        </is>
      </c>
      <c r="B19" s="20">
        <f>M2</f>
        <v/>
      </c>
      <c r="C19" s="12" t="n"/>
      <c r="D19" s="12" t="n"/>
      <c r="E19" s="12" t="inlineStr">
        <is>
          <t>Q18</t>
        </is>
      </c>
      <c r="F19" s="14" t="n">
        <v>0.0475</v>
      </c>
      <c r="G19" s="30" t="n">
        <v>2029</v>
      </c>
      <c r="H19" s="20" t="n"/>
      <c r="I19" s="20" t="n"/>
      <c r="J19" s="20" t="n"/>
      <c r="K19" s="20">
        <f>B17</f>
        <v/>
      </c>
      <c r="L19" s="20">
        <f>G19-2028</f>
        <v/>
      </c>
      <c r="M19" s="20">
        <f>IFERROR(($B$16)*(1+F19)/($B$8-F19)*(1-((1+F19)/(1+$B$8))^L19) + ($B$16*(1+F19)^L19*(1+'model_Assumptions'!$C$10))/($B$8-'model_Assumptions'!$C$10)/(1+$B$8)^L19, 0)</f>
        <v/>
      </c>
      <c r="N19" s="20">
        <f>K19+M19</f>
        <v/>
      </c>
      <c r="O19" s="20">
        <f>N19-T19</f>
        <v/>
      </c>
      <c r="P19" s="19" t="n"/>
      <c r="Q19" s="20" t="n"/>
      <c r="R19" s="20" t="n"/>
      <c r="S19" s="20">
        <f>O19*(1+$B$8)^U19</f>
        <v/>
      </c>
      <c r="T19" s="22">
        <f>T2</f>
        <v/>
      </c>
      <c r="U19" s="38">
        <f>U2</f>
        <v/>
      </c>
    </row>
    <row r="20">
      <c r="A20" s="18" t="inlineStr">
        <is>
          <t>Enterprise Value (Basis) [$m]</t>
        </is>
      </c>
      <c r="B20" s="20">
        <f>B17+B19</f>
        <v/>
      </c>
      <c r="C20" s="12" t="n"/>
      <c r="D20" s="12" t="n"/>
      <c r="E20" s="12" t="inlineStr">
        <is>
          <t>Q19</t>
        </is>
      </c>
      <c r="F20" s="14" t="n">
        <v>0.0475</v>
      </c>
      <c r="G20" s="30" t="n">
        <v>2034</v>
      </c>
      <c r="H20" s="20" t="n"/>
      <c r="I20" s="20" t="n"/>
      <c r="J20" s="20" t="n"/>
      <c r="K20" s="20">
        <f>B17</f>
        <v/>
      </c>
      <c r="L20" s="20">
        <f>G20-2028</f>
        <v/>
      </c>
      <c r="M20" s="20">
        <f>IFERROR(($B$16)*(1+F20)/($B$8-F20)*(1-((1+F20)/(1+$B$8))^L20) + ($B$16*(1+F20)^L20*(1+'model_Assumptions'!$C$10))/($B$8-'model_Assumptions'!$C$10)/(1+$B$8)^L20, 0)</f>
        <v/>
      </c>
      <c r="N20" s="20">
        <f>K20+M20</f>
        <v/>
      </c>
      <c r="O20" s="20">
        <f>N20-T20</f>
        <v/>
      </c>
      <c r="P20" s="19" t="n"/>
      <c r="Q20" s="20" t="n"/>
      <c r="R20" s="20" t="n"/>
      <c r="S20" s="20">
        <f>O20*(1+$B$8)^U20</f>
        <v/>
      </c>
      <c r="T20" s="22">
        <f>T2</f>
        <v/>
      </c>
      <c r="U20" s="38">
        <f>U2</f>
        <v/>
      </c>
    </row>
    <row r="21">
      <c r="A21" s="18" t="inlineStr">
        <is>
          <t>Equity Value (Basis) [$m]</t>
        </is>
      </c>
      <c r="B21" s="20">
        <f>B20-B23</f>
        <v/>
      </c>
      <c r="C21" s="12" t="n"/>
      <c r="D21" s="12" t="n"/>
      <c r="E21" s="12" t="inlineStr">
        <is>
          <t>Q20</t>
        </is>
      </c>
      <c r="F21" s="14" t="n">
        <v>0.05</v>
      </c>
      <c r="G21" s="30" t="n">
        <v>2038</v>
      </c>
      <c r="H21" s="20" t="n"/>
      <c r="I21" s="20" t="n"/>
      <c r="J21" s="20" t="n"/>
      <c r="K21" s="20" t="n"/>
      <c r="L21" s="20" t="n"/>
      <c r="M21" s="20" t="n"/>
      <c r="N21" s="20" t="n"/>
      <c r="O21" s="20" t="n"/>
      <c r="P21" s="19" t="n"/>
      <c r="Q21" s="20" t="n"/>
      <c r="R21" s="20" t="n"/>
      <c r="S21" s="20" t="n"/>
      <c r="T21" s="22" t="n"/>
      <c r="U21" s="38" t="n"/>
    </row>
    <row r="22">
      <c r="A22" s="18" t="inlineStr">
        <is>
          <t>Equity Value (Val Date) [$m]</t>
        </is>
      </c>
      <c r="B22" s="20">
        <f>B21*(1+B8)^U2</f>
        <v/>
      </c>
      <c r="C22" s="12" t="n"/>
      <c r="D22" s="12" t="n"/>
      <c r="E22" s="12" t="inlineStr">
        <is>
          <t>Q21</t>
        </is>
      </c>
      <c r="F22" s="14" t="n">
        <v>0.055</v>
      </c>
      <c r="G22" s="30" t="n">
        <v>2035</v>
      </c>
      <c r="H22" s="20" t="n"/>
      <c r="I22" s="20" t="n"/>
      <c r="J22" s="20" t="n"/>
      <c r="K22" s="20">
        <f>$B$17</f>
        <v/>
      </c>
      <c r="L22" s="20">
        <f>G22-2028</f>
        <v/>
      </c>
      <c r="M22" s="20">
        <f>IFERROR(($B$16)*(1+F22)/($B$8-F22)*(1-((1+F22)/(1+$B$8))^L22) + ($B$16*(1+F22)^L22*(1+'model_Assumptions'!$C$10))/($B$8-'model_Assumptions'!$C$10)/(1+$B$8)^L22, 0)</f>
        <v/>
      </c>
      <c r="N22" s="20">
        <f>K22+M22</f>
        <v/>
      </c>
      <c r="O22" s="20">
        <f>N22-T22</f>
        <v/>
      </c>
      <c r="P22" s="19" t="n"/>
      <c r="Q22" s="20" t="n"/>
      <c r="R22" s="20" t="n"/>
      <c r="S22" s="20">
        <f>O22*(1+$B$8)^U22</f>
        <v/>
      </c>
      <c r="T22" s="22">
        <f>T2</f>
        <v/>
      </c>
      <c r="U22" s="38">
        <f>U2</f>
        <v/>
      </c>
    </row>
    <row r="23">
      <c r="A23" s="18" t="inlineStr">
        <is>
          <t>Net Debt (Basis) [$m]</t>
        </is>
      </c>
      <c r="B23" s="22">
        <f>'model_Assumptions'!$C$11 - 128471</f>
        <v/>
      </c>
      <c r="C23" s="12" t="n"/>
      <c r="D23" s="12" t="n"/>
      <c r="E23" s="12" t="inlineStr">
        <is>
          <t>Q22</t>
        </is>
      </c>
      <c r="F23" s="14" t="n">
        <v>0.06</v>
      </c>
      <c r="G23" s="30" t="n">
        <v>2036</v>
      </c>
      <c r="H23" s="20" t="n"/>
      <c r="I23" s="20" t="n"/>
      <c r="J23" s="20" t="n"/>
      <c r="K23" s="20">
        <f>$B$17</f>
        <v/>
      </c>
      <c r="L23" s="20">
        <f>G23-2028</f>
        <v/>
      </c>
      <c r="M23" s="20">
        <f>IFERROR(($B$16)*(1+F23)/($B$8-F23)*(1-((1+F23)/(1+$B$8))^L23) + ($B$16*(1+F23)^L23*(1+'model_Assumptions'!$C$10))/($B$8-'model_Assumptions'!$C$10)/(1+$B$8)^L23, 0)</f>
        <v/>
      </c>
      <c r="N23" s="20">
        <f>K23+M23</f>
        <v/>
      </c>
      <c r="O23" s="20">
        <f>N23-T23</f>
        <v/>
      </c>
      <c r="P23" s="19" t="n"/>
      <c r="Q23" s="20" t="n"/>
      <c r="R23" s="20" t="n"/>
      <c r="S23" s="20">
        <f>O23*(1+$B$8)^U23</f>
        <v/>
      </c>
      <c r="T23" s="22">
        <f>T2</f>
        <v/>
      </c>
      <c r="U23" s="38">
        <f>U2</f>
        <v/>
      </c>
    </row>
    <row r="24">
      <c r="A24" s="18" t="n"/>
      <c r="B24" s="12" t="n"/>
      <c r="C24" s="12" t="n"/>
      <c r="D24" s="12" t="n"/>
      <c r="E24" s="12" t="inlineStr">
        <is>
          <t>Q23</t>
        </is>
      </c>
      <c r="F24" s="14" t="n">
        <v>0.0625</v>
      </c>
      <c r="G24" s="30" t="n">
        <v>2034</v>
      </c>
      <c r="H24" s="20" t="n"/>
      <c r="I24" s="20" t="n"/>
      <c r="J24" s="20" t="n"/>
      <c r="K24" s="20">
        <f>$B$17</f>
        <v/>
      </c>
      <c r="L24" s="20">
        <f>G24-2028</f>
        <v/>
      </c>
      <c r="M24" s="20">
        <f>IFERROR(($B$16)*(1+F24)/($B$8-F24)*(1-((1+F24)/(1+$B$8))^L24) + ($B$16*(1+F24)^L24*(1+'model_Assumptions'!$C$10))/($B$8-'model_Assumptions'!$C$10)/(1+$B$8)^L24, 0)</f>
        <v/>
      </c>
      <c r="N24" s="20">
        <f>K24+M24</f>
        <v/>
      </c>
      <c r="O24" s="20">
        <f>N24-T24</f>
        <v/>
      </c>
      <c r="P24" s="19" t="n"/>
      <c r="Q24" s="20" t="n"/>
      <c r="R24" s="20" t="n"/>
      <c r="S24" s="20">
        <f>O24*(1+$B$8)^U24</f>
        <v/>
      </c>
      <c r="T24" s="22">
        <f>T2</f>
        <v/>
      </c>
      <c r="U24" s="38">
        <f>U2</f>
        <v/>
      </c>
    </row>
    <row r="25">
      <c r="A25" s="18" t="n"/>
      <c r="B25" s="12" t="n"/>
      <c r="C25" s="12" t="n"/>
      <c r="D25" s="12" t="n"/>
      <c r="E25" s="12" t="inlineStr">
        <is>
          <t>Q24</t>
        </is>
      </c>
      <c r="F25" s="14" t="n">
        <v>0.065</v>
      </c>
      <c r="G25" s="30" t="n">
        <v>2030</v>
      </c>
      <c r="H25" s="20" t="n"/>
      <c r="I25" s="20" t="n"/>
      <c r="J25" s="20" t="n"/>
      <c r="K25" s="20" t="n"/>
      <c r="L25" s="20" t="n"/>
      <c r="M25" s="20" t="n"/>
      <c r="N25" s="20" t="n"/>
      <c r="O25" s="20" t="n"/>
      <c r="P25" s="19" t="n"/>
      <c r="Q25" s="20" t="n"/>
      <c r="R25" s="20" t="n"/>
      <c r="S25" s="20" t="n"/>
      <c r="T25" s="22" t="n"/>
      <c r="U25" s="38" t="n"/>
    </row>
    <row r="26">
      <c r="A26" s="18" t="n"/>
      <c r="B26" s="12" t="n"/>
      <c r="C26" s="12" t="n"/>
      <c r="D26" s="12" t="n"/>
      <c r="E26" s="12" t="inlineStr">
        <is>
          <t>Q25</t>
        </is>
      </c>
      <c r="F26" s="14" t="n">
        <v>0.0675</v>
      </c>
      <c r="G26" s="30" t="n">
        <v>2030</v>
      </c>
      <c r="H26" s="20" t="n"/>
      <c r="I26" s="20" t="n"/>
      <c r="J26" s="20" t="n"/>
      <c r="K26" s="20" t="n"/>
      <c r="L26" s="20" t="n"/>
      <c r="M26" s="20" t="n"/>
      <c r="N26" s="20" t="n"/>
      <c r="O26" s="20" t="n"/>
      <c r="P26" s="19" t="n"/>
      <c r="Q26" s="20" t="n"/>
      <c r="R26" s="20" t="n"/>
      <c r="S26" s="20" t="n"/>
      <c r="T26" s="22" t="n"/>
      <c r="U26" s="38" t="n"/>
    </row>
    <row r="27">
      <c r="A27" s="18" t="n"/>
      <c r="B27" s="12" t="n"/>
      <c r="C27" s="12" t="n"/>
      <c r="D27" s="12" t="n"/>
      <c r="E27" s="12" t="inlineStr">
        <is>
          <t>Q26</t>
        </is>
      </c>
      <c r="F27" s="14" t="n">
        <v>0.0725</v>
      </c>
      <c r="G27" s="30" t="n">
        <v>2032</v>
      </c>
      <c r="H27" s="20" t="n"/>
      <c r="I27" s="20" t="n"/>
      <c r="J27" s="20" t="n"/>
      <c r="K27" s="20" t="n"/>
      <c r="L27" s="20" t="n"/>
      <c r="M27" s="20" t="n"/>
      <c r="N27" s="20" t="n"/>
      <c r="O27" s="20" t="n"/>
      <c r="P27" s="19" t="n"/>
      <c r="Q27" s="20" t="n"/>
      <c r="R27" s="20" t="n"/>
      <c r="S27" s="20" t="n"/>
      <c r="T27" s="22" t="n"/>
      <c r="U27" s="38" t="n"/>
    </row>
    <row r="28">
      <c r="A28" s="18" t="n"/>
      <c r="B28" s="12" t="n"/>
      <c r="C28" s="12" t="n"/>
      <c r="D28" s="12" t="n"/>
      <c r="E28" s="12" t="inlineStr">
        <is>
          <t>Q27</t>
        </is>
      </c>
      <c r="F28" s="14" t="n">
        <v>0.0725</v>
      </c>
      <c r="G28" s="30" t="n">
        <v>2036</v>
      </c>
      <c r="H28" s="20" t="n"/>
      <c r="I28" s="20" t="n"/>
      <c r="J28" s="20" t="n"/>
      <c r="K28" s="20" t="n"/>
      <c r="L28" s="20" t="n"/>
      <c r="M28" s="20" t="n"/>
      <c r="N28" s="20" t="n"/>
      <c r="O28" s="20" t="n"/>
      <c r="P28" s="19" t="n"/>
      <c r="Q28" s="20" t="n"/>
      <c r="R28" s="20" t="n"/>
      <c r="S28" s="20" t="n"/>
      <c r="T28" s="22" t="n"/>
      <c r="U28" s="38" t="n"/>
    </row>
    <row r="29">
      <c r="A29" s="18" t="n"/>
      <c r="B29" s="12" t="n"/>
      <c r="C29" s="12" t="n"/>
      <c r="D29" s="12" t="n"/>
      <c r="E29" s="12" t="inlineStr">
        <is>
          <t>Q28</t>
        </is>
      </c>
      <c r="F29" s="14" t="n">
        <v>0.08749999999999999</v>
      </c>
      <c r="G29" s="30" t="n">
        <v>2029</v>
      </c>
      <c r="H29" s="20" t="n"/>
      <c r="I29" s="20" t="n"/>
      <c r="J29" s="20" t="n"/>
      <c r="K29" s="20" t="n"/>
      <c r="L29" s="20" t="n"/>
      <c r="M29" s="20" t="n"/>
      <c r="N29" s="20" t="n"/>
      <c r="O29" s="20" t="n"/>
      <c r="P29" s="19" t="n"/>
      <c r="Q29" s="20" t="n"/>
      <c r="R29" s="20" t="n"/>
      <c r="S29" s="20" t="n"/>
      <c r="T29" s="22" t="n"/>
      <c r="U29" s="38" t="n"/>
    </row>
    <row r="30">
      <c r="A30" s="18" t="n"/>
      <c r="B30" s="12" t="n"/>
      <c r="C30" s="12" t="n"/>
      <c r="D30" s="12" t="n"/>
      <c r="E30" s="12" t="inlineStr">
        <is>
          <t>Q29</t>
        </is>
      </c>
      <c r="F30" s="14" t="n">
        <v>0.08749999999999999</v>
      </c>
      <c r="G30" s="30" t="n">
        <v>2030</v>
      </c>
      <c r="H30" s="20" t="n"/>
      <c r="I30" s="20" t="n"/>
      <c r="J30" s="20" t="n"/>
      <c r="K30" s="20" t="n"/>
      <c r="L30" s="20" t="n"/>
      <c r="M30" s="20" t="n"/>
      <c r="N30" s="20" t="n"/>
      <c r="O30" s="20" t="n"/>
      <c r="P30" s="19" t="n"/>
      <c r="Q30" s="20" t="n"/>
      <c r="R30" s="20" t="n"/>
      <c r="S30" s="20" t="n"/>
      <c r="T30" s="22" t="n"/>
      <c r="U30" s="38" t="n"/>
    </row>
    <row r="31">
      <c r="A31" s="18" t="n"/>
      <c r="B31" s="12" t="n"/>
      <c r="C31" s="12" t="n"/>
      <c r="D31" s="12" t="n"/>
      <c r="E31" s="12" t="inlineStr">
        <is>
          <t>Q30</t>
        </is>
      </c>
      <c r="F31" s="14" t="n">
        <v>0.09</v>
      </c>
      <c r="G31" s="30" t="n">
        <v>2029</v>
      </c>
      <c r="H31" s="20" t="n"/>
      <c r="I31" s="20" t="n"/>
      <c r="J31" s="20" t="n"/>
      <c r="K31" s="20" t="n"/>
      <c r="L31" s="20" t="n"/>
      <c r="M31" s="20" t="n"/>
      <c r="N31" s="20" t="n"/>
      <c r="O31" s="20" t="n"/>
      <c r="P31" s="19" t="n"/>
      <c r="Q31" s="20" t="n"/>
      <c r="R31" s="20" t="n"/>
      <c r="S31" s="20" t="n"/>
      <c r="T31" s="22" t="n"/>
      <c r="U31" s="38" t="n"/>
    </row>
    <row r="32">
      <c r="A32" s="18" t="n"/>
      <c r="B32" s="12" t="n"/>
      <c r="C32" s="12" t="n"/>
      <c r="D32" s="12" t="n"/>
      <c r="E32" s="12" t="inlineStr">
        <is>
          <t>Q31</t>
        </is>
      </c>
      <c r="F32" s="14" t="n">
        <v>0.09</v>
      </c>
      <c r="G32" s="30" t="n">
        <v>2030</v>
      </c>
      <c r="H32" s="20" t="n"/>
      <c r="I32" s="20" t="n"/>
      <c r="J32" s="20" t="n"/>
      <c r="K32" s="20" t="n"/>
      <c r="L32" s="20" t="n"/>
      <c r="M32" s="20" t="n"/>
      <c r="N32" s="20" t="n"/>
      <c r="O32" s="20" t="n"/>
      <c r="P32" s="19" t="n"/>
      <c r="Q32" s="20" t="n"/>
      <c r="R32" s="20" t="n"/>
      <c r="S32" s="20" t="n"/>
      <c r="T32" s="22" t="n"/>
      <c r="U32" s="38" t="n"/>
    </row>
    <row r="33">
      <c r="A33" s="18" t="n"/>
      <c r="B33" s="12" t="n"/>
      <c r="C33" s="12" t="n"/>
      <c r="D33" s="12" t="n"/>
      <c r="E33" s="12" t="inlineStr">
        <is>
          <t>Q32</t>
        </is>
      </c>
      <c r="F33" s="14" t="n">
        <v>0.09</v>
      </c>
      <c r="G33" s="30" t="n">
        <v>2031</v>
      </c>
      <c r="H33" s="20" t="n"/>
      <c r="I33" s="20" t="n"/>
      <c r="J33" s="20" t="n"/>
      <c r="K33" s="20" t="n"/>
      <c r="L33" s="20" t="n"/>
      <c r="M33" s="20" t="n"/>
      <c r="N33" s="20" t="n"/>
      <c r="O33" s="20" t="n"/>
      <c r="P33" s="19" t="n"/>
      <c r="Q33" s="20" t="n"/>
      <c r="R33" s="20" t="n"/>
      <c r="S33" s="20" t="n"/>
      <c r="T33" s="22" t="n"/>
      <c r="U33" s="38" t="n"/>
    </row>
    <row r="34">
      <c r="A34" s="18" t="n"/>
      <c r="B34" s="12" t="n"/>
      <c r="C34" s="12" t="n"/>
      <c r="D34" s="12" t="n"/>
      <c r="E34" s="12" t="inlineStr">
        <is>
          <t>Q33</t>
        </is>
      </c>
      <c r="F34" s="14" t="n">
        <v>0.09</v>
      </c>
      <c r="G34" s="30" t="n">
        <v>2033</v>
      </c>
      <c r="H34" s="20" t="n"/>
      <c r="I34" s="20" t="n"/>
      <c r="J34" s="20" t="n"/>
      <c r="K34" s="20" t="n"/>
      <c r="L34" s="20" t="n"/>
      <c r="M34" s="20" t="n"/>
      <c r="N34" s="20" t="n"/>
      <c r="O34" s="20" t="n"/>
      <c r="P34" s="19" t="n"/>
      <c r="Q34" s="20" t="n"/>
      <c r="R34" s="20" t="n"/>
      <c r="S34" s="20" t="n"/>
      <c r="T34" s="22" t="n"/>
      <c r="U34" s="38" t="n"/>
    </row>
    <row r="35">
      <c r="A35" s="18" t="n"/>
      <c r="B35" s="12" t="n"/>
      <c r="C35" s="12" t="n"/>
      <c r="D35" s="12" t="n"/>
      <c r="E35" s="12" t="inlineStr">
        <is>
          <t>Q34</t>
        </is>
      </c>
      <c r="F35" s="14" t="n">
        <v>0.0925</v>
      </c>
      <c r="G35" s="30" t="n">
        <v>2033</v>
      </c>
      <c r="H35" s="20" t="n"/>
      <c r="I35" s="20" t="n"/>
      <c r="J35" s="20" t="n"/>
      <c r="K35" s="20" t="n"/>
      <c r="L35" s="20" t="n"/>
      <c r="M35" s="20" t="n"/>
      <c r="N35" s="20" t="n"/>
      <c r="O35" s="20" t="n"/>
      <c r="P35" s="19" t="n"/>
      <c r="Q35" s="20" t="n"/>
      <c r="R35" s="20" t="n"/>
      <c r="S35" s="20" t="n"/>
      <c r="T35" s="22" t="n"/>
      <c r="U35" s="38" t="n"/>
    </row>
    <row r="36">
      <c r="A36" s="18" t="n"/>
      <c r="B36" s="12" t="n"/>
      <c r="C36" s="12" t="n"/>
      <c r="D36" s="12" t="n"/>
      <c r="E36" s="12" t="inlineStr">
        <is>
          <t>Q35</t>
        </is>
      </c>
      <c r="F36" s="14" t="n">
        <v>0.1</v>
      </c>
      <c r="G36" s="30" t="n">
        <v>2030</v>
      </c>
      <c r="H36" s="20" t="n"/>
      <c r="I36" s="20" t="n"/>
      <c r="J36" s="20" t="n"/>
      <c r="K36" s="20" t="n"/>
      <c r="L36" s="20" t="n"/>
      <c r="M36" s="20" t="n"/>
      <c r="N36" s="20" t="n"/>
      <c r="O36" s="20" t="n"/>
      <c r="P36" s="19" t="n"/>
      <c r="Q36" s="20" t="n"/>
      <c r="R36" s="20" t="n"/>
      <c r="S36" s="20" t="n"/>
      <c r="T36" s="22" t="n"/>
      <c r="U36" s="38" t="n"/>
    </row>
    <row r="37">
      <c r="A37" s="18" t="n"/>
      <c r="B37" s="12" t="n"/>
      <c r="C37" s="12" t="n"/>
      <c r="D37" s="12" t="n"/>
      <c r="E37" s="12" t="inlineStr">
        <is>
          <t>Q36</t>
        </is>
      </c>
      <c r="F37" s="14" t="n">
        <v>0.1</v>
      </c>
      <c r="G37" s="30" t="n">
        <v>2030</v>
      </c>
      <c r="H37" s="20" t="n"/>
      <c r="I37" s="20" t="n"/>
      <c r="J37" s="20" t="n"/>
      <c r="K37" s="20" t="n"/>
      <c r="L37" s="12" t="n"/>
      <c r="M37" s="20" t="n"/>
      <c r="N37" s="20" t="n"/>
      <c r="O37" s="20" t="n"/>
      <c r="P37" s="19" t="n"/>
      <c r="Q37" s="20" t="n"/>
      <c r="R37" s="20" t="n"/>
      <c r="S37" s="20" t="n"/>
      <c r="T37" s="43" t="n"/>
      <c r="U37" s="3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</cols>
  <sheetData>
    <row r="1">
      <c r="A1" s="33" t="inlineStr">
        <is>
          <t>What is the Equity value at Valuation date in the base scenario?</t>
        </is>
      </c>
      <c r="B1" s="45">
        <f>'model_Workings'!S2</f>
        <v/>
      </c>
      <c r="C1" s="33" t="inlineStr">
        <is>
          <t>[$m]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</cols>
  <sheetData>
    <row r="1">
      <c r="A1" s="35" t="inlineStr">
        <is>
          <t>Question</t>
        </is>
      </c>
      <c r="B1" s="35" t="inlineStr">
        <is>
          <t>Answer</t>
        </is>
      </c>
      <c r="C1" s="35" t="inlineStr">
        <is>
          <t>Unit</t>
        </is>
      </c>
    </row>
    <row r="2">
      <c r="A2" s="18" t="inlineStr">
        <is>
          <t>What is the Equity value at Valuation date with the following sensitivity figures (g1 growth rate p.a./g1 end year): 0,02/2033?</t>
        </is>
      </c>
      <c r="B2" s="39">
        <f>'model_Workings'!S3</f>
        <v/>
      </c>
      <c r="C2" s="41" t="inlineStr">
        <is>
          <t>[$m]</t>
        </is>
      </c>
    </row>
    <row r="3">
      <c r="A3" s="18" t="inlineStr">
        <is>
          <t>What is the Equity value at Valuation date with the following sensitivity figures (g1 growth rate p.a./g1 end year): 0,0225/2037?</t>
        </is>
      </c>
      <c r="B3" s="39">
        <f>'model_Workings'!S4</f>
        <v/>
      </c>
      <c r="C3" s="41" t="inlineStr">
        <is>
          <t>[$m]</t>
        </is>
      </c>
    </row>
    <row r="4">
      <c r="A4" s="18" t="inlineStr">
        <is>
          <t>What is the Equity value at Valuation date with the following sensitivity figures (g1 growth rate p.a./g1 end year): 0,0225/2038?</t>
        </is>
      </c>
      <c r="B4" s="39">
        <f>'model_Workings'!S5</f>
        <v/>
      </c>
      <c r="C4" s="41" t="inlineStr">
        <is>
          <t>[$m]</t>
        </is>
      </c>
    </row>
    <row r="5">
      <c r="A5" s="18" t="inlineStr">
        <is>
          <t>What is the Equity value at Valuation date with the following sensitivity figures (g1 growth rate p.a./g1 end year): 0,025/2033?</t>
        </is>
      </c>
      <c r="B5" s="39">
        <f>'model_Workings'!S6</f>
        <v/>
      </c>
      <c r="C5" s="41" t="inlineStr">
        <is>
          <t>[$m]</t>
        </is>
      </c>
    </row>
    <row r="6">
      <c r="A6" s="18" t="inlineStr">
        <is>
          <t>What is the Equity value at Valuation date with the following sensitivity figures (g1 growth rate p.a./g1 end year): 0,025/2037?</t>
        </is>
      </c>
      <c r="B6" s="39">
        <f>'model_Workings'!S7</f>
        <v/>
      </c>
      <c r="C6" s="41" t="inlineStr">
        <is>
          <t>[$m]</t>
        </is>
      </c>
    </row>
    <row r="7">
      <c r="A7" s="18" t="inlineStr">
        <is>
          <t>What is the Equity value at Valuation date with the following sensitivity figures (g1 growth rate p.a./g1 end year): 0,035/2034?</t>
        </is>
      </c>
      <c r="B7" s="39">
        <f>'model_Workings'!S8</f>
        <v/>
      </c>
      <c r="C7" s="41" t="inlineStr">
        <is>
          <t>[$m]</t>
        </is>
      </c>
    </row>
    <row r="8">
      <c r="A8" s="18" t="inlineStr">
        <is>
          <t>What is the Equity value at Valuation date with the following sensitivity figures (g1 growth rate p.a./g1 end year): 0,035/2036?</t>
        </is>
      </c>
      <c r="B8" s="39">
        <f>'model_Workings'!S9</f>
        <v/>
      </c>
      <c r="C8" s="41" t="inlineStr">
        <is>
          <t>[$m]</t>
        </is>
      </c>
    </row>
    <row r="9">
      <c r="A9" s="18" t="inlineStr">
        <is>
          <t>What is the Equity value at Valuation date with the following sensitivity figures (g1 growth rate p.a./g1 end year): 0,0375/2030?</t>
        </is>
      </c>
      <c r="B9" s="39">
        <f>'model_Workings'!S10</f>
        <v/>
      </c>
      <c r="C9" s="41" t="inlineStr">
        <is>
          <t>[$m]</t>
        </is>
      </c>
    </row>
    <row r="10">
      <c r="A10" s="18" t="inlineStr">
        <is>
          <t>What is the Equity value at Valuation date with the following sensitivity figures (g1 growth rate p.a./g1 end year): 0,0375/2034?</t>
        </is>
      </c>
      <c r="B10" s="39">
        <f>'model_Workings'!S11</f>
        <v/>
      </c>
      <c r="C10" s="41" t="inlineStr">
        <is>
          <t>[$m]</t>
        </is>
      </c>
    </row>
    <row r="11">
      <c r="A11" s="18" t="inlineStr">
        <is>
          <t>What is the Equity value at Valuation date with the following sensitivity figures (g1 growth rate p.a./g1 end year): 0,0375/2035?</t>
        </is>
      </c>
      <c r="B11" s="39">
        <f>'model_Workings'!S12</f>
        <v/>
      </c>
      <c r="C11" s="41" t="inlineStr">
        <is>
          <t>[$m]</t>
        </is>
      </c>
    </row>
    <row r="12">
      <c r="A12" s="18" t="inlineStr">
        <is>
          <t>What is the Equity value at Valuation date with the following sensitivity figures (g1 growth rate p.a./g1 end year): 0,04/2035?</t>
        </is>
      </c>
      <c r="B12" s="39">
        <f>'model_Workings'!S13</f>
        <v/>
      </c>
      <c r="C12" s="41" t="inlineStr">
        <is>
          <t>[$m]</t>
        </is>
      </c>
    </row>
    <row r="13">
      <c r="A13" s="18" t="inlineStr">
        <is>
          <t>What is the Equity value at Valuation date with the following sensitivity figures (g1 growth rate p.a./g1 end year): 0,0425/2031?</t>
        </is>
      </c>
      <c r="B13" s="39">
        <f>'model_Workings'!S14</f>
        <v/>
      </c>
      <c r="C13" s="41" t="inlineStr">
        <is>
          <t>[$m]</t>
        </is>
      </c>
    </row>
    <row r="14">
      <c r="A14" s="18" t="inlineStr">
        <is>
          <t>What is the Equity value at Valuation date with the following sensitivity figures (g1 growth rate p.a./g1 end year): 0,0425/2034?</t>
        </is>
      </c>
      <c r="B14" s="39">
        <f>'model_Workings'!S15</f>
        <v/>
      </c>
      <c r="C14" s="41" t="inlineStr">
        <is>
          <t>[$m]</t>
        </is>
      </c>
    </row>
    <row r="15">
      <c r="A15" s="18" t="inlineStr">
        <is>
          <t>What is the Equity value at Valuation date with the following sensitivity figures (g1 growth rate p.a./g1 end year): 0,0425/2036?</t>
        </is>
      </c>
      <c r="B15" s="39">
        <f>'model_Workings'!S16</f>
        <v/>
      </c>
      <c r="C15" s="41" t="inlineStr">
        <is>
          <t>[$m]</t>
        </is>
      </c>
    </row>
    <row r="16">
      <c r="A16" s="18" t="inlineStr">
        <is>
          <t>What is the Equity value at Valuation date with the following sensitivity figures (g1 growth rate p.a./g1 end year): 0,045/2029?</t>
        </is>
      </c>
      <c r="B16" s="39">
        <f>'model_Workings'!S17</f>
        <v/>
      </c>
      <c r="C16" s="41" t="inlineStr">
        <is>
          <t>[$m]</t>
        </is>
      </c>
    </row>
    <row r="17">
      <c r="A17" s="18" t="inlineStr">
        <is>
          <t>What is the Equity value at Valuation date with the following sensitivity figures (g1 growth rate p.a./g1 end year): 0,045/2037?</t>
        </is>
      </c>
      <c r="B17" s="39">
        <f>'model_Workings'!S18</f>
        <v/>
      </c>
      <c r="C17" s="41" t="inlineStr">
        <is>
          <t>[$m]</t>
        </is>
      </c>
    </row>
    <row r="18">
      <c r="A18" s="18" t="inlineStr">
        <is>
          <t>What is the Equity value at Valuation date with the following sensitivity figures (g1 growth rate p.a./g1 end year): 0,0475/2029?</t>
        </is>
      </c>
      <c r="B18" s="39">
        <f>'model_Workings'!S19</f>
        <v/>
      </c>
      <c r="C18" s="41" t="inlineStr">
        <is>
          <t>[$m]</t>
        </is>
      </c>
    </row>
    <row r="19">
      <c r="A19" s="18" t="inlineStr">
        <is>
          <t>What is the Equity value at Valuation date with the following sensitivity figures (g1 growth rate p.a./g1 end year): 0,0475/2034?</t>
        </is>
      </c>
      <c r="B19" s="39">
        <f>'model_Workings'!S20</f>
        <v/>
      </c>
      <c r="C19" s="41" t="inlineStr">
        <is>
          <t>[$m]</t>
        </is>
      </c>
    </row>
    <row r="20">
      <c r="A20" s="18" t="inlineStr">
        <is>
          <t>What is the Equity value at Valuation date with the following sensitivity figures (g1 growth rate p.a./g1 end year): 0,05/2038?</t>
        </is>
      </c>
      <c r="B20" s="39">
        <f>'model_Workings'!S21</f>
        <v/>
      </c>
      <c r="C20" s="41" t="inlineStr">
        <is>
          <t>[$m]</t>
        </is>
      </c>
    </row>
    <row r="21">
      <c r="A21" s="18" t="inlineStr">
        <is>
          <t>What is the Equity value at Valuation date with the following sensitivity figures (g1 growth rate p.a./g1 end year): 0,055/2035?</t>
        </is>
      </c>
      <c r="B21" s="39">
        <f>'model_Workings'!S22</f>
        <v/>
      </c>
      <c r="C21" s="41" t="inlineStr">
        <is>
          <t>[$m]</t>
        </is>
      </c>
    </row>
    <row r="22">
      <c r="A22" s="18" t="inlineStr">
        <is>
          <t>What is the Equity value at Valuation date with the following sensitivity figures (g1 growth rate p.a./g1 end year): 0,06/2036?</t>
        </is>
      </c>
      <c r="B22" s="39">
        <f>'model_Workings'!S23</f>
        <v/>
      </c>
      <c r="C22" s="41" t="inlineStr">
        <is>
          <t>[$m]</t>
        </is>
      </c>
    </row>
    <row r="23">
      <c r="A23" s="18" t="inlineStr">
        <is>
          <t>What is the Equity value at Valuation date with the following sensitivity figures (g1 growth rate p.a./g1 end year): 0,0625/2034?</t>
        </is>
      </c>
      <c r="B23" s="39">
        <f>'model_Workings'!S24</f>
        <v/>
      </c>
      <c r="C23" s="41" t="inlineStr">
        <is>
          <t>[$m]</t>
        </is>
      </c>
    </row>
    <row r="24">
      <c r="A24" s="18" t="inlineStr">
        <is>
          <t>What is the Equity value at Valuation date with the following sensitivity figures (g1 growth rate p.a./g1 end year): 0,065/2030?</t>
        </is>
      </c>
      <c r="B24" s="39">
        <f>'model_Workings'!S25</f>
        <v/>
      </c>
      <c r="C24" s="41" t="inlineStr">
        <is>
          <t>[$m]</t>
        </is>
      </c>
    </row>
    <row r="25">
      <c r="A25" s="18" t="inlineStr">
        <is>
          <t>What is the Equity value at Valuation date with the following sensitivity figures (g1 growth rate p.a./g1 end year): 0,0675/2030?</t>
        </is>
      </c>
      <c r="B25" s="39">
        <f>'model_Workings'!S26</f>
        <v/>
      </c>
      <c r="C25" s="41" t="inlineStr">
        <is>
          <t>[$m]</t>
        </is>
      </c>
    </row>
    <row r="26">
      <c r="A26" s="18" t="inlineStr">
        <is>
          <t>What is the Equity value at Valuation date with the following sensitivity figures (g1 growth rate p.a./g1 end year): 0,0725/2032?</t>
        </is>
      </c>
      <c r="B26" s="39">
        <f>'model_Workings'!S27</f>
        <v/>
      </c>
      <c r="C26" s="41" t="inlineStr">
        <is>
          <t>[$m]</t>
        </is>
      </c>
    </row>
    <row r="27">
      <c r="A27" s="18" t="inlineStr">
        <is>
          <t>What is the Equity value at Valuation date with the following sensitivity figures (g1 growth rate p.a./g1 end year): 0,0725/2036?</t>
        </is>
      </c>
      <c r="B27" s="39">
        <f>'model_Workings'!S28</f>
        <v/>
      </c>
      <c r="C27" s="41" t="inlineStr">
        <is>
          <t>[$m]</t>
        </is>
      </c>
    </row>
    <row r="28">
      <c r="A28" s="18" t="inlineStr">
        <is>
          <t>What is the Equity value at Valuation date with the following sensitivity figures (g1 growth rate p.a./g1 end year): 0,0875/2029?</t>
        </is>
      </c>
      <c r="B28" s="39">
        <f>'model_Workings'!S29</f>
        <v/>
      </c>
      <c r="C28" s="41" t="inlineStr">
        <is>
          <t>[$m]</t>
        </is>
      </c>
    </row>
    <row r="29">
      <c r="A29" s="18" t="inlineStr">
        <is>
          <t>What is the Equity value at Valuation date with the following sensitivity figures (g1 growth rate p.a./g1 end year): 0,0875/2030?</t>
        </is>
      </c>
      <c r="B29" s="39">
        <f>'model_Workings'!S30</f>
        <v/>
      </c>
      <c r="C29" s="41" t="inlineStr">
        <is>
          <t>[$m]</t>
        </is>
      </c>
    </row>
    <row r="30">
      <c r="A30" s="18" t="inlineStr">
        <is>
          <t>What is the Equity value at Valuation date with the following sensitivity figures (g1 growth rate p.a./g1 end year): 0,09/2029?</t>
        </is>
      </c>
      <c r="B30" s="39">
        <f>'model_Workings'!S31</f>
        <v/>
      </c>
      <c r="C30" s="41" t="inlineStr">
        <is>
          <t>[$m]</t>
        </is>
      </c>
    </row>
    <row r="31">
      <c r="A31" s="18" t="inlineStr">
        <is>
          <t>What is the Equity value at Valuation date with the following sensitivity figures (g1 growth rate p.a./g1 end year): 0,09/2030?</t>
        </is>
      </c>
      <c r="B31" s="39">
        <f>'model_Workings'!S32</f>
        <v/>
      </c>
      <c r="C31" s="41" t="inlineStr">
        <is>
          <t>[$m]</t>
        </is>
      </c>
    </row>
    <row r="32">
      <c r="A32" s="18" t="inlineStr">
        <is>
          <t>What is the Equity value at Valuation date with the following sensitivity figures (g1 growth rate p.a./g1 end year): 0,09/2031?</t>
        </is>
      </c>
      <c r="B32" s="39">
        <f>'model_Workings'!S33</f>
        <v/>
      </c>
      <c r="C32" s="41" t="inlineStr">
        <is>
          <t>[$m]</t>
        </is>
      </c>
    </row>
    <row r="33">
      <c r="A33" s="18" t="inlineStr">
        <is>
          <t>What is the Equity value at Valuation date with the following sensitivity figures (g1 growth rate p.a./g1 end year): 0,09/2033?</t>
        </is>
      </c>
      <c r="B33" s="39">
        <f>'model_Workings'!S34</f>
        <v/>
      </c>
      <c r="C33" s="41" t="inlineStr">
        <is>
          <t>[$m]</t>
        </is>
      </c>
    </row>
    <row r="34">
      <c r="A34" s="18" t="inlineStr">
        <is>
          <t>What is the Equity value at Valuation date with the following sensitivity figures (g1 growth rate p.a./g1 end year): 0,0925/2033?</t>
        </is>
      </c>
      <c r="B34" s="39">
        <f>'model_Workings'!S35</f>
        <v/>
      </c>
      <c r="C34" s="41" t="inlineStr">
        <is>
          <t>[$m]</t>
        </is>
      </c>
    </row>
    <row r="35">
      <c r="A35" s="18" t="inlineStr">
        <is>
          <t>What is the Equity value at Valuation date with the following sensitivity figures (g1 growth rate p.a./g1 end year): 0,1/2030?</t>
        </is>
      </c>
      <c r="B35" s="39">
        <f>'model_Workings'!S36</f>
        <v/>
      </c>
      <c r="C35" s="41" t="inlineStr">
        <is>
          <t>[$m]</t>
        </is>
      </c>
    </row>
    <row r="36">
      <c r="A36" s="18" t="inlineStr">
        <is>
          <t>What is the Equity value at Valuation date with the following sensitivity figures (g1 growth rate p.a./g1 end year): 0,1/2030?</t>
        </is>
      </c>
      <c r="B36" s="39">
        <f>'model_Workings'!S37</f>
        <v/>
      </c>
      <c r="C36" s="41" t="inlineStr">
        <is>
          <t>[$m]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2026-08-18T20:04:55Z</dcterms:created>
  <dcterms:modified xsi:type="dcterms:W3CDTF">2026-08-18T22:55:35Z</dcterms:modified>
</cp:coreProperties>
</file>