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Assumptions" sheetId="1" state="visible" r:id="rId1"/>
    <sheet name="model_Calendar" sheetId="2" state="visible" r:id="rId2"/>
    <sheet name="model_PL" sheetId="3" state="visible" r:id="rId3"/>
    <sheet name="model_BS" sheetId="4" state="visible" r:id="rId4"/>
    <sheet name="model_CF" sheetId="5" state="visible" r:id="rId5"/>
    <sheet name="answers_Ques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_);($#,##0)"/>
    <numFmt numFmtId="165" formatCode="YYYY-MM-DD"/>
  </numFmts>
  <fonts count="7">
    <font>
      <name val="Calibri"/>
      <family val="2"/>
      <color theme="1"/>
      <sz val="11"/>
      <scheme val="minor"/>
    </font>
    <font>
      <name val="Calibri"/>
      <color theme="1"/>
      <sz val="11"/>
    </font>
    <font>
      <name val="Calibri"/>
      <b val="1"/>
      <color rgb="00FFFFFF"/>
      <sz val="11"/>
    </font>
    <font>
      <name val="Calibri"/>
      <color rgb="000000FF"/>
      <sz val="11"/>
    </font>
    <font>
      <name val="Calibri"/>
      <color rgb="00008000"/>
      <sz val="11"/>
    </font>
    <font>
      <name val="Calibri"/>
      <color rgb="00FF8C00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/>
      <right/>
      <top style="thin"/>
      <bottom style="thin"/>
    </border>
    <border>
      <left/>
      <right/>
      <top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164" fontId="3" fillId="0" borderId="0" applyAlignment="1" pivotButton="0" quotePrefix="0" xfId="0">
      <alignment horizontal="right"/>
    </xf>
    <xf numFmtId="10" fontId="3" fillId="0" borderId="0" applyAlignment="1" pivotButton="0" quotePrefix="0" xfId="0">
      <alignment horizontal="right"/>
    </xf>
    <xf numFmtId="165" fontId="3" fillId="0" borderId="0" pivotButton="0" quotePrefix="0" xfId="0"/>
    <xf numFmtId="165" fontId="1" fillId="0" borderId="0" pivotButton="0" quotePrefix="0" xfId="0"/>
    <xf numFmtId="164" fontId="1" fillId="0" borderId="0" applyAlignment="1" pivotButton="0" quotePrefix="0" xfId="0">
      <alignment horizontal="right"/>
    </xf>
    <xf numFmtId="164" fontId="1" fillId="0" borderId="1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0" fontId="4" fillId="0" borderId="0" pivotButton="0" quotePrefix="0" xfId="0"/>
    <xf numFmtId="164" fontId="4" fillId="0" borderId="1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0" fontId="5" fillId="0" borderId="0" pivotButton="0" quotePrefix="0" xfId="0"/>
    <xf numFmtId="0" fontId="4" fillId="0" borderId="2" pivotButton="0" quotePrefix="0" xfId="0"/>
    <xf numFmtId="164" fontId="6" fillId="0" borderId="0" applyAlignment="1" pivotButton="0" quotePrefix="0" xfId="0">
      <alignment horizontal="right"/>
    </xf>
    <xf numFmtId="0" fontId="6" fillId="0" borderId="0" pivotButton="0" quotePrefix="0" xfId="0"/>
    <xf numFmtId="164" fontId="6" fillId="0" borderId="1" applyAlignment="1" pivotButton="0" quotePrefix="0" xfId="0">
      <alignment horizontal="right"/>
    </xf>
    <xf numFmtId="0" fontId="6" fillId="0" borderId="2" pivotButton="0" quotePrefix="0" xfId="0"/>
    <xf numFmtId="164" fontId="6" fillId="0" borderId="2" applyAlignment="1" pivotButton="0" quotePrefix="0" xfId="0">
      <alignment horizontal="right"/>
    </xf>
    <xf numFmtId="164" fontId="1" fillId="0" borderId="2" applyAlignment="1" pivotButton="0" quotePrefix="0" xfId="0">
      <alignment horizontal="right"/>
    </xf>
    <xf numFmtId="0" fontId="1" fillId="0" borderId="2" pivotButton="0" quotePrefix="0" xfId="0"/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25" customWidth="1" min="3" max="3"/>
  </cols>
  <sheetData>
    <row r="1">
      <c r="A1" s="2" t="inlineStr">
        <is>
          <t>Model Basics</t>
        </is>
      </c>
      <c r="B1" s="1" t="n"/>
      <c r="C1" s="1" t="n"/>
    </row>
    <row r="2">
      <c r="A2" s="1" t="inlineStr">
        <is>
          <t>Start Date</t>
        </is>
      </c>
      <c r="B2" s="6" t="inlineStr">
        <is>
          <t>2027-01-01</t>
        </is>
      </c>
      <c r="C2" s="1" t="n"/>
    </row>
    <row r="3">
      <c r="A3" s="1" t="inlineStr">
        <is>
          <t>Months per Year</t>
        </is>
      </c>
      <c r="B3" s="3" t="n">
        <v>12</v>
      </c>
      <c r="C3" s="1" t="n"/>
    </row>
    <row r="4">
      <c r="A4" s="1" t="inlineStr">
        <is>
          <t>Model Duration [years]</t>
        </is>
      </c>
      <c r="B4" s="3" t="n">
        <v>10</v>
      </c>
      <c r="C4" s="1" t="n"/>
    </row>
    <row r="5">
      <c r="A5" s="1" t="inlineStr">
        <is>
          <t>Tax Rate [%]</t>
        </is>
      </c>
      <c r="B5" s="5" t="n">
        <v>0.26375</v>
      </c>
      <c r="C5" s="1" t="n"/>
    </row>
    <row r="6">
      <c r="A6" s="1" t="inlineStr">
        <is>
          <t>Profit Distribution Quota [%]</t>
        </is>
      </c>
      <c r="B6" s="5" t="n">
        <v>0.8</v>
      </c>
      <c r="C6" s="1" t="n"/>
    </row>
    <row r="7">
      <c r="A7" s="1" t="n"/>
      <c r="B7" s="1" t="n"/>
      <c r="C7" s="1" t="n"/>
    </row>
    <row r="8">
      <c r="A8" s="2" t="inlineStr">
        <is>
          <t>GL Amounts &amp; Categorization</t>
        </is>
      </c>
      <c r="B8" s="1" t="n"/>
      <c r="C8" s="1" t="n"/>
    </row>
    <row r="9">
      <c r="A9" s="2" t="inlineStr">
        <is>
          <t>Item</t>
        </is>
      </c>
      <c r="B9" s="2" t="inlineStr">
        <is>
          <t>Amount 2026</t>
        </is>
      </c>
      <c r="C9" s="2" t="inlineStr">
        <is>
          <t>Category</t>
        </is>
      </c>
    </row>
    <row r="10">
      <c r="A10" s="1" t="inlineStr">
        <is>
          <t>Revenue</t>
        </is>
      </c>
      <c r="B10" s="4" t="n">
        <v>4872391284</v>
      </c>
      <c r="C10" s="1" t="inlineStr">
        <is>
          <t>Revenue</t>
        </is>
      </c>
    </row>
    <row r="11">
      <c r="A11" s="1" t="inlineStr">
        <is>
          <t>Cost of Goods Sold</t>
        </is>
      </c>
      <c r="B11" s="4" t="n">
        <v>-2913774662</v>
      </c>
      <c r="C11" s="1" t="inlineStr">
        <is>
          <t>COGS</t>
        </is>
      </c>
    </row>
    <row r="12">
      <c r="A12" s="1" t="inlineStr">
        <is>
          <t>Research &amp; Development</t>
        </is>
      </c>
      <c r="B12" s="4" t="n">
        <v>-312447193</v>
      </c>
      <c r="C12" s="1" t="inlineStr">
        <is>
          <t>Operating Expenses</t>
        </is>
      </c>
    </row>
    <row r="13">
      <c r="A13" s="1" t="inlineStr">
        <is>
          <t>Sales &amp; Marketing</t>
        </is>
      </c>
      <c r="B13" s="4" t="n">
        <v>-421885774</v>
      </c>
      <c r="C13" s="1" t="inlineStr">
        <is>
          <t>Operating Expenses</t>
        </is>
      </c>
    </row>
    <row r="14">
      <c r="A14" s="1" t="inlineStr">
        <is>
          <t>General &amp; Administrative</t>
        </is>
      </c>
      <c r="B14" s="4" t="n">
        <v>-287119508</v>
      </c>
      <c r="C14" s="1" t="inlineStr">
        <is>
          <t>Operating Expenses</t>
        </is>
      </c>
    </row>
    <row r="15">
      <c r="A15" s="1" t="inlineStr">
        <is>
          <t>Depreciation &amp; Amortization</t>
        </is>
      </c>
      <c r="B15" s="4" t="n">
        <v>-25866391</v>
      </c>
      <c r="C15" s="1" t="inlineStr">
        <is>
          <t>D&amp;A</t>
        </is>
      </c>
    </row>
    <row r="16">
      <c r="A16" s="1" t="inlineStr">
        <is>
          <t>IT &amp; Infrastructure</t>
        </is>
      </c>
      <c r="B16" s="4" t="n">
        <v>-96337441</v>
      </c>
      <c r="C16" s="1" t="inlineStr">
        <is>
          <t>Operating Expenses</t>
        </is>
      </c>
    </row>
    <row r="17">
      <c r="A17" s="1" t="inlineStr">
        <is>
          <t>Legal &amp; Compliance</t>
        </is>
      </c>
      <c r="B17" s="4" t="n">
        <v>-54992118</v>
      </c>
      <c r="C17" s="1" t="inlineStr">
        <is>
          <t>Operating Expenses</t>
        </is>
      </c>
    </row>
    <row r="18">
      <c r="A18" s="1" t="inlineStr">
        <is>
          <t>Logistics &amp; Distribution</t>
        </is>
      </c>
      <c r="B18" s="4" t="n">
        <v>-133771509</v>
      </c>
      <c r="C18" s="1" t="inlineStr">
        <is>
          <t>Operating Expenses</t>
        </is>
      </c>
    </row>
    <row r="19">
      <c r="A19" s="1" t="inlineStr">
        <is>
          <t>Interest Income</t>
        </is>
      </c>
      <c r="B19" s="4" t="n">
        <v>12448920</v>
      </c>
      <c r="C19" s="1" t="inlineStr">
        <is>
          <t>Non-Operating Items</t>
        </is>
      </c>
    </row>
    <row r="20">
      <c r="A20" s="1" t="inlineStr">
        <is>
          <t>Interest Expense</t>
        </is>
      </c>
      <c r="B20" s="4" t="n">
        <v>-88773411</v>
      </c>
      <c r="C20" s="1" t="inlineStr">
        <is>
          <t>Non-Operating Items</t>
        </is>
      </c>
    </row>
    <row r="21">
      <c r="A21" s="1" t="inlineStr">
        <is>
          <t>Cash &amp; Cash Equivalents</t>
        </is>
      </c>
      <c r="B21" s="4" t="n">
        <v>713331786</v>
      </c>
      <c r="C21" s="1" t="inlineStr">
        <is>
          <t>Current Assets</t>
        </is>
      </c>
    </row>
    <row r="22">
      <c r="A22" s="1" t="inlineStr">
        <is>
          <t>Short-Term Investments</t>
        </is>
      </c>
      <c r="B22" s="4" t="n">
        <v>298117903</v>
      </c>
      <c r="C22" s="1" t="inlineStr">
        <is>
          <t>Current Assets</t>
        </is>
      </c>
    </row>
    <row r="23">
      <c r="A23" s="1" t="inlineStr">
        <is>
          <t>Accounts Receivable</t>
        </is>
      </c>
      <c r="B23" s="4" t="n">
        <v>734228556</v>
      </c>
      <c r="C23" s="1" t="inlineStr">
        <is>
          <t>Current Assets</t>
        </is>
      </c>
    </row>
    <row r="24">
      <c r="A24" s="1" t="inlineStr">
        <is>
          <t>Inventory</t>
        </is>
      </c>
      <c r="B24" s="4" t="n">
        <v>589441772</v>
      </c>
      <c r="C24" s="1" t="inlineStr">
        <is>
          <t>Current Assets</t>
        </is>
      </c>
    </row>
    <row r="25">
      <c r="A25" s="1" t="inlineStr">
        <is>
          <t>Prepaid Expenses</t>
        </is>
      </c>
      <c r="B25" s="4" t="n">
        <v>83772194</v>
      </c>
      <c r="C25" s="1" t="inlineStr">
        <is>
          <t>Current Assets</t>
        </is>
      </c>
    </row>
    <row r="26">
      <c r="A26" s="1" t="inlineStr">
        <is>
          <t>Other Current Assets</t>
        </is>
      </c>
      <c r="B26" s="4" t="n">
        <v>61992663</v>
      </c>
      <c r="C26" s="1" t="inlineStr">
        <is>
          <t>Current Assets</t>
        </is>
      </c>
    </row>
    <row r="27">
      <c r="A27" s="1" t="inlineStr">
        <is>
          <t>Property, Plant &amp; Equipment</t>
        </is>
      </c>
      <c r="B27" s="4" t="n">
        <v>2948661509</v>
      </c>
      <c r="C27" s="1" t="inlineStr">
        <is>
          <t>Non-Current Assets</t>
        </is>
      </c>
    </row>
    <row r="28">
      <c r="A28" s="1" t="inlineStr">
        <is>
          <t>Accumulated Depreciation</t>
        </is>
      </c>
      <c r="B28" s="4" t="n">
        <v>-1221447882</v>
      </c>
      <c r="C28" s="1" t="inlineStr">
        <is>
          <t>Non-Current Assets</t>
        </is>
      </c>
    </row>
    <row r="29">
      <c r="A29" s="1" t="inlineStr">
        <is>
          <t>Intangible Assets</t>
        </is>
      </c>
      <c r="B29" s="4" t="n">
        <v>643229770</v>
      </c>
      <c r="C29" s="1" t="inlineStr">
        <is>
          <t>Non-Current Assets</t>
        </is>
      </c>
    </row>
    <row r="30">
      <c r="A30" s="1" t="inlineStr">
        <is>
          <t>Long-Term Investments</t>
        </is>
      </c>
      <c r="B30" s="4" t="n">
        <v>512774008</v>
      </c>
      <c r="C30" s="1" t="inlineStr">
        <is>
          <t>Non-Current Assets</t>
        </is>
      </c>
    </row>
    <row r="31">
      <c r="A31" s="1" t="inlineStr">
        <is>
          <t>Other Non-Current Assets</t>
        </is>
      </c>
      <c r="B31" s="4" t="n">
        <v>76441557</v>
      </c>
      <c r="C31" s="1" t="inlineStr">
        <is>
          <t>Non-Current Assets</t>
        </is>
      </c>
    </row>
    <row r="32">
      <c r="A32" s="1" t="inlineStr">
        <is>
          <t>Accounts Payable</t>
        </is>
      </c>
      <c r="B32" s="4" t="n">
        <v>498117224</v>
      </c>
      <c r="C32" s="1" t="inlineStr">
        <is>
          <t>Current Liabilities</t>
        </is>
      </c>
    </row>
    <row r="33">
      <c r="A33" s="1" t="inlineStr">
        <is>
          <t>Short-Term Debt</t>
        </is>
      </c>
      <c r="B33" s="4" t="n">
        <v>376882911</v>
      </c>
      <c r="C33" s="1" t="inlineStr">
        <is>
          <t>Current Liabilities</t>
        </is>
      </c>
    </row>
    <row r="34">
      <c r="A34" s="1" t="inlineStr">
        <is>
          <t>Accrued Expenses</t>
        </is>
      </c>
      <c r="B34" s="4" t="n">
        <v>284773619</v>
      </c>
      <c r="C34" s="1" t="inlineStr">
        <is>
          <t>Current Liabilities</t>
        </is>
      </c>
    </row>
    <row r="35">
      <c r="A35" s="1" t="inlineStr">
        <is>
          <t>Deferred Revenue</t>
        </is>
      </c>
      <c r="B35" s="4" t="n">
        <v>192338440</v>
      </c>
      <c r="C35" s="1" t="inlineStr">
        <is>
          <t>Current Liabilities</t>
        </is>
      </c>
    </row>
    <row r="36">
      <c r="A36" s="1" t="inlineStr">
        <is>
          <t>Current Portion of Long-Term Debt</t>
        </is>
      </c>
      <c r="B36" s="4" t="n">
        <v>141774229</v>
      </c>
      <c r="C36" s="1" t="inlineStr">
        <is>
          <t>Current Liabilities</t>
        </is>
      </c>
    </row>
    <row r="37">
      <c r="A37" s="1" t="inlineStr">
        <is>
          <t>Other Current Liabilities</t>
        </is>
      </c>
      <c r="B37" s="4" t="n">
        <v>97441772</v>
      </c>
      <c r="C37" s="1" t="inlineStr">
        <is>
          <t>Current Liabilities</t>
        </is>
      </c>
    </row>
    <row r="38">
      <c r="A38" s="1" t="inlineStr">
        <is>
          <t>Long-Term Debt</t>
        </is>
      </c>
      <c r="B38" s="4" t="n">
        <v>2184662773</v>
      </c>
      <c r="C38" s="1" t="inlineStr">
        <is>
          <t>Non-Current Liabilities</t>
        </is>
      </c>
    </row>
    <row r="39">
      <c r="A39" s="1" t="inlineStr">
        <is>
          <t>Pension Liabilities</t>
        </is>
      </c>
      <c r="B39" s="4" t="n">
        <v>318447661</v>
      </c>
      <c r="C39" s="1" t="inlineStr">
        <is>
          <t>Non-Current Liabilities</t>
        </is>
      </c>
    </row>
    <row r="40">
      <c r="A40" s="1" t="inlineStr">
        <is>
          <t>Lease Liabilities</t>
        </is>
      </c>
      <c r="B40" s="4" t="n">
        <v>274119508</v>
      </c>
      <c r="C40" s="1" t="inlineStr">
        <is>
          <t>Non-Current Liabilities</t>
        </is>
      </c>
    </row>
    <row r="41">
      <c r="A41" s="1" t="inlineStr">
        <is>
          <t>Other Long-Term Liabilities</t>
        </is>
      </c>
      <c r="B41" s="4" t="n">
        <v>96228441</v>
      </c>
      <c r="C41" s="1" t="inlineStr">
        <is>
          <t>Non-Current Liabilities</t>
        </is>
      </c>
    </row>
    <row r="42">
      <c r="A42" s="1" t="inlineStr">
        <is>
          <t>Share Capital</t>
        </is>
      </c>
      <c r="B42" s="4" t="n">
        <v>642883000</v>
      </c>
      <c r="C42" s="1" t="inlineStr">
        <is>
          <t>Equity</t>
        </is>
      </c>
    </row>
    <row r="43">
      <c r="A43" s="1" t="inlineStr">
        <is>
          <t>Additional Paid-In Capital</t>
        </is>
      </c>
      <c r="B43" s="4" t="n">
        <v>218447229</v>
      </c>
      <c r="C43" s="1" t="inlineStr">
        <is>
          <t>Equity</t>
        </is>
      </c>
    </row>
    <row r="44">
      <c r="A44" s="1" t="inlineStr">
        <is>
          <t>Retained Earnings</t>
        </is>
      </c>
      <c r="B44" s="4" t="n">
        <v>114427029</v>
      </c>
      <c r="C44" s="1" t="inlineStr">
        <is>
          <t>Equity</t>
        </is>
      </c>
    </row>
    <row r="45">
      <c r="A45" s="1" t="n"/>
      <c r="B45" s="1" t="n"/>
      <c r="C45" s="1" t="n"/>
    </row>
    <row r="46">
      <c r="A46" s="2" t="inlineStr">
        <is>
          <t>Growth Rates</t>
        </is>
      </c>
      <c r="B46" s="1" t="n"/>
      <c r="C46" s="1" t="n"/>
    </row>
    <row r="47">
      <c r="A47" s="2" t="inlineStr">
        <is>
          <t>Category</t>
        </is>
      </c>
      <c r="B47" s="2" t="inlineStr">
        <is>
          <t>EAG [%]</t>
        </is>
      </c>
      <c r="C47" s="1" t="n"/>
    </row>
    <row r="48">
      <c r="A48" s="1" t="inlineStr">
        <is>
          <t>Revenue</t>
        </is>
      </c>
      <c r="B48" s="5" t="n">
        <v>0.022</v>
      </c>
      <c r="C48" s="1" t="n"/>
    </row>
    <row r="49">
      <c r="A49" s="1" t="inlineStr">
        <is>
          <t>COGS</t>
        </is>
      </c>
      <c r="B49" s="5" t="n">
        <v>0.0215</v>
      </c>
      <c r="C49" s="1" t="n"/>
    </row>
    <row r="50">
      <c r="A50" s="1" t="inlineStr">
        <is>
          <t>Operating Expenses</t>
        </is>
      </c>
      <c r="B50" s="5" t="n">
        <v>0.016</v>
      </c>
      <c r="C50" s="1" t="n"/>
    </row>
    <row r="51">
      <c r="A51" s="1" t="inlineStr">
        <is>
          <t>Non-Operating Items</t>
        </is>
      </c>
      <c r="B51" s="5" t="n">
        <v>0.025</v>
      </c>
      <c r="C51" s="1" t="n"/>
    </row>
    <row r="52">
      <c r="A52" s="1" t="inlineStr">
        <is>
          <t>Current Assets</t>
        </is>
      </c>
      <c r="B52" s="5" t="n">
        <v>0.02</v>
      </c>
      <c r="C52" s="1" t="n"/>
    </row>
    <row r="53">
      <c r="A53" s="1" t="inlineStr">
        <is>
          <t>Non-Current Assets</t>
        </is>
      </c>
      <c r="B53" s="5" t="n">
        <v>0.021</v>
      </c>
      <c r="C53" s="1" t="n"/>
    </row>
    <row r="54">
      <c r="A54" s="1" t="inlineStr">
        <is>
          <t>Current Liabilities</t>
        </is>
      </c>
      <c r="B54" s="5" t="n">
        <v>0.019</v>
      </c>
      <c r="C54" s="1" t="n"/>
    </row>
    <row r="55">
      <c r="A55" s="1" t="inlineStr">
        <is>
          <t>Non-Current Liabilities</t>
        </is>
      </c>
      <c r="B55" s="5" t="n">
        <v>0.015</v>
      </c>
      <c r="C55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Q5"/>
  <sheetViews>
    <sheetView workbookViewId="0">
      <pane xSplit="1" topLeftCell="B1" activePane="top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  <col width="17" customWidth="1" min="75" max="75"/>
    <col width="17" customWidth="1" min="76" max="76"/>
    <col width="17" customWidth="1" min="77" max="77"/>
    <col width="17" customWidth="1" min="78" max="78"/>
    <col width="17" customWidth="1" min="79" max="79"/>
    <col width="17" customWidth="1" min="80" max="80"/>
    <col width="17" customWidth="1" min="81" max="81"/>
    <col width="17" customWidth="1" min="82" max="82"/>
    <col width="17" customWidth="1" min="83" max="83"/>
    <col width="17" customWidth="1" min="84" max="84"/>
    <col width="17" customWidth="1" min="85" max="85"/>
    <col width="17" customWidth="1" min="86" max="86"/>
    <col width="17" customWidth="1" min="87" max="87"/>
    <col width="17" customWidth="1" min="88" max="88"/>
    <col width="17" customWidth="1" min="89" max="89"/>
    <col width="17" customWidth="1" min="90" max="90"/>
    <col width="17" customWidth="1" min="91" max="91"/>
    <col width="17" customWidth="1" min="92" max="92"/>
    <col width="17" customWidth="1" min="93" max="93"/>
    <col width="17" customWidth="1" min="94" max="94"/>
    <col width="17" customWidth="1" min="95" max="95"/>
    <col width="17" customWidth="1" min="96" max="96"/>
    <col width="17" customWidth="1" min="97" max="97"/>
    <col width="17" customWidth="1" min="98" max="98"/>
    <col width="17" customWidth="1" min="99" max="99"/>
    <col width="17" customWidth="1" min="100" max="100"/>
    <col width="17" customWidth="1" min="101" max="101"/>
    <col width="17" customWidth="1" min="102" max="102"/>
    <col width="17" customWidth="1" min="103" max="103"/>
    <col width="17" customWidth="1" min="104" max="104"/>
    <col width="17" customWidth="1" min="105" max="105"/>
    <col width="17" customWidth="1" min="106" max="106"/>
    <col width="17" customWidth="1" min="107" max="107"/>
    <col width="17" customWidth="1" min="108" max="108"/>
    <col width="17" customWidth="1" min="109" max="109"/>
    <col width="17" customWidth="1" min="110" max="110"/>
    <col width="17" customWidth="1" min="111" max="111"/>
    <col width="17" customWidth="1" min="112" max="112"/>
    <col width="17" customWidth="1" min="113" max="113"/>
    <col width="17" customWidth="1" min="114" max="114"/>
    <col width="17" customWidth="1" min="115" max="115"/>
    <col width="17" customWidth="1" min="116" max="116"/>
    <col width="17" customWidth="1" min="117" max="117"/>
    <col width="17" customWidth="1" min="118" max="118"/>
    <col width="15" customWidth="1" min="119" max="119"/>
    <col width="15" customWidth="1" min="120" max="120"/>
    <col width="15" customWidth="1" min="121" max="121"/>
  </cols>
  <sheetData>
    <row r="1">
      <c r="A1" s="2" t="inlineStr">
        <is>
          <t>Month Index</t>
        </is>
      </c>
      <c r="B1" s="2" t="n">
        <v>1</v>
      </c>
      <c r="C1" s="2">
        <f>B1+1</f>
        <v/>
      </c>
      <c r="D1" s="2">
        <f>C1+1</f>
        <v/>
      </c>
      <c r="E1" s="2">
        <f>D1+1</f>
        <v/>
      </c>
      <c r="F1" s="2">
        <f>E1+1</f>
        <v/>
      </c>
      <c r="G1" s="2">
        <f>F1+1</f>
        <v/>
      </c>
      <c r="H1" s="2">
        <f>G1+1</f>
        <v/>
      </c>
      <c r="I1" s="2">
        <f>H1+1</f>
        <v/>
      </c>
      <c r="J1" s="2">
        <f>I1+1</f>
        <v/>
      </c>
      <c r="K1" s="2">
        <f>J1+1</f>
        <v/>
      </c>
      <c r="L1" s="2">
        <f>K1+1</f>
        <v/>
      </c>
      <c r="M1" s="2">
        <f>L1+1</f>
        <v/>
      </c>
      <c r="N1" s="2">
        <f>M1+1</f>
        <v/>
      </c>
      <c r="O1" s="2">
        <f>N1+1</f>
        <v/>
      </c>
      <c r="P1" s="2">
        <f>O1+1</f>
        <v/>
      </c>
      <c r="Q1" s="2">
        <f>P1+1</f>
        <v/>
      </c>
      <c r="R1" s="2">
        <f>Q1+1</f>
        <v/>
      </c>
      <c r="S1" s="2">
        <f>R1+1</f>
        <v/>
      </c>
      <c r="T1" s="2">
        <f>S1+1</f>
        <v/>
      </c>
      <c r="U1" s="2">
        <f>T1+1</f>
        <v/>
      </c>
      <c r="V1" s="2">
        <f>U1+1</f>
        <v/>
      </c>
      <c r="W1" s="2">
        <f>V1+1</f>
        <v/>
      </c>
      <c r="X1" s="2">
        <f>W1+1</f>
        <v/>
      </c>
      <c r="Y1" s="2">
        <f>X1+1</f>
        <v/>
      </c>
      <c r="Z1" s="2">
        <f>Y1+1</f>
        <v/>
      </c>
      <c r="AA1" s="2">
        <f>Z1+1</f>
        <v/>
      </c>
      <c r="AB1" s="2">
        <f>AA1+1</f>
        <v/>
      </c>
      <c r="AC1" s="2">
        <f>AB1+1</f>
        <v/>
      </c>
      <c r="AD1" s="2">
        <f>AC1+1</f>
        <v/>
      </c>
      <c r="AE1" s="2">
        <f>AD1+1</f>
        <v/>
      </c>
      <c r="AF1" s="2">
        <f>AE1+1</f>
        <v/>
      </c>
      <c r="AG1" s="2">
        <f>AF1+1</f>
        <v/>
      </c>
      <c r="AH1" s="2">
        <f>AG1+1</f>
        <v/>
      </c>
      <c r="AI1" s="2">
        <f>AH1+1</f>
        <v/>
      </c>
      <c r="AJ1" s="2">
        <f>AI1+1</f>
        <v/>
      </c>
      <c r="AK1" s="2">
        <f>AJ1+1</f>
        <v/>
      </c>
      <c r="AL1" s="2">
        <f>AK1+1</f>
        <v/>
      </c>
      <c r="AM1" s="2">
        <f>AL1+1</f>
        <v/>
      </c>
      <c r="AN1" s="2">
        <f>AM1+1</f>
        <v/>
      </c>
      <c r="AO1" s="2">
        <f>AN1+1</f>
        <v/>
      </c>
      <c r="AP1" s="2">
        <f>AO1+1</f>
        <v/>
      </c>
      <c r="AQ1" s="2">
        <f>AP1+1</f>
        <v/>
      </c>
      <c r="AR1" s="2">
        <f>AQ1+1</f>
        <v/>
      </c>
      <c r="AS1" s="2">
        <f>AR1+1</f>
        <v/>
      </c>
      <c r="AT1" s="2">
        <f>AS1+1</f>
        <v/>
      </c>
      <c r="AU1" s="2">
        <f>AT1+1</f>
        <v/>
      </c>
      <c r="AV1" s="2">
        <f>AU1+1</f>
        <v/>
      </c>
      <c r="AW1" s="2">
        <f>AV1+1</f>
        <v/>
      </c>
      <c r="AX1" s="2">
        <f>AW1+1</f>
        <v/>
      </c>
      <c r="AY1" s="2">
        <f>AX1+1</f>
        <v/>
      </c>
      <c r="AZ1" s="2">
        <f>AY1+1</f>
        <v/>
      </c>
      <c r="BA1" s="2">
        <f>AZ1+1</f>
        <v/>
      </c>
      <c r="BB1" s="2">
        <f>BA1+1</f>
        <v/>
      </c>
      <c r="BC1" s="2">
        <f>BB1+1</f>
        <v/>
      </c>
      <c r="BD1" s="2">
        <f>BC1+1</f>
        <v/>
      </c>
      <c r="BE1" s="2">
        <f>BD1+1</f>
        <v/>
      </c>
      <c r="BF1" s="2">
        <f>BE1+1</f>
        <v/>
      </c>
      <c r="BG1" s="2">
        <f>BF1+1</f>
        <v/>
      </c>
      <c r="BH1" s="2">
        <f>BG1+1</f>
        <v/>
      </c>
      <c r="BI1" s="2">
        <f>BH1+1</f>
        <v/>
      </c>
      <c r="BJ1" s="2">
        <f>BI1+1</f>
        <v/>
      </c>
      <c r="BK1" s="2">
        <f>BJ1+1</f>
        <v/>
      </c>
      <c r="BL1" s="2">
        <f>BK1+1</f>
        <v/>
      </c>
      <c r="BM1" s="2">
        <f>BL1+1</f>
        <v/>
      </c>
      <c r="BN1" s="2">
        <f>BM1+1</f>
        <v/>
      </c>
      <c r="BO1" s="2">
        <f>BN1+1</f>
        <v/>
      </c>
      <c r="BP1" s="2">
        <f>BO1+1</f>
        <v/>
      </c>
      <c r="BQ1" s="2">
        <f>BP1+1</f>
        <v/>
      </c>
      <c r="BR1" s="2">
        <f>BQ1+1</f>
        <v/>
      </c>
      <c r="BS1" s="2">
        <f>BR1+1</f>
        <v/>
      </c>
      <c r="BT1" s="2">
        <f>BS1+1</f>
        <v/>
      </c>
      <c r="BU1" s="2">
        <f>BT1+1</f>
        <v/>
      </c>
      <c r="BV1" s="2">
        <f>BU1+1</f>
        <v/>
      </c>
      <c r="BW1" s="2">
        <f>BV1+1</f>
        <v/>
      </c>
      <c r="BX1" s="2">
        <f>BW1+1</f>
        <v/>
      </c>
      <c r="BY1" s="2">
        <f>BX1+1</f>
        <v/>
      </c>
      <c r="BZ1" s="2">
        <f>BY1+1</f>
        <v/>
      </c>
      <c r="CA1" s="2">
        <f>BZ1+1</f>
        <v/>
      </c>
      <c r="CB1" s="2">
        <f>CA1+1</f>
        <v/>
      </c>
      <c r="CC1" s="2">
        <f>CB1+1</f>
        <v/>
      </c>
      <c r="CD1" s="2">
        <f>CC1+1</f>
        <v/>
      </c>
      <c r="CE1" s="2">
        <f>CD1+1</f>
        <v/>
      </c>
      <c r="CF1" s="2">
        <f>CE1+1</f>
        <v/>
      </c>
      <c r="CG1" s="2">
        <f>CF1+1</f>
        <v/>
      </c>
      <c r="CH1" s="2">
        <f>CG1+1</f>
        <v/>
      </c>
      <c r="CI1" s="2">
        <f>CH1+1</f>
        <v/>
      </c>
      <c r="CJ1" s="2">
        <f>CI1+1</f>
        <v/>
      </c>
      <c r="CK1" s="2">
        <f>CJ1+1</f>
        <v/>
      </c>
      <c r="CL1" s="2">
        <f>CK1+1</f>
        <v/>
      </c>
      <c r="CM1" s="2">
        <f>CL1+1</f>
        <v/>
      </c>
      <c r="CN1" s="2">
        <f>CM1+1</f>
        <v/>
      </c>
      <c r="CO1" s="2">
        <f>CN1+1</f>
        <v/>
      </c>
      <c r="CP1" s="2">
        <f>CO1+1</f>
        <v/>
      </c>
      <c r="CQ1" s="2">
        <f>CP1+1</f>
        <v/>
      </c>
      <c r="CR1" s="2">
        <f>CQ1+1</f>
        <v/>
      </c>
      <c r="CS1" s="2">
        <f>CR1+1</f>
        <v/>
      </c>
      <c r="CT1" s="2">
        <f>CS1+1</f>
        <v/>
      </c>
      <c r="CU1" s="2">
        <f>CT1+1</f>
        <v/>
      </c>
      <c r="CV1" s="2">
        <f>CU1+1</f>
        <v/>
      </c>
      <c r="CW1" s="2">
        <f>CV1+1</f>
        <v/>
      </c>
      <c r="CX1" s="2">
        <f>CW1+1</f>
        <v/>
      </c>
      <c r="CY1" s="2">
        <f>CX1+1</f>
        <v/>
      </c>
      <c r="CZ1" s="2">
        <f>CY1+1</f>
        <v/>
      </c>
      <c r="DA1" s="2">
        <f>CZ1+1</f>
        <v/>
      </c>
      <c r="DB1" s="2">
        <f>DA1+1</f>
        <v/>
      </c>
      <c r="DC1" s="2">
        <f>DB1+1</f>
        <v/>
      </c>
      <c r="DD1" s="2">
        <f>DC1+1</f>
        <v/>
      </c>
      <c r="DE1" s="2">
        <f>DD1+1</f>
        <v/>
      </c>
      <c r="DF1" s="2">
        <f>DE1+1</f>
        <v/>
      </c>
      <c r="DG1" s="2">
        <f>DF1+1</f>
        <v/>
      </c>
      <c r="DH1" s="2">
        <f>DG1+1</f>
        <v/>
      </c>
      <c r="DI1" s="2">
        <f>DH1+1</f>
        <v/>
      </c>
      <c r="DJ1" s="2">
        <f>DI1+1</f>
        <v/>
      </c>
      <c r="DK1" s="2">
        <f>DJ1+1</f>
        <v/>
      </c>
      <c r="DL1" s="2">
        <f>DK1+1</f>
        <v/>
      </c>
      <c r="DM1" s="2">
        <f>DL1+1</f>
        <v/>
      </c>
      <c r="DN1" s="2">
        <f>DM1+1</f>
        <v/>
      </c>
      <c r="DO1" s="2">
        <f>DN1+1</f>
        <v/>
      </c>
      <c r="DP1" s="2">
        <f>DO1+1</f>
        <v/>
      </c>
      <c r="DQ1" s="2">
        <f>DP1+1</f>
        <v/>
      </c>
    </row>
    <row r="2">
      <c r="A2" s="1" t="inlineStr">
        <is>
          <t>Date</t>
        </is>
      </c>
      <c r="B2" s="7">
        <f>'model_Assumptions'!B2</f>
        <v/>
      </c>
      <c r="C2" s="7">
        <f>EDATE(B2,1)</f>
        <v/>
      </c>
      <c r="D2" s="7">
        <f>EDATE(C2,1)</f>
        <v/>
      </c>
      <c r="E2" s="7">
        <f>EDATE(D2,1)</f>
        <v/>
      </c>
      <c r="F2" s="7">
        <f>EDATE(E2,1)</f>
        <v/>
      </c>
      <c r="G2" s="7">
        <f>EDATE(F2,1)</f>
        <v/>
      </c>
      <c r="H2" s="7">
        <f>EDATE(G2,1)</f>
        <v/>
      </c>
      <c r="I2" s="7">
        <f>EDATE(H2,1)</f>
        <v/>
      </c>
      <c r="J2" s="7">
        <f>EDATE(I2,1)</f>
        <v/>
      </c>
      <c r="K2" s="7">
        <f>EDATE(J2,1)</f>
        <v/>
      </c>
      <c r="L2" s="7">
        <f>EDATE(K2,1)</f>
        <v/>
      </c>
      <c r="M2" s="7">
        <f>EDATE(L2,1)</f>
        <v/>
      </c>
      <c r="N2" s="7">
        <f>EDATE(M2,1)</f>
        <v/>
      </c>
      <c r="O2" s="7">
        <f>EDATE(N2,1)</f>
        <v/>
      </c>
      <c r="P2" s="7">
        <f>EDATE(O2,1)</f>
        <v/>
      </c>
      <c r="Q2" s="7">
        <f>EDATE(P2,1)</f>
        <v/>
      </c>
      <c r="R2" s="7">
        <f>EDATE(Q2,1)</f>
        <v/>
      </c>
      <c r="S2" s="7">
        <f>EDATE(R2,1)</f>
        <v/>
      </c>
      <c r="T2" s="7">
        <f>EDATE(S2,1)</f>
        <v/>
      </c>
      <c r="U2" s="7">
        <f>EDATE(T2,1)</f>
        <v/>
      </c>
      <c r="V2" s="7">
        <f>EDATE(U2,1)</f>
        <v/>
      </c>
      <c r="W2" s="7">
        <f>EDATE(V2,1)</f>
        <v/>
      </c>
      <c r="X2" s="7">
        <f>EDATE(W2,1)</f>
        <v/>
      </c>
      <c r="Y2" s="7">
        <f>EDATE(X2,1)</f>
        <v/>
      </c>
      <c r="Z2" s="7">
        <f>EDATE(Y2,1)</f>
        <v/>
      </c>
      <c r="AA2" s="7">
        <f>EDATE(Z2,1)</f>
        <v/>
      </c>
      <c r="AB2" s="7">
        <f>EDATE(AA2,1)</f>
        <v/>
      </c>
      <c r="AC2" s="7">
        <f>EDATE(AB2,1)</f>
        <v/>
      </c>
      <c r="AD2" s="7">
        <f>EDATE(AC2,1)</f>
        <v/>
      </c>
      <c r="AE2" s="7">
        <f>EDATE(AD2,1)</f>
        <v/>
      </c>
      <c r="AF2" s="7">
        <f>EDATE(AE2,1)</f>
        <v/>
      </c>
      <c r="AG2" s="7">
        <f>EDATE(AF2,1)</f>
        <v/>
      </c>
      <c r="AH2" s="7">
        <f>EDATE(AG2,1)</f>
        <v/>
      </c>
      <c r="AI2" s="7">
        <f>EDATE(AH2,1)</f>
        <v/>
      </c>
      <c r="AJ2" s="7">
        <f>EDATE(AI2,1)</f>
        <v/>
      </c>
      <c r="AK2" s="7">
        <f>EDATE(AJ2,1)</f>
        <v/>
      </c>
      <c r="AL2" s="1">
        <f>EDATE(AK2,1)</f>
        <v/>
      </c>
      <c r="AM2" s="1">
        <f>EDATE(AL2,1)</f>
        <v/>
      </c>
      <c r="AN2" s="1">
        <f>EDATE(AM2,1)</f>
        <v/>
      </c>
      <c r="AO2" s="1">
        <f>EDATE(AN2,1)</f>
        <v/>
      </c>
      <c r="AP2" s="1">
        <f>EDATE(AO2,1)</f>
        <v/>
      </c>
      <c r="AQ2" s="1">
        <f>EDATE(AP2,1)</f>
        <v/>
      </c>
      <c r="AR2" s="1">
        <f>EDATE(AQ2,1)</f>
        <v/>
      </c>
      <c r="AS2" s="1">
        <f>EDATE(AR2,1)</f>
        <v/>
      </c>
      <c r="AT2" s="1">
        <f>EDATE(AS2,1)</f>
        <v/>
      </c>
      <c r="AU2" s="1">
        <f>EDATE(AT2,1)</f>
        <v/>
      </c>
      <c r="AV2" s="1">
        <f>EDATE(AU2,1)</f>
        <v/>
      </c>
      <c r="AW2" s="1">
        <f>EDATE(AV2,1)</f>
        <v/>
      </c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>
        <f>EDATE(BV2,1)</f>
        <v/>
      </c>
      <c r="BX2" s="1">
        <f>EDATE(BW2,1)</f>
        <v/>
      </c>
      <c r="BY2" s="1">
        <f>EDATE(BX2,1)</f>
        <v/>
      </c>
      <c r="BZ2" s="1">
        <f>EDATE(BY2,1)</f>
        <v/>
      </c>
      <c r="CA2" s="1">
        <f>EDATE(BZ2,1)</f>
        <v/>
      </c>
      <c r="CB2" s="1">
        <f>EDATE(CA2,1)</f>
        <v/>
      </c>
      <c r="CC2" s="1">
        <f>EDATE(CB2,1)</f>
        <v/>
      </c>
      <c r="CD2" s="1">
        <f>EDATE(CC2,1)</f>
        <v/>
      </c>
      <c r="CE2" s="1">
        <f>EDATE(CD2,1)</f>
        <v/>
      </c>
      <c r="CF2" s="1">
        <f>EDATE(CE2,1)</f>
        <v/>
      </c>
      <c r="CG2" s="1">
        <f>EDATE(CF2,1)</f>
        <v/>
      </c>
      <c r="CH2" s="1">
        <f>EDATE(CG2,1)</f>
        <v/>
      </c>
      <c r="CI2" s="1">
        <f>EDATE(CH2,1)</f>
        <v/>
      </c>
      <c r="CJ2" s="1">
        <f>EDATE(CI2,1)</f>
        <v/>
      </c>
      <c r="CK2" s="1">
        <f>EDATE(CJ2,1)</f>
        <v/>
      </c>
      <c r="CL2" s="1">
        <f>EDATE(CK2,1)</f>
        <v/>
      </c>
      <c r="CM2" s="1">
        <f>EDATE(CL2,1)</f>
        <v/>
      </c>
      <c r="CN2" s="1">
        <f>EDATE(CM2,1)</f>
        <v/>
      </c>
      <c r="CO2" s="1">
        <f>EDATE(CN2,1)</f>
        <v/>
      </c>
      <c r="CP2" s="1">
        <f>EDATE(CO2,1)</f>
        <v/>
      </c>
      <c r="CQ2" s="1">
        <f>EDATE(CP2,1)</f>
        <v/>
      </c>
      <c r="CR2" s="1">
        <f>EDATE(CQ2,1)</f>
        <v/>
      </c>
      <c r="CS2" s="1">
        <f>EDATE(CR2,1)</f>
        <v/>
      </c>
      <c r="CT2" s="1">
        <f>EDATE(CS2,1)</f>
        <v/>
      </c>
      <c r="CU2" s="1">
        <f>EDATE(CT2,1)</f>
        <v/>
      </c>
      <c r="CV2" s="1">
        <f>EDATE(CU2,1)</f>
        <v/>
      </c>
      <c r="CW2" s="1">
        <f>EDATE(CV2,1)</f>
        <v/>
      </c>
      <c r="CX2" s="1">
        <f>EDATE(CW2,1)</f>
        <v/>
      </c>
      <c r="CY2" s="1">
        <f>EDATE(CX2,1)</f>
        <v/>
      </c>
      <c r="CZ2" s="1">
        <f>EDATE(CY2,1)</f>
        <v/>
      </c>
      <c r="DA2" s="1">
        <f>EDATE(CZ2,1)</f>
        <v/>
      </c>
      <c r="DB2" s="1">
        <f>EDATE(DA2,1)</f>
        <v/>
      </c>
      <c r="DC2" s="1">
        <f>EDATE(DB2,1)</f>
        <v/>
      </c>
      <c r="DD2" s="1">
        <f>EDATE(DC2,1)</f>
        <v/>
      </c>
      <c r="DE2" s="1">
        <f>EDATE(DD2,1)</f>
        <v/>
      </c>
      <c r="DF2" s="1">
        <f>EDATE(DE2,1)</f>
        <v/>
      </c>
      <c r="DG2" s="1">
        <f>EDATE(DF2,1)</f>
        <v/>
      </c>
      <c r="DH2" s="1">
        <f>EDATE(DG2,1)</f>
        <v/>
      </c>
      <c r="DI2" s="1">
        <f>EDATE(DH2,1)</f>
        <v/>
      </c>
      <c r="DJ2" s="1">
        <f>EDATE(DI2,1)</f>
        <v/>
      </c>
      <c r="DK2" s="1">
        <f>EDATE(DJ2,1)</f>
        <v/>
      </c>
      <c r="DL2" s="1">
        <f>EDATE(DK2,1)</f>
        <v/>
      </c>
      <c r="DM2" s="1">
        <f>EDATE(DL2,1)</f>
        <v/>
      </c>
      <c r="DN2" s="1">
        <f>EDATE(DM2,1)</f>
        <v/>
      </c>
      <c r="DO2" s="1">
        <f>EDATE(DN2,1)</f>
        <v/>
      </c>
      <c r="DP2" s="1">
        <f>EDATE(DO2,1)</f>
        <v/>
      </c>
      <c r="DQ2" s="1">
        <f>EDATE(DP2,1)</f>
        <v/>
      </c>
    </row>
    <row r="3">
      <c r="A3" s="1" t="inlineStr">
        <is>
          <t>Workdays in Month</t>
        </is>
      </c>
      <c r="B3" s="1">
        <f>NETWORKDAYS(B2, EOMONTH(B2,0))</f>
        <v/>
      </c>
      <c r="C3" s="1">
        <f>NETWORKDAYS(C2, EOMONTH(C2,0))</f>
        <v/>
      </c>
      <c r="D3" s="1">
        <f>NETWORKDAYS(D2, EOMONTH(D2,0))</f>
        <v/>
      </c>
      <c r="E3" s="1">
        <f>NETWORKDAYS(E2, EOMONTH(E2,0))</f>
        <v/>
      </c>
      <c r="F3" s="1">
        <f>NETWORKDAYS(F2, EOMONTH(F2,0))</f>
        <v/>
      </c>
      <c r="G3" s="1">
        <f>NETWORKDAYS(G2, EOMONTH(G2,0))</f>
        <v/>
      </c>
      <c r="H3" s="1">
        <f>NETWORKDAYS(H2, EOMONTH(H2,0))</f>
        <v/>
      </c>
      <c r="I3" s="1">
        <f>NETWORKDAYS(I2, EOMONTH(I2,0))</f>
        <v/>
      </c>
      <c r="J3" s="1">
        <f>NETWORKDAYS(J2, EOMONTH(J2,0))</f>
        <v/>
      </c>
      <c r="K3" s="1">
        <f>NETWORKDAYS(K2, EOMONTH(K2,0))</f>
        <v/>
      </c>
      <c r="L3" s="1">
        <f>NETWORKDAYS(L2, EOMONTH(L2,0))</f>
        <v/>
      </c>
      <c r="M3" s="1">
        <f>NETWORKDAYS(M2, EOMONTH(M2,0))</f>
        <v/>
      </c>
      <c r="N3" s="1">
        <f>NETWORKDAYS(N2, EOMONTH(N2,0))</f>
        <v/>
      </c>
      <c r="O3" s="1">
        <f>NETWORKDAYS(O2, EOMONTH(O2,0))</f>
        <v/>
      </c>
      <c r="P3" s="1">
        <f>NETWORKDAYS(P2, EOMONTH(P2,0))</f>
        <v/>
      </c>
      <c r="Q3" s="1">
        <f>NETWORKDAYS(Q2, EOMONTH(Q2,0))</f>
        <v/>
      </c>
      <c r="R3" s="1">
        <f>NETWORKDAYS(R2, EOMONTH(R2,0))</f>
        <v/>
      </c>
      <c r="S3" s="1">
        <f>NETWORKDAYS(S2, EOMONTH(S2,0))</f>
        <v/>
      </c>
      <c r="T3" s="1">
        <f>NETWORKDAYS(T2, EOMONTH(T2,0))</f>
        <v/>
      </c>
      <c r="U3" s="1">
        <f>NETWORKDAYS(U2, EOMONTH(U2,0))</f>
        <v/>
      </c>
      <c r="V3" s="1">
        <f>NETWORKDAYS(V2, EOMONTH(V2,0))</f>
        <v/>
      </c>
      <c r="W3" s="1">
        <f>NETWORKDAYS(W2, EOMONTH(W2,0))</f>
        <v/>
      </c>
      <c r="X3" s="1">
        <f>NETWORKDAYS(X2, EOMONTH(X2,0))</f>
        <v/>
      </c>
      <c r="Y3" s="1">
        <f>NETWORKDAYS(Y2, EOMONTH(Y2,0))</f>
        <v/>
      </c>
      <c r="Z3" s="1">
        <f>NETWORKDAYS(Z2, EOMONTH(Z2,0))</f>
        <v/>
      </c>
      <c r="AA3" s="1">
        <f>NETWORKDAYS(AA2, EOMONTH(AA2,0))</f>
        <v/>
      </c>
      <c r="AB3" s="1">
        <f>NETWORKDAYS(AB2, EOMONTH(AB2,0))</f>
        <v/>
      </c>
      <c r="AC3" s="1">
        <f>NETWORKDAYS(AC2, EOMONTH(AC2,0))</f>
        <v/>
      </c>
      <c r="AD3" s="1">
        <f>NETWORKDAYS(AD2, EOMONTH(AD2,0))</f>
        <v/>
      </c>
      <c r="AE3" s="1">
        <f>NETWORKDAYS(AE2, EOMONTH(AE2,0))</f>
        <v/>
      </c>
      <c r="AF3" s="1">
        <f>NETWORKDAYS(AF2, EOMONTH(AF2,0))</f>
        <v/>
      </c>
      <c r="AG3" s="1">
        <f>NETWORKDAYS(AG2, EOMONTH(AG2,0))</f>
        <v/>
      </c>
      <c r="AH3" s="1">
        <f>NETWORKDAYS(AH2, EOMONTH(AH2,0))</f>
        <v/>
      </c>
      <c r="AI3" s="1">
        <f>NETWORKDAYS(AI2, EOMONTH(AI2,0))</f>
        <v/>
      </c>
      <c r="AJ3" s="1">
        <f>NETWORKDAYS(AJ2, EOMONTH(AJ2,0))</f>
        <v/>
      </c>
      <c r="AK3" s="1">
        <f>NETWORKDAYS(AK2, EOMONTH(AK2,0))</f>
        <v/>
      </c>
      <c r="AL3" s="1">
        <f>NETWORKDAYS(AL2, EOMONTH(AL2,0))</f>
        <v/>
      </c>
      <c r="AM3" s="1">
        <f>NETWORKDAYS(AM2, EOMONTH(AM2,0))</f>
        <v/>
      </c>
      <c r="AN3" s="1">
        <f>NETWORKDAYS(AN2, EOMONTH(AN2,0))</f>
        <v/>
      </c>
      <c r="AO3" s="1">
        <f>NETWORKDAYS(AO2, EOMONTH(AO2,0))</f>
        <v/>
      </c>
      <c r="AP3" s="1">
        <f>NETWORKDAYS(AP2, EOMONTH(AP2,0))</f>
        <v/>
      </c>
      <c r="AQ3" s="1">
        <f>NETWORKDAYS(AQ2, EOMONTH(AQ2,0))</f>
        <v/>
      </c>
      <c r="AR3" s="1">
        <f>NETWORKDAYS(AR2, EOMONTH(AR2,0))</f>
        <v/>
      </c>
      <c r="AS3" s="1">
        <f>NETWORKDAYS(AS2, EOMONTH(AS2,0))</f>
        <v/>
      </c>
      <c r="AT3" s="1">
        <f>NETWORKDAYS(AT2, EOMONTH(AT2,0))</f>
        <v/>
      </c>
      <c r="AU3" s="1">
        <f>NETWORKDAYS(AU2, EOMONTH(AU2,0))</f>
        <v/>
      </c>
      <c r="AV3" s="1">
        <f>NETWORKDAYS(AV2, EOMONTH(AV2,0))</f>
        <v/>
      </c>
      <c r="AW3" s="1">
        <f>NETWORKDAYS(AW2, EOMONTH(AW2,0))</f>
        <v/>
      </c>
      <c r="AX3" s="1">
        <f>NETWORKDAYS(AX2, EOMONTH(AX2,0))</f>
        <v/>
      </c>
      <c r="AY3" s="1">
        <f>NETWORKDAYS(AY2, EOMONTH(AY2,0))</f>
        <v/>
      </c>
      <c r="AZ3" s="1">
        <f>NETWORKDAYS(AZ2, EOMONTH(AZ2,0))</f>
        <v/>
      </c>
      <c r="BA3" s="1">
        <f>NETWORKDAYS(BA2, EOMONTH(BA2,0))</f>
        <v/>
      </c>
      <c r="BB3" s="1">
        <f>NETWORKDAYS(BB2, EOMONTH(BB2,0))</f>
        <v/>
      </c>
      <c r="BC3" s="1">
        <f>NETWORKDAYS(BC2, EOMONTH(BC2,0))</f>
        <v/>
      </c>
      <c r="BD3" s="1">
        <f>NETWORKDAYS(BD2, EOMONTH(BD2,0))</f>
        <v/>
      </c>
      <c r="BE3" s="1">
        <f>NETWORKDAYS(BE2, EOMONTH(BE2,0))</f>
        <v/>
      </c>
      <c r="BF3" s="1">
        <f>NETWORKDAYS(BF2, EOMONTH(BF2,0))</f>
        <v/>
      </c>
      <c r="BG3" s="1">
        <f>NETWORKDAYS(BG2, EOMONTH(BG2,0))</f>
        <v/>
      </c>
      <c r="BH3" s="1">
        <f>NETWORKDAYS(BH2, EOMONTH(BH2,0))</f>
        <v/>
      </c>
      <c r="BI3" s="1">
        <f>NETWORKDAYS(BI2, EOMONTH(BI2,0))</f>
        <v/>
      </c>
      <c r="BJ3" s="1">
        <f>NETWORKDAYS(BJ2, EOMONTH(BJ2,0))</f>
        <v/>
      </c>
      <c r="BK3" s="1">
        <f>NETWORKDAYS(BK2, EOMONTH(BK2,0))</f>
        <v/>
      </c>
      <c r="BL3" s="1">
        <f>NETWORKDAYS(BL2, EOMONTH(BL2,0))</f>
        <v/>
      </c>
      <c r="BM3" s="1">
        <f>NETWORKDAYS(BM2, EOMONTH(BM2,0))</f>
        <v/>
      </c>
      <c r="BN3" s="1">
        <f>NETWORKDAYS(BN2, EOMONTH(BN2,0))</f>
        <v/>
      </c>
      <c r="BO3" s="1">
        <f>NETWORKDAYS(BO2, EOMONTH(BO2,0))</f>
        <v/>
      </c>
      <c r="BP3" s="1">
        <f>NETWORKDAYS(BP2, EOMONTH(BP2,0))</f>
        <v/>
      </c>
      <c r="BQ3" s="1">
        <f>NETWORKDAYS(BQ2, EOMONTH(BQ2,0))</f>
        <v/>
      </c>
      <c r="BR3" s="1">
        <f>NETWORKDAYS(BR2, EOMONTH(BR2,0))</f>
        <v/>
      </c>
      <c r="BS3" s="1">
        <f>NETWORKDAYS(BS2, EOMONTH(BS2,0))</f>
        <v/>
      </c>
      <c r="BT3" s="1">
        <f>NETWORKDAYS(BT2, EOMONTH(BT2,0))</f>
        <v/>
      </c>
      <c r="BU3" s="1">
        <f>NETWORKDAYS(BU2, EOMONTH(BU2,0))</f>
        <v/>
      </c>
      <c r="BV3" s="1">
        <f>NETWORKDAYS(BV2, EOMONTH(BV2,0))</f>
        <v/>
      </c>
      <c r="BW3" s="1">
        <f>NETWORKDAYS(BW2, EOMONTH(BW2,0))</f>
        <v/>
      </c>
      <c r="BX3" s="1">
        <f>NETWORKDAYS(BX2, EOMONTH(BX2,0))</f>
        <v/>
      </c>
      <c r="BY3" s="1">
        <f>NETWORKDAYS(BY2, EOMONTH(BY2,0))</f>
        <v/>
      </c>
      <c r="BZ3" s="1">
        <f>NETWORKDAYS(BZ2, EOMONTH(BZ2,0))</f>
        <v/>
      </c>
      <c r="CA3" s="1">
        <f>NETWORKDAYS(CA2, EOMONTH(CA2,0))</f>
        <v/>
      </c>
      <c r="CB3" s="1">
        <f>NETWORKDAYS(CB2, EOMONTH(CB2,0))</f>
        <v/>
      </c>
      <c r="CC3" s="1">
        <f>NETWORKDAYS(CC2, EOMONTH(CC2,0))</f>
        <v/>
      </c>
      <c r="CD3" s="1">
        <f>NETWORKDAYS(CD2, EOMONTH(CD2,0))</f>
        <v/>
      </c>
      <c r="CE3" s="1">
        <f>NETWORKDAYS(CE2, EOMONTH(CE2,0))</f>
        <v/>
      </c>
      <c r="CF3" s="1">
        <f>NETWORKDAYS(CF2, EOMONTH(CF2,0))</f>
        <v/>
      </c>
      <c r="CG3" s="1">
        <f>NETWORKDAYS(CG2, EOMONTH(CG2,0))</f>
        <v/>
      </c>
      <c r="CH3" s="1">
        <f>NETWORKDAYS(CH2, EOMONTH(CH2,0))</f>
        <v/>
      </c>
      <c r="CI3" s="1">
        <f>NETWORKDAYS(CI2, EOMONTH(CI2,0))</f>
        <v/>
      </c>
      <c r="CJ3" s="1">
        <f>NETWORKDAYS(CJ2, EOMONTH(CJ2,0))</f>
        <v/>
      </c>
      <c r="CK3" s="1">
        <f>NETWORKDAYS(CK2, EOMONTH(CK2,0))</f>
        <v/>
      </c>
      <c r="CL3" s="1">
        <f>NETWORKDAYS(CL2, EOMONTH(CL2,0))</f>
        <v/>
      </c>
      <c r="CM3" s="1">
        <f>NETWORKDAYS(CM2, EOMONTH(CM2,0))</f>
        <v/>
      </c>
      <c r="CN3" s="1">
        <f>NETWORKDAYS(CN2, EOMONTH(CN2,0))</f>
        <v/>
      </c>
      <c r="CO3" s="1">
        <f>NETWORKDAYS(CO2, EOMONTH(CO2,0))</f>
        <v/>
      </c>
      <c r="CP3" s="1">
        <f>NETWORKDAYS(CP2, EOMONTH(CP2,0))</f>
        <v/>
      </c>
      <c r="CQ3" s="1">
        <f>NETWORKDAYS(CQ2, EOMONTH(CQ2,0))</f>
        <v/>
      </c>
      <c r="CR3" s="1">
        <f>NETWORKDAYS(CR2, EOMONTH(CR2,0))</f>
        <v/>
      </c>
      <c r="CS3" s="1">
        <f>NETWORKDAYS(CS2, EOMONTH(CS2,0))</f>
        <v/>
      </c>
      <c r="CT3" s="1">
        <f>NETWORKDAYS(CT2, EOMONTH(CT2,0))</f>
        <v/>
      </c>
      <c r="CU3" s="1">
        <f>NETWORKDAYS(CU2, EOMONTH(CU2,0))</f>
        <v/>
      </c>
      <c r="CV3" s="1">
        <f>NETWORKDAYS(CV2, EOMONTH(CV2,0))</f>
        <v/>
      </c>
      <c r="CW3" s="1">
        <f>NETWORKDAYS(CW2, EOMONTH(CW2,0))</f>
        <v/>
      </c>
      <c r="CX3" s="1">
        <f>NETWORKDAYS(CX2, EOMONTH(CX2,0))</f>
        <v/>
      </c>
      <c r="CY3" s="1">
        <f>NETWORKDAYS(CY2, EOMONTH(CY2,0))</f>
        <v/>
      </c>
      <c r="CZ3" s="1">
        <f>NETWORKDAYS(CZ2, EOMONTH(CZ2,0))</f>
        <v/>
      </c>
      <c r="DA3" s="1">
        <f>NETWORKDAYS(DA2, EOMONTH(DA2,0))</f>
        <v/>
      </c>
      <c r="DB3" s="1">
        <f>NETWORKDAYS(DB2, EOMONTH(DB2,0))</f>
        <v/>
      </c>
      <c r="DC3" s="1">
        <f>NETWORKDAYS(DC2, EOMONTH(DC2,0))</f>
        <v/>
      </c>
      <c r="DD3" s="1">
        <f>NETWORKDAYS(DD2, EOMONTH(DD2,0))</f>
        <v/>
      </c>
      <c r="DE3" s="1">
        <f>NETWORKDAYS(DE2, EOMONTH(DE2,0))</f>
        <v/>
      </c>
      <c r="DF3" s="1">
        <f>NETWORKDAYS(DF2, EOMONTH(DF2,0))</f>
        <v/>
      </c>
      <c r="DG3" s="1">
        <f>NETWORKDAYS(DG2, EOMONTH(DG2,0))</f>
        <v/>
      </c>
      <c r="DH3" s="1">
        <f>NETWORKDAYS(DH2, EOMONTH(DH2,0))</f>
        <v/>
      </c>
      <c r="DI3" s="1">
        <f>NETWORKDAYS(DI2, EOMONTH(DI2,0))</f>
        <v/>
      </c>
      <c r="DJ3" s="1">
        <f>NETWORKDAYS(DJ2, EOMONTH(DJ2,0))</f>
        <v/>
      </c>
      <c r="DK3" s="1">
        <f>NETWORKDAYS(DK2, EOMONTH(DK2,0))</f>
        <v/>
      </c>
      <c r="DL3" s="1">
        <f>NETWORKDAYS(DL2, EOMONTH(DL2,0))</f>
        <v/>
      </c>
      <c r="DM3" s="1">
        <f>NETWORKDAYS(DM2, EOMONTH(DM2,0))</f>
        <v/>
      </c>
      <c r="DN3" s="1">
        <f>NETWORKDAYS(DN2, EOMONTH(DN2,0))</f>
        <v/>
      </c>
      <c r="DO3" s="1" t="n"/>
      <c r="DP3" s="1" t="n"/>
      <c r="DQ3" s="1" t="n"/>
    </row>
    <row r="4">
      <c r="A4" s="1" t="inlineStr">
        <is>
          <t>Workdays in Year</t>
        </is>
      </c>
      <c r="B4" s="1">
        <f>NETWORKDAYS(DATE(YEAR(B2),1,1), DATE(YEAR(B2),12,31))</f>
        <v/>
      </c>
      <c r="C4" s="1">
        <f>NETWORKDAYS(DATE(YEAR(C2),1,1), DATE(YEAR(C2),12,31))</f>
        <v/>
      </c>
      <c r="D4" s="1">
        <f>NETWORKDAYS(DATE(YEAR(D2),1,1), DATE(YEAR(D2),12,31))</f>
        <v/>
      </c>
      <c r="E4" s="1">
        <f>NETWORKDAYS(DATE(YEAR(E2),1,1), DATE(YEAR(E2),12,31))</f>
        <v/>
      </c>
      <c r="F4" s="1">
        <f>NETWORKDAYS(DATE(YEAR(F2),1,1), DATE(YEAR(F2),12,31))</f>
        <v/>
      </c>
      <c r="G4" s="1">
        <f>NETWORKDAYS(DATE(YEAR(G2),1,1), DATE(YEAR(G2),12,31))</f>
        <v/>
      </c>
      <c r="H4" s="1">
        <f>NETWORKDAYS(DATE(YEAR(H2),1,1), DATE(YEAR(H2),12,31))</f>
        <v/>
      </c>
      <c r="I4" s="1">
        <f>NETWORKDAYS(DATE(YEAR(I2),1,1), DATE(YEAR(I2),12,31))</f>
        <v/>
      </c>
      <c r="J4" s="1">
        <f>NETWORKDAYS(DATE(YEAR(J2),1,1), DATE(YEAR(J2),12,31))</f>
        <v/>
      </c>
      <c r="K4" s="1">
        <f>NETWORKDAYS(DATE(YEAR(K2),1,1), DATE(YEAR(K2),12,31))</f>
        <v/>
      </c>
      <c r="L4" s="1">
        <f>NETWORKDAYS(DATE(YEAR(L2),1,1), DATE(YEAR(L2),12,31))</f>
        <v/>
      </c>
      <c r="M4" s="1">
        <f>NETWORKDAYS(DATE(YEAR(M2),1,1), DATE(YEAR(M2),12,31))</f>
        <v/>
      </c>
      <c r="N4" s="1">
        <f>NETWORKDAYS(DATE(YEAR(N2),1,1), DATE(YEAR(N2),12,31))</f>
        <v/>
      </c>
      <c r="O4" s="1">
        <f>NETWORKDAYS(DATE(YEAR(O2),1,1), DATE(YEAR(O2),12,31))</f>
        <v/>
      </c>
      <c r="P4" s="1">
        <f>NETWORKDAYS(DATE(YEAR(P2),1,1), DATE(YEAR(P2),12,31))</f>
        <v/>
      </c>
      <c r="Q4" s="1">
        <f>NETWORKDAYS(DATE(YEAR(Q2),1,1), DATE(YEAR(Q2),12,31))</f>
        <v/>
      </c>
      <c r="R4" s="1">
        <f>NETWORKDAYS(DATE(YEAR(R2),1,1), DATE(YEAR(R2),12,31))</f>
        <v/>
      </c>
      <c r="S4" s="1">
        <f>NETWORKDAYS(DATE(YEAR(S2),1,1), DATE(YEAR(S2),12,31))</f>
        <v/>
      </c>
      <c r="T4" s="1">
        <f>NETWORKDAYS(DATE(YEAR(T2),1,1), DATE(YEAR(T2),12,31))</f>
        <v/>
      </c>
      <c r="U4" s="1">
        <f>NETWORKDAYS(DATE(YEAR(U2),1,1), DATE(YEAR(U2),12,31))</f>
        <v/>
      </c>
      <c r="V4" s="1">
        <f>NETWORKDAYS(DATE(YEAR(V2),1,1), DATE(YEAR(V2),12,31))</f>
        <v/>
      </c>
      <c r="W4" s="1">
        <f>NETWORKDAYS(DATE(YEAR(W2),1,1), DATE(YEAR(W2),12,31))</f>
        <v/>
      </c>
      <c r="X4" s="1">
        <f>NETWORKDAYS(DATE(YEAR(X2),1,1), DATE(YEAR(X2),12,31))</f>
        <v/>
      </c>
      <c r="Y4" s="1">
        <f>NETWORKDAYS(DATE(YEAR(Y2),1,1), DATE(YEAR(Y2),12,31))</f>
        <v/>
      </c>
      <c r="Z4" s="1">
        <f>NETWORKDAYS(DATE(YEAR(Z2),1,1), DATE(YEAR(Z2),12,31))</f>
        <v/>
      </c>
      <c r="AA4" s="1">
        <f>NETWORKDAYS(DATE(YEAR(AA2),1,1), DATE(YEAR(AA2),12,31))</f>
        <v/>
      </c>
      <c r="AB4" s="1">
        <f>NETWORKDAYS(DATE(YEAR(AB2),1,1), DATE(YEAR(AB2),12,31))</f>
        <v/>
      </c>
      <c r="AC4" s="1">
        <f>NETWORKDAYS(DATE(YEAR(AC2),1,1), DATE(YEAR(AC2),12,31))</f>
        <v/>
      </c>
      <c r="AD4" s="1">
        <f>NETWORKDAYS(DATE(YEAR(AD2),1,1), DATE(YEAR(AD2),12,31))</f>
        <v/>
      </c>
      <c r="AE4" s="1">
        <f>NETWORKDAYS(DATE(YEAR(AE2),1,1), DATE(YEAR(AE2),12,31))</f>
        <v/>
      </c>
      <c r="AF4" s="1">
        <f>NETWORKDAYS(DATE(YEAR(AF2),1,1), DATE(YEAR(AF2),12,31))</f>
        <v/>
      </c>
      <c r="AG4" s="1">
        <f>NETWORKDAYS(DATE(YEAR(AG2),1,1), DATE(YEAR(AG2),12,31))</f>
        <v/>
      </c>
      <c r="AH4" s="1">
        <f>NETWORKDAYS(DATE(YEAR(AH2),1,1), DATE(YEAR(AH2),12,31))</f>
        <v/>
      </c>
      <c r="AI4" s="1">
        <f>NETWORKDAYS(DATE(YEAR(AI2),1,1), DATE(YEAR(AI2),12,31))</f>
        <v/>
      </c>
      <c r="AJ4" s="1">
        <f>NETWORKDAYS(DATE(YEAR(AJ2),1,1), DATE(YEAR(AJ2),12,31))</f>
        <v/>
      </c>
      <c r="AK4" s="1">
        <f>NETWORKDAYS(DATE(YEAR(AK2),1,1), DATE(YEAR(AK2),12,31))</f>
        <v/>
      </c>
      <c r="AL4" s="1">
        <f>NETWORKDAYS(DATE(YEAR(AL2),1,1), DATE(YEAR(AL2),12,31))</f>
        <v/>
      </c>
      <c r="AM4" s="1">
        <f>NETWORKDAYS(DATE(YEAR(AM2),1,1), DATE(YEAR(AM2),12,31))</f>
        <v/>
      </c>
      <c r="AN4" s="1">
        <f>NETWORKDAYS(DATE(YEAR(AN2),1,1), DATE(YEAR(AN2),12,31))</f>
        <v/>
      </c>
      <c r="AO4" s="1">
        <f>NETWORKDAYS(DATE(YEAR(AO2),1,1), DATE(YEAR(AO2),12,31))</f>
        <v/>
      </c>
      <c r="AP4" s="1">
        <f>NETWORKDAYS(DATE(YEAR(AP2),1,1), DATE(YEAR(AP2),12,31))</f>
        <v/>
      </c>
      <c r="AQ4" s="1">
        <f>NETWORKDAYS(DATE(YEAR(AQ2),1,1), DATE(YEAR(AQ2),12,31))</f>
        <v/>
      </c>
      <c r="AR4" s="1">
        <f>NETWORKDAYS(DATE(YEAR(AR2),1,1), DATE(YEAR(AR2),12,31))</f>
        <v/>
      </c>
      <c r="AS4" s="1">
        <f>NETWORKDAYS(DATE(YEAR(AS2),1,1), DATE(YEAR(AS2),12,31))</f>
        <v/>
      </c>
      <c r="AT4" s="1">
        <f>NETWORKDAYS(DATE(YEAR(AT2),1,1), DATE(YEAR(AT2),12,31))</f>
        <v/>
      </c>
      <c r="AU4" s="1">
        <f>NETWORKDAYS(DATE(YEAR(AU2),1,1), DATE(YEAR(AU2),12,31))</f>
        <v/>
      </c>
      <c r="AV4" s="1">
        <f>NETWORKDAYS(DATE(YEAR(AV2),1,1), DATE(YEAR(AV2),12,31))</f>
        <v/>
      </c>
      <c r="AW4" s="1">
        <f>NETWORKDAYS(DATE(YEAR(AW2),1,1), DATE(YEAR(AW2),12,31))</f>
        <v/>
      </c>
      <c r="AX4" s="1">
        <f>NETWORKDAYS(DATE(YEAR(AX2),1,1), DATE(YEAR(AX2),12,31))</f>
        <v/>
      </c>
      <c r="AY4" s="1">
        <f>NETWORKDAYS(DATE(YEAR(AY2),1,1), DATE(YEAR(AY2),12,31))</f>
        <v/>
      </c>
      <c r="AZ4" s="1">
        <f>NETWORKDAYS(DATE(YEAR(AZ2),1,1), DATE(YEAR(AZ2),12,31))</f>
        <v/>
      </c>
      <c r="BA4" s="1">
        <f>NETWORKDAYS(DATE(YEAR(BA2),1,1), DATE(YEAR(BA2),12,31))</f>
        <v/>
      </c>
      <c r="BB4" s="1">
        <f>NETWORKDAYS(DATE(YEAR(BB2),1,1), DATE(YEAR(BB2),12,31))</f>
        <v/>
      </c>
      <c r="BC4" s="1">
        <f>NETWORKDAYS(DATE(YEAR(BC2),1,1), DATE(YEAR(BC2),12,31))</f>
        <v/>
      </c>
      <c r="BD4" s="1">
        <f>NETWORKDAYS(DATE(YEAR(BD2),1,1), DATE(YEAR(BD2),12,31))</f>
        <v/>
      </c>
      <c r="BE4" s="1">
        <f>NETWORKDAYS(DATE(YEAR(BE2),1,1), DATE(YEAR(BE2),12,31))</f>
        <v/>
      </c>
      <c r="BF4" s="1">
        <f>NETWORKDAYS(DATE(YEAR(BF2),1,1), DATE(YEAR(BF2),12,31))</f>
        <v/>
      </c>
      <c r="BG4" s="1">
        <f>NETWORKDAYS(DATE(YEAR(BG2),1,1), DATE(YEAR(BG2),12,31))</f>
        <v/>
      </c>
      <c r="BH4" s="1">
        <f>NETWORKDAYS(DATE(YEAR(BH2),1,1), DATE(YEAR(BH2),12,31))</f>
        <v/>
      </c>
      <c r="BI4" s="1">
        <f>NETWORKDAYS(DATE(YEAR(BI2),1,1), DATE(YEAR(BI2),12,31))</f>
        <v/>
      </c>
      <c r="BJ4" s="1">
        <f>NETWORKDAYS(DATE(YEAR(BJ2),1,1), DATE(YEAR(BJ2),12,31))</f>
        <v/>
      </c>
      <c r="BK4" s="1">
        <f>NETWORKDAYS(DATE(YEAR(BK2),1,1), DATE(YEAR(BK2),12,31))</f>
        <v/>
      </c>
      <c r="BL4" s="1">
        <f>NETWORKDAYS(DATE(YEAR(BL2),1,1), DATE(YEAR(BL2),12,31))</f>
        <v/>
      </c>
      <c r="BM4" s="1">
        <f>NETWORKDAYS(DATE(YEAR(BM2),1,1), DATE(YEAR(BM2),12,31))</f>
        <v/>
      </c>
      <c r="BN4" s="1">
        <f>NETWORKDAYS(DATE(YEAR(BN2),1,1), DATE(YEAR(BN2),12,31))</f>
        <v/>
      </c>
      <c r="BO4" s="1">
        <f>NETWORKDAYS(DATE(YEAR(BO2),1,1), DATE(YEAR(BO2),12,31))</f>
        <v/>
      </c>
      <c r="BP4" s="1">
        <f>NETWORKDAYS(DATE(YEAR(BP2),1,1), DATE(YEAR(BP2),12,31))</f>
        <v/>
      </c>
      <c r="BQ4" s="1">
        <f>NETWORKDAYS(DATE(YEAR(BQ2),1,1), DATE(YEAR(BQ2),12,31))</f>
        <v/>
      </c>
      <c r="BR4" s="1">
        <f>NETWORKDAYS(DATE(YEAR(BR2),1,1), DATE(YEAR(BR2),12,31))</f>
        <v/>
      </c>
      <c r="BS4" s="1">
        <f>NETWORKDAYS(DATE(YEAR(BS2),1,1), DATE(YEAR(BS2),12,31))</f>
        <v/>
      </c>
      <c r="BT4" s="1">
        <f>NETWORKDAYS(DATE(YEAR(BT2),1,1), DATE(YEAR(BT2),12,31))</f>
        <v/>
      </c>
      <c r="BU4" s="1">
        <f>NETWORKDAYS(DATE(YEAR(BU2),1,1), DATE(YEAR(BU2),12,31))</f>
        <v/>
      </c>
      <c r="BV4" s="1">
        <f>NETWORKDAYS(DATE(YEAR(BV2),1,1), DATE(YEAR(BV2),12,31))</f>
        <v/>
      </c>
      <c r="BW4" s="1">
        <f>NETWORKDAYS(DATE(YEAR(BW2),1,1), DATE(YEAR(BW2),12,31))</f>
        <v/>
      </c>
      <c r="BX4" s="1">
        <f>NETWORKDAYS(DATE(YEAR(BX2),1,1), DATE(YEAR(BX2),12,31))</f>
        <v/>
      </c>
      <c r="BY4" s="1">
        <f>NETWORKDAYS(DATE(YEAR(BY2),1,1), DATE(YEAR(BY2),12,31))</f>
        <v/>
      </c>
      <c r="BZ4" s="1">
        <f>NETWORKDAYS(DATE(YEAR(BZ2),1,1), DATE(YEAR(BZ2),12,31))</f>
        <v/>
      </c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</row>
    <row r="5">
      <c r="A5" s="1" t="inlineStr">
        <is>
          <t>Cumulative Workdays [days]</t>
        </is>
      </c>
      <c r="B5" s="1">
        <f>B3</f>
        <v/>
      </c>
      <c r="C5" s="1">
        <f>B5+C3</f>
        <v/>
      </c>
      <c r="D5" s="1">
        <f>C5+D3</f>
        <v/>
      </c>
      <c r="E5" s="1">
        <f>D5+E3</f>
        <v/>
      </c>
      <c r="F5" s="1">
        <f>E5+F3</f>
        <v/>
      </c>
      <c r="G5" s="1">
        <f>F5+G3</f>
        <v/>
      </c>
      <c r="H5" s="1">
        <f>G5+H3</f>
        <v/>
      </c>
      <c r="I5" s="1">
        <f>H5+I3</f>
        <v/>
      </c>
      <c r="J5" s="1">
        <f>I5+J3</f>
        <v/>
      </c>
      <c r="K5" s="1">
        <f>J5+K3</f>
        <v/>
      </c>
      <c r="L5" s="1">
        <f>K5+L3</f>
        <v/>
      </c>
      <c r="M5" s="1">
        <f>L5+M3</f>
        <v/>
      </c>
      <c r="N5" s="1">
        <f>M5+N3</f>
        <v/>
      </c>
      <c r="O5" s="1">
        <f>N5+O3</f>
        <v/>
      </c>
      <c r="P5" s="1">
        <f>O5+P3</f>
        <v/>
      </c>
      <c r="Q5" s="1">
        <f>P5+Q3</f>
        <v/>
      </c>
      <c r="R5" s="1">
        <f>Q5+R3</f>
        <v/>
      </c>
      <c r="S5" s="1">
        <f>R5+S3</f>
        <v/>
      </c>
      <c r="T5" s="1">
        <f>S5+T3</f>
        <v/>
      </c>
      <c r="U5" s="1">
        <f>T5+U3</f>
        <v/>
      </c>
      <c r="V5" s="1">
        <f>U5+V3</f>
        <v/>
      </c>
      <c r="W5" s="1">
        <f>V5+W3</f>
        <v/>
      </c>
      <c r="X5" s="1">
        <f>W5+X3</f>
        <v/>
      </c>
      <c r="Y5" s="1">
        <f>X5+Y3</f>
        <v/>
      </c>
      <c r="Z5" s="1">
        <f>Y5+Z3</f>
        <v/>
      </c>
      <c r="AA5" s="1">
        <f>Z5+AA3</f>
        <v/>
      </c>
      <c r="AB5" s="1">
        <f>AA5+AB3</f>
        <v/>
      </c>
      <c r="AC5" s="1">
        <f>AB5+AC3</f>
        <v/>
      </c>
      <c r="AD5" s="1">
        <f>AC5+AD3</f>
        <v/>
      </c>
      <c r="AE5" s="1">
        <f>AD5+AE3</f>
        <v/>
      </c>
      <c r="AF5" s="1">
        <f>AE5+AF3</f>
        <v/>
      </c>
      <c r="AG5" s="1">
        <f>AF5+AG3</f>
        <v/>
      </c>
      <c r="AH5" s="1">
        <f>AG5+AH3</f>
        <v/>
      </c>
      <c r="AI5" s="1">
        <f>AH5+AI3</f>
        <v/>
      </c>
      <c r="AJ5" s="1">
        <f>AI5+AJ3</f>
        <v/>
      </c>
      <c r="AK5" s="1">
        <f>AJ5+AK3</f>
        <v/>
      </c>
      <c r="AL5" s="1">
        <f>AK5+AL3</f>
        <v/>
      </c>
      <c r="AM5" s="1">
        <f>AL5+AM3</f>
        <v/>
      </c>
      <c r="AN5" s="1">
        <f>AM5+AN3</f>
        <v/>
      </c>
      <c r="AO5" s="1">
        <f>AN5+AO3</f>
        <v/>
      </c>
      <c r="AP5" s="1">
        <f>AO5+AP3</f>
        <v/>
      </c>
      <c r="AQ5" s="1">
        <f>AP5+AQ3</f>
        <v/>
      </c>
      <c r="AR5" s="1">
        <f>AQ5+AR3</f>
        <v/>
      </c>
      <c r="AS5" s="1">
        <f>AR5+AS3</f>
        <v/>
      </c>
      <c r="AT5" s="1">
        <f>AS5+AT3</f>
        <v/>
      </c>
      <c r="AU5" s="1">
        <f>AT5+AU3</f>
        <v/>
      </c>
      <c r="AV5" s="1">
        <f>AU5+AV3</f>
        <v/>
      </c>
      <c r="AW5" s="1">
        <f>AV5+AW3</f>
        <v/>
      </c>
      <c r="AX5" s="1">
        <f>AW5+AX3</f>
        <v/>
      </c>
      <c r="AY5" s="1">
        <f>AX5+AY3</f>
        <v/>
      </c>
      <c r="AZ5" s="1">
        <f>AY5+AZ3</f>
        <v/>
      </c>
      <c r="BA5" s="1">
        <f>AZ5+BA3</f>
        <v/>
      </c>
      <c r="BB5" s="1">
        <f>BA5+BB3</f>
        <v/>
      </c>
      <c r="BC5" s="1">
        <f>BB5+BC3</f>
        <v/>
      </c>
      <c r="BD5" s="1">
        <f>BC5+BD3</f>
        <v/>
      </c>
      <c r="BE5" s="1">
        <f>BD5+BE3</f>
        <v/>
      </c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</cols>
  <sheetData>
    <row r="1">
      <c r="A1" s="2" t="inlineStr">
        <is>
          <t>P&amp;L Item</t>
        </is>
      </c>
      <c r="B1" s="2" t="inlineStr">
        <is>
          <t>Month 1</t>
        </is>
      </c>
      <c r="C1" s="2" t="inlineStr">
        <is>
          <t>Month 2</t>
        </is>
      </c>
      <c r="D1" s="2" t="inlineStr">
        <is>
          <t>Month 3</t>
        </is>
      </c>
      <c r="E1" s="2" t="inlineStr">
        <is>
          <t>Month 4</t>
        </is>
      </c>
      <c r="F1" s="2" t="inlineStr">
        <is>
          <t>Month 5</t>
        </is>
      </c>
      <c r="G1" s="2" t="inlineStr">
        <is>
          <t>Month 6</t>
        </is>
      </c>
      <c r="H1" s="2" t="inlineStr">
        <is>
          <t>Month 7</t>
        </is>
      </c>
      <c r="I1" s="2" t="inlineStr">
        <is>
          <t>Month 8</t>
        </is>
      </c>
      <c r="J1" s="2" t="inlineStr">
        <is>
          <t>Month 9</t>
        </is>
      </c>
      <c r="K1" s="2" t="inlineStr">
        <is>
          <t>Month 10</t>
        </is>
      </c>
      <c r="L1" s="1" t="inlineStr">
        <is>
          <t>Month 11</t>
        </is>
      </c>
      <c r="M1" s="1" t="inlineStr">
        <is>
          <t>Month 12</t>
        </is>
      </c>
      <c r="N1" s="1" t="inlineStr">
        <is>
          <t>Month 13</t>
        </is>
      </c>
      <c r="O1" s="1" t="inlineStr">
        <is>
          <t>Month 14</t>
        </is>
      </c>
      <c r="P1" s="1" t="inlineStr">
        <is>
          <t>Month 15</t>
        </is>
      </c>
      <c r="Q1" s="1" t="inlineStr">
        <is>
          <t>Month 16</t>
        </is>
      </c>
      <c r="R1" s="1" t="inlineStr">
        <is>
          <t>Month 17</t>
        </is>
      </c>
      <c r="S1" s="1" t="inlineStr">
        <is>
          <t>Month 18</t>
        </is>
      </c>
      <c r="T1" s="1" t="inlineStr">
        <is>
          <t>Month 19</t>
        </is>
      </c>
      <c r="U1" s="1" t="inlineStr">
        <is>
          <t>Month 20</t>
        </is>
      </c>
      <c r="V1" s="1" t="inlineStr">
        <is>
          <t>Month 21</t>
        </is>
      </c>
      <c r="W1" s="1" t="inlineStr">
        <is>
          <t>Month 22</t>
        </is>
      </c>
      <c r="X1" s="1" t="inlineStr">
        <is>
          <t>Month 23</t>
        </is>
      </c>
      <c r="Y1" s="1" t="inlineStr">
        <is>
          <t>Month 24</t>
        </is>
      </c>
      <c r="Z1" s="1" t="inlineStr">
        <is>
          <t>Month 25</t>
        </is>
      </c>
      <c r="AA1" s="1" t="inlineStr">
        <is>
          <t>Month 26</t>
        </is>
      </c>
      <c r="AB1" s="1" t="inlineStr">
        <is>
          <t>Month 27</t>
        </is>
      </c>
      <c r="AC1" s="1" t="inlineStr">
        <is>
          <t>Month 28</t>
        </is>
      </c>
      <c r="AD1" s="1" t="inlineStr">
        <is>
          <t>Month 29</t>
        </is>
      </c>
      <c r="AE1" s="1" t="inlineStr">
        <is>
          <t>Month 30</t>
        </is>
      </c>
      <c r="AF1" s="1" t="inlineStr">
        <is>
          <t>Month 31</t>
        </is>
      </c>
      <c r="AG1" s="1" t="inlineStr">
        <is>
          <t>Month 32</t>
        </is>
      </c>
      <c r="AH1" s="1" t="inlineStr">
        <is>
          <t>Month 33</t>
        </is>
      </c>
      <c r="AI1" s="1" t="inlineStr">
        <is>
          <t>Month 34</t>
        </is>
      </c>
      <c r="AJ1" s="1" t="inlineStr">
        <is>
          <t>Month 35</t>
        </is>
      </c>
    </row>
    <row r="2">
      <c r="A2" s="1" t="inlineStr">
        <is>
          <t>Revenue [$]</t>
        </is>
      </c>
      <c r="B2" s="10">
        <f>('model_Assumptions'!$B$10/12) * (1+'model_Assumptions'!$B$48)^('model_Calendar'!B3/'model_Calendar'!B4)</f>
        <v/>
      </c>
      <c r="C2" s="10">
        <f>B2 * (1+'model_Assumptions'!$B$48)^('model_Calendar'!C3/'model_Calendar'!C4)</f>
        <v/>
      </c>
      <c r="D2" s="8">
        <f>C2 * (1+'model_Assumptions'!$B$48)^('model_Calendar'!D3/'model_Calendar'!D4)</f>
        <v/>
      </c>
      <c r="E2" s="8" t="n"/>
      <c r="F2" s="8" t="n"/>
      <c r="G2" s="8" t="n"/>
      <c r="H2" s="8" t="n"/>
      <c r="I2" s="8" t="n"/>
      <c r="J2" s="8" t="n"/>
      <c r="K2" s="8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>
      <c r="A3" s="1" t="inlineStr">
        <is>
          <t>Cost of Goods Sold [$]</t>
        </is>
      </c>
      <c r="B3" s="10">
        <f>('model_Assumptions'!$B$11/12) * (1+'model_Assumptions'!$B$49)^('model_Calendar'!B3/'model_Calendar'!B4)</f>
        <v/>
      </c>
      <c r="C3" s="10">
        <f>B3 * (1+'model_Assumptions'!$B$49)^('model_Calendar'!C3/'model_Calendar'!C4)</f>
        <v/>
      </c>
      <c r="D3" s="8">
        <f>C3 * (1+'model_Assumptions'!$B$49)^('model_Calendar'!D3/'model_Calendar'!D4)</f>
        <v/>
      </c>
      <c r="E3" s="8" t="n"/>
      <c r="F3" s="8" t="n"/>
      <c r="G3" s="8" t="n"/>
      <c r="H3" s="8" t="n"/>
      <c r="I3" s="8" t="n"/>
      <c r="J3" s="8" t="n"/>
      <c r="K3" s="8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</row>
    <row r="4">
      <c r="A4" s="1" t="inlineStr">
        <is>
          <t>Gross Profit [$]</t>
        </is>
      </c>
      <c r="B4" s="16">
        <f>B2+B3</f>
        <v/>
      </c>
      <c r="C4" s="16">
        <f>C2+C3</f>
        <v/>
      </c>
      <c r="D4" s="8">
        <f>D2+D3</f>
        <v/>
      </c>
      <c r="E4" s="8" t="n"/>
      <c r="F4" s="8" t="n"/>
      <c r="G4" s="8" t="n"/>
      <c r="H4" s="8" t="n"/>
      <c r="I4" s="8" t="n"/>
      <c r="J4" s="8" t="n"/>
      <c r="K4" s="8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>
      <c r="A5" s="1" t="inlineStr">
        <is>
          <t>Research &amp; Development [$]</t>
        </is>
      </c>
      <c r="B5" s="10">
        <f>('model_Assumptions'!$B$12/12) * (1+'model_Assumptions'!$B$50)^('model_Calendar'!B3/'model_Calendar'!B4)</f>
        <v/>
      </c>
      <c r="C5" s="10">
        <f>B5 * (1+'model_Assumptions'!$B$50)^('model_Calendar'!C3/'model_Calendar'!C4)</f>
        <v/>
      </c>
      <c r="D5" s="8">
        <f>C5 * (1+'model_Assumptions'!$B$50)^('model_Calendar'!D3/'model_Calendar'!D4)</f>
        <v/>
      </c>
      <c r="E5" s="8" t="n"/>
      <c r="F5" s="8" t="n"/>
      <c r="G5" s="8" t="n"/>
      <c r="H5" s="8" t="n"/>
      <c r="I5" s="8" t="n"/>
      <c r="J5" s="8" t="n"/>
      <c r="K5" s="8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</row>
    <row r="6">
      <c r="A6" s="1" t="inlineStr">
        <is>
          <t>Sales &amp; Marketing [$]</t>
        </is>
      </c>
      <c r="B6" s="10">
        <f>('model_Assumptions'!$B$13/12) * (1+'model_Assumptions'!$B$50)^('model_Calendar'!B3/'model_Calendar'!B4)</f>
        <v/>
      </c>
      <c r="C6" s="10">
        <f>B6 * (1+'model_Assumptions'!$B$50)^('model_Calendar'!C3/'model_Calendar'!C4)</f>
        <v/>
      </c>
      <c r="D6" s="8">
        <f>C6 * (1+'model_Assumptions'!$B$50)^('model_Calendar'!D3/'model_Calendar'!D4)</f>
        <v/>
      </c>
      <c r="E6" s="8" t="n"/>
      <c r="F6" s="8" t="n"/>
      <c r="G6" s="8" t="n"/>
      <c r="H6" s="8" t="n"/>
      <c r="I6" s="8" t="n"/>
      <c r="J6" s="8" t="n"/>
      <c r="K6" s="8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</row>
    <row r="7">
      <c r="A7" s="1" t="inlineStr">
        <is>
          <t>General &amp; Administrative [$]</t>
        </is>
      </c>
      <c r="B7" s="10">
        <f>('model_Assumptions'!$B$14/12) * (1+'model_Assumptions'!$B$50)^('model_Calendar'!B3/'model_Calendar'!B4)</f>
        <v/>
      </c>
      <c r="C7" s="10">
        <f>B7 * (1+'model_Assumptions'!$B$50)^('model_Calendar'!C3/'model_Calendar'!C4)</f>
        <v/>
      </c>
      <c r="D7" s="8">
        <f>C7 * (1+'model_Assumptions'!$B$50)^('model_Calendar'!D3/'model_Calendar'!D4)</f>
        <v/>
      </c>
      <c r="E7" s="8" t="n"/>
      <c r="F7" s="8" t="n"/>
      <c r="G7" s="8" t="n"/>
      <c r="H7" s="8" t="n"/>
      <c r="I7" s="8" t="n"/>
      <c r="J7" s="8" t="n"/>
      <c r="K7" s="8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</row>
    <row r="8">
      <c r="A8" s="1" t="inlineStr">
        <is>
          <t>IT &amp; Infrastructure [$]</t>
        </is>
      </c>
      <c r="B8" s="10">
        <f>('model_Assumptions'!$B$16/12) * (1+'model_Assumptions'!$B$50)^('model_Calendar'!B3/'model_Calendar'!B4)</f>
        <v/>
      </c>
      <c r="C8" s="10">
        <f>B8 * (1+'model_Assumptions'!$B$50)^('model_Calendar'!C3/'model_Calendar'!C4)</f>
        <v/>
      </c>
      <c r="D8" s="8">
        <f>C8 * (1+'model_Assumptions'!$B$50)^('model_Calendar'!D3/'model_Calendar'!D4)</f>
        <v/>
      </c>
      <c r="E8" s="8" t="n"/>
      <c r="F8" s="8" t="n"/>
      <c r="G8" s="8" t="n"/>
      <c r="H8" s="8" t="n"/>
      <c r="I8" s="8" t="n"/>
      <c r="J8" s="8" t="n"/>
      <c r="K8" s="8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</row>
    <row r="9">
      <c r="A9" s="1" t="inlineStr">
        <is>
          <t>Legal &amp; Compliance [$]</t>
        </is>
      </c>
      <c r="B9" s="10">
        <f>('model_Assumptions'!$B$17/12) * (1+'model_Assumptions'!$B$50)^('model_Calendar'!B3/'model_Calendar'!B4)</f>
        <v/>
      </c>
      <c r="C9" s="10">
        <f>B9 * (1+'model_Assumptions'!$B$50)^('model_Calendar'!C3/'model_Calendar'!C4)</f>
        <v/>
      </c>
      <c r="D9" s="8">
        <f>C9 * (1+'model_Assumptions'!$B$50)^('model_Calendar'!D3/'model_Calendar'!D4)</f>
        <v/>
      </c>
      <c r="E9" s="8" t="n"/>
      <c r="F9" s="8" t="n"/>
      <c r="G9" s="8" t="n"/>
      <c r="H9" s="8" t="n"/>
      <c r="I9" s="8" t="n"/>
      <c r="J9" s="8" t="n"/>
      <c r="K9" s="8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</row>
    <row r="10">
      <c r="A10" s="1" t="inlineStr">
        <is>
          <t>Logistics &amp; Distribution [$]</t>
        </is>
      </c>
      <c r="B10" s="10">
        <f>('model_Assumptions'!$B$18/12) * (1+'model_Assumptions'!$B$50)^('model_Calendar'!B3/'model_Calendar'!B4)</f>
        <v/>
      </c>
      <c r="C10" s="10">
        <f>B10 * (1+'model_Assumptions'!$B$50)^('model_Calendar'!C3/'model_Calendar'!C4)</f>
        <v/>
      </c>
      <c r="D10" s="8">
        <f>C10 * (1+'model_Assumptions'!$B$50)^('model_Calendar'!D3/'model_Calendar'!D4)</f>
        <v/>
      </c>
      <c r="E10" s="8" t="n"/>
      <c r="F10" s="8" t="n"/>
      <c r="G10" s="8" t="n"/>
      <c r="H10" s="8" t="n"/>
      <c r="I10" s="8" t="n"/>
      <c r="J10" s="8" t="n"/>
      <c r="K10" s="8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</row>
    <row r="11">
      <c r="A11" s="1" t="inlineStr">
        <is>
          <t>EBITDA [$]</t>
        </is>
      </c>
      <c r="B11" s="16">
        <f>B4+SUM(B5:B10)</f>
        <v/>
      </c>
      <c r="C11" s="16">
        <f>C4+SUM(C5:C10)</f>
        <v/>
      </c>
      <c r="D11" s="8">
        <f>D4+SUM(D5:D10)</f>
        <v/>
      </c>
      <c r="E11" s="8" t="n"/>
      <c r="F11" s="8" t="n"/>
      <c r="G11" s="8" t="n"/>
      <c r="H11" s="8" t="n"/>
      <c r="I11" s="8" t="n"/>
      <c r="J11" s="8" t="n"/>
      <c r="K11" s="8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</row>
    <row r="12">
      <c r="A12" s="1" t="inlineStr">
        <is>
          <t>Depreciation &amp; Amortization [$]</t>
        </is>
      </c>
      <c r="B12" s="10">
        <f>'model_BS'!B10 - 'model_Assumptions'!$B$28</f>
        <v/>
      </c>
      <c r="C12" s="10">
        <f>'model_BS'!C10 - 'model_BS'!B10</f>
        <v/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</row>
    <row r="13">
      <c r="A13" s="1" t="inlineStr">
        <is>
          <t>EBIT [$]</t>
        </is>
      </c>
      <c r="B13" s="16">
        <f>B11 + B12</f>
        <v/>
      </c>
      <c r="C13" s="16">
        <f>C11 + C12</f>
        <v/>
      </c>
      <c r="D13" s="8">
        <f>D11+D12</f>
        <v/>
      </c>
      <c r="E13" s="8" t="n"/>
      <c r="F13" s="8" t="n"/>
      <c r="G13" s="8" t="n"/>
      <c r="H13" s="8" t="n"/>
      <c r="I13" s="8" t="n"/>
      <c r="J13" s="8" t="n"/>
      <c r="K13" s="8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</row>
    <row r="14">
      <c r="A14" s="1" t="inlineStr">
        <is>
          <t>Interest Income [$]</t>
        </is>
      </c>
      <c r="B14" s="10">
        <f>('model_Assumptions'!$B$19/12) * (1+'model_Assumptions'!$B$51)^('model_Calendar'!B3/'model_Calendar'!B4)</f>
        <v/>
      </c>
      <c r="C14" s="10">
        <f>B14 * (1+'model_Assumptions'!$B$51)^('model_Calendar'!C3/'model_Calendar'!C4)</f>
        <v/>
      </c>
      <c r="D14" s="8">
        <f>C14 * (1+'model_Assumptions'!$B$51)^('model_Calendar'!D3/'model_Calendar'!D4)</f>
        <v/>
      </c>
      <c r="E14" s="8" t="n"/>
      <c r="F14" s="8" t="n"/>
      <c r="G14" s="8" t="n"/>
      <c r="H14" s="8" t="n"/>
      <c r="I14" s="8" t="n"/>
      <c r="J14" s="8" t="n"/>
      <c r="K14" s="8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</row>
    <row r="15">
      <c r="A15" s="1" t="inlineStr">
        <is>
          <t>Interest Expense [$]</t>
        </is>
      </c>
      <c r="B15" s="10">
        <f>('model_Assumptions'!$B$20/12) * (1+'model_Assumptions'!$B$51)^('model_Calendar'!B3/'model_Calendar'!B4)</f>
        <v/>
      </c>
      <c r="C15" s="10">
        <f>B15 * (1+'model_Assumptions'!$B$51)^('model_Calendar'!C3/'model_Calendar'!C4)</f>
        <v/>
      </c>
      <c r="D15" s="8">
        <f>C15 * (1+'model_Assumptions'!$B$51)^('model_Calendar'!D3/'model_Calendar'!D4)</f>
        <v/>
      </c>
      <c r="E15" s="8" t="n"/>
      <c r="F15" s="8" t="n"/>
      <c r="G15" s="8" t="n"/>
      <c r="H15" s="8" t="n"/>
      <c r="I15" s="8" t="n"/>
      <c r="J15" s="8" t="n"/>
      <c r="K15" s="8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</row>
    <row r="16">
      <c r="A16" s="1" t="inlineStr">
        <is>
          <t>Pre-tax Income [$]</t>
        </is>
      </c>
      <c r="B16" s="16">
        <f>B13 + B14 + B15</f>
        <v/>
      </c>
      <c r="C16" s="16">
        <f>C13 + C14 + C15</f>
        <v/>
      </c>
      <c r="D16" s="8">
        <f>D13+D14+D15</f>
        <v/>
      </c>
      <c r="E16" s="8" t="n"/>
      <c r="F16" s="8" t="n"/>
      <c r="G16" s="8" t="n"/>
      <c r="H16" s="8" t="n"/>
      <c r="I16" s="8" t="n"/>
      <c r="J16" s="8" t="n"/>
      <c r="K16" s="8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</row>
    <row r="17">
      <c r="A17" s="1" t="inlineStr">
        <is>
          <t>Taxes [$]</t>
        </is>
      </c>
      <c r="B17" s="16">
        <f>IF(B16&gt;0, -B16 * 'model_Assumptions'!$B$5, 0)</f>
        <v/>
      </c>
      <c r="C17" s="16">
        <f>IF(C16&gt;0, -C16 * 'model_Assumptions'!$B$5, 0)</f>
        <v/>
      </c>
      <c r="D17" s="8">
        <f>IF(D16&gt;0, -D16 * 'model_Assumptions'!$B$5, 0)</f>
        <v/>
      </c>
      <c r="E17" s="8" t="n"/>
      <c r="F17" s="8" t="n"/>
      <c r="G17" s="8" t="n"/>
      <c r="H17" s="8" t="n"/>
      <c r="I17" s="8" t="n"/>
      <c r="J17" s="8" t="n"/>
      <c r="K17" s="8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</row>
    <row r="18">
      <c r="A18" s="1" t="inlineStr">
        <is>
          <t>Net Income [$]</t>
        </is>
      </c>
      <c r="B18" s="18">
        <f>B16 + B17</f>
        <v/>
      </c>
      <c r="C18" s="20">
        <f>C16 + C17</f>
        <v/>
      </c>
      <c r="D18" s="21">
        <f>D16+D17</f>
        <v/>
      </c>
      <c r="E18" s="21" t="n"/>
      <c r="F18" s="21" t="n"/>
      <c r="G18" s="21" t="n"/>
      <c r="H18" s="21" t="n"/>
      <c r="I18" s="21" t="n"/>
      <c r="J18" s="21" t="n"/>
      <c r="K18" s="21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</cols>
  <sheetData>
    <row r="1">
      <c r="A1" s="2" t="inlineStr">
        <is>
          <t>Balance Sheet Item</t>
        </is>
      </c>
      <c r="B1" s="2" t="inlineStr">
        <is>
          <t>Month 1</t>
        </is>
      </c>
      <c r="C1" s="2" t="inlineStr">
        <is>
          <t>Month 2</t>
        </is>
      </c>
      <c r="D1" s="2" t="inlineStr">
        <is>
          <t>Month 3</t>
        </is>
      </c>
      <c r="E1" s="2" t="inlineStr">
        <is>
          <t>Month 4</t>
        </is>
      </c>
      <c r="F1" s="2" t="inlineStr">
        <is>
          <t>Month 5</t>
        </is>
      </c>
      <c r="G1" s="2" t="inlineStr">
        <is>
          <t>Month 6</t>
        </is>
      </c>
      <c r="H1" s="2" t="inlineStr">
        <is>
          <t>Month 7</t>
        </is>
      </c>
      <c r="I1" s="2" t="inlineStr">
        <is>
          <t>Month 8</t>
        </is>
      </c>
      <c r="J1" s="2" t="inlineStr">
        <is>
          <t>Month 9</t>
        </is>
      </c>
      <c r="K1" s="2" t="inlineStr">
        <is>
          <t>Month 10</t>
        </is>
      </c>
      <c r="L1" s="1" t="inlineStr">
        <is>
          <t>Month 11</t>
        </is>
      </c>
      <c r="M1" s="1" t="inlineStr">
        <is>
          <t>Month 12</t>
        </is>
      </c>
      <c r="N1" s="1" t="inlineStr">
        <is>
          <t>Month 13</t>
        </is>
      </c>
      <c r="O1" s="1" t="inlineStr">
        <is>
          <t>Month 14</t>
        </is>
      </c>
      <c r="P1" s="1" t="inlineStr">
        <is>
          <t>Month 15</t>
        </is>
      </c>
      <c r="Q1" s="1" t="inlineStr">
        <is>
          <t>Month 16</t>
        </is>
      </c>
      <c r="R1" s="1" t="inlineStr">
        <is>
          <t>Month 17</t>
        </is>
      </c>
      <c r="S1" s="1" t="inlineStr">
        <is>
          <t>Month 18</t>
        </is>
      </c>
      <c r="T1" s="1" t="inlineStr">
        <is>
          <t>Month 19</t>
        </is>
      </c>
      <c r="U1" s="1" t="inlineStr">
        <is>
          <t>Month 20</t>
        </is>
      </c>
      <c r="V1" s="1" t="inlineStr">
        <is>
          <t>Month 21</t>
        </is>
      </c>
      <c r="W1" s="1" t="inlineStr">
        <is>
          <t>Month 22</t>
        </is>
      </c>
      <c r="X1" s="1" t="inlineStr">
        <is>
          <t>Month 23</t>
        </is>
      </c>
      <c r="Y1" s="1" t="inlineStr">
        <is>
          <t>Month 24</t>
        </is>
      </c>
      <c r="Z1" s="1" t="inlineStr">
        <is>
          <t>Month 25</t>
        </is>
      </c>
      <c r="AA1" s="1" t="inlineStr">
        <is>
          <t>Month 26</t>
        </is>
      </c>
      <c r="AB1" s="1" t="inlineStr">
        <is>
          <t>Month 27</t>
        </is>
      </c>
      <c r="AC1" s="1" t="inlineStr">
        <is>
          <t>Month 28</t>
        </is>
      </c>
      <c r="AD1" s="1" t="inlineStr">
        <is>
          <t>Month 29</t>
        </is>
      </c>
      <c r="AE1" s="1" t="inlineStr">
        <is>
          <t>Month 30</t>
        </is>
      </c>
      <c r="AF1" s="1" t="inlineStr">
        <is>
          <t>Month 31</t>
        </is>
      </c>
      <c r="AG1" s="1" t="inlineStr">
        <is>
          <t>Month 32</t>
        </is>
      </c>
      <c r="AH1" s="1" t="inlineStr">
        <is>
          <t>Month 33</t>
        </is>
      </c>
      <c r="AI1" s="1" t="inlineStr">
        <is>
          <t>Month 34</t>
        </is>
      </c>
      <c r="AJ1" s="1" t="inlineStr">
        <is>
          <t>Month 35</t>
        </is>
      </c>
    </row>
    <row r="2">
      <c r="A2" s="1" t="inlineStr">
        <is>
          <t>Cash &amp; Cash Equivalents [$]</t>
        </is>
      </c>
      <c r="B2" s="10">
        <f>B33 - (B8 + B14)</f>
        <v/>
      </c>
      <c r="C2" s="10">
        <f>C33 - (C8 + C14)</f>
        <v/>
      </c>
      <c r="D2" s="8" t="n"/>
      <c r="E2" s="8" t="n"/>
      <c r="F2" s="8" t="n"/>
      <c r="G2" s="8" t="n"/>
      <c r="H2" s="8" t="n"/>
      <c r="I2" s="8" t="n"/>
      <c r="J2" s="8" t="n"/>
      <c r="K2" s="8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>
      <c r="A3" s="1" t="inlineStr">
        <is>
          <t>Short-Term Investments [$]</t>
        </is>
      </c>
      <c r="B3" s="10">
        <f>'model_Assumptions'!$B$22 * (1+'model_Assumptions'!$B$52)^('model_Calendar'!B3/'model_Calendar'!B4)</f>
        <v/>
      </c>
      <c r="C3" s="10">
        <f>B3 * (1+'model_Assumptions'!$B$52)^('model_Calendar'!C3/'model_Calendar'!C4)</f>
        <v/>
      </c>
      <c r="D3" s="8" t="n"/>
      <c r="E3" s="8" t="n"/>
      <c r="F3" s="8" t="n"/>
      <c r="G3" s="8" t="n"/>
      <c r="H3" s="8" t="n"/>
      <c r="I3" s="8" t="n"/>
      <c r="J3" s="8" t="n"/>
      <c r="K3" s="8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</row>
    <row r="4">
      <c r="A4" s="1" t="inlineStr">
        <is>
          <t>Accounts Receivable [$]</t>
        </is>
      </c>
      <c r="B4" s="10">
        <f>'model_Assumptions'!$B$23 * (1+'model_Assumptions'!$B$52)^('model_Calendar'!B3/'model_Calendar'!B4)</f>
        <v/>
      </c>
      <c r="C4" s="10">
        <f>B4 * (1+'model_Assumptions'!$B$52)^('model_Calendar'!C3/'model_Calendar'!C4)</f>
        <v/>
      </c>
      <c r="D4" s="8" t="n"/>
      <c r="E4" s="8" t="n"/>
      <c r="F4" s="8" t="n"/>
      <c r="G4" s="8" t="n"/>
      <c r="H4" s="8" t="n"/>
      <c r="I4" s="8" t="n"/>
      <c r="J4" s="8" t="n"/>
      <c r="K4" s="8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>
      <c r="A5" s="1" t="inlineStr">
        <is>
          <t>Inventory [$]</t>
        </is>
      </c>
      <c r="B5" s="10">
        <f>'model_Assumptions'!$B$24 * (1+'model_Assumptions'!$B$52)^('model_Calendar'!B3/'model_Calendar'!B4)</f>
        <v/>
      </c>
      <c r="C5" s="10">
        <f>B5 * (1+'model_Assumptions'!$B$52)^('model_Calendar'!C3/'model_Calendar'!C4)</f>
        <v/>
      </c>
      <c r="D5" s="8" t="n"/>
      <c r="E5" s="8" t="n"/>
      <c r="F5" s="8" t="n"/>
      <c r="G5" s="8" t="n"/>
      <c r="H5" s="8" t="n"/>
      <c r="I5" s="8" t="n"/>
      <c r="J5" s="8" t="n"/>
      <c r="K5" s="8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</row>
    <row r="6">
      <c r="A6" s="1" t="inlineStr">
        <is>
          <t>Prepaid Expenses [$]</t>
        </is>
      </c>
      <c r="B6" s="10">
        <f>'model_Assumptions'!$B$25 * (1+'model_Assumptions'!$B$52)^('model_Calendar'!B3/'model_Calendar'!B4)</f>
        <v/>
      </c>
      <c r="C6" s="10">
        <f>B6 * (1+'model_Assumptions'!$B$52)^('model_Calendar'!C3/'model_Calendar'!C4)</f>
        <v/>
      </c>
      <c r="D6" s="8" t="n"/>
      <c r="E6" s="8" t="n"/>
      <c r="F6" s="8" t="n"/>
      <c r="G6" s="8" t="n"/>
      <c r="H6" s="8" t="n"/>
      <c r="I6" s="8" t="n"/>
      <c r="J6" s="8" t="n"/>
      <c r="K6" s="8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</row>
    <row r="7">
      <c r="A7" s="1" t="inlineStr">
        <is>
          <t>Other Current Assets [$]</t>
        </is>
      </c>
      <c r="B7" s="10">
        <f>'model_Assumptions'!$B$26 * (1+'model_Assumptions'!$B$52)^('model_Calendar'!B3/'model_Calendar'!B4)</f>
        <v/>
      </c>
      <c r="C7" s="10">
        <f>B7 * (1+'model_Assumptions'!$B$52)^('model_Calendar'!C3/'model_Calendar'!C4)</f>
        <v/>
      </c>
      <c r="D7" s="8" t="n"/>
      <c r="E7" s="8" t="n"/>
      <c r="F7" s="8" t="n"/>
      <c r="G7" s="8" t="n"/>
      <c r="H7" s="8" t="n"/>
      <c r="I7" s="8" t="n"/>
      <c r="J7" s="8" t="n"/>
      <c r="K7" s="8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</row>
    <row r="8">
      <c r="A8" s="1" t="inlineStr">
        <is>
          <t>Total Current Assets [$]</t>
        </is>
      </c>
      <c r="B8" s="16">
        <f>SUM(B3:B7)</f>
        <v/>
      </c>
      <c r="C8" s="16">
        <f>SUM(C3:C7)</f>
        <v/>
      </c>
      <c r="D8" s="8" t="n"/>
      <c r="E8" s="8" t="n"/>
      <c r="F8" s="8" t="n"/>
      <c r="G8" s="8" t="n"/>
      <c r="H8" s="8" t="n"/>
      <c r="I8" s="8" t="n"/>
      <c r="J8" s="8" t="n"/>
      <c r="K8" s="8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</row>
    <row r="9">
      <c r="A9" s="1" t="inlineStr">
        <is>
          <t>Property, Plant &amp; Equipment [$]</t>
        </is>
      </c>
      <c r="B9" s="10">
        <f>'model_Assumptions'!$B$27 * (1+'model_Assumptions'!$B$53)^('model_Calendar'!B3/'model_Calendar'!B4)</f>
        <v/>
      </c>
      <c r="C9" s="10">
        <f>B9 * (1+'model_Assumptions'!$B$53)^('model_Calendar'!C3/'model_Calendar'!C4)</f>
        <v/>
      </c>
      <c r="D9" s="8" t="n"/>
      <c r="E9" s="8" t="n"/>
      <c r="F9" s="8" t="n"/>
      <c r="G9" s="8" t="n"/>
      <c r="H9" s="8" t="n"/>
      <c r="I9" s="8" t="n"/>
      <c r="J9" s="8" t="n"/>
      <c r="K9" s="8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</row>
    <row r="10">
      <c r="A10" s="1" t="inlineStr">
        <is>
          <t>Accumulated Depreciation [$]</t>
        </is>
      </c>
      <c r="B10" s="10">
        <f>'model_Assumptions'!$B$28 * (1+'model_Assumptions'!$B$53)^('model_Calendar'!B3/'model_Calendar'!B4)</f>
        <v/>
      </c>
      <c r="C10" s="10">
        <f>B10 * (1+'model_Assumptions'!$B$53)^('model_Calendar'!C3/'model_Calendar'!C4)</f>
        <v/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</row>
    <row r="11">
      <c r="A11" s="1" t="inlineStr">
        <is>
          <t>Intangible Assets [$]</t>
        </is>
      </c>
      <c r="B11" s="10">
        <f>'model_Assumptions'!$B$29 * (1+'model_Assumptions'!$B$53)^('model_Calendar'!B3/'model_Calendar'!B4)</f>
        <v/>
      </c>
      <c r="C11" s="10">
        <f>B11 * (1+'model_Assumptions'!$B$53)^('model_Calendar'!C3/'model_Calendar'!C4)</f>
        <v/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</row>
    <row r="12">
      <c r="A12" s="1" t="inlineStr">
        <is>
          <t>Long-Term Investments [$]</t>
        </is>
      </c>
      <c r="B12" s="10">
        <f>'model_Assumptions'!$B$30 * (1+'model_Assumptions'!$B$53)^('model_Calendar'!B3/'model_Calendar'!B4)</f>
        <v/>
      </c>
      <c r="C12" s="10">
        <f>B12 * (1+'model_Assumptions'!$B$53)^('model_Calendar'!C3/'model_Calendar'!C4)</f>
        <v/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</row>
    <row r="13">
      <c r="A13" s="1" t="inlineStr">
        <is>
          <t>Other Non-Current Assets [$]</t>
        </is>
      </c>
      <c r="B13" s="10">
        <f>'model_Assumptions'!$B$31 * (1+'model_Assumptions'!$B$53)^('model_Calendar'!B3/'model_Calendar'!B4)</f>
        <v/>
      </c>
      <c r="C13" s="10">
        <f>B13 * (1+'model_Assumptions'!$B$53)^('model_Calendar'!C3/'model_Calendar'!C4)</f>
        <v/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</row>
    <row r="14">
      <c r="A14" s="1" t="inlineStr">
        <is>
          <t>Total Non-Current Assets [$]</t>
        </is>
      </c>
      <c r="B14" s="16">
        <f>SUM(B9:B13)</f>
        <v/>
      </c>
      <c r="C14" s="16">
        <f>SUM(C9:C13)</f>
        <v/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</row>
    <row r="15">
      <c r="A15" s="1" t="inlineStr">
        <is>
          <t>Total Assets [$]</t>
        </is>
      </c>
      <c r="B15" s="16">
        <f>B2+B8+B14</f>
        <v/>
      </c>
      <c r="C15" s="16">
        <f>C2+C8+C14</f>
        <v/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</row>
    <row r="16">
      <c r="A16" s="1" t="inlineStr">
        <is>
          <t>Accounts Payable [$]</t>
        </is>
      </c>
      <c r="B16" s="10">
        <f>'model_Assumptions'!$B$32 * (1+'model_Assumptions'!$B$54)^('model_Calendar'!B3/'model_Calendar'!B4)</f>
        <v/>
      </c>
      <c r="C16" s="10">
        <f>B16 * (1+'model_Assumptions'!$B$54)^('model_Calendar'!C3/'model_Calendar'!C4)</f>
        <v/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</row>
    <row r="17">
      <c r="A17" s="1" t="inlineStr">
        <is>
          <t>Short-Term Debt [$]</t>
        </is>
      </c>
      <c r="B17" s="10">
        <f>'model_Assumptions'!$B$33 * (1+'model_Assumptions'!$B$54)^('model_Calendar'!B3/'model_Calendar'!B4)</f>
        <v/>
      </c>
      <c r="C17" s="10">
        <f>B17 * (1+'model_Assumptions'!$B$54)^('model_Calendar'!C3/'model_Calendar'!C4)</f>
        <v/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</row>
    <row r="18">
      <c r="A18" s="1" t="inlineStr">
        <is>
          <t>Accrued Expenses [$]</t>
        </is>
      </c>
      <c r="B18" s="10">
        <f>'model_Assumptions'!$B$34 * (1+'model_Assumptions'!$B$54)^('model_Calendar'!B3/'model_Calendar'!B4)</f>
        <v/>
      </c>
      <c r="C18" s="10">
        <f>B18 * (1+'model_Assumptions'!$B$54)^('model_Calendar'!C3/'model_Calendar'!C4)</f>
        <v/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</row>
    <row r="19">
      <c r="A19" s="1" t="inlineStr">
        <is>
          <t>Deferred Revenue [$]</t>
        </is>
      </c>
      <c r="B19" s="10">
        <f>'model_Assumptions'!$B$35 * (1+'model_Assumptions'!$B$54)^('model_Calendar'!B3/'model_Calendar'!B4)</f>
        <v/>
      </c>
      <c r="C19" s="10">
        <f>B19 * (1+'model_Assumptions'!$B$54)^('model_Calendar'!C3/'model_Calendar'!C4)</f>
        <v/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</row>
    <row r="20">
      <c r="A20" s="1" t="inlineStr">
        <is>
          <t>Current Portion of Long-Term Debt [$]</t>
        </is>
      </c>
      <c r="B20" s="10">
        <f>'model_Assumptions'!$B$36 * (1+'model_Assumptions'!$B$54)^('model_Calendar'!B3/'model_Calendar'!B4)</f>
        <v/>
      </c>
      <c r="C20" s="10">
        <f>B20 * (1+'model_Assumptions'!$B$54)^('model_Calendar'!C3/'model_Calendar'!C4)</f>
        <v/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</row>
    <row r="21">
      <c r="A21" s="1" t="inlineStr">
        <is>
          <t>Other Current Liabilities [$]</t>
        </is>
      </c>
      <c r="B21" s="10">
        <f>'model_Assumptions'!$B$37 * (1+'model_Assumptions'!$B$54)^('model_Calendar'!B3/'model_Calendar'!B4)</f>
        <v/>
      </c>
      <c r="C21" s="10">
        <f>B21 * (1+'model_Assumptions'!$B$54)^('model_Calendar'!C3/'model_Calendar'!C4)</f>
        <v/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</row>
    <row r="22">
      <c r="A22" s="1" t="inlineStr">
        <is>
          <t>Total Current Liabilities [$]</t>
        </is>
      </c>
      <c r="B22" s="16">
        <f>SUM(B16:B21)</f>
        <v/>
      </c>
      <c r="C22" s="16">
        <f>SUM(C16:C21)</f>
        <v/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</row>
    <row r="23">
      <c r="A23" s="1" t="inlineStr">
        <is>
          <t>Long-Term Debt [$]</t>
        </is>
      </c>
      <c r="B23" s="10">
        <f>'model_Assumptions'!$B$38 * (1+'model_Assumptions'!$B$55)^('model_Calendar'!B3/'model_Calendar'!B4)</f>
        <v/>
      </c>
      <c r="C23" s="10">
        <f>B23 * (1+'model_Assumptions'!$B$55)^('model_Calendar'!C3/'model_Calendar'!C4)</f>
        <v/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</row>
    <row r="24">
      <c r="A24" s="1" t="inlineStr">
        <is>
          <t>Pension Liabilities [$]</t>
        </is>
      </c>
      <c r="B24" s="10">
        <f>'model_Assumptions'!$B$39 * (1+'model_Assumptions'!$B$55)^('model_Calendar'!B3/'model_Calendar'!B4)</f>
        <v/>
      </c>
      <c r="C24" s="10">
        <f>B24 * (1+'model_Assumptions'!$B$55)^('model_Calendar'!C3/'model_Calendar'!C4)</f>
        <v/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</row>
    <row r="25">
      <c r="A25" s="1" t="inlineStr">
        <is>
          <t>Lease Liabilities [$]</t>
        </is>
      </c>
      <c r="B25" s="10">
        <f>'model_Assumptions'!$B$40 * (1+'model_Assumptions'!$B$55)^('model_Calendar'!B3/'model_Calendar'!B4)</f>
        <v/>
      </c>
      <c r="C25" s="10">
        <f>B25 * (1+'model_Assumptions'!$B$55)^('model_Calendar'!C3/'model_Calendar'!C4)</f>
        <v/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</row>
    <row r="26">
      <c r="A26" s="1" t="inlineStr">
        <is>
          <t>Other Long-Term Liabilities [$]</t>
        </is>
      </c>
      <c r="B26" s="10">
        <f>'model_Assumptions'!$B$41 * (1+'model_Assumptions'!$B$55)^('model_Calendar'!B3/'model_Calendar'!B4)</f>
        <v/>
      </c>
      <c r="C26" s="10">
        <f>B26 * (1+'model_Assumptions'!$B$55)^('model_Calendar'!C3/'model_Calendar'!C4)</f>
        <v/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</row>
    <row r="27">
      <c r="A27" s="1" t="inlineStr">
        <is>
          <t>Total Non-Current Liabilities [$]</t>
        </is>
      </c>
      <c r="B27" s="16">
        <f>SUM(B23:B26)</f>
        <v/>
      </c>
      <c r="C27" s="16">
        <f>SUM(C23:C26)</f>
        <v/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</row>
    <row r="28">
      <c r="A28" s="1" t="inlineStr">
        <is>
          <t>Total Liabilities [$]</t>
        </is>
      </c>
      <c r="B28" s="16">
        <f>B22+B27</f>
        <v/>
      </c>
      <c r="C28" s="16">
        <f>C22+C27</f>
        <v/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</row>
    <row r="29">
      <c r="A29" s="1" t="inlineStr">
        <is>
          <t>Share Capital [$]</t>
        </is>
      </c>
      <c r="B29" s="10">
        <f>'model_Assumptions'!$B$42</f>
        <v/>
      </c>
      <c r="C29" s="10">
        <f>'model_Assumptions'!$B$42</f>
        <v/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</row>
    <row r="30">
      <c r="A30" s="1" t="inlineStr">
        <is>
          <t>Additional Paid-In Capital [$]</t>
        </is>
      </c>
      <c r="B30" s="10">
        <f>'model_Assumptions'!$B$43</f>
        <v/>
      </c>
      <c r="C30" s="10">
        <f>'model_Assumptions'!$B$43</f>
        <v/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</row>
    <row r="31">
      <c r="A31" s="1" t="inlineStr">
        <is>
          <t>Retained Earnings [$]</t>
        </is>
      </c>
      <c r="B31" s="10">
        <f>'model_Assumptions'!$B$44 + 'model_PL'!B18 * (1 - 'model_Assumptions'!$B$6)</f>
        <v/>
      </c>
      <c r="C31" s="10">
        <f>B31 + 'model_PL'!C18 * (1 - 'model_Assumptions'!$B$6)</f>
        <v/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</row>
    <row r="32">
      <c r="A32" s="1" t="inlineStr">
        <is>
          <t>Total Equity [$]</t>
        </is>
      </c>
      <c r="B32" s="16">
        <f>SUM(B29:B31)</f>
        <v/>
      </c>
      <c r="C32" s="16">
        <f>SUM(C29:C31)</f>
        <v/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</row>
    <row r="33">
      <c r="A33" s="1" t="inlineStr">
        <is>
          <t>Total Liabilities &amp; Equity [$]</t>
        </is>
      </c>
      <c r="B33" s="18">
        <f>B28+B32</f>
        <v/>
      </c>
      <c r="C33" s="20">
        <f>C28+C32</f>
        <v/>
      </c>
      <c r="D33" s="21" t="n"/>
      <c r="E33" s="21" t="n"/>
      <c r="F33" s="21" t="n"/>
      <c r="G33" s="21" t="n"/>
      <c r="H33" s="21" t="n"/>
      <c r="I33" s="21" t="n"/>
      <c r="J33" s="21" t="n"/>
      <c r="K33" s="21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</row>
    <row r="34">
      <c r="A34" s="1" t="inlineStr">
        <is>
          <t>Balance Check [$]</t>
        </is>
      </c>
      <c r="B34" s="13">
        <f>B15 - B33</f>
        <v/>
      </c>
      <c r="C34" s="13">
        <f>C15 - C33</f>
        <v/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</row>
    <row r="35">
      <c r="A35" s="1" t="inlineStr">
        <is>
          <t>Working Capital [$]</t>
        </is>
      </c>
      <c r="B35" s="8">
        <f>B8-B22</f>
        <v/>
      </c>
      <c r="C35" s="8">
        <f>C8-C22</f>
        <v/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</cols>
  <sheetData>
    <row r="1">
      <c r="A1" s="2" t="inlineStr">
        <is>
          <t>Cash Flow Item</t>
        </is>
      </c>
      <c r="B1" s="2" t="inlineStr">
        <is>
          <t>Month 1</t>
        </is>
      </c>
      <c r="C1" s="2" t="inlineStr">
        <is>
          <t>Month 2</t>
        </is>
      </c>
      <c r="D1" s="2" t="inlineStr">
        <is>
          <t>Month 3</t>
        </is>
      </c>
      <c r="E1" s="2" t="inlineStr">
        <is>
          <t>Month 4</t>
        </is>
      </c>
      <c r="F1" s="2" t="inlineStr">
        <is>
          <t>Month 5</t>
        </is>
      </c>
      <c r="G1" s="2" t="inlineStr">
        <is>
          <t>Month 6</t>
        </is>
      </c>
      <c r="H1" s="2" t="inlineStr">
        <is>
          <t>Month 7</t>
        </is>
      </c>
      <c r="I1" s="2" t="inlineStr">
        <is>
          <t>Month 8</t>
        </is>
      </c>
      <c r="J1" s="2" t="inlineStr">
        <is>
          <t>Month 9</t>
        </is>
      </c>
      <c r="K1" s="2" t="inlineStr">
        <is>
          <t>Month 10</t>
        </is>
      </c>
      <c r="L1" s="1" t="inlineStr">
        <is>
          <t>Month 11</t>
        </is>
      </c>
      <c r="M1" s="1" t="inlineStr">
        <is>
          <t>Month 12</t>
        </is>
      </c>
      <c r="N1" s="1" t="inlineStr">
        <is>
          <t>Month 13</t>
        </is>
      </c>
      <c r="O1" s="1" t="inlineStr">
        <is>
          <t>Month 14</t>
        </is>
      </c>
      <c r="P1" s="1" t="inlineStr">
        <is>
          <t>Month 15</t>
        </is>
      </c>
      <c r="Q1" s="1" t="inlineStr">
        <is>
          <t>Month 16</t>
        </is>
      </c>
      <c r="R1" s="1" t="inlineStr">
        <is>
          <t>Month 17</t>
        </is>
      </c>
      <c r="S1" s="1" t="inlineStr">
        <is>
          <t>Month 18</t>
        </is>
      </c>
      <c r="T1" s="1" t="inlineStr">
        <is>
          <t>Month 19</t>
        </is>
      </c>
      <c r="U1" s="1" t="inlineStr">
        <is>
          <t>Month 20</t>
        </is>
      </c>
      <c r="V1" s="1" t="inlineStr">
        <is>
          <t>Month 21</t>
        </is>
      </c>
      <c r="W1" s="1" t="inlineStr">
        <is>
          <t>Month 22</t>
        </is>
      </c>
      <c r="X1" s="1" t="inlineStr">
        <is>
          <t>Month 23</t>
        </is>
      </c>
      <c r="Y1" s="1" t="inlineStr">
        <is>
          <t>Month 24</t>
        </is>
      </c>
      <c r="Z1" s="1" t="inlineStr">
        <is>
          <t>Month 25</t>
        </is>
      </c>
      <c r="AA1" s="1" t="inlineStr">
        <is>
          <t>Month 26</t>
        </is>
      </c>
      <c r="AB1" s="1" t="inlineStr">
        <is>
          <t>Month 27</t>
        </is>
      </c>
      <c r="AC1" s="1" t="inlineStr">
        <is>
          <t>Month 28</t>
        </is>
      </c>
      <c r="AD1" s="1" t="inlineStr">
        <is>
          <t>Month 29</t>
        </is>
      </c>
      <c r="AE1" s="1" t="inlineStr">
        <is>
          <t>Month 30</t>
        </is>
      </c>
      <c r="AF1" s="1" t="inlineStr">
        <is>
          <t>Month 31</t>
        </is>
      </c>
      <c r="AG1" s="1" t="inlineStr">
        <is>
          <t>Month 32</t>
        </is>
      </c>
      <c r="AH1" s="1" t="inlineStr">
        <is>
          <t>Month 33</t>
        </is>
      </c>
      <c r="AI1" s="1" t="inlineStr">
        <is>
          <t>Month 34</t>
        </is>
      </c>
      <c r="AJ1" s="1" t="inlineStr">
        <is>
          <t>Month 35</t>
        </is>
      </c>
    </row>
    <row r="2">
      <c r="A2" s="1" t="inlineStr">
        <is>
          <t>Net Income [$]</t>
        </is>
      </c>
      <c r="B2" s="10">
        <f>'model_PL'!B18</f>
        <v/>
      </c>
      <c r="C2" s="8">
        <f>'model_PL'!C18</f>
        <v/>
      </c>
      <c r="D2" s="8" t="n"/>
      <c r="E2" s="8" t="n"/>
      <c r="F2" s="8" t="n"/>
      <c r="G2" s="8" t="n"/>
      <c r="H2" s="8" t="n"/>
      <c r="I2" s="8" t="n"/>
      <c r="J2" s="8" t="n"/>
      <c r="K2" s="8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>
      <c r="A3" s="1" t="inlineStr">
        <is>
          <t>Depreciation &amp; Amortization [$]</t>
        </is>
      </c>
      <c r="B3" s="10">
        <f>-'model_PL'!B12</f>
        <v/>
      </c>
      <c r="C3" s="8">
        <f>-'model_PL'!C12</f>
        <v/>
      </c>
      <c r="D3" s="8" t="n"/>
      <c r="E3" s="8" t="n"/>
      <c r="F3" s="8" t="n"/>
      <c r="G3" s="8" t="n"/>
      <c r="H3" s="8" t="n"/>
      <c r="I3" s="8" t="n"/>
      <c r="J3" s="8" t="n"/>
      <c r="K3" s="8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</row>
    <row r="4">
      <c r="A4" s="1" t="inlineStr">
        <is>
          <t>Change in Working Capital [$]</t>
        </is>
      </c>
      <c r="B4" s="10">
        <f>-('model_BS'!B35 - (SUM('model_Assumptions'!$B$22:$B$26) - SUM('model_Assumptions'!$B$32:$B$37)))</f>
        <v/>
      </c>
      <c r="C4" s="8">
        <f>-('model_BS'!C35 - 'model_BS'!B35)</f>
        <v/>
      </c>
      <c r="D4" s="8" t="n"/>
      <c r="E4" s="8" t="n"/>
      <c r="F4" s="8" t="n"/>
      <c r="G4" s="8" t="n"/>
      <c r="H4" s="8" t="n"/>
      <c r="I4" s="8" t="n"/>
      <c r="J4" s="8" t="n"/>
      <c r="K4" s="8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>
      <c r="A5" s="1" t="inlineStr">
        <is>
          <t>Cash Flow from Operations [$]</t>
        </is>
      </c>
      <c r="B5" s="10">
        <f>SUM(B2:B4)</f>
        <v/>
      </c>
      <c r="C5" s="8">
        <f>SUM(C2:C4)</f>
        <v/>
      </c>
      <c r="D5" s="8" t="n"/>
      <c r="E5" s="8" t="n"/>
      <c r="F5" s="8" t="n"/>
      <c r="G5" s="8" t="n"/>
      <c r="H5" s="8" t="n"/>
      <c r="I5" s="8" t="n"/>
      <c r="J5" s="8" t="n"/>
      <c r="K5" s="8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</row>
    <row r="6">
      <c r="A6" s="1" t="inlineStr">
        <is>
          <t>CAPEX - PP&amp;E [$]</t>
        </is>
      </c>
      <c r="B6" s="10">
        <f>-('model_BS'!B9 - 'model_Assumptions'!$B$27)</f>
        <v/>
      </c>
      <c r="C6" s="8">
        <f>-('model_BS'!C9 - 'model_BS'!B9)</f>
        <v/>
      </c>
      <c r="D6" s="8" t="n"/>
      <c r="E6" s="8" t="n"/>
      <c r="F6" s="8" t="n"/>
      <c r="G6" s="8" t="n"/>
      <c r="H6" s="8" t="n"/>
      <c r="I6" s="8" t="n"/>
      <c r="J6" s="8" t="n"/>
      <c r="K6" s="8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</row>
    <row r="7">
      <c r="A7" s="1" t="inlineStr">
        <is>
          <t>Change in Other NC Assets [$]</t>
        </is>
      </c>
      <c r="B7" s="10">
        <f>-('model_BS'!B14 - (SUM('model_Assumptions'!$B$29:$B$31)))</f>
        <v/>
      </c>
      <c r="C7" s="8">
        <f>-('model_BS'!C14 - 'model_BS'!B14)</f>
        <v/>
      </c>
      <c r="D7" s="8" t="n"/>
      <c r="E7" s="8" t="n"/>
      <c r="F7" s="8" t="n"/>
      <c r="G7" s="8" t="n"/>
      <c r="H7" s="8" t="n"/>
      <c r="I7" s="8" t="n"/>
      <c r="J7" s="8" t="n"/>
      <c r="K7" s="8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</row>
    <row r="8">
      <c r="A8" s="1" t="inlineStr">
        <is>
          <t>Cash Flow from Investing [$]</t>
        </is>
      </c>
      <c r="B8" s="10">
        <f>SUM(B6:B7)</f>
        <v/>
      </c>
      <c r="C8" s="8">
        <f>SUM(C6:C7)</f>
        <v/>
      </c>
      <c r="D8" s="8" t="n"/>
      <c r="E8" s="8" t="n"/>
      <c r="F8" s="8" t="n"/>
      <c r="G8" s="8" t="n"/>
      <c r="H8" s="8" t="n"/>
      <c r="I8" s="8" t="n"/>
      <c r="J8" s="8" t="n"/>
      <c r="K8" s="8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</row>
    <row r="9">
      <c r="A9" s="1" t="inlineStr">
        <is>
          <t>Change in NC Liabilities [$]</t>
        </is>
      </c>
      <c r="B9" s="10">
        <f>'model_BS'!B27 - (SUM('model_Assumptions'!$B$38:$B$41))</f>
        <v/>
      </c>
      <c r="C9" s="8">
        <f>'model_BS'!C27 - 'model_BS'!B27</f>
        <v/>
      </c>
      <c r="D9" s="8" t="n"/>
      <c r="E9" s="8" t="n"/>
      <c r="F9" s="8" t="n"/>
      <c r="G9" s="8" t="n"/>
      <c r="H9" s="8" t="n"/>
      <c r="I9" s="8" t="n"/>
      <c r="J9" s="8" t="n"/>
      <c r="K9" s="8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</row>
    <row r="10">
      <c r="A10" s="1" t="inlineStr">
        <is>
          <t>Profit Distributions [$]</t>
        </is>
      </c>
      <c r="B10" s="10">
        <f>-'model_PL'!B18 * 'model_Assumptions'!$B$6</f>
        <v/>
      </c>
      <c r="C10" s="8">
        <f>-'model_PL'!C18 * 'model_Assumptions'!$B$6</f>
        <v/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</row>
    <row r="11">
      <c r="A11" s="1" t="inlineStr">
        <is>
          <t>Cash Flow from Financing [$]</t>
        </is>
      </c>
      <c r="B11" s="12">
        <f>SUM(B9:B10)</f>
        <v/>
      </c>
      <c r="C11" s="21">
        <f>SUM(C9:C10)</f>
        <v/>
      </c>
      <c r="D11" s="21" t="n"/>
      <c r="E11" s="21" t="n"/>
      <c r="F11" s="21" t="n"/>
      <c r="G11" s="21" t="n"/>
      <c r="H11" s="21" t="n"/>
      <c r="I11" s="21" t="n"/>
      <c r="J11" s="21" t="n"/>
      <c r="K11" s="2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</row>
    <row r="12">
      <c r="A12" s="1" t="inlineStr">
        <is>
          <t>Net Cashflow for the Month [$]</t>
        </is>
      </c>
      <c r="B12" s="8">
        <f>SUM(B5,B8,B11)</f>
        <v/>
      </c>
      <c r="C12" s="8">
        <f>SUM(C5,C8,C11)</f>
        <v/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</row>
    <row r="13">
      <c r="A13" s="1" t="inlineStr">
        <is>
          <t>Opening Cash [$]</t>
        </is>
      </c>
      <c r="B13" s="8">
        <f>'model_Assumptions'!$B$21</f>
        <v/>
      </c>
      <c r="C13" s="8">
        <f>'model_BS'!B2</f>
        <v/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</row>
    <row r="14">
      <c r="A14" s="1" t="inlineStr">
        <is>
          <t>Closing Cash [$]</t>
        </is>
      </c>
      <c r="B14" s="21">
        <f>B13+B12</f>
        <v/>
      </c>
      <c r="C14" s="21">
        <f>C13+C12</f>
        <v/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  <c r="AG14" s="22" t="n"/>
      <c r="AH14" s="22" t="n"/>
      <c r="AI14" s="22" t="n"/>
      <c r="AJ14" s="2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Question</t>
        </is>
      </c>
      <c r="B1" s="2" t="inlineStr">
        <is>
          <t>Answer</t>
        </is>
      </c>
      <c r="C1" s="1" t="inlineStr">
        <is>
          <t>Unit</t>
        </is>
      </c>
    </row>
    <row r="2">
      <c r="A2" s="1" t="inlineStr">
        <is>
          <t>What is the amount for/of Accounts Receivable in 2-2033?</t>
        </is>
      </c>
      <c r="B2" s="23" t="n"/>
      <c r="C2" s="24" t="n"/>
    </row>
    <row r="3">
      <c r="A3" s="1" t="inlineStr">
        <is>
          <t>What is the amount for/of Accumulated Depreciation in 7-2030?</t>
        </is>
      </c>
      <c r="B3" s="23" t="n"/>
      <c r="C3" s="24" t="n"/>
    </row>
    <row r="4">
      <c r="A4" s="1" t="inlineStr">
        <is>
          <t>What is the amount for/of Additional Paid-In Capital in 11-2034?</t>
        </is>
      </c>
      <c r="B4" s="23" t="n"/>
      <c r="C4" s="24" t="n"/>
    </row>
    <row r="5">
      <c r="A5" s="1" t="inlineStr">
        <is>
          <t>What is the amount for/of Additional Paid-In Capital in 3-2029?</t>
        </is>
      </c>
      <c r="B5" s="23" t="n"/>
      <c r="C5" s="24" t="n"/>
    </row>
    <row r="6">
      <c r="A6" s="1" t="inlineStr">
        <is>
          <t>What is the amount for/of Balance Sheet Sum in 5-2035?</t>
        </is>
      </c>
      <c r="B6" s="23" t="n"/>
      <c r="C6" s="24" t="n"/>
    </row>
    <row r="7">
      <c r="A7" s="1" t="inlineStr">
        <is>
          <t>What is the amount for/of CAPEX - PP&amp;E in 2-2029?</t>
        </is>
      </c>
      <c r="B7" s="23" t="n"/>
      <c r="C7" s="24" t="n"/>
    </row>
    <row r="8">
      <c r="A8" s="1" t="inlineStr">
        <is>
          <t>What is the amount for/of CAPEX - PP&amp;E in 9-2036?</t>
        </is>
      </c>
      <c r="B8" s="23" t="n"/>
      <c r="C8" s="24" t="n"/>
    </row>
    <row r="9">
      <c r="A9" s="1" t="inlineStr">
        <is>
          <t>What is the amount for/of Cashflow From Financing in 2-2029?</t>
        </is>
      </c>
      <c r="B9" s="23" t="n"/>
      <c r="C9" s="24" t="n"/>
    </row>
    <row r="10">
      <c r="A10" s="1" t="inlineStr">
        <is>
          <t>What is the amount for/of Cashflow From Investments in 3-2036?</t>
        </is>
      </c>
      <c r="B10" s="23" t="n"/>
      <c r="C10" s="24" t="n"/>
    </row>
    <row r="11">
      <c r="A11" s="1" t="inlineStr">
        <is>
          <t>What is the amount for/of Change in Other Non-Current Assets in 5-2028?</t>
        </is>
      </c>
      <c r="B11" s="23" t="n"/>
      <c r="C11" s="24" t="n"/>
    </row>
    <row r="12">
      <c r="A12" s="1" t="inlineStr">
        <is>
          <t>What is the amount for/of Deferred Revenue in 5-2029?</t>
        </is>
      </c>
      <c r="B12" s="23" t="n"/>
      <c r="C12" s="24" t="n"/>
    </row>
    <row r="13">
      <c r="A13" s="1" t="inlineStr">
        <is>
          <t>What is the amount for/of Deferred Revenue in 6-2031?</t>
        </is>
      </c>
      <c r="B13" s="23" t="n"/>
      <c r="C13" s="24" t="n"/>
    </row>
    <row r="14">
      <c r="A14" s="1" t="inlineStr">
        <is>
          <t>What is the amount for/of Depreciation in 12-2032?</t>
        </is>
      </c>
      <c r="B14" s="23" t="n"/>
      <c r="C14" s="24" t="n"/>
    </row>
    <row r="15">
      <c r="A15" s="1" t="inlineStr">
        <is>
          <t>What is the amount for/of Depreciation in 3-2027?</t>
        </is>
      </c>
      <c r="B15" s="23" t="n"/>
      <c r="C15" s="24" t="n"/>
    </row>
    <row r="16">
      <c r="A16" s="1" t="inlineStr">
        <is>
          <t>What is the amount for/of Gross Profit in 4-2031?</t>
        </is>
      </c>
      <c r="B16" s="23" t="n"/>
      <c r="C16" s="24" t="n"/>
    </row>
    <row r="17">
      <c r="A17" s="1" t="inlineStr">
        <is>
          <t>What is the amount for/of Gross Profit in 5-2036?</t>
        </is>
      </c>
      <c r="B17" s="23" t="n"/>
      <c r="C17" s="24" t="n"/>
    </row>
    <row r="18">
      <c r="A18" s="1" t="inlineStr">
        <is>
          <t>What is the amount for/of Gross Profit in 7-2034?</t>
        </is>
      </c>
      <c r="B18" s="23" t="n"/>
      <c r="C18" s="24" t="n"/>
    </row>
    <row r="19">
      <c r="A19" s="1" t="inlineStr">
        <is>
          <t>What is the amount for/of Gross Profit in 8-2029?</t>
        </is>
      </c>
      <c r="B19" s="23" t="n"/>
      <c r="C19" s="24" t="n"/>
    </row>
    <row r="20">
      <c r="A20" s="1" t="inlineStr">
        <is>
          <t>What is the amount for/of Intangible Assets growth in 10-2028?</t>
        </is>
      </c>
      <c r="B20" s="23" t="n"/>
      <c r="C20" s="24" t="n"/>
    </row>
    <row r="21">
      <c r="A21" s="1" t="inlineStr">
        <is>
          <t>What is the amount for/of Intangible Assets growth in 7-2031?</t>
        </is>
      </c>
      <c r="B21" s="23" t="n"/>
      <c r="C21" s="24" t="n"/>
    </row>
    <row r="22">
      <c r="A22" s="1" t="inlineStr">
        <is>
          <t>What is the amount for/of Intangible Assets in 10-2027?</t>
        </is>
      </c>
      <c r="B22" s="23" t="n"/>
      <c r="C22" s="24" t="n"/>
    </row>
    <row r="23">
      <c r="A23" s="1" t="inlineStr">
        <is>
          <t>What is the amount for/of Intangible Assets in 4-2034?</t>
        </is>
      </c>
      <c r="B23" s="23" t="n"/>
      <c r="C23" s="24" t="n"/>
    </row>
    <row r="24">
      <c r="A24" s="1" t="inlineStr">
        <is>
          <t>What is the amount for/of Interest Income in 8-2034?</t>
        </is>
      </c>
      <c r="B24" s="23" t="n"/>
      <c r="C24" s="24" t="n"/>
    </row>
    <row r="25">
      <c r="A25" s="1" t="inlineStr">
        <is>
          <t>What is the amount for/of IT &amp; Infrastructure in 10-2033?</t>
        </is>
      </c>
      <c r="B25" s="23" t="n"/>
      <c r="C25" s="24" t="n"/>
    </row>
    <row r="26">
      <c r="A26" s="1" t="inlineStr">
        <is>
          <t>What is the amount for/of Lease Liabilities in 6-2034?</t>
        </is>
      </c>
      <c r="B26" s="23" t="n"/>
      <c r="C26" s="24" t="n"/>
    </row>
    <row r="27">
      <c r="A27" s="1" t="inlineStr">
        <is>
          <t>What is the amount for/of Legal &amp; Compliance in 11-2031?</t>
        </is>
      </c>
      <c r="B27" s="23" t="n"/>
      <c r="C27" s="24" t="n"/>
    </row>
    <row r="28">
      <c r="A28" s="1" t="inlineStr">
        <is>
          <t>What is the amount for/of Net Cashflow for the Month in 9-2031?</t>
        </is>
      </c>
      <c r="B28" s="23" t="n"/>
      <c r="C28" s="24" t="n"/>
    </row>
    <row r="29">
      <c r="A29" s="1" t="inlineStr">
        <is>
          <t>What is the amount for/of Net Cashflow in 2-2031?</t>
        </is>
      </c>
      <c r="B29" s="23" t="n"/>
      <c r="C29" s="24" t="n"/>
    </row>
    <row r="30">
      <c r="A30" s="1" t="inlineStr">
        <is>
          <t>What is the amount for/of Net Income in 11-2032?</t>
        </is>
      </c>
      <c r="B30" s="23" t="n"/>
      <c r="C30" s="24" t="n"/>
    </row>
    <row r="31">
      <c r="A31" s="1" t="inlineStr">
        <is>
          <t>What is the amount for/of Net Income in 8-2032?</t>
        </is>
      </c>
      <c r="B31" s="23" t="n"/>
      <c r="C31" s="24" t="n"/>
    </row>
    <row r="32">
      <c r="A32" s="1" t="inlineStr">
        <is>
          <t>What is the amount for/of Opening Cash in 2-2033?</t>
        </is>
      </c>
      <c r="B32" s="23" t="n"/>
      <c r="C32" s="24" t="n"/>
    </row>
    <row r="33">
      <c r="A33" s="1" t="inlineStr">
        <is>
          <t>What is the amount for/of Other Current Liabilities in 11-2030?</t>
        </is>
      </c>
      <c r="B33" s="23" t="n"/>
      <c r="C33" s="24" t="n"/>
    </row>
    <row r="34">
      <c r="A34" s="1" t="inlineStr">
        <is>
          <t>What is the amount for/of Other Liability/Obligation Increases in 5-2032?</t>
        </is>
      </c>
      <c r="B34" s="23" t="n"/>
      <c r="C34" s="24" t="n"/>
    </row>
    <row r="35">
      <c r="A35" s="1" t="inlineStr">
        <is>
          <t>What is the amount for/of Other Liability/Obligation Increases in 9-2031?</t>
        </is>
      </c>
      <c r="B35" s="23" t="n"/>
      <c r="C35" s="24" t="n"/>
    </row>
    <row r="36">
      <c r="A36" s="1" t="inlineStr">
        <is>
          <t>What is the amount for/of Other Non-Current Assets in 7-2035?</t>
        </is>
      </c>
      <c r="B36" s="23" t="n"/>
      <c r="C36" s="24" t="n"/>
    </row>
    <row r="37">
      <c r="A37" s="1" t="inlineStr">
        <is>
          <t>What is the amount for/of Pension Liabilities in 5-2036?</t>
        </is>
      </c>
      <c r="B37" s="23" t="n"/>
      <c r="C37" s="24" t="n"/>
    </row>
    <row r="38">
      <c r="A38" s="1" t="inlineStr">
        <is>
          <t>What is the amount for/of Pension Liabilities in 9-2035?</t>
        </is>
      </c>
      <c r="B38" s="23" t="n"/>
      <c r="C38" s="24" t="n"/>
    </row>
    <row r="39">
      <c r="A39" s="1" t="inlineStr">
        <is>
          <t>What is the amount for/of Prepaid Expenses in 7-2029?</t>
        </is>
      </c>
      <c r="B39" s="23" t="n"/>
      <c r="C39" s="24" t="n"/>
    </row>
    <row r="40">
      <c r="A40" s="1" t="inlineStr">
        <is>
          <t>What is the amount for/of Profit distributions in 10-2027?</t>
        </is>
      </c>
      <c r="B40" s="23" t="n"/>
      <c r="C40" s="24" t="n"/>
    </row>
    <row r="41">
      <c r="A41" s="1" t="inlineStr">
        <is>
          <t>What is the amount for/of Profit distributions in 10-2033?</t>
        </is>
      </c>
      <c r="B41" s="23" t="n"/>
      <c r="C41" s="24" t="n"/>
    </row>
    <row r="42">
      <c r="A42" s="1" t="inlineStr">
        <is>
          <t>What is the amount for/of Property, Plant &amp; Equipment in 10-2029?</t>
        </is>
      </c>
      <c r="B42" s="23" t="n"/>
      <c r="C42" s="24" t="n"/>
    </row>
    <row r="43">
      <c r="A43" s="1" t="inlineStr">
        <is>
          <t>What is the amount for/of Property, Plant &amp; Equipment in 12-2033?</t>
        </is>
      </c>
      <c r="B43" s="23" t="n"/>
      <c r="C43" s="24" t="n"/>
    </row>
    <row r="44">
      <c r="A44" s="1" t="inlineStr">
        <is>
          <t>What is the amount for/of Research &amp; Development in 4-2028?</t>
        </is>
      </c>
      <c r="B44" s="23" t="n"/>
      <c r="C44" s="24" t="n"/>
    </row>
    <row r="45">
      <c r="A45" s="1" t="inlineStr">
        <is>
          <t>What is the amount for/of Sales &amp; Marketing in 4-2033?</t>
        </is>
      </c>
      <c r="B45" s="23" t="n"/>
      <c r="C45" s="24" t="n"/>
    </row>
    <row r="46">
      <c r="A46" s="1" t="inlineStr">
        <is>
          <t>What is the amount for/of Sales &amp; Marketing in 6-2036?</t>
        </is>
      </c>
      <c r="B46" s="23" t="n"/>
      <c r="C46" s="24" t="n"/>
    </row>
    <row r="47">
      <c r="A47" s="1" t="inlineStr">
        <is>
          <t>What is the amount for/of Short-Term Debt in 10-2032?</t>
        </is>
      </c>
      <c r="B47" s="23" t="n"/>
      <c r="C47" s="24" t="n"/>
    </row>
    <row r="48">
      <c r="A48" s="1" t="inlineStr">
        <is>
          <t>What is the amount for/of Short-Term Debt in 11-2030?</t>
        </is>
      </c>
      <c r="B48" s="23" t="n"/>
      <c r="C48" s="24" t="n"/>
    </row>
    <row r="49">
      <c r="A49" s="1" t="inlineStr">
        <is>
          <t>What is the amount for/of Taxes in 5-2034?</t>
        </is>
      </c>
      <c r="B49" s="23" t="n"/>
      <c r="C49" s="24" t="n"/>
    </row>
    <row r="50">
      <c r="A50" s="1" t="inlineStr">
        <is>
          <t>What is the amount for/of Total Assets in 5-2034?</t>
        </is>
      </c>
      <c r="B50" s="23" t="n"/>
      <c r="C50" s="24" t="n"/>
    </row>
    <row r="51">
      <c r="A51" s="1" t="inlineStr">
        <is>
          <t>What is the amount for/of Total Non-Current Assets in 8-2031?</t>
        </is>
      </c>
      <c r="B51" s="23" t="n"/>
      <c r="C51" s="2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2026-08-18T23:00:24Z</dcterms:created>
  <dcterms:modified xsi:type="dcterms:W3CDTF">2026-08-19T04:56:07Z</dcterms:modified>
</cp:coreProperties>
</file>