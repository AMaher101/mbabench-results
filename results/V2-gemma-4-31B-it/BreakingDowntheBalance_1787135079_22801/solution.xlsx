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YYYY-MM-DD"/>
    <numFmt numFmtId="166" formatCode="$#,##0_);($#,##0)"/>
    <numFmt numFmtId="167" formatCode="$#,##0.00_);($#,##0.00)"/>
  </numFmts>
  <fonts count="8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00FFFFFF"/>
      <sz val="12"/>
    </font>
    <font>
      <name val="Calibri"/>
      <color rgb="000000FF"/>
      <sz val="11"/>
    </font>
    <font>
      <name val="Calibri"/>
      <b val="1"/>
      <color theme="1"/>
      <sz val="12"/>
    </font>
    <font>
      <name val="Calibri"/>
      <b val="1"/>
      <color rgb="00FFFFFF"/>
      <sz val="11"/>
    </font>
    <font>
      <name val="Calibri"/>
      <color rgb="00008000"/>
      <sz val="11"/>
    </font>
    <font>
      <name val="Calibri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002060"/>
        <bgColor rgb="0000206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0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3" fontId="1" fillId="0" borderId="0" applyAlignment="1" pivotButton="0" quotePrefix="0" xfId="0">
      <alignment horizontal="right"/>
    </xf>
    <xf numFmtId="3" fontId="5" fillId="2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165" fontId="5" fillId="2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4" fontId="5" fillId="2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10" fontId="1" fillId="0" borderId="0" applyAlignment="1" pivotButton="0" quotePrefix="0" xfId="0">
      <alignment horizontal="right"/>
    </xf>
    <xf numFmtId="164" fontId="1" fillId="0" borderId="0" pivotButton="0" quotePrefix="0" xfId="0"/>
    <xf numFmtId="166" fontId="3" fillId="0" borderId="0" applyAlignment="1" pivotButton="0" quotePrefix="0" xfId="0">
      <alignment horizontal="right"/>
    </xf>
    <xf numFmtId="166" fontId="1" fillId="0" borderId="0" applyAlignment="1" pivotButton="0" quotePrefix="0" xfId="0">
      <alignment horizontal="right"/>
    </xf>
    <xf numFmtId="166" fontId="1" fillId="0" borderId="0" pivotButton="0" quotePrefix="0" xfId="0"/>
    <xf numFmtId="166" fontId="6" fillId="0" borderId="0" applyAlignment="1" pivotButton="0" quotePrefix="0" xfId="0">
      <alignment horizontal="right"/>
    </xf>
    <xf numFmtId="10" fontId="6" fillId="0" borderId="0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center"/>
    </xf>
    <xf numFmtId="3" fontId="1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6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  <xf numFmtId="3" fontId="5" fillId="2" borderId="1" applyAlignment="1" pivotButton="0" quotePrefix="0" xfId="0">
      <alignment horizontal="right"/>
    </xf>
    <xf numFmtId="165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1" fillId="0" borderId="1" pivotButton="0" quotePrefix="0" xfId="0"/>
    <xf numFmtId="166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" fillId="0" borderId="2" pivotButton="0" quotePrefix="0" xfId="0"/>
    <xf numFmtId="0" fontId="2" fillId="2" borderId="2" applyAlignment="1" pivotButton="0" quotePrefix="0" xfId="0">
      <alignment horizontal="center"/>
    </xf>
    <xf numFmtId="0" fontId="5" fillId="3" borderId="2" pivotButton="0" quotePrefix="0" xfId="0"/>
    <xf numFmtId="0" fontId="5" fillId="3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2" fillId="3" borderId="1" applyAlignment="1" pivotButton="0" quotePrefix="0" xfId="0">
      <alignment horizontal="center"/>
    </xf>
    <xf numFmtId="167" fontId="3" fillId="0" borderId="0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7" fontId="1" fillId="0" borderId="1" applyAlignment="1" pivotButton="0" quotePrefix="0" xfId="0">
      <alignment horizontal="right"/>
    </xf>
    <xf numFmtId="167" fontId="1" fillId="0" borderId="1" pivotButton="0" quotePrefix="0" xfId="0"/>
    <xf numFmtId="0" fontId="5" fillId="3" borderId="2" applyAlignment="1" pivotButton="0" quotePrefix="0" xfId="0">
      <alignment horizontal="center"/>
    </xf>
    <xf numFmtId="0" fontId="1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43" t="inlineStr">
        <is>
          <t>Loan Assumptions</t>
        </is>
      </c>
      <c r="B1" s="46" t="n"/>
    </row>
    <row r="2">
      <c r="A2" s="1" t="inlineStr">
        <is>
          <t>Loan Amount [$]</t>
        </is>
      </c>
      <c r="B2" s="21" t="n">
        <v>500000</v>
      </c>
    </row>
    <row r="3">
      <c r="A3" s="1" t="inlineStr">
        <is>
          <t>Annual Interest Rate [%]</t>
        </is>
      </c>
      <c r="B3" s="5" t="n">
        <v>0.08</v>
      </c>
    </row>
    <row r="4">
      <c r="A4" s="1" t="inlineStr">
        <is>
          <t>Loan Duration [years]</t>
        </is>
      </c>
      <c r="B4" s="6" t="n">
        <v>20</v>
      </c>
    </row>
    <row r="5">
      <c r="A5" s="1" t="inlineStr">
        <is>
          <t>Payment Frequency [per year]</t>
        </is>
      </c>
      <c r="B5" s="6" t="n">
        <v>52</v>
      </c>
    </row>
    <row r="6">
      <c r="A6" s="1" t="inlineStr">
        <is>
          <t>First Payment Date</t>
        </is>
      </c>
      <c r="B6" s="7" t="inlineStr">
        <is>
          <t>2026-12-01</t>
        </is>
      </c>
    </row>
    <row r="7">
      <c r="A7" s="1" t="inlineStr">
        <is>
          <t>Compound Period [per year]</t>
        </is>
      </c>
      <c r="B7" s="6" t="n">
        <v>52</v>
      </c>
    </row>
    <row r="8">
      <c r="A8" s="1" t="inlineStr">
        <is>
          <t>Remaining Amount at Maturity [$]</t>
        </is>
      </c>
      <c r="B8" s="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19" customWidth="1" min="3" max="3"/>
    <col width="21" customWidth="1" min="4" max="4"/>
    <col width="17" customWidth="1" min="5" max="5"/>
    <col width="17" customWidth="1" min="6" max="6"/>
    <col width="17" customWidth="1" min="7" max="7"/>
    <col width="21" customWidth="1" min="8" max="8"/>
  </cols>
  <sheetData>
    <row r="1">
      <c r="A1" s="45" t="inlineStr">
        <is>
          <t>Loan Parameters</t>
        </is>
      </c>
      <c r="B1" s="44" t="n"/>
      <c r="C1" s="44" t="n"/>
      <c r="D1" s="44" t="n"/>
      <c r="E1" s="44" t="n"/>
      <c r="F1" s="44" t="n"/>
      <c r="G1" s="44" t="n"/>
      <c r="H1" s="44" t="n"/>
    </row>
    <row r="2">
      <c r="A2" s="1" t="inlineStr">
        <is>
          <t>Periodic Interest Rate</t>
        </is>
      </c>
      <c r="B2" s="25">
        <f>IFERROR('model_Assumptions'!B3/'model_Assumptions'!B5, 0)</f>
        <v/>
      </c>
      <c r="C2" s="1" t="n"/>
      <c r="D2" s="1" t="n"/>
      <c r="E2" s="1" t="n"/>
      <c r="F2" s="1" t="n"/>
      <c r="G2" s="1" t="n"/>
      <c r="H2" s="1" t="n"/>
    </row>
    <row r="3">
      <c r="A3" s="1" t="inlineStr">
        <is>
          <t>Total Number of Periods</t>
        </is>
      </c>
      <c r="B3" s="26">
        <f>'model_Assumptions'!B4*'model_Assumptions'!B5</f>
        <v/>
      </c>
      <c r="C3" s="1" t="n"/>
      <c r="D3" s="1" t="n"/>
      <c r="E3" s="1" t="n"/>
      <c r="F3" s="1" t="n"/>
      <c r="G3" s="1" t="n"/>
      <c r="H3" s="1" t="n"/>
    </row>
    <row r="4">
      <c r="A4" s="1" t="inlineStr">
        <is>
          <t>Weekly Payment</t>
        </is>
      </c>
      <c r="B4" s="24">
        <f>PMT(B2, B3, -'model_Assumptions'!B2)</f>
        <v/>
      </c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55" t="inlineStr">
        <is>
          <t>Date-based Calculations</t>
        </is>
      </c>
      <c r="B6" s="48" t="inlineStr">
        <is>
          <t>Period [n]</t>
        </is>
      </c>
      <c r="C6" s="48" t="inlineStr">
        <is>
          <t>Date [Date]</t>
        </is>
      </c>
      <c r="D6" s="48" t="inlineStr">
        <is>
          <t>Opening Balance [$]</t>
        </is>
      </c>
      <c r="E6" s="48" t="inlineStr">
        <is>
          <t>Interest [$]</t>
        </is>
      </c>
      <c r="F6" s="48" t="inlineStr">
        <is>
          <t>Principal [$]</t>
        </is>
      </c>
      <c r="G6" s="48" t="inlineStr">
        <is>
          <t>Payment [$]</t>
        </is>
      </c>
      <c r="H6" s="48" t="inlineStr">
        <is>
          <t>Closing Balance [$]</t>
        </is>
      </c>
    </row>
    <row r="7">
      <c r="A7" s="1" t="n"/>
      <c r="B7" s="29" t="n"/>
      <c r="C7" s="30">
        <f>'model_Assumptions'!B6</f>
        <v/>
      </c>
      <c r="D7" s="52">
        <f>'model_Assumptions'!B2</f>
        <v/>
      </c>
      <c r="E7" s="53">
        <f>D7 * $B$2</f>
        <v/>
      </c>
      <c r="F7" s="53">
        <f>G7 - E7</f>
        <v/>
      </c>
      <c r="G7" s="53">
        <f>$B$4</f>
        <v/>
      </c>
      <c r="H7" s="53">
        <f>D7 - F7</f>
        <v/>
      </c>
    </row>
    <row r="8">
      <c r="A8" s="1" t="n"/>
      <c r="B8" s="29" t="n"/>
      <c r="C8" s="33" t="n"/>
      <c r="D8" s="34" t="n"/>
      <c r="E8" s="34" t="n"/>
      <c r="F8" s="34" t="n"/>
      <c r="G8" s="34" t="n"/>
      <c r="H8" s="34" t="n"/>
    </row>
    <row r="9">
      <c r="A9" s="1" t="n"/>
      <c r="B9" s="29" t="n"/>
      <c r="C9" s="33" t="n"/>
      <c r="D9" s="34" t="n"/>
      <c r="E9" s="34" t="n"/>
      <c r="F9" s="34" t="n"/>
      <c r="G9" s="34" t="n"/>
      <c r="H9" s="34" t="n"/>
    </row>
    <row r="10">
      <c r="A10" s="1" t="n"/>
      <c r="B10" s="29" t="n"/>
      <c r="C10" s="33" t="n"/>
      <c r="D10" s="34" t="n"/>
      <c r="E10" s="34" t="n"/>
      <c r="F10" s="34" t="n"/>
      <c r="G10" s="34" t="n"/>
      <c r="H10" s="34" t="n"/>
    </row>
    <row r="11">
      <c r="A11" s="1" t="n"/>
      <c r="B11" s="29" t="n"/>
      <c r="C11" s="33" t="n"/>
      <c r="D11" s="34" t="n"/>
      <c r="E11" s="34" t="n"/>
      <c r="F11" s="34" t="n"/>
      <c r="G11" s="34" t="n"/>
      <c r="H11" s="34" t="n"/>
    </row>
    <row r="12">
      <c r="A12" s="1" t="n"/>
      <c r="B12" s="29" t="n"/>
      <c r="C12" s="33" t="n"/>
      <c r="D12" s="34" t="n"/>
      <c r="E12" s="34" t="n"/>
      <c r="F12" s="34" t="n"/>
      <c r="G12" s="34" t="n"/>
      <c r="H12" s="34" t="n"/>
    </row>
    <row r="13">
      <c r="A13" s="1" t="n"/>
      <c r="B13" s="29" t="n"/>
      <c r="C13" s="33" t="n"/>
      <c r="D13" s="34" t="n"/>
      <c r="E13" s="34" t="n"/>
      <c r="F13" s="34" t="n"/>
      <c r="G13" s="34" t="n"/>
      <c r="H13" s="34" t="n"/>
    </row>
    <row r="14">
      <c r="A14" s="1" t="n"/>
      <c r="B14" s="29" t="n"/>
      <c r="C14" s="33" t="n"/>
      <c r="D14" s="34" t="n"/>
      <c r="E14" s="34" t="n"/>
      <c r="F14" s="34" t="n"/>
      <c r="G14" s="34" t="n"/>
      <c r="H14" s="34" t="n"/>
    </row>
    <row r="15">
      <c r="A15" s="1" t="n"/>
      <c r="B15" s="29" t="n"/>
      <c r="C15" s="33" t="n"/>
      <c r="D15" s="34" t="n"/>
      <c r="E15" s="34" t="n"/>
      <c r="F15" s="34" t="n"/>
      <c r="G15" s="34" t="n"/>
      <c r="H15" s="34" t="n"/>
    </row>
    <row r="16">
      <c r="A16" s="1" t="n"/>
      <c r="B16" s="29" t="n"/>
      <c r="C16" s="33" t="n"/>
      <c r="D16" s="34" t="n"/>
      <c r="E16" s="34" t="n"/>
      <c r="F16" s="34" t="n"/>
      <c r="G16" s="34" t="n"/>
      <c r="H16" s="34" t="n"/>
    </row>
    <row r="17">
      <c r="A17" s="1" t="n"/>
      <c r="B17" s="29" t="n"/>
      <c r="C17" s="33" t="n"/>
      <c r="D17" s="34" t="n"/>
      <c r="E17" s="34" t="n"/>
      <c r="F17" s="34" t="n"/>
      <c r="G17" s="34" t="n"/>
      <c r="H17" s="34" t="n"/>
    </row>
    <row r="18">
      <c r="A18" s="1" t="n"/>
      <c r="B18" s="29" t="n"/>
      <c r="C18" s="33" t="n"/>
      <c r="D18" s="34" t="n"/>
      <c r="E18" s="34" t="n"/>
      <c r="F18" s="34" t="n"/>
      <c r="G18" s="34" t="n"/>
      <c r="H18" s="34" t="n"/>
    </row>
    <row r="19">
      <c r="A19" s="1" t="n"/>
      <c r="B19" s="29" t="n"/>
      <c r="C19" s="33" t="n"/>
      <c r="D19" s="34" t="n"/>
      <c r="E19" s="34" t="n"/>
      <c r="F19" s="34" t="n"/>
      <c r="G19" s="34" t="n"/>
      <c r="H19" s="34" t="n"/>
    </row>
    <row r="20">
      <c r="A20" s="1" t="n"/>
      <c r="B20" s="29" t="n"/>
      <c r="C20" s="33" t="n"/>
      <c r="D20" s="34" t="n"/>
      <c r="E20" s="34" t="n"/>
      <c r="F20" s="34" t="n"/>
      <c r="G20" s="34" t="n"/>
      <c r="H20" s="34" t="n"/>
    </row>
    <row r="21">
      <c r="A21" s="1" t="n"/>
      <c r="B21" s="29" t="n"/>
      <c r="C21" s="33" t="n"/>
      <c r="D21" s="34" t="n"/>
      <c r="E21" s="34" t="n"/>
      <c r="F21" s="34" t="n"/>
      <c r="G21" s="34" t="n"/>
      <c r="H21" s="34" t="n"/>
    </row>
    <row r="22">
      <c r="A22" s="1" t="n"/>
      <c r="B22" s="29" t="n"/>
      <c r="C22" s="33" t="n"/>
      <c r="D22" s="34" t="n"/>
      <c r="E22" s="34" t="n"/>
      <c r="F22" s="34" t="n"/>
      <c r="G22" s="34" t="n"/>
      <c r="H22" s="34" t="n"/>
    </row>
    <row r="23">
      <c r="A23" s="1" t="n"/>
      <c r="B23" s="29" t="n"/>
      <c r="C23" s="33" t="n"/>
      <c r="D23" s="34" t="n"/>
      <c r="E23" s="34" t="n"/>
      <c r="F23" s="34" t="n"/>
      <c r="G23" s="34" t="n"/>
      <c r="H23" s="34" t="n"/>
    </row>
    <row r="24">
      <c r="A24" s="1" t="n"/>
      <c r="B24" s="29" t="n"/>
      <c r="C24" s="33" t="n"/>
      <c r="D24" s="34" t="n"/>
      <c r="E24" s="34" t="n"/>
      <c r="F24" s="34" t="n"/>
      <c r="G24" s="34" t="n"/>
      <c r="H24" s="34" t="n"/>
    </row>
    <row r="25">
      <c r="A25" s="1" t="n"/>
      <c r="B25" s="29" t="n"/>
      <c r="C25" s="33" t="n"/>
      <c r="D25" s="34" t="n"/>
      <c r="E25" s="34" t="n"/>
      <c r="F25" s="34" t="n"/>
      <c r="G25" s="34" t="n"/>
      <c r="H25" s="34" t="n"/>
    </row>
    <row r="26">
      <c r="A26" s="1" t="n"/>
      <c r="B26" s="29" t="n"/>
      <c r="C26" s="33" t="n"/>
      <c r="D26" s="34" t="n"/>
      <c r="E26" s="34" t="n"/>
      <c r="F26" s="34" t="n"/>
      <c r="G26" s="34" t="n"/>
      <c r="H26" s="34" t="n"/>
    </row>
    <row r="27">
      <c r="A27" s="1" t="n"/>
      <c r="B27" s="29" t="n"/>
      <c r="C27" s="33" t="n"/>
      <c r="D27" s="34" t="n"/>
      <c r="E27" s="34" t="n"/>
      <c r="F27" s="34" t="n"/>
      <c r="G27" s="34" t="n"/>
      <c r="H27" s="34" t="n"/>
    </row>
    <row r="28">
      <c r="A28" s="1" t="n"/>
      <c r="B28" s="29" t="n"/>
      <c r="C28" s="33" t="n"/>
      <c r="D28" s="34" t="n"/>
      <c r="E28" s="34" t="n"/>
      <c r="F28" s="34" t="n"/>
      <c r="G28" s="34" t="n"/>
      <c r="H28" s="34" t="n"/>
    </row>
    <row r="29">
      <c r="A29" s="1" t="n"/>
      <c r="B29" s="29" t="n"/>
      <c r="C29" s="33" t="n"/>
      <c r="D29" s="34" t="n"/>
      <c r="E29" s="34" t="n"/>
      <c r="F29" s="34" t="n"/>
      <c r="G29" s="34" t="n"/>
      <c r="H29" s="34" t="n"/>
    </row>
    <row r="30">
      <c r="A30" s="1" t="n"/>
      <c r="B30" s="29" t="n"/>
      <c r="C30" s="33" t="n"/>
      <c r="D30" s="34" t="n"/>
      <c r="E30" s="34" t="n"/>
      <c r="F30" s="34" t="n"/>
      <c r="G30" s="34" t="n"/>
      <c r="H30" s="34" t="n"/>
    </row>
    <row r="31">
      <c r="A31" s="1" t="n"/>
      <c r="B31" s="29" t="n"/>
      <c r="C31" s="33" t="n"/>
      <c r="D31" s="34" t="n"/>
      <c r="E31" s="34" t="n"/>
      <c r="F31" s="34" t="n"/>
      <c r="G31" s="34" t="n"/>
      <c r="H31" s="34" t="n"/>
    </row>
    <row r="32">
      <c r="A32" s="1" t="n"/>
      <c r="B32" s="29" t="n"/>
      <c r="C32" s="33" t="n"/>
      <c r="D32" s="34" t="n"/>
      <c r="E32" s="34" t="n"/>
      <c r="F32" s="34" t="n"/>
      <c r="G32" s="34" t="n"/>
      <c r="H32" s="34" t="n"/>
    </row>
    <row r="33">
      <c r="A33" s="1" t="n"/>
      <c r="B33" s="29" t="n"/>
      <c r="C33" s="33" t="n"/>
      <c r="D33" s="34" t="n"/>
      <c r="E33" s="34" t="n"/>
      <c r="F33" s="34" t="n"/>
      <c r="G33" s="34" t="n"/>
      <c r="H33" s="34" t="n"/>
    </row>
    <row r="34">
      <c r="A34" s="1" t="n"/>
      <c r="B34" s="29" t="n"/>
      <c r="C34" s="33" t="n"/>
      <c r="D34" s="34" t="n"/>
      <c r="E34" s="34" t="n"/>
      <c r="F34" s="34" t="n"/>
      <c r="G34" s="34" t="n"/>
      <c r="H34" s="34" t="n"/>
    </row>
    <row r="35">
      <c r="A35" s="9" t="inlineStr">
        <is>
          <t>Question Solver</t>
        </is>
      </c>
      <c r="B35" s="35" t="inlineStr">
        <is>
          <t>Result</t>
        </is>
      </c>
      <c r="C35" s="36" t="inlineStr">
        <is>
          <t>Target Date/Year</t>
        </is>
      </c>
      <c r="D35" s="37" t="inlineStr">
        <is>
          <t>Period n</t>
        </is>
      </c>
      <c r="E35" s="37" t="n"/>
      <c r="F35" s="37" t="n"/>
      <c r="G35" s="37" t="n"/>
      <c r="H35" s="37" t="n"/>
    </row>
    <row r="36">
      <c r="A36" s="1" t="n"/>
      <c r="B36" s="29" t="n"/>
      <c r="C36" s="33" t="n"/>
      <c r="D36" s="34" t="n"/>
      <c r="E36" s="34" t="n"/>
      <c r="F36" s="34" t="n"/>
      <c r="G36" s="34" t="n"/>
      <c r="H36" s="34" t="n"/>
    </row>
    <row r="37">
      <c r="A37" s="9" t="n"/>
      <c r="B37" s="35" t="inlineStr">
        <is>
          <t>Target Date</t>
        </is>
      </c>
      <c r="C37" s="36" t="inlineStr">
        <is>
          <t>Period n</t>
        </is>
      </c>
      <c r="D37" s="37" t="inlineStr">
        <is>
          <t>Balance [$]</t>
        </is>
      </c>
      <c r="E37" s="37" t="inlineStr">
        <is>
          <t>Interest [$]</t>
        </is>
      </c>
      <c r="F37" s="37" t="inlineStr">
        <is>
          <t>Principal [$]</t>
        </is>
      </c>
      <c r="G37" s="37" t="inlineStr">
        <is>
          <t>Payment [$]</t>
        </is>
      </c>
      <c r="H37" s="34" t="n"/>
    </row>
    <row r="38">
      <c r="A38" s="1" t="inlineStr">
        <is>
          <t>Q1.1 Balance Date</t>
        </is>
      </c>
      <c r="B38" s="33">
        <f>DATE(2030,7,23)</f>
        <v/>
      </c>
      <c r="C38" s="33">
        <f>(B38-'model_Assumptions'!$B$6)/7+1</f>
        <v/>
      </c>
      <c r="D38" s="52">
        <f>'model_Assumptions'!$B$2 * (1+'model_Workings'!$B$2)^C38 - 'model_Workings'!$B$4 * ((1+'model_Workings'!$B$2)^C38 - 1) / 'model_Workings'!$B$2</f>
        <v/>
      </c>
      <c r="E38" s="52">
        <f>IF(C38=1, 'model_Assumptions'!$B$2 * 'model_Workings'!$B$2, ('model_Assumptions'!$B$2 * (1+'model_Workings'!$B$2)^(C38-1) - 'model_Workings'!$B$4 * ((1+'model_Workings'!$B$2)^(C38-1) - 1) / 'model_Workings'!$B$2) * 'model_Workings'!$B$2)</f>
        <v/>
      </c>
      <c r="F38" s="52">
        <f>'model_Workings'!$B$4 - E38</f>
        <v/>
      </c>
      <c r="G38" s="52">
        <f>'model_Workings'!$B$4</f>
        <v/>
      </c>
      <c r="H38" s="53" t="n"/>
    </row>
    <row r="39">
      <c r="A39" s="1" t="inlineStr">
        <is>
          <t>Q1.2 Balance Date</t>
        </is>
      </c>
      <c r="B39" s="33">
        <f>DATE(2037,9,15)</f>
        <v/>
      </c>
      <c r="C39" s="33">
        <f>(B39-'model_Assumptions'!$B$6)/7+1</f>
        <v/>
      </c>
      <c r="D39" s="52">
        <f>'model_Assumptions'!$B$2 * (1+'model_Workings'!$B$2)^C39 - 'model_Workings'!$B$4 * ((1+'model_Workings'!$B$2)^C39 - 1) / 'model_Workings'!$B$2</f>
        <v/>
      </c>
      <c r="E39" s="52">
        <f>IF(C39=1, 'model_Assumptions'!$B$2 * 'model_Workings'!$B$2, ('model_Assumptions'!$B$2 * (1+'model_Workings'!$B$2)^(C39-1) - 'model_Workings'!$B$4 * ((1+'model_Workings'!$B$2)^(C39-1) - 1) / 'model_Workings'!$B$2) * 'model_Workings'!$B$2)</f>
        <v/>
      </c>
      <c r="F39" s="52">
        <f>'model_Workings'!$B$4 - E39</f>
        <v/>
      </c>
      <c r="G39" s="52">
        <f>'model_Workings'!$B$4</f>
        <v/>
      </c>
      <c r="H39" s="53" t="n"/>
    </row>
    <row r="40">
      <c r="A40" s="1" t="inlineStr">
        <is>
          <t>Q1.3 Balance Date</t>
        </is>
      </c>
      <c r="B40" s="33">
        <f>DATE(2037,9,29)</f>
        <v/>
      </c>
      <c r="C40" s="33">
        <f>(B40-'model_Assumptions'!$B$6)/7+1</f>
        <v/>
      </c>
      <c r="D40" s="52">
        <f>'model_Assumptions'!$B$2 * (1+'model_Workings'!$B$2)^C40 - 'model_Workings'!$B$4 * ((1+'model_Workings'!$B$2)^C40 - 1) / 'model_Workings'!$B$2</f>
        <v/>
      </c>
      <c r="E40" s="52">
        <f>IF(C40=1, 'model_Assumptions'!$B$2 * 'model_Workings'!$B$2, ('model_Assumptions'!$B$2 * (1+'model_Workings'!$B$2)^(C40-1) - 'model_Workings'!$B$4 * ((1+'model_Workings'!$B$2)^(C40-1) - 1) / 'model_Workings'!$B$2) * 'model_Workings'!$B$2)</f>
        <v/>
      </c>
      <c r="F40" s="52">
        <f>'model_Workings'!$B$4 - E40</f>
        <v/>
      </c>
      <c r="G40" s="52">
        <f>'model_Workings'!$B$4</f>
        <v/>
      </c>
      <c r="H40" s="53" t="n"/>
    </row>
    <row r="41">
      <c r="A41" s="1" t="inlineStr">
        <is>
          <t>Q1.4 Balance Date</t>
        </is>
      </c>
      <c r="B41" s="33">
        <f>DATE(2041,11,12)</f>
        <v/>
      </c>
      <c r="C41" s="33">
        <f>(B41-'model_Assumptions'!$B$6)/7+1</f>
        <v/>
      </c>
      <c r="D41" s="52">
        <f>'model_Assumptions'!$B$2 * (1+'model_Workings'!$B$2)^C41 - 'model_Workings'!$B$4 * ((1+'model_Workings'!$B$2)^C41 - 1) / 'model_Workings'!$B$2</f>
        <v/>
      </c>
      <c r="E41" s="52">
        <f>IF(C41=1, 'model_Assumptions'!$B$2 * 'model_Workings'!$B$2, ('model_Assumptions'!$B$2 * (1+'model_Workings'!$B$2)^(C41-1) - 'model_Workings'!$B$4 * ((1+'model_Workings'!$B$2)^(C41-1) - 1) / 'model_Workings'!$B$2) * 'model_Workings'!$B$2)</f>
        <v/>
      </c>
      <c r="F41" s="52">
        <f>'model_Workings'!$B$4 - E41</f>
        <v/>
      </c>
      <c r="G41" s="52">
        <f>'model_Workings'!$B$4</f>
        <v/>
      </c>
      <c r="H41" s="53" t="n"/>
    </row>
    <row r="42">
      <c r="A42" s="1" t="inlineStr">
        <is>
          <t>Q1.5 Interest Date</t>
        </is>
      </c>
      <c r="B42" s="33">
        <f>DATE(2039,3,8)</f>
        <v/>
      </c>
      <c r="C42" s="33">
        <f>(B42-'model_Assumptions'!$B$6)/7+1</f>
        <v/>
      </c>
      <c r="D42" s="52">
        <f>'model_Assumptions'!$B$2*(1+'model_Workings'!$B$2)^C42-'model_Workings'!$B$4*((1+'model_Workings'!$B$2)^C42-1)/'model_Workings'!$B$2</f>
        <v/>
      </c>
      <c r="E42" s="52">
        <f>IF(C42=1, 'model_Assumptions'!$B$2 * 'model_Workings'!$B$2, ('model_Assumptions'!$B$2 * (1+'model_Workings'!$B$2)^(C42-1) - 'model_Workings'!$B$4 * ((1+'model_Workings'!$B$2)^(C42-1) - 1) / 'model_Workings'!$B$2) * 'model_Workings'!$B$2)</f>
        <v/>
      </c>
      <c r="F42" s="52">
        <f>'model_Workings'!$B$4 - E42</f>
        <v/>
      </c>
      <c r="G42" s="52">
        <f>'model_Workings'!$B$4</f>
        <v/>
      </c>
      <c r="H42" s="53" t="n"/>
    </row>
    <row r="43">
      <c r="A43" s="1" t="inlineStr">
        <is>
          <t>Q1.6 Interest Date</t>
        </is>
      </c>
      <c r="B43" s="33">
        <f>DATE(2033,3,22)</f>
        <v/>
      </c>
      <c r="C43" s="33">
        <f>(B43-'model_Assumptions'!$B$6)/7+1</f>
        <v/>
      </c>
      <c r="D43" s="53">
        <f>'model_Assumptions'!$B$2 * (1+'model_Workings'!$B$2)^C43 - 'model_Workings'!$B$4 * ((1+'model_Workings'!$B$2)^C43 - 1) / 'model_Workings'!$B$2</f>
        <v/>
      </c>
      <c r="E43" s="53">
        <f>IF(C43=1, 'model_Assumptions'!$B$2 * 'model_Workings'!$B$2, ('model_Assumptions'!$B$2 * (1+'model_Workings'!$B$2)^(C43-1) - 'model_Workings'!$B$4 * ((1+'model_Workings'!$B$2)^(C43-1) - 1) / 'model_Workings'!$B$2) * 'model_Workings'!$B$2)</f>
        <v/>
      </c>
      <c r="F43" s="53">
        <f>'model_Workings'!$B$4 - E43</f>
        <v/>
      </c>
      <c r="G43" s="53">
        <f>'model_Workings'!$B$4</f>
        <v/>
      </c>
      <c r="H43" s="53" t="n"/>
    </row>
    <row r="44">
      <c r="A44" s="1" t="inlineStr">
        <is>
          <t>Q1.7 Interest Date</t>
        </is>
      </c>
      <c r="B44" s="33">
        <f>DATE(2031,4,15)</f>
        <v/>
      </c>
      <c r="C44" s="33">
        <f>(B44-'model_Assumptions'!$B$6)/7+1</f>
        <v/>
      </c>
      <c r="D44" s="53">
        <f>'model_Assumptions'!$B$2 * (1+'model_Workings'!$B$2)^C44 - 'model_Workings'!$B$4 * ((1+'model_Workings'!$B$2)^C44 - 1) / 'model_Workings'!$B$2</f>
        <v/>
      </c>
      <c r="E44" s="53">
        <f>IF(C44=1, 'model_Assumptions'!$B$2 * 'model_Workings'!$B$2, ('model_Assumptions'!$B$2 * (1+'model_Workings'!$B$2)^(C44-1) - 'model_Workings'!$B$4 * ((1+'model_Workings'!$B$2)^(C44-1) - 1) / 'model_Workings'!$B$2) * 'model_Workings'!$B$2)</f>
        <v/>
      </c>
      <c r="F44" s="53">
        <f>'model_Workings'!$B$4 - E44</f>
        <v/>
      </c>
      <c r="G44" s="53">
        <f>'model_Workings'!$B$4</f>
        <v/>
      </c>
      <c r="H44" s="53" t="n"/>
    </row>
    <row r="45">
      <c r="A45" s="1" t="inlineStr">
        <is>
          <t>Q1.8 Interest Date</t>
        </is>
      </c>
      <c r="B45" s="33">
        <f>DATE(2030,5,21)</f>
        <v/>
      </c>
      <c r="C45" s="33">
        <f>(B45-'model_Assumptions'!$B$6)/7+1</f>
        <v/>
      </c>
      <c r="D45" s="53">
        <f>'model_Assumptions'!$B$2 * (1+'model_Workings'!$B$2)^C45 - 'model_Workings'!$B$4 * ((1+'model_Workings'!$B$2)^C45 - 1) / 'model_Workings'!$B$2</f>
        <v/>
      </c>
      <c r="E45" s="53">
        <f>IF(C45=1, 'model_Assumptions'!$B$2 * 'model_Workings'!$B$2, ('model_Assumptions'!$B$2 * (1+'model_Workings'!$B$2)^(C45-1) - 'model_Workings'!$B$4 * ((1+'model_Workings'!$B$2)^(C45-1) - 1) / 'model_Workings'!$B$2) * 'model_Workings'!$B$2)</f>
        <v/>
      </c>
      <c r="F45" s="53">
        <f>'model_Workings'!$B$4 - E45</f>
        <v/>
      </c>
      <c r="G45" s="53">
        <f>'model_Workings'!$B$4</f>
        <v/>
      </c>
      <c r="H45" s="53" t="n"/>
    </row>
    <row r="46">
      <c r="A46" s="1" t="inlineStr">
        <is>
          <t>Q1.9 Interest Date</t>
        </is>
      </c>
      <c r="B46" s="33">
        <f>DATE(2044,5,24)</f>
        <v/>
      </c>
      <c r="C46" s="33">
        <f>(B46-'model_Assumptions'!$B$6)/7+1</f>
        <v/>
      </c>
      <c r="D46" s="53">
        <f>'model_Assumptions'!$B$2 * (1+'model_Workings'!$B$2)^C46 - 'model_Workings'!$B$4 * ((1+'model_Workings'!$B$2)^C46 - 1) / 'model_Workings'!$B$2</f>
        <v/>
      </c>
      <c r="E46" s="53">
        <f>IF(C46=1, 'model_Assumptions'!$B$2 * 'model_Workings'!$B$2, ('model_Assumptions'!$B$2 * (1+'model_Workings'!$B$2)^(C46-1) - 'model_Workings'!$B$4 * ((1+'model_Workings'!$B$2)^(C46-1) - 1) / 'model_Workings'!$B$2) * 'model_Workings'!$B$2)</f>
        <v/>
      </c>
      <c r="F46" s="53">
        <f>'model_Workings'!$B$4 - E46</f>
        <v/>
      </c>
      <c r="G46" s="53">
        <f>'model_Workings'!$B$4</f>
        <v/>
      </c>
      <c r="H46" s="53" t="n"/>
    </row>
    <row r="47">
      <c r="A47" s="1" t="inlineStr">
        <is>
          <t>Q1.10 Interest Date</t>
        </is>
      </c>
      <c r="B47" s="33">
        <f>DATE(2035,8,7)</f>
        <v/>
      </c>
      <c r="C47" s="33">
        <f>(B47-'model_Assumptions'!$B$6)/7+1</f>
        <v/>
      </c>
      <c r="D47" s="53">
        <f>'model_Assumptions'!$B$2 * (1+'model_Workings'!$B$2)^C47 - 'model_Workings'!$B$4 * ((1+'model_Workings'!$B$2)^C47 - 1) / 'model_Workings'!$B$2</f>
        <v/>
      </c>
      <c r="E47" s="53">
        <f>IF(C47=1, 'model_Assumptions'!$B$2 * 'model_Workings'!$B$2, ('model_Assumptions'!$B$2 * (1+'model_Workings'!$B$2)^(C47-1) - 'model_Workings'!$B$4 * ((1+'model_Workings'!$B$2)^(C47-1) - 1) / 'model_Workings'!$B$2) * 'model_Workings'!$B$2)</f>
        <v/>
      </c>
      <c r="F47" s="53">
        <f>'model_Workings'!$B$4 - E47</f>
        <v/>
      </c>
      <c r="G47" s="53">
        <f>'model_Workings'!$B$4</f>
        <v/>
      </c>
      <c r="H47" s="53" t="n"/>
    </row>
    <row r="48">
      <c r="A48" s="1" t="inlineStr">
        <is>
          <t>Q1.11 Interest Date</t>
        </is>
      </c>
      <c r="B48" s="33">
        <f>DATE(2037,9,8)</f>
        <v/>
      </c>
      <c r="C48" s="33">
        <f>(B48-'model_Assumptions'!$B$6)/7+1</f>
        <v/>
      </c>
      <c r="D48" s="53">
        <f>'model_Assumptions'!$B$2 * (1+'model_Workings'!$B$2)^C48 - 'model_Workings'!$B$4 * ((1+'model_Workings'!$B$2)^C48 - 1) / 'model_Workings'!$B$2</f>
        <v/>
      </c>
      <c r="E48" s="53">
        <f>IF(C48=1, 'model_Assumptions'!$B$2 * 'model_Workings'!$B$2, ('model_Assumptions'!$B$2 * (1+'model_Workings'!$B$2)^(C48-1) - 'model_Workings'!$B$4 * ((1+'model_Workings'!$B$2)^(C48-1) - 1) / 'model_Workings'!$B$2) * 'model_Workings'!$B$2)</f>
        <v/>
      </c>
      <c r="F48" s="53">
        <f>'model_Workings'!$B$4 - E48</f>
        <v/>
      </c>
      <c r="G48" s="53">
        <f>'model_Workings'!$B$4</f>
        <v/>
      </c>
      <c r="H48" s="53" t="n"/>
    </row>
    <row r="49">
      <c r="A49" s="1" t="inlineStr">
        <is>
          <t>Q1.12 Interest Date</t>
        </is>
      </c>
      <c r="B49" s="33">
        <f>DATE(2035,10,16)</f>
        <v/>
      </c>
      <c r="C49" s="33">
        <f>(B49-'model_Assumptions'!$B$6)/7+1</f>
        <v/>
      </c>
      <c r="D49" s="53">
        <f>'model_Assumptions'!$B$2 * (1+'model_Workings'!$B$2)^C49 - 'model_Workings'!$B$4 * ((1+'model_Workings'!$B$2)^C49 - 1) / 'model_Workings'!$B$2</f>
        <v/>
      </c>
      <c r="E49" s="53">
        <f>IF(C49=1, 'model_Assumptions'!$B$2 * 'model_Workings'!$B$2, ('model_Assumptions'!$B$2 * (1+'model_Workings'!$B$2)^(C49-1) - 'model_Workings'!$B$4 * ((1+'model_Workings'!$B$2)^(C49-1) - 1) / 'model_Workings'!$B$2) * 'model_Workings'!$B$2)</f>
        <v/>
      </c>
      <c r="F49" s="53">
        <f>'model_Workings'!$B$4 - E49</f>
        <v/>
      </c>
      <c r="G49" s="53">
        <f>'model_Workings'!$B$4</f>
        <v/>
      </c>
      <c r="H49" s="53" t="n"/>
    </row>
    <row r="50">
      <c r="A50" s="1" t="inlineStr">
        <is>
          <t>Q1.13 Interest Date</t>
        </is>
      </c>
      <c r="B50" s="33">
        <f>DATE(2042,11,4)</f>
        <v/>
      </c>
      <c r="C50" s="33">
        <f>(B50-'model_Assumptions'!$B$6)/7+1</f>
        <v/>
      </c>
      <c r="D50" s="53">
        <f>'model_Assumptions'!$B$2 * (1+'model_Workings'!$B$2)^C50 - 'model_Workings'!$B$4 * ((1+'model_Workings'!$B$2)^C50 - 1) / 'model_Workings'!$B$2</f>
        <v/>
      </c>
      <c r="E50" s="53">
        <f>IF(C50=1, 'model_Assumptions'!$B$2 * 'model_Workings'!$B$2, ('model_Assumptions'!$B$2 * (1+'model_Workings'!$B$2)^(C50-1) - 'model_Workings'!$B$4 * ((1+'model_Workings'!$B$2)^(C50-1) - 1) / 'model_Workings'!$B$2) * 'model_Workings'!$B$2)</f>
        <v/>
      </c>
      <c r="F50" s="53">
        <f>'model_Workings'!$B$4 - E50</f>
        <v/>
      </c>
      <c r="G50" s="53">
        <f>'model_Workings'!$B$4</f>
        <v/>
      </c>
      <c r="H50" s="53" t="n"/>
    </row>
    <row r="51">
      <c r="A51" s="1" t="inlineStr">
        <is>
          <t>Q1.14 Payment Date</t>
        </is>
      </c>
      <c r="B51" s="33">
        <f>DATE(2039,5,17)</f>
        <v/>
      </c>
      <c r="C51" s="33">
        <f>(B51-'model_Assumptions'!$B$6)/7+1</f>
        <v/>
      </c>
      <c r="D51" s="53">
        <f>'model_Assumptions'!$B$2 * (1+'model_Workings'!$B$2)^C51 - 'model_Workings'!$B$4 * ((1+'model_Workings'!$B$2)^C51 - 1) / 'model_Workings'!$B$2</f>
        <v/>
      </c>
      <c r="E51" s="53">
        <f>IF(C51=1, 'model_Assumptions'!$B$2 * 'model_Workings'!$B$2, ('model_Assumptions'!$B$2 * (1+'model_Workings'!$B$2)^(C51-1) - 'model_Workings'!$B$4 * ((1+'model_Workings'!$B$2)^(C51-1) - 1) / 'model_Workings'!$B$2) * 'model_Workings'!$B$2)</f>
        <v/>
      </c>
      <c r="F51" s="53">
        <f>'model_Workings'!$B$4 - E51</f>
        <v/>
      </c>
      <c r="G51" s="53">
        <f>'model_Workings'!$B$4</f>
        <v/>
      </c>
      <c r="H51" s="53" t="n"/>
    </row>
    <row r="52">
      <c r="A52" s="1" t="inlineStr">
        <is>
          <t>Q1.15 Payment Date</t>
        </is>
      </c>
      <c r="B52" s="33">
        <f>DATE(2045,6,6)</f>
        <v/>
      </c>
      <c r="C52" s="33">
        <f>(B52-'model_Assumptions'!$B$6)/7+1</f>
        <v/>
      </c>
      <c r="D52" s="53">
        <f>'model_Assumptions'!$B$2 * (1+'model_Workings'!$B$2)^C52 - 'model_Workings'!$B$4 * ((1+'model_Workings'!$B$2)^C52 - 1) / 'model_Workings'!$B$2</f>
        <v/>
      </c>
      <c r="E52" s="53">
        <f>IF(C52=1, 'model_Assumptions'!$B$2 * 'model_Workings'!$B$2, ('model_Assumptions'!$B$2 * (1+'model_Workings'!$B$2)^(C52-1) - 'model_Workings'!$B$4 * ((1+'model_Workings'!$B$2)^(C52-1) - 1) / 'model_Workings'!$B$2) * 'model_Workings'!$B$2)</f>
        <v/>
      </c>
      <c r="F52" s="53">
        <f>'model_Workings'!$B$4 - E52</f>
        <v/>
      </c>
      <c r="G52" s="53">
        <f>'model_Workings'!$B$4</f>
        <v/>
      </c>
      <c r="H52" s="53" t="n"/>
    </row>
    <row r="53">
      <c r="A53" s="1" t="inlineStr">
        <is>
          <t>Q1.16 Payment Date</t>
        </is>
      </c>
      <c r="B53" s="33">
        <f>DATE(2033,8,16)</f>
        <v/>
      </c>
      <c r="C53" s="33">
        <f>(B53-'model_Assumptions'!$B$6)/7+1</f>
        <v/>
      </c>
      <c r="D53" s="53">
        <f>'model_Assumptions'!$B$2 * (1+'model_Workings'!$B$2)^C53 - 'model_Workings'!$B$4 * ((1+'model_Workings'!$B$2)^C53 - 1) / 'model_Workings'!$B$2</f>
        <v/>
      </c>
      <c r="E53" s="53">
        <f>IF(C53=1, 'model_Assumptions'!$B$2 * 'model_Workings'!$B$2, ('model_Assumptions'!$B$2 * (1+'model_Workings'!$B$2)^(C53-1) - 'model_Workings'!$B$4 * ((1+'model_Workings'!$B$2)^(C53-1) - 1) / 'model_Workings'!$B$2) * 'model_Workings'!$B$2)</f>
        <v/>
      </c>
      <c r="F53" s="53">
        <f>'model_Workings'!$B$4 - E53</f>
        <v/>
      </c>
      <c r="G53" s="53">
        <f>'model_Workings'!$B$4</f>
        <v/>
      </c>
      <c r="H53" s="53" t="n"/>
    </row>
    <row r="54">
      <c r="A54" s="1" t="inlineStr">
        <is>
          <t>Q1.17 Payment Date</t>
        </is>
      </c>
      <c r="B54" s="33">
        <f>DATE(2037,11,3)</f>
        <v/>
      </c>
      <c r="C54" s="33">
        <f>(B54-'model_Assumptions'!$B$6)/7+1</f>
        <v/>
      </c>
      <c r="D54" s="53">
        <f>'model_Assumptions'!$B$2 * (1+'model_Workings'!$B$2)^C54 - 'model_Workings'!$B$4 * ((1+'model_Workings'!$B$2)^C54 - 1) / 'model_Workings'!$B$2</f>
        <v/>
      </c>
      <c r="E54" s="53">
        <f>IF(C54=1, 'model_Assumptions'!$B$2 * 'model_Workings'!$B$2, ('model_Assumptions'!$B$2 * (1+'model_Workings'!$B$2)^(C54-1) - 'model_Workings'!$B$4 * ((1+'model_Workings'!$B$2)^(C54-1) - 1) / 'model_Workings'!$B$2) * 'model_Workings'!$B$2)</f>
        <v/>
      </c>
      <c r="F54" s="53">
        <f>'model_Workings'!$B$4 - E54</f>
        <v/>
      </c>
      <c r="G54" s="53">
        <f>'model_Workings'!$B$4</f>
        <v/>
      </c>
      <c r="H54" s="53" t="n"/>
    </row>
    <row r="55">
      <c r="A55" s="1" t="inlineStr">
        <is>
          <t>Q1.18 Principal Date</t>
        </is>
      </c>
      <c r="B55" s="33">
        <f>DATE(2043,3,17)</f>
        <v/>
      </c>
      <c r="C55" s="33">
        <f>(B55-'model_Assumptions'!$B$6)/7+1</f>
        <v/>
      </c>
      <c r="D55" s="53">
        <f>'model_Assumptions'!$B$2 * (1+'model_Workings'!$B$2)^C55 - 'model_Workings'!$B$4 * ((1+'model_Workings'!$B$2)^C55 - 1) / 'model_Workings'!$B$2</f>
        <v/>
      </c>
      <c r="E55" s="53">
        <f>IF(C55=1, 'model_Assumptions'!$B$2 * 'model_Workings'!$B$2, ('model_Assumptions'!$B$2 * (1+'model_Workings'!$B$2)^(C55-1) - 'model_Workings'!$B$4 * ((1+'model_Workings'!$B$2)^(C55-1) - 1) / 'model_Workings'!$B$2) * 'model_Workings'!$B$2)</f>
        <v/>
      </c>
      <c r="F55" s="53">
        <f>'model_Workings'!$B$4 - E55</f>
        <v/>
      </c>
      <c r="G55" s="53">
        <f>'model_Workings'!$B$4</f>
        <v/>
      </c>
      <c r="H55" s="53" t="n"/>
    </row>
    <row r="56">
      <c r="A56" s="1" t="inlineStr">
        <is>
          <t>Q1.19 Principal Date</t>
        </is>
      </c>
      <c r="B56" s="33">
        <f>DATE(2043,9,8)</f>
        <v/>
      </c>
      <c r="C56" s="33">
        <f>(B56-'model_Assumptions'!$B$6)/7+1</f>
        <v/>
      </c>
      <c r="D56" s="53">
        <f>'model_Assumptions'!$B$2 * (1+'model_Workings'!$B$2)^C56 - 'model_Workings'!$B$4 * ((1+'model_Workings'!$B$2)^C56 - 1) / 'model_Workings'!$B$2</f>
        <v/>
      </c>
      <c r="E56" s="53">
        <f>IF(C56=1, 'model_Assumptions'!$B$2 * 'model_Workings'!$B$2, ('model_Assumptions'!$B$2 * (1+'model_Workings'!$B$2)^(C56-1) - 'model_Workings'!$B$4 * ((1+'model_Workings'!$B$2)^(C56-1) - 1) / 'model_Workings'!$B$2) * 'model_Workings'!$B$2)</f>
        <v/>
      </c>
      <c r="F56" s="53">
        <f>'model_Workings'!$B$4 - E56</f>
        <v/>
      </c>
      <c r="G56" s="53">
        <f>'model_Workings'!$B$4</f>
        <v/>
      </c>
      <c r="H56" s="53" t="n"/>
    </row>
    <row r="57">
      <c r="A57" s="1" t="inlineStr">
        <is>
          <t>Q1.20 Principal Date</t>
        </is>
      </c>
      <c r="B57" s="33">
        <f>DATE(2036,12,23)</f>
        <v/>
      </c>
      <c r="C57" s="33">
        <f>(B57-'model_Assumptions'!$B$6)/7+1</f>
        <v/>
      </c>
      <c r="D57" s="53">
        <f>'model_Assumptions'!$B$2 * (1+'model_Workings'!$B$2)^C57 - 'model_Workings'!$B$4 * ((1+'model_Workings'!$B$2)^C57 - 1) / 'model_Workings'!$B$2</f>
        <v/>
      </c>
      <c r="E57" s="53">
        <f>IF(C57=1, 'model_Assumptions'!$B$2 * 'model_Workings'!$B$2, ('model_Assumptions'!$B$2 * (1+'model_Workings'!$B$2)^(C57-1) - 'model_Workings'!$B$4 * ((1+'model_Workings'!$B$2)^(C57-1) - 1) / 'model_Workings'!$B$2) * 'model_Workings'!$B$2)</f>
        <v/>
      </c>
      <c r="F57" s="53">
        <f>'model_Workings'!$B$4 - E57</f>
        <v/>
      </c>
      <c r="G57" s="53">
        <f>'model_Workings'!$B$4</f>
        <v/>
      </c>
      <c r="H57" s="53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50" t="inlineStr">
        <is>
          <t>Yearly Analysis</t>
        </is>
      </c>
      <c r="B60" s="49" t="n"/>
      <c r="C60" s="49" t="n"/>
      <c r="D60" s="49" t="n"/>
      <c r="E60" s="49" t="n"/>
      <c r="F60" s="49" t="n"/>
      <c r="G60" s="49" t="n"/>
      <c r="H60" s="49" t="n"/>
    </row>
    <row r="61">
      <c r="A61" s="49" t="inlineStr">
        <is>
          <t>Year</t>
        </is>
      </c>
      <c r="B61" s="48" t="inlineStr">
        <is>
          <t>Total Interest [$]</t>
        </is>
      </c>
      <c r="C61" s="48" t="inlineStr">
        <is>
          <t>Total Payment [$]</t>
        </is>
      </c>
      <c r="D61" s="48" t="inlineStr">
        <is>
          <t>Total Principal [$]</t>
        </is>
      </c>
      <c r="E61" s="48" t="inlineStr">
        <is>
          <t>n_start_minus_1</t>
        </is>
      </c>
      <c r="F61" s="48" t="inlineStr">
        <is>
          <t>n_end</t>
        </is>
      </c>
      <c r="G61" s="48" t="inlineStr">
        <is>
          <t>Bal_start</t>
        </is>
      </c>
      <c r="H61" s="48" t="inlineStr">
        <is>
          <t>Bal_end</t>
        </is>
      </c>
    </row>
    <row r="62">
      <c r="A62" s="39" t="inlineStr">
        <is>
          <t>2033</t>
        </is>
      </c>
      <c r="B62" s="53">
        <f>C62-D62</f>
        <v/>
      </c>
      <c r="C62" s="53">
        <f>(F62-E62)*'model_Workings'!$B$4</f>
        <v/>
      </c>
      <c r="D62" s="53">
        <f>G62-H62</f>
        <v/>
      </c>
      <c r="E62" s="56">
        <f>INT((DATE(2032,12,31)-'model_Assumptions'!$B$6)/7)+1</f>
        <v/>
      </c>
      <c r="F62" s="56">
        <f>INT((DATE(2033,12,31)-'model_Assumptions'!$B$6)/7)+1</f>
        <v/>
      </c>
      <c r="G62" s="53">
        <f>'model_Assumptions'!$B$2*(1+'model_Workings'!$B$2)^E62-'model_Workings'!$B$4*((1+'model_Workings'!$B$2)^E62-1)/'model_Workings'!$B$2</f>
        <v/>
      </c>
      <c r="H62" s="53">
        <f>'model_Assumptions'!$B$2*(1+'model_Workings'!$B$2)^F62-'model_Workings'!$B$4*((1+'model_Workings'!$B$2)^F62-1)/'model_Workings'!$B$2</f>
        <v/>
      </c>
    </row>
    <row r="63">
      <c r="A63" s="39" t="inlineStr">
        <is>
          <t>2038</t>
        </is>
      </c>
      <c r="B63" s="53">
        <f>C63-D63</f>
        <v/>
      </c>
      <c r="C63" s="53">
        <f>(F63-E63)*'model_Workings'!$B$4</f>
        <v/>
      </c>
      <c r="D63" s="53">
        <f>G63-H63</f>
        <v/>
      </c>
      <c r="E63" s="56">
        <f>INT((DATE(2037,12,31)-'model_Assumptions'!$B$6)/7)+1</f>
        <v/>
      </c>
      <c r="F63" s="56">
        <f>INT((DATE(2038,12,31)-'model_Assumptions'!$B$6)/7)+1</f>
        <v/>
      </c>
      <c r="G63" s="53">
        <f>'model_Assumptions'!$B$2*(1+'model_Workings'!$B$2)^E63-'model_Workings'!$B$4*((1+'model_Workings'!$B$2)^E63-1)/'model_Workings'!$B$2</f>
        <v/>
      </c>
      <c r="H63" s="53">
        <f>'model_Assumptions'!$B$2*(1+'model_Workings'!$B$2)^F63-'model_Workings'!$B$4*((1+'model_Workings'!$B$2)^F63-1)/'model_Workings'!$B$2</f>
        <v/>
      </c>
    </row>
    <row r="64">
      <c r="A64" s="39" t="inlineStr">
        <is>
          <t>2043</t>
        </is>
      </c>
      <c r="B64" s="53">
        <f>C64-D64</f>
        <v/>
      </c>
      <c r="C64" s="53">
        <f>(F64-E64)*'model_Workings'!$B$4</f>
        <v/>
      </c>
      <c r="D64" s="53">
        <f>G64-H64</f>
        <v/>
      </c>
      <c r="E64" s="56">
        <f>INT((DATE(2042,12,31)-'model_Assumptions'!$B$6)/7)+1</f>
        <v/>
      </c>
      <c r="F64" s="56">
        <f>INT((DATE(2043,12,31)-'model_Assumptions'!$B$6)/7)+1</f>
        <v/>
      </c>
      <c r="G64" s="53">
        <f>'model_Assumptions'!$B$2*(1+'model_Workings'!$B$2)^E64-'model_Workings'!$B$4*((1+'model_Workings'!$B$2)^E64-1)/'model_Workings'!$B$2</f>
        <v/>
      </c>
      <c r="H64" s="53">
        <f>'model_Assumptions'!$B$2*(1+'model_Workings'!$B$2)^F64-'model_Workings'!$B$4*((1+'model_Workings'!$B$2)^F64-1)/'model_Workings'!$B$2</f>
        <v/>
      </c>
    </row>
    <row r="65">
      <c r="A65" s="39" t="inlineStr">
        <is>
          <t>2045</t>
        </is>
      </c>
      <c r="B65" s="53">
        <f>C65-D65</f>
        <v/>
      </c>
      <c r="C65" s="53">
        <f>(F65-E65)*'model_Workings'!$B$4</f>
        <v/>
      </c>
      <c r="D65" s="53">
        <f>G65-H65</f>
        <v/>
      </c>
      <c r="E65" s="56">
        <f>INT((DATE(2044,12,31)-'model_Assumptions'!$B$6)/7)+1</f>
        <v/>
      </c>
      <c r="F65" s="56">
        <f>INT((DATE(2045,12,31)-'model_Assumptions'!$B$6)/7)+1</f>
        <v/>
      </c>
      <c r="G65" s="53">
        <f>'model_Assumptions'!$B$2*(1+'model_Workings'!$B$2)^E65-'model_Workings'!$B$4*((1+'model_Workings'!$B$2)^E65-1)/'model_Workings'!$B$2</f>
        <v/>
      </c>
      <c r="H65" s="53">
        <f>'model_Assumptions'!$B$2*(1+'model_Workings'!$B$2)^F65-'model_Workings'!$B$4*((1+'model_Workings'!$B$2)^F65-1)/'model_Workings'!$B$2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</cols>
  <sheetData>
    <row r="1">
      <c r="A1" s="50" t="inlineStr">
        <is>
          <t>Question</t>
        </is>
      </c>
      <c r="B1" s="50" t="inlineStr">
        <is>
          <t>Answer</t>
        </is>
      </c>
      <c r="C1" s="50" t="inlineStr">
        <is>
          <t>Unit</t>
        </is>
      </c>
    </row>
    <row r="2">
      <c r="A2" s="39" t="inlineStr">
        <is>
          <t>What will the Balance be on 07/23/2030?</t>
        </is>
      </c>
      <c r="B2" s="52">
        <f>'model_Workings'!D38</f>
        <v/>
      </c>
      <c r="C2" s="41" t="inlineStr">
        <is>
          <t>[$]</t>
        </is>
      </c>
    </row>
    <row r="3">
      <c r="A3" s="39" t="inlineStr">
        <is>
          <t>What will the Balance be on 09/15/2037?</t>
        </is>
      </c>
      <c r="B3" s="52">
        <f>'model_Workings'!D39</f>
        <v/>
      </c>
      <c r="C3" s="41" t="inlineStr">
        <is>
          <t>[$]</t>
        </is>
      </c>
    </row>
    <row r="4">
      <c r="A4" s="39" t="inlineStr">
        <is>
          <t>What will the Balance be on 09/29/2037?</t>
        </is>
      </c>
      <c r="B4" s="52">
        <f>'model_Workings'!D40</f>
        <v/>
      </c>
      <c r="C4" s="41" t="inlineStr">
        <is>
          <t>[$]</t>
        </is>
      </c>
    </row>
    <row r="5">
      <c r="A5" s="39" t="inlineStr">
        <is>
          <t>What will the Balance be on 11/12/2041?</t>
        </is>
      </c>
      <c r="B5" s="52">
        <f>'model_Workings'!D41</f>
        <v/>
      </c>
      <c r="C5" s="41" t="inlineStr">
        <is>
          <t>[$]</t>
        </is>
      </c>
    </row>
    <row r="6">
      <c r="A6" s="39" t="inlineStr">
        <is>
          <t>What will the Interest be on 03/08/2039?</t>
        </is>
      </c>
      <c r="B6" s="52">
        <f>'model_Workings'!E42</f>
        <v/>
      </c>
      <c r="C6" s="41" t="inlineStr">
        <is>
          <t>[$]</t>
        </is>
      </c>
    </row>
    <row r="7">
      <c r="A7" s="39" t="inlineStr">
        <is>
          <t>What will the Interest be on 03/22/2033?</t>
        </is>
      </c>
      <c r="B7" s="52">
        <f>'model_Workings'!E43</f>
        <v/>
      </c>
      <c r="C7" s="41" t="inlineStr">
        <is>
          <t>[$]</t>
        </is>
      </c>
    </row>
    <row r="8">
      <c r="A8" s="39" t="inlineStr">
        <is>
          <t>What will the Interest be on 04/15/2031?</t>
        </is>
      </c>
      <c r="B8" s="52">
        <f>'model_Workings'!E44</f>
        <v/>
      </c>
      <c r="C8" s="41" t="inlineStr">
        <is>
          <t>[$]</t>
        </is>
      </c>
    </row>
    <row r="9">
      <c r="A9" s="39" t="inlineStr">
        <is>
          <t>What will the Interest be on 05/21/2030?</t>
        </is>
      </c>
      <c r="B9" s="52">
        <f>'model_Workings'!E45</f>
        <v/>
      </c>
      <c r="C9" s="41" t="inlineStr">
        <is>
          <t>[$]</t>
        </is>
      </c>
    </row>
    <row r="10">
      <c r="A10" s="39" t="inlineStr">
        <is>
          <t>What will the Interest be on 05/24/2044?</t>
        </is>
      </c>
      <c r="B10" s="52">
        <f>'model_Workings'!E46</f>
        <v/>
      </c>
      <c r="C10" s="41" t="inlineStr">
        <is>
          <t>[$]</t>
        </is>
      </c>
    </row>
    <row r="11">
      <c r="A11" s="39" t="inlineStr">
        <is>
          <t>What will the Interest be on 08/07/2035?</t>
        </is>
      </c>
      <c r="B11" s="52">
        <f>'model_Workings'!E47</f>
        <v/>
      </c>
      <c r="C11" s="41" t="inlineStr">
        <is>
          <t>[$]</t>
        </is>
      </c>
    </row>
    <row r="12">
      <c r="A12" s="39" t="inlineStr">
        <is>
          <t>What will the Interest be on 09/08/2037?</t>
        </is>
      </c>
      <c r="B12" s="52">
        <f>'model_Workings'!E48</f>
        <v/>
      </c>
      <c r="C12" s="41" t="inlineStr">
        <is>
          <t>[$]</t>
        </is>
      </c>
    </row>
    <row r="13">
      <c r="A13" s="39" t="inlineStr">
        <is>
          <t>What will the Interest be on 10/16/2035?</t>
        </is>
      </c>
      <c r="B13" s="52">
        <f>'model_Workings'!E49</f>
        <v/>
      </c>
      <c r="C13" s="41" t="inlineStr">
        <is>
          <t>[$]</t>
        </is>
      </c>
    </row>
    <row r="14">
      <c r="A14" s="39" t="inlineStr">
        <is>
          <t>What will the Interest be on 11/04/2042?</t>
        </is>
      </c>
      <c r="B14" s="52">
        <f>'model_Workings'!E50</f>
        <v/>
      </c>
      <c r="C14" s="41" t="inlineStr">
        <is>
          <t>[$]</t>
        </is>
      </c>
    </row>
    <row r="15">
      <c r="A15" s="39" t="inlineStr">
        <is>
          <t>What will the Payment Due be on 05/17/2039?</t>
        </is>
      </c>
      <c r="B15" s="52">
        <f>'model_Workings'!G51</f>
        <v/>
      </c>
      <c r="C15" s="41" t="inlineStr">
        <is>
          <t>[$]</t>
        </is>
      </c>
    </row>
    <row r="16">
      <c r="A16" s="39" t="inlineStr">
        <is>
          <t>What will the Payment Due be on 06/06/2045?</t>
        </is>
      </c>
      <c r="B16" s="52">
        <f>'model_Workings'!G52</f>
        <v/>
      </c>
      <c r="C16" s="41" t="inlineStr">
        <is>
          <t>[$]</t>
        </is>
      </c>
    </row>
    <row r="17">
      <c r="A17" s="39" t="inlineStr">
        <is>
          <t>What will the Payment Due be on 08/16/2033?</t>
        </is>
      </c>
      <c r="B17" s="52">
        <f>'model_Workings'!G53</f>
        <v/>
      </c>
      <c r="C17" s="41" t="inlineStr">
        <is>
          <t>[$]</t>
        </is>
      </c>
    </row>
    <row r="18">
      <c r="A18" s="39" t="inlineStr">
        <is>
          <t>What will the Payment Due be on 11/03/2037?</t>
        </is>
      </c>
      <c r="B18" s="52">
        <f>'model_Workings'!G54</f>
        <v/>
      </c>
      <c r="C18" s="41" t="inlineStr">
        <is>
          <t>[$]</t>
        </is>
      </c>
    </row>
    <row r="19">
      <c r="A19" s="39" t="inlineStr">
        <is>
          <t>What will the Principal Amount be on 03/17/2043?</t>
        </is>
      </c>
      <c r="B19" s="52">
        <f>'model_Workings'!F55</f>
        <v/>
      </c>
      <c r="C19" s="41" t="inlineStr">
        <is>
          <t>[$]</t>
        </is>
      </c>
    </row>
    <row r="20">
      <c r="A20" s="39" t="inlineStr">
        <is>
          <t>What will the Principal Amount be on 09/08/2043?</t>
        </is>
      </c>
      <c r="B20" s="52">
        <f>'model_Workings'!F56</f>
        <v/>
      </c>
      <c r="C20" s="41" t="inlineStr">
        <is>
          <t>[$]</t>
        </is>
      </c>
    </row>
    <row r="21">
      <c r="A21" s="39" t="inlineStr">
        <is>
          <t>What will the Principal Amount be on 12/23/2036?</t>
        </is>
      </c>
      <c r="B21" s="52">
        <f>'model_Workings'!F57</f>
        <v/>
      </c>
      <c r="C21" s="41" t="inlineStr">
        <is>
          <t>[$]</t>
        </is>
      </c>
    </row>
    <row r="22">
      <c r="A22" s="39" t="inlineStr">
        <is>
          <t>What will the total Interest be in the year 2038?</t>
        </is>
      </c>
      <c r="B22" s="52">
        <f>'model_Workings'!B63</f>
        <v/>
      </c>
      <c r="C22" s="41" t="inlineStr">
        <is>
          <t>[$]</t>
        </is>
      </c>
    </row>
    <row r="23">
      <c r="A23" s="39" t="inlineStr">
        <is>
          <t>What will the total Payment Amount be in the year 2033?</t>
        </is>
      </c>
      <c r="B23" s="52">
        <f>'model_Workings'!C62</f>
        <v/>
      </c>
      <c r="C23" s="41" t="inlineStr">
        <is>
          <t>[$]</t>
        </is>
      </c>
    </row>
    <row r="24">
      <c r="A24" s="39" t="inlineStr">
        <is>
          <t>What will the total Payment Amount be in the year 2043?</t>
        </is>
      </c>
      <c r="B24" s="52">
        <f>'model_Workings'!C64</f>
        <v/>
      </c>
      <c r="C24" s="41" t="inlineStr">
        <is>
          <t>[$]</t>
        </is>
      </c>
    </row>
    <row r="25">
      <c r="A25" s="39" t="inlineStr">
        <is>
          <t>What will the total Principal Amount be in the year 2038?</t>
        </is>
      </c>
      <c r="B25" s="52">
        <f>'model_Workings'!D63</f>
        <v/>
      </c>
      <c r="C25" s="41" t="inlineStr">
        <is>
          <t>[$]</t>
        </is>
      </c>
    </row>
    <row r="26">
      <c r="A26" s="39" t="inlineStr">
        <is>
          <t>What will the total Principal Amount be in the year 2045?</t>
        </is>
      </c>
      <c r="B26" s="52">
        <f>'model_Workings'!D65</f>
        <v/>
      </c>
      <c r="C26" s="41" t="inlineStr">
        <is>
          <t>[$]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2026-08-19T10:26:09Z</dcterms:created>
  <dcterms:modified xsi:type="dcterms:W3CDTF">2026-08-19T14:01:03Z</dcterms:modified>
</cp:coreProperties>
</file>