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_10" sheetId="3" state="visible" r:id="rId3"/>
    <sheet name="answers_Q11_20" sheetId="4" state="visible" r:id="rId4"/>
    <sheet name="answers_Q21_3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($#,##0)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FFFFFF"/>
      <sz val="12"/>
    </font>
    <font>
      <name val="Calibri"/>
      <color theme="1"/>
      <sz val="11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5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Assumption</t>
        </is>
      </c>
      <c r="B1" s="1" t="n"/>
    </row>
    <row r="2">
      <c r="A2" t="inlineStr">
        <is>
          <t>Forecast Period [years]</t>
        </is>
      </c>
      <c r="B2" s="4" t="n">
        <v>15</v>
      </c>
      <c r="C2" t="inlineStr">
        <is>
          <t>Annual Revenue Growth Rate [%]</t>
        </is>
      </c>
      <c r="D2" t="n">
        <v>0.04545</v>
      </c>
    </row>
    <row r="3">
      <c r="A3" t="inlineStr">
        <is>
          <t>Quarters per Year</t>
        </is>
      </c>
      <c r="B3" s="4" t="n">
        <v>4</v>
      </c>
      <c r="C3" t="inlineStr">
        <is>
          <t>Quarterly Revenue Growth Rate [%]</t>
        </is>
      </c>
      <c r="D3">
        <f>(1+D2)^(1/4)-1</f>
        <v/>
      </c>
    </row>
    <row r="4">
      <c r="A4" t="inlineStr">
        <is>
          <t>Selling Price Growth [% p.a.]</t>
        </is>
      </c>
      <c r="B4" s="4" t="n">
        <v>0.015</v>
      </c>
      <c r="C4" t="inlineStr">
        <is>
          <t>Annual Cost Growth Rate [%]</t>
        </is>
      </c>
      <c r="D4" t="n">
        <v>0.022</v>
      </c>
    </row>
    <row r="5">
      <c r="A5" t="inlineStr">
        <is>
          <t>Volume Growth [% p.a.]</t>
        </is>
      </c>
      <c r="B5" s="4" t="n">
        <v>0.03</v>
      </c>
      <c r="C5" t="inlineStr">
        <is>
          <t>Quarterly Cost Growth Rate [%]</t>
        </is>
      </c>
      <c r="D5">
        <f>(1+D6)^(1/4)-1</f>
        <v/>
      </c>
    </row>
    <row r="6">
      <c r="A6" t="inlineStr">
        <is>
          <t>General Inflation [% p.a.]</t>
        </is>
      </c>
      <c r="B6" s="4" t="n">
        <v>0.022</v>
      </c>
    </row>
    <row r="7">
      <c r="A7" t="inlineStr">
        <is>
          <t>Running Average Window [quarters]</t>
        </is>
      </c>
      <c r="B7" s="4" t="n">
        <v>4</v>
      </c>
    </row>
    <row r="8">
      <c r="A8" t="inlineStr">
        <is>
          <t>CCC Median Window [years]</t>
        </is>
      </c>
      <c r="B8" s="4" t="n">
        <v>4</v>
      </c>
    </row>
    <row r="9">
      <c r="A9" t="inlineStr">
        <is>
          <t>Linked to Sales</t>
        </is>
      </c>
      <c r="B9" s="2" t="n"/>
    </row>
    <row r="10">
      <c r="A10" t="inlineStr">
        <is>
          <t>Cash and Cash Equivalents</t>
        </is>
      </c>
      <c r="B10" s="2" t="n"/>
    </row>
    <row r="11">
      <c r="A11" t="inlineStr">
        <is>
          <t>Short-term Investments</t>
        </is>
      </c>
      <c r="B11" s="2" t="n"/>
    </row>
    <row r="12">
      <c r="A12" t="inlineStr">
        <is>
          <t>Notes Receivable</t>
        </is>
      </c>
      <c r="B12" s="2" t="n"/>
    </row>
    <row r="13">
      <c r="A13" t="inlineStr">
        <is>
          <t>Short-Term Borrowings</t>
        </is>
      </c>
      <c r="B13" s="2" t="n"/>
    </row>
    <row r="14">
      <c r="A14" t="inlineStr">
        <is>
          <t>Current Portion of Long-Term Debt</t>
        </is>
      </c>
      <c r="B14" s="2" t="n"/>
    </row>
    <row r="15">
      <c r="A15" t="inlineStr">
        <is>
          <t>Deferred Revenue, Current</t>
        </is>
      </c>
      <c r="B15" s="2" t="n"/>
    </row>
    <row r="16">
      <c r="A16" t="inlineStr">
        <is>
          <t>Linked to CoR</t>
        </is>
      </c>
      <c r="B16" s="2" t="n"/>
    </row>
    <row r="17">
      <c r="A17" t="inlineStr">
        <is>
          <t>Prepaid Expenses and Other</t>
        </is>
      </c>
      <c r="B17" s="2" t="n"/>
    </row>
    <row r="18">
      <c r="A18" t="inlineStr">
        <is>
          <t>Other Current Assets</t>
        </is>
      </c>
      <c r="B18" s="2" t="n"/>
    </row>
    <row r="19">
      <c r="A19" t="inlineStr">
        <is>
          <t>Accrued Expenses and Other</t>
        </is>
      </c>
      <c r="B19" s="2" t="n"/>
    </row>
    <row r="20">
      <c r="A20" t="inlineStr">
        <is>
          <t>Other Current Liabilities</t>
        </is>
      </c>
      <c r="B20" s="2" t="n"/>
    </row>
    <row r="21">
      <c r="A21" t="inlineStr">
        <is>
          <t>Median DSO [days]</t>
        </is>
      </c>
      <c r="B21">
        <f>MEDIAN('model_Workings'!F30:U30)</f>
        <v/>
      </c>
    </row>
    <row r="22">
      <c r="A22" t="inlineStr">
        <is>
          <t>Median DIO [days]</t>
        </is>
      </c>
      <c r="B22">
        <f>MEDIAN('model_Workings'!F31:U31)</f>
        <v/>
      </c>
    </row>
    <row r="23">
      <c r="A23" t="inlineStr">
        <is>
          <t>Median DPO [days]</t>
        </is>
      </c>
      <c r="B23">
        <f>MEDIAN('model_Workings'!F32:U32)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</cols>
  <sheetData>
    <row r="1">
      <c r="A1" s="5" t="inlineStr">
        <is>
          <t>Metric</t>
        </is>
      </c>
      <c r="B1" s="5" t="inlineStr">
        <is>
          <t>Q1 2020</t>
        </is>
      </c>
      <c r="C1" s="5" t="inlineStr">
        <is>
          <t>Q2 2020</t>
        </is>
      </c>
      <c r="D1" s="5" t="inlineStr">
        <is>
          <t>Q3 2020</t>
        </is>
      </c>
      <c r="E1" s="5" t="inlineStr">
        <is>
          <t>Q4 2020</t>
        </is>
      </c>
      <c r="F1" s="5" t="inlineStr">
        <is>
          <t>Q1 2021</t>
        </is>
      </c>
      <c r="G1" s="5" t="inlineStr">
        <is>
          <t>Q2 2021</t>
        </is>
      </c>
      <c r="H1" s="5" t="inlineStr">
        <is>
          <t>Q3 2021</t>
        </is>
      </c>
      <c r="I1" s="5" t="inlineStr">
        <is>
          <t>Q4 2021</t>
        </is>
      </c>
      <c r="J1" s="5" t="inlineStr">
        <is>
          <t>Q1 2022</t>
        </is>
      </c>
      <c r="K1" s="5" t="inlineStr">
        <is>
          <t>Q2 2022</t>
        </is>
      </c>
      <c r="L1" s="5" t="inlineStr">
        <is>
          <t>Q3 2022</t>
        </is>
      </c>
      <c r="M1" s="5" t="inlineStr">
        <is>
          <t>Q4 2022</t>
        </is>
      </c>
      <c r="N1" s="5" t="inlineStr">
        <is>
          <t>Q1 2023</t>
        </is>
      </c>
      <c r="O1" s="5" t="inlineStr">
        <is>
          <t>Q2 2023</t>
        </is>
      </c>
      <c r="P1" s="5" t="inlineStr">
        <is>
          <t>Q3 2023</t>
        </is>
      </c>
      <c r="Q1" s="5" t="inlineStr">
        <is>
          <t>Q4 2023</t>
        </is>
      </c>
      <c r="R1" s="5" t="inlineStr">
        <is>
          <t>Q1 2024</t>
        </is>
      </c>
      <c r="S1" s="5" t="inlineStr">
        <is>
          <t>Q2 2024</t>
        </is>
      </c>
      <c r="T1" s="5" t="inlineStr">
        <is>
          <t>Q3 2024</t>
        </is>
      </c>
      <c r="U1" s="5" t="inlineStr">
        <is>
          <t>Q4 2024</t>
        </is>
      </c>
      <c r="V1" s="5" t="inlineStr">
        <is>
          <t>Q1 2025</t>
        </is>
      </c>
      <c r="W1" s="5" t="inlineStr">
        <is>
          <t>Q2 2025</t>
        </is>
      </c>
      <c r="X1" s="5" t="inlineStr">
        <is>
          <t>Q3 2025</t>
        </is>
      </c>
      <c r="Y1" s="5" t="inlineStr">
        <is>
          <t>Q4 2025</t>
        </is>
      </c>
      <c r="Z1" s="5" t="inlineStr">
        <is>
          <t>Q1 2026</t>
        </is>
      </c>
      <c r="AA1" s="5" t="inlineStr">
        <is>
          <t>Q2 2026</t>
        </is>
      </c>
      <c r="AB1" s="5" t="inlineStr">
        <is>
          <t>Q3 2026</t>
        </is>
      </c>
      <c r="AC1" s="5" t="inlineStr">
        <is>
          <t>Q4 2026</t>
        </is>
      </c>
      <c r="AD1" s="5" t="inlineStr">
        <is>
          <t>Q1 2027</t>
        </is>
      </c>
      <c r="AE1" s="5" t="inlineStr">
        <is>
          <t>Q2 2027</t>
        </is>
      </c>
      <c r="AF1" s="5" t="inlineStr">
        <is>
          <t>Q3 2027</t>
        </is>
      </c>
      <c r="AG1" s="5" t="inlineStr">
        <is>
          <t>Q4 2027</t>
        </is>
      </c>
      <c r="AH1" s="5" t="inlineStr">
        <is>
          <t>Q1 2028</t>
        </is>
      </c>
      <c r="AI1" s="5" t="inlineStr">
        <is>
          <t>Q2 2028</t>
        </is>
      </c>
      <c r="AJ1" s="5" t="inlineStr">
        <is>
          <t>Q3 2028</t>
        </is>
      </c>
      <c r="AK1" s="5" t="inlineStr">
        <is>
          <t>Q4 2028</t>
        </is>
      </c>
      <c r="AL1" s="5" t="inlineStr">
        <is>
          <t>Q1 2029</t>
        </is>
      </c>
      <c r="AM1" s="5" t="inlineStr">
        <is>
          <t>Q2 2029</t>
        </is>
      </c>
      <c r="AN1" s="5" t="inlineStr">
        <is>
          <t>Q3 2029</t>
        </is>
      </c>
      <c r="AO1" s="5" t="inlineStr">
        <is>
          <t>Q4 2029</t>
        </is>
      </c>
      <c r="AP1" s="5" t="inlineStr">
        <is>
          <t>Q1 2030</t>
        </is>
      </c>
      <c r="AQ1" s="5" t="inlineStr">
        <is>
          <t>Q2 2030</t>
        </is>
      </c>
      <c r="AR1" s="5" t="inlineStr">
        <is>
          <t>Q3 2030</t>
        </is>
      </c>
      <c r="AS1" s="5" t="inlineStr">
        <is>
          <t>Q4 2030</t>
        </is>
      </c>
      <c r="AT1" s="5" t="inlineStr">
        <is>
          <t>Q1 2031</t>
        </is>
      </c>
      <c r="AU1" s="5" t="inlineStr">
        <is>
          <t>Q2 2031</t>
        </is>
      </c>
      <c r="AV1" s="5" t="inlineStr">
        <is>
          <t>Q3 2031</t>
        </is>
      </c>
      <c r="AW1" s="5" t="inlineStr">
        <is>
          <t>Q4 2031</t>
        </is>
      </c>
      <c r="AX1" s="5" t="inlineStr">
        <is>
          <t>Q1 2032</t>
        </is>
      </c>
      <c r="AY1" s="5" t="inlineStr">
        <is>
          <t>Q2 2032</t>
        </is>
      </c>
      <c r="AZ1" s="5" t="inlineStr">
        <is>
          <t>Q3 2032</t>
        </is>
      </c>
      <c r="BA1" s="5" t="inlineStr">
        <is>
          <t>Q4 2032</t>
        </is>
      </c>
      <c r="BB1" s="5" t="inlineStr">
        <is>
          <t>Q1 2033</t>
        </is>
      </c>
      <c r="BC1" s="5" t="inlineStr">
        <is>
          <t>Q2 2033</t>
        </is>
      </c>
      <c r="BD1" s="5" t="inlineStr">
        <is>
          <t>Q3 2033</t>
        </is>
      </c>
      <c r="BE1" s="5" t="inlineStr">
        <is>
          <t>Q4 2033</t>
        </is>
      </c>
      <c r="BF1" s="5" t="inlineStr">
        <is>
          <t>Q1 2034</t>
        </is>
      </c>
      <c r="BG1" s="5" t="inlineStr">
        <is>
          <t>Q2 2034</t>
        </is>
      </c>
      <c r="BH1" s="5" t="inlineStr">
        <is>
          <t>Q3 2034</t>
        </is>
      </c>
      <c r="BI1" s="5" t="inlineStr">
        <is>
          <t>Q4 2034</t>
        </is>
      </c>
      <c r="BJ1" s="5" t="inlineStr">
        <is>
          <t>Q1 2035</t>
        </is>
      </c>
      <c r="BK1" s="5" t="inlineStr">
        <is>
          <t>Q2 2035</t>
        </is>
      </c>
      <c r="BL1" s="5" t="inlineStr">
        <is>
          <t>Q3 2035</t>
        </is>
      </c>
      <c r="BM1" s="5" t="inlineStr">
        <is>
          <t>Q4 2035</t>
        </is>
      </c>
      <c r="BN1" s="5" t="inlineStr">
        <is>
          <t>Q1 2036</t>
        </is>
      </c>
      <c r="BO1" s="5" t="inlineStr">
        <is>
          <t>Q2 2036</t>
        </is>
      </c>
      <c r="BP1" s="5" t="inlineStr">
        <is>
          <t>Q3 2036</t>
        </is>
      </c>
      <c r="BQ1" s="5" t="inlineStr">
        <is>
          <t>Q4 2036</t>
        </is>
      </c>
      <c r="BR1" s="5" t="inlineStr">
        <is>
          <t>Q1 2037</t>
        </is>
      </c>
      <c r="BS1" s="5" t="inlineStr">
        <is>
          <t>Q2 2037</t>
        </is>
      </c>
      <c r="BT1" s="5" t="inlineStr">
        <is>
          <t>Q3 2037</t>
        </is>
      </c>
      <c r="BU1" s="5" t="inlineStr">
        <is>
          <t>Q4 2037</t>
        </is>
      </c>
      <c r="BV1" s="5" t="inlineStr">
        <is>
          <t>Q1 2038</t>
        </is>
      </c>
      <c r="BW1" s="5" t="inlineStr">
        <is>
          <t>Q2 2038</t>
        </is>
      </c>
      <c r="BX1" s="5" t="inlineStr">
        <is>
          <t>Q3 2038</t>
        </is>
      </c>
      <c r="BY1" s="5" t="inlineStr">
        <is>
          <t>Q4 2038</t>
        </is>
      </c>
      <c r="BZ1" s="5" t="inlineStr">
        <is>
          <t>Q1 2039</t>
        </is>
      </c>
      <c r="CA1" s="5" t="inlineStr">
        <is>
          <t>Q2 2039</t>
        </is>
      </c>
      <c r="CB1" s="5" t="inlineStr">
        <is>
          <t>Q3 2039</t>
        </is>
      </c>
      <c r="CC1" s="5" t="inlineStr">
        <is>
          <t>Q4 2039</t>
        </is>
      </c>
    </row>
    <row r="2">
      <c r="A2" s="7" t="inlineStr">
        <is>
          <t>Product Revenue [$m]</t>
        </is>
      </c>
      <c r="B2" s="6" t="n">
        <v>15010.38</v>
      </c>
      <c r="C2" s="6" t="n">
        <v>15385.7</v>
      </c>
      <c r="D2" s="6" t="n">
        <v>15754.04</v>
      </c>
      <c r="E2" s="6" t="n">
        <v>16186.04</v>
      </c>
      <c r="F2" s="6" t="n">
        <v>17043.8</v>
      </c>
      <c r="G2" s="6" t="n">
        <v>17513.48</v>
      </c>
      <c r="H2" s="6" t="n">
        <v>18111.63</v>
      </c>
      <c r="I2" s="6" t="n">
        <v>19003</v>
      </c>
      <c r="J2" s="6" t="n">
        <v>19799.82</v>
      </c>
      <c r="K2" s="6" t="n">
        <v>21025.8</v>
      </c>
      <c r="L2" s="6" t="n">
        <v>21855.56</v>
      </c>
      <c r="M2" s="6" t="n">
        <v>22644.15</v>
      </c>
      <c r="N2" s="6" t="n">
        <v>23678.1</v>
      </c>
      <c r="O2" s="6" t="n">
        <v>24289.82</v>
      </c>
      <c r="P2" s="6" t="n">
        <v>25749.63</v>
      </c>
      <c r="Q2" s="6" t="n">
        <v>26617.37</v>
      </c>
      <c r="R2" s="6" t="n">
        <v>27533.16</v>
      </c>
      <c r="S2" s="6" t="n">
        <v>28885.54</v>
      </c>
      <c r="T2" s="6" t="n">
        <v>29538.76</v>
      </c>
      <c r="U2" s="6" t="n">
        <v>30957.45</v>
      </c>
      <c r="V2" s="6">
        <f>AVERAGE(R2:U2)*(1+'model_Assumptions'!$D$3)</f>
        <v/>
      </c>
      <c r="W2" s="6">
        <f>V2*(1+'model_Assumptions'!$D$3)</f>
        <v/>
      </c>
      <c r="X2" s="6">
        <f>W2*(1+'model_Assumptions'!$D$3)</f>
        <v/>
      </c>
      <c r="Y2" s="6">
        <f>X2*(1+'model_Assumptions'!$D$3)</f>
        <v/>
      </c>
      <c r="Z2" s="6">
        <f>Y2*(1+'model_Assumptions'!$D$3)</f>
        <v/>
      </c>
      <c r="AA2" s="6">
        <f>Z2*(1+'model_Assumptions'!$D$3)</f>
        <v/>
      </c>
      <c r="AB2" s="6">
        <f>AA2*(1+'model_Assumptions'!$D$3)</f>
        <v/>
      </c>
      <c r="AC2" s="6">
        <f>AB2*(1+'model_Assumptions'!$D$3)</f>
        <v/>
      </c>
      <c r="AD2" s="6">
        <f>AC2*(1+'model_Assumptions'!$D$3)</f>
        <v/>
      </c>
      <c r="AE2" s="6">
        <f>AD2*(1+'model_Assumptions'!$D$3)</f>
        <v/>
      </c>
      <c r="AF2" s="6">
        <f>AE2*(1+'model_Assumptions'!$D$3)</f>
        <v/>
      </c>
      <c r="AG2" s="6">
        <f>AF2*(1+'model_Assumptions'!$D$3)</f>
        <v/>
      </c>
      <c r="AH2" s="6">
        <f>AG2*(1+'model_Assumptions'!$D$3)</f>
        <v/>
      </c>
      <c r="AI2" s="6">
        <f>AH2*(1+'model_Assumptions'!$D$3)</f>
        <v/>
      </c>
      <c r="AJ2" s="6">
        <f>AI2*(1+'model_Assumptions'!$D$3)</f>
        <v/>
      </c>
      <c r="AK2" s="6">
        <f>AJ2*(1+'model_Assumptions'!$D$3)</f>
        <v/>
      </c>
      <c r="AL2" s="6">
        <f>AK2*(1+'model_Assumptions'!$D$3)</f>
        <v/>
      </c>
      <c r="AM2" s="6">
        <f>AL2*(1+'model_Assumptions'!$D$3)</f>
        <v/>
      </c>
      <c r="AN2" s="6">
        <f>AM2*(1+'model_Assumptions'!$D$3)</f>
        <v/>
      </c>
      <c r="AO2" s="6">
        <f>AN2*(1+'model_Assumptions'!$D$3)</f>
        <v/>
      </c>
      <c r="AP2" s="6">
        <f>AO2*(1+'model_Assumptions'!$D$3)</f>
        <v/>
      </c>
      <c r="AQ2" s="6">
        <f>AP2*(1+'model_Assumptions'!$D$3)</f>
        <v/>
      </c>
      <c r="AR2" s="6">
        <f>AQ2*(1+'model_Assumptions'!$D$3)</f>
        <v/>
      </c>
      <c r="AS2" s="6">
        <f>AR2*(1+'model_Assumptions'!$D$3)</f>
        <v/>
      </c>
      <c r="AT2" s="6">
        <f>AS2*(1+'model_Assumptions'!$D$3)</f>
        <v/>
      </c>
      <c r="AU2" s="6">
        <f>AT2*(1+'model_Assumptions'!$D$3)</f>
        <v/>
      </c>
      <c r="AV2" s="6">
        <f>AU2*(1+'model_Assumptions'!$D$3)</f>
        <v/>
      </c>
      <c r="AW2" s="6">
        <f>AV2*(1+'model_Assumptions'!$D$3)</f>
        <v/>
      </c>
      <c r="AX2" s="6">
        <f>AW2*(1+'model_Assumptions'!$D$3)</f>
        <v/>
      </c>
      <c r="AY2" s="6">
        <f>AX2*(1+'model_Assumptions'!$D$3)</f>
        <v/>
      </c>
      <c r="AZ2" s="6">
        <f>AY2*(1+'model_Assumptions'!$D$3)</f>
        <v/>
      </c>
      <c r="BA2" s="6">
        <f>AZ2*(1+'model_Assumptions'!$D$3)</f>
        <v/>
      </c>
      <c r="BB2" s="6">
        <f>BA2*(1+'model_Assumptions'!$D$3)</f>
        <v/>
      </c>
      <c r="BC2" s="6">
        <f>BB2*(1+'model_Assumptions'!$D$3)</f>
        <v/>
      </c>
      <c r="BD2" s="6">
        <f>BC2*(1+'model_Assumptions'!$D$3)</f>
        <v/>
      </c>
      <c r="BE2" s="6">
        <f>BD2*(1+'model_Assumptions'!$D$3)</f>
        <v/>
      </c>
      <c r="BF2" s="6">
        <f>BE2*(1+'model_Assumptions'!$D$3)</f>
        <v/>
      </c>
      <c r="BG2" s="6">
        <f>BF2*(1+'model_Assumptions'!$D$3)</f>
        <v/>
      </c>
      <c r="BH2" s="6">
        <f>BG2*(1+'model_Assumptions'!$D$3)</f>
        <v/>
      </c>
      <c r="BI2" s="6">
        <f>BH2*(1+'model_Assumptions'!$D$3)</f>
        <v/>
      </c>
      <c r="BJ2" s="6">
        <f>BI2*(1+'model_Assumptions'!$D$3)</f>
        <v/>
      </c>
      <c r="BK2" s="6">
        <f>BJ2*(1+'model_Assumptions'!$D$3)</f>
        <v/>
      </c>
      <c r="BL2" s="6">
        <f>BK2*(1+'model_Assumptions'!$D$3)</f>
        <v/>
      </c>
      <c r="BM2" s="6">
        <f>BL2*(1+'model_Assumptions'!$D$3)</f>
        <v/>
      </c>
      <c r="BN2" s="6">
        <f>BM2*(1+'model_Assumptions'!$D$3)</f>
        <v/>
      </c>
      <c r="BO2" s="6">
        <f>BN2*(1+'model_Assumptions'!$D$3)</f>
        <v/>
      </c>
      <c r="BP2" s="6">
        <f>BO2*(1+'model_Assumptions'!$D$3)</f>
        <v/>
      </c>
      <c r="BQ2" s="6">
        <f>BP2*(1+'model_Assumptions'!$D$3)</f>
        <v/>
      </c>
      <c r="BR2" s="6">
        <f>BQ2*(1+'model_Assumptions'!$D$3)</f>
        <v/>
      </c>
      <c r="BS2" s="6">
        <f>BR2*(1+'model_Assumptions'!$D$3)</f>
        <v/>
      </c>
      <c r="BT2" s="6">
        <f>BS2*(1+'model_Assumptions'!$D$3)</f>
        <v/>
      </c>
      <c r="BU2" s="6">
        <f>BT2*(1+'model_Assumptions'!$D$3)</f>
        <v/>
      </c>
      <c r="BV2" s="6">
        <f>BU2*(1+'model_Assumptions'!$D$3)</f>
        <v/>
      </c>
      <c r="BW2" s="6">
        <f>BV2*(1+'model_Assumptions'!$D$3)</f>
        <v/>
      </c>
      <c r="BX2" s="6">
        <f>BW2*(1+'model_Assumptions'!$D$3)</f>
        <v/>
      </c>
      <c r="BY2" s="6">
        <f>BX2*(1+'model_Assumptions'!$D$3)</f>
        <v/>
      </c>
      <c r="BZ2" s="6">
        <f>BY2*(1+'model_Assumptions'!$D$3)</f>
        <v/>
      </c>
      <c r="CA2" s="6">
        <f>BZ2*(1+'model_Assumptions'!$D$3)</f>
        <v/>
      </c>
      <c r="CB2" s="6">
        <f>CA2*(1+'model_Assumptions'!$D$3)</f>
        <v/>
      </c>
      <c r="CC2" s="6">
        <f>CB2*(1+'model_Assumptions'!$D$3)</f>
        <v/>
      </c>
    </row>
    <row r="3">
      <c r="A3" s="7" t="inlineStr">
        <is>
          <t>Service Revenue [$m]</t>
        </is>
      </c>
      <c r="B3" s="6" t="n">
        <v>4519.19</v>
      </c>
      <c r="C3" s="6" t="n">
        <v>4724.04</v>
      </c>
      <c r="D3" s="6" t="n">
        <v>5110.52</v>
      </c>
      <c r="E3" s="6" t="n">
        <v>5400.4</v>
      </c>
      <c r="F3" s="6" t="n">
        <v>5786.36</v>
      </c>
      <c r="G3" s="6" t="n">
        <v>6093.86</v>
      </c>
      <c r="H3" s="6" t="n">
        <v>6393.42</v>
      </c>
      <c r="I3" s="6" t="n">
        <v>6656.6</v>
      </c>
      <c r="J3" s="6" t="n">
        <v>6826.06</v>
      </c>
      <c r="K3" s="6" t="n">
        <v>7080.16</v>
      </c>
      <c r="L3" s="6" t="n">
        <v>7677.55</v>
      </c>
      <c r="M3" s="6" t="n">
        <v>8115.62</v>
      </c>
      <c r="N3" s="6" t="n">
        <v>8543.52</v>
      </c>
      <c r="O3" s="6" t="n">
        <v>9218.58</v>
      </c>
      <c r="P3" s="6" t="n">
        <v>9783.959999999999</v>
      </c>
      <c r="Q3" s="6" t="n">
        <v>10601.92</v>
      </c>
      <c r="R3" s="6" t="n">
        <v>11094.4</v>
      </c>
      <c r="S3" s="6" t="n">
        <v>11515.42</v>
      </c>
      <c r="T3" s="6" t="n">
        <v>12439.49</v>
      </c>
      <c r="U3" s="6" t="n">
        <v>12870.5</v>
      </c>
      <c r="V3" s="6">
        <f>AVERAGE(R3:U3)*(1+'model_Assumptions'!$D$3)</f>
        <v/>
      </c>
      <c r="W3" s="6">
        <f>V3*(1+'model_Assumptions'!$D$3)</f>
        <v/>
      </c>
      <c r="X3" s="6">
        <f>W3*(1+'model_Assumptions'!$D$3)</f>
        <v/>
      </c>
      <c r="Y3" s="6">
        <f>X3*(1+'model_Assumptions'!$D$3)</f>
        <v/>
      </c>
      <c r="Z3" s="6">
        <f>Y3*(1+'model_Assumptions'!$D$3)</f>
        <v/>
      </c>
      <c r="AA3" s="6">
        <f>Z3*(1+'model_Assumptions'!$D$3)</f>
        <v/>
      </c>
      <c r="AB3" s="6">
        <f>AA3*(1+'model_Assumptions'!$D$3)</f>
        <v/>
      </c>
      <c r="AC3" s="6">
        <f>AB3*(1+'model_Assumptions'!$D$3)</f>
        <v/>
      </c>
      <c r="AD3" s="6">
        <f>AC3*(1+'model_Assumptions'!$D$3)</f>
        <v/>
      </c>
      <c r="AE3" s="6">
        <f>AD3*(1+'model_Assumptions'!$D$3)</f>
        <v/>
      </c>
      <c r="AF3" s="6">
        <f>AE3*(1+'model_Assumptions'!$D$3)</f>
        <v/>
      </c>
      <c r="AG3" s="6">
        <f>AF3*(1+'model_Assumptions'!$D$3)</f>
        <v/>
      </c>
      <c r="AH3" s="6">
        <f>AG3*(1+'model_Assumptions'!$D$3)</f>
        <v/>
      </c>
      <c r="AI3" s="6">
        <f>AH3*(1+'model_Assumptions'!$D$3)</f>
        <v/>
      </c>
      <c r="AJ3" s="6">
        <f>AI3*(1+'model_Assumptions'!$D$3)</f>
        <v/>
      </c>
      <c r="AK3" s="6">
        <f>AJ3*(1+'model_Assumptions'!$D$3)</f>
        <v/>
      </c>
      <c r="AL3" s="6">
        <f>AK3*(1+'model_Assumptions'!$D$3)</f>
        <v/>
      </c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</row>
    <row r="4">
      <c r="A4" s="7" t="inlineStr">
        <is>
          <t>Licensing &amp; Royalty Revenue [$m]</t>
        </is>
      </c>
      <c r="B4" s="6" t="n">
        <v>1037.18</v>
      </c>
      <c r="C4" s="6" t="n">
        <v>1081.4</v>
      </c>
      <c r="D4" s="6" t="n">
        <v>1161.02</v>
      </c>
      <c r="E4" s="6" t="n">
        <v>1242.89</v>
      </c>
      <c r="F4" s="6" t="n">
        <v>1302.33</v>
      </c>
      <c r="G4" s="6" t="n">
        <v>1299.68</v>
      </c>
      <c r="H4" s="6" t="n">
        <v>1295.6</v>
      </c>
      <c r="I4" s="6" t="n">
        <v>1338.23</v>
      </c>
      <c r="J4" s="6" t="n">
        <v>1419.29</v>
      </c>
      <c r="K4" s="6" t="n">
        <v>1421.41</v>
      </c>
      <c r="L4" s="6" t="n">
        <v>1462.68</v>
      </c>
      <c r="M4" s="6" t="n">
        <v>1465.43</v>
      </c>
      <c r="N4" s="6" t="n">
        <v>1494.42</v>
      </c>
      <c r="O4" s="6" t="n">
        <v>1487.63</v>
      </c>
      <c r="P4" s="6" t="n">
        <v>1519.43</v>
      </c>
      <c r="Q4" s="6" t="n">
        <v>1575.45</v>
      </c>
      <c r="R4" s="6" t="n">
        <v>1592.88</v>
      </c>
      <c r="S4" s="6" t="n">
        <v>1685.23</v>
      </c>
      <c r="T4" s="6" t="n">
        <v>1684.27</v>
      </c>
      <c r="U4" s="6" t="n">
        <v>1704.34</v>
      </c>
      <c r="V4" s="6">
        <f>AVERAGE(R4:U4)*(1+'model_Assumptions'!$D$3)</f>
        <v/>
      </c>
      <c r="W4" s="6">
        <f>V4*(1+'model_Assumptions'!$D$3)</f>
        <v/>
      </c>
      <c r="X4" s="6">
        <f>W4*(1+'model_Assumptions'!$D$3)</f>
        <v/>
      </c>
      <c r="Y4" s="6">
        <f>X4*(1+'model_Assumptions'!$D$3)</f>
        <v/>
      </c>
      <c r="Z4" s="6">
        <f>Y4*(1+'model_Assumptions'!$D$3)</f>
        <v/>
      </c>
      <c r="AA4" s="6">
        <f>Z4*(1+'model_Assumptions'!$D$3)</f>
        <v/>
      </c>
      <c r="AB4" s="6">
        <f>AA4*(1+'model_Assumptions'!$D$3)</f>
        <v/>
      </c>
      <c r="AC4" s="6">
        <f>AB4*(1+'model_Assumptions'!$D$3)</f>
        <v/>
      </c>
      <c r="AD4" s="6">
        <f>AC4*(1+'model_Assumptions'!$D$3)</f>
        <v/>
      </c>
      <c r="AE4" s="6">
        <f>AD4*(1+'model_Assumptions'!$D$3)</f>
        <v/>
      </c>
      <c r="AF4" s="6">
        <f>AE4*(1+'model_Assumptions'!$D$3)</f>
        <v/>
      </c>
      <c r="AG4" s="6">
        <f>AF4*(1+'model_Assumptions'!$D$3)</f>
        <v/>
      </c>
      <c r="AH4" s="6">
        <f>AG4*(1+'model_Assumptions'!$D$3)</f>
        <v/>
      </c>
      <c r="AI4" s="6">
        <f>AH4*(1+'model_Assumptions'!$D$3)</f>
        <v/>
      </c>
      <c r="AJ4" s="6">
        <f>AI4*(1+'model_Assumptions'!$D$3)</f>
        <v/>
      </c>
      <c r="AK4" s="6">
        <f>AJ4*(1+'model_Assumptions'!$D$3)</f>
        <v/>
      </c>
      <c r="AL4" s="6">
        <f>AK4*(1+'model_Assumptions'!$D$3)</f>
        <v/>
      </c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</row>
    <row r="5">
      <c r="A5" s="7" t="inlineStr">
        <is>
          <t>Other Revenue [$m]</t>
        </is>
      </c>
      <c r="B5" s="6" t="n">
        <v>418.22</v>
      </c>
      <c r="C5" s="6" t="n">
        <v>422.57</v>
      </c>
      <c r="D5" s="6" t="n">
        <v>442.17</v>
      </c>
      <c r="E5" s="6" t="n">
        <v>444.55</v>
      </c>
      <c r="F5" s="6" t="n">
        <v>462.11</v>
      </c>
      <c r="G5" s="6" t="n">
        <v>490.86</v>
      </c>
      <c r="H5" s="6" t="n">
        <v>482.56</v>
      </c>
      <c r="I5" s="6" t="n">
        <v>509.77</v>
      </c>
      <c r="J5" s="6" t="n">
        <v>525.05</v>
      </c>
      <c r="K5" s="6" t="n">
        <v>548.53</v>
      </c>
      <c r="L5" s="6" t="n">
        <v>565.4299999999999</v>
      </c>
      <c r="M5" s="6" t="n">
        <v>571.55</v>
      </c>
      <c r="N5" s="6" t="n">
        <v>559.92</v>
      </c>
      <c r="O5" s="6" t="n">
        <v>551.17</v>
      </c>
      <c r="P5" s="6" t="n">
        <v>544.23</v>
      </c>
      <c r="Q5" s="6" t="n">
        <v>537.5700000000001</v>
      </c>
      <c r="R5" s="6" t="n">
        <v>529.27</v>
      </c>
      <c r="S5" s="6" t="n">
        <v>524.37</v>
      </c>
      <c r="T5" s="6" t="n">
        <v>538.0599999999999</v>
      </c>
      <c r="U5" s="6" t="n">
        <v>563.38</v>
      </c>
      <c r="V5" s="6">
        <f>AVERAGE(R5:U5)*(1+'model_Assumptions'!$D$3)</f>
        <v/>
      </c>
      <c r="W5" s="6">
        <f>V5*(1+'model_Assumptions'!$D$3)</f>
        <v/>
      </c>
      <c r="X5" s="6">
        <f>W5*(1+'model_Assumptions'!$D$3)</f>
        <v/>
      </c>
      <c r="Y5" s="6">
        <f>X5*(1+'model_Assumptions'!$D$3)</f>
        <v/>
      </c>
      <c r="Z5" s="6">
        <f>Y5*(1+'model_Assumptions'!$D$3)</f>
        <v/>
      </c>
      <c r="AA5" s="6">
        <f>Z5*(1+'model_Assumptions'!$D$3)</f>
        <v/>
      </c>
      <c r="AB5" s="6">
        <f>AA5*(1+'model_Assumptions'!$D$3)</f>
        <v/>
      </c>
      <c r="AC5" s="6">
        <f>AB5*(1+'model_Assumptions'!$D$3)</f>
        <v/>
      </c>
      <c r="AD5" s="6">
        <f>AC5*(1+'model_Assumptions'!$D$3)</f>
        <v/>
      </c>
      <c r="AE5" s="6">
        <f>AD5*(1+'model_Assumptions'!$D$3)</f>
        <v/>
      </c>
      <c r="AF5" s="6">
        <f>AE5*(1+'model_Assumptions'!$D$3)</f>
        <v/>
      </c>
      <c r="AG5" s="6">
        <f>AF5*(1+'model_Assumptions'!$D$3)</f>
        <v/>
      </c>
      <c r="AH5" s="6">
        <f>AG5*(1+'model_Assumptions'!$D$3)</f>
        <v/>
      </c>
      <c r="AI5" s="6">
        <f>AH5*(1+'model_Assumptions'!$D$3)</f>
        <v/>
      </c>
      <c r="AJ5" s="6">
        <f>AI5*(1+'model_Assumptions'!$D$3)</f>
        <v/>
      </c>
      <c r="AK5" s="6">
        <f>AJ5*(1+'model_Assumptions'!$D$3)</f>
        <v/>
      </c>
      <c r="AL5" s="6">
        <f>AK5*(1+'model_Assumptions'!$D$3)</f>
        <v/>
      </c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</row>
    <row r="6">
      <c r="A6" s="8" t="inlineStr">
        <is>
          <t>Total Revenue [$m]</t>
        </is>
      </c>
      <c r="B6" s="9">
        <f>SUM(B2:B5)</f>
        <v/>
      </c>
      <c r="C6" s="9">
        <f>SUM(C2:C5)</f>
        <v/>
      </c>
      <c r="D6" s="9">
        <f>SUM(D2:D5)</f>
        <v/>
      </c>
      <c r="E6" s="9">
        <f>SUM(E2:E5)</f>
        <v/>
      </c>
      <c r="F6" s="9">
        <f>SUM(F2:F5)</f>
        <v/>
      </c>
      <c r="G6" s="9">
        <f>SUM(G2:G5)</f>
        <v/>
      </c>
      <c r="H6" s="9">
        <f>SUM(H2:H5)</f>
        <v/>
      </c>
      <c r="I6" s="9">
        <f>SUM(I2:I5)</f>
        <v/>
      </c>
      <c r="J6" s="9">
        <f>SUM(J2:J5)</f>
        <v/>
      </c>
      <c r="K6" s="9">
        <f>SUM(K2:K5)</f>
        <v/>
      </c>
      <c r="L6" s="9">
        <f>SUM(L2:L5)</f>
        <v/>
      </c>
      <c r="M6" s="9">
        <f>SUM(M2:M5)</f>
        <v/>
      </c>
      <c r="N6" s="9">
        <f>SUM(N2:N5)</f>
        <v/>
      </c>
      <c r="O6" s="9">
        <f>SUM(O2:O5)</f>
        <v/>
      </c>
      <c r="P6" s="9" t="n"/>
      <c r="Q6" s="9" t="n"/>
      <c r="R6" s="9" t="n"/>
      <c r="S6" s="9" t="n"/>
      <c r="T6" s="9" t="n"/>
      <c r="U6" s="9" t="n"/>
      <c r="V6" s="9">
        <f>SUM(V2:V5)</f>
        <v/>
      </c>
      <c r="W6" s="9">
        <f>SUM(W2:W5)</f>
        <v/>
      </c>
      <c r="X6" s="9">
        <f>SUM(X2:X5)</f>
        <v/>
      </c>
      <c r="Y6" s="9">
        <f>SUM(Y2:Y5)</f>
        <v/>
      </c>
      <c r="Z6" s="9">
        <f>SUM(Z2:Z5)</f>
        <v/>
      </c>
      <c r="AA6" s="9">
        <f>SUM(AA2:AA5)</f>
        <v/>
      </c>
      <c r="AB6" s="9">
        <f>SUM(AB2:AB5)</f>
        <v/>
      </c>
      <c r="AC6" s="9">
        <f>SUM(AC2:AC5)</f>
        <v/>
      </c>
      <c r="AD6" s="9">
        <f>SUM(AD2:AD5)</f>
        <v/>
      </c>
      <c r="AE6" s="9">
        <f>SUM(AE2:AE5)</f>
        <v/>
      </c>
      <c r="AF6" s="9">
        <f>SUM(AF2:AF5)</f>
        <v/>
      </c>
      <c r="AG6" s="9">
        <f>SUM(AG2:AG5)</f>
        <v/>
      </c>
      <c r="AH6" s="9">
        <f>SUM(AH2:AH5)</f>
        <v/>
      </c>
      <c r="AI6" s="9">
        <f>SUM(AI2:AI5)</f>
        <v/>
      </c>
      <c r="AJ6" s="9">
        <f>SUM(AJ2:AJ5)</f>
        <v/>
      </c>
      <c r="AK6" s="9">
        <f>SUM(AK2:AK5)</f>
        <v/>
      </c>
      <c r="AL6" s="9">
        <f>SUM(AL2:AL5)</f>
        <v/>
      </c>
      <c r="AM6" s="9">
        <f>SUM(AM2:AM5)</f>
        <v/>
      </c>
      <c r="AN6" s="9">
        <f>SUM(AN2:AN5)</f>
        <v/>
      </c>
      <c r="AO6" s="9">
        <f>SUM(AO2:AO5)</f>
        <v/>
      </c>
      <c r="AP6" s="9">
        <f>SUM(AP2:AP5)</f>
        <v/>
      </c>
      <c r="AQ6" s="9">
        <f>SUM(AQ2:AQ5)</f>
        <v/>
      </c>
      <c r="AR6" s="9">
        <f>SUM(AR2:AR5)</f>
        <v/>
      </c>
      <c r="AS6" s="9">
        <f>SUM(AS2:AS5)</f>
        <v/>
      </c>
      <c r="AT6" s="9">
        <f>SUM(AT2:AT5)</f>
        <v/>
      </c>
      <c r="AU6" s="9">
        <f>SUM(AU2:AU5)</f>
        <v/>
      </c>
      <c r="AV6" s="9">
        <f>SUM(AV2:AV5)</f>
        <v/>
      </c>
      <c r="AW6" s="9">
        <f>SUM(AW2:AW5)</f>
        <v/>
      </c>
      <c r="AX6" s="9">
        <f>SUM(AX2:AX5)</f>
        <v/>
      </c>
      <c r="AY6" s="9">
        <f>SUM(AY2:AY5)</f>
        <v/>
      </c>
      <c r="AZ6" s="9">
        <f>SUM(AZ2:AZ5)</f>
        <v/>
      </c>
      <c r="BA6" s="9">
        <f>SUM(BA2:BA5)</f>
        <v/>
      </c>
      <c r="BB6" s="9">
        <f>SUM(BB2:BB5)</f>
        <v/>
      </c>
      <c r="BC6" s="9">
        <f>SUM(BC2:BC5)</f>
        <v/>
      </c>
      <c r="BD6" s="9">
        <f>SUM(BD2:BD5)</f>
        <v/>
      </c>
      <c r="BE6" s="9">
        <f>SUM(BE2:BE5)</f>
        <v/>
      </c>
      <c r="BF6" s="9">
        <f>SUM(BF2:BF5)</f>
        <v/>
      </c>
      <c r="BG6" s="9">
        <f>SUM(BG2:BG5)</f>
        <v/>
      </c>
      <c r="BH6" s="9">
        <f>SUM(BH2:BH5)</f>
        <v/>
      </c>
      <c r="BI6" s="9">
        <f>SUM(BI2:BI5)</f>
        <v/>
      </c>
      <c r="BJ6" s="9">
        <f>SUM(BJ2:BJ5)</f>
        <v/>
      </c>
      <c r="BK6" s="9">
        <f>SUM(BK2:BK5)</f>
        <v/>
      </c>
      <c r="BL6" s="9">
        <f>SUM(BL2:BL5)</f>
        <v/>
      </c>
      <c r="BM6" s="9">
        <f>SUM(BM2:BM5)</f>
        <v/>
      </c>
      <c r="BN6" s="9">
        <f>SUM(BN2:BN5)</f>
        <v/>
      </c>
      <c r="BO6" s="9">
        <f>SUM(BO2:BO5)</f>
        <v/>
      </c>
      <c r="BP6" s="9">
        <f>SUM(BP2:BP5)</f>
        <v/>
      </c>
      <c r="BQ6" s="9">
        <f>SUM(BQ2:BQ5)</f>
        <v/>
      </c>
      <c r="BR6" s="9">
        <f>SUM(BR2:BR5)</f>
        <v/>
      </c>
      <c r="BS6" s="9">
        <f>SUM(BS2:BS5)</f>
        <v/>
      </c>
      <c r="BT6" s="9">
        <f>SUM(BT2:BT5)</f>
        <v/>
      </c>
      <c r="BU6" s="9">
        <f>SUM(BU2:BU5)</f>
        <v/>
      </c>
      <c r="BV6" s="9">
        <f>SUM(BV2:BV5)</f>
        <v/>
      </c>
      <c r="BW6" s="9" t="n"/>
      <c r="BX6" s="9" t="n"/>
      <c r="BY6" s="9" t="n"/>
      <c r="BZ6" s="9" t="n"/>
      <c r="CA6" s="9" t="n"/>
      <c r="CB6" s="9" t="n"/>
      <c r="CC6" s="9" t="n"/>
    </row>
    <row r="7">
      <c r="A7" s="7" t="inlineStr">
        <is>
          <t>Cost of Product Revenue [$m]</t>
        </is>
      </c>
      <c r="B7" s="6" t="n">
        <v>7876.96</v>
      </c>
      <c r="C7" s="6" t="n">
        <v>8085.77</v>
      </c>
      <c r="D7" s="6" t="n">
        <v>8095.61</v>
      </c>
      <c r="E7" s="6" t="n">
        <v>8500.219999999999</v>
      </c>
      <c r="F7" s="6" t="n">
        <v>8777.129999999999</v>
      </c>
      <c r="G7" s="6" t="n">
        <v>8987.190000000001</v>
      </c>
      <c r="H7" s="6" t="n">
        <v>9356.530000000001</v>
      </c>
      <c r="I7" s="6" t="n">
        <v>9907.610000000001</v>
      </c>
      <c r="J7" s="6" t="n">
        <v>10152.61</v>
      </c>
      <c r="K7" s="6" t="n">
        <v>10837.98</v>
      </c>
      <c r="L7" s="6" t="n">
        <v>11329.61</v>
      </c>
      <c r="M7" s="6" t="n">
        <v>11891.75</v>
      </c>
      <c r="N7" s="6" t="n">
        <v>12274.5</v>
      </c>
      <c r="O7" s="6" t="n">
        <v>12597.31</v>
      </c>
      <c r="P7" s="6" t="n">
        <v>13336.65</v>
      </c>
      <c r="Q7" s="6" t="n">
        <v>13667.56</v>
      </c>
      <c r="R7" s="6" t="n">
        <v>14484.45</v>
      </c>
      <c r="S7" s="6" t="n">
        <v>15215.99</v>
      </c>
      <c r="T7" s="6" t="n">
        <v>15464.92</v>
      </c>
      <c r="U7" s="6" t="n">
        <v>16047.64</v>
      </c>
      <c r="V7" s="6">
        <f>U7*(1+'model_Assumptions'!$D$5)</f>
        <v/>
      </c>
      <c r="W7" s="6">
        <f>V7*(1+'model_Assumptions'!$D$5)</f>
        <v/>
      </c>
      <c r="X7" s="6">
        <f>W7*(1+'model_Assumptions'!$D$5)</f>
        <v/>
      </c>
      <c r="Y7" s="6">
        <f>X7*(1+'model_Assumptions'!$D$5)</f>
        <v/>
      </c>
      <c r="Z7" s="6">
        <f>Y7*(1+'model_Assumptions'!$D$5)</f>
        <v/>
      </c>
      <c r="AA7" s="6">
        <f>Z7*(1+'model_Assumptions'!$D$5)</f>
        <v/>
      </c>
      <c r="AB7" s="6">
        <f>AA7*(1+'model_Assumptions'!$D$5)</f>
        <v/>
      </c>
      <c r="AC7" s="6">
        <f>AB7*(1+'model_Assumptions'!$D$5)</f>
        <v/>
      </c>
      <c r="AD7" s="6">
        <f>AC7*(1+'model_Assumptions'!$D$5)</f>
        <v/>
      </c>
      <c r="AE7" s="6">
        <f>AD7*(1+'model_Assumptions'!$D$5)</f>
        <v/>
      </c>
      <c r="AF7" s="6">
        <f>AE7*(1+'model_Assumptions'!$D$5)</f>
        <v/>
      </c>
      <c r="AG7" s="6">
        <f>AF7*(1+'model_Assumptions'!$D$5)</f>
        <v/>
      </c>
      <c r="AH7" s="6">
        <f>AG7*(1+'model_Assumptions'!$D$5)</f>
        <v/>
      </c>
      <c r="AI7" s="6">
        <f>AH7*(1+'model_Assumptions'!$D$5)</f>
        <v/>
      </c>
      <c r="AJ7" s="6">
        <f>AI7*(1+'model_Assumptions'!$D$5)</f>
        <v/>
      </c>
      <c r="AK7" s="6">
        <f>AJ7*(1+'model_Assumptions'!$D$5)</f>
        <v/>
      </c>
      <c r="AL7" s="6">
        <f>AK7*(1+'model_Assumptions'!$D$5)</f>
        <v/>
      </c>
      <c r="AM7" s="6">
        <f>AL7*(1+'model_Assumptions'!$D$5)</f>
        <v/>
      </c>
      <c r="AN7" s="6">
        <f>AM7*(1+'model_Assumptions'!$D$5)</f>
        <v/>
      </c>
      <c r="AO7" s="6">
        <f>AN7*(1+'model_Assumptions'!$D$5)</f>
        <v/>
      </c>
      <c r="AP7" s="6">
        <f>AO7*(1+'model_Assumptions'!$D$5)</f>
        <v/>
      </c>
      <c r="AQ7" s="6">
        <f>AP7*(1+'model_Assumptions'!$D$5)</f>
        <v/>
      </c>
      <c r="AR7" s="6">
        <f>AQ7*(1+'model_Assumptions'!$D$5)</f>
        <v/>
      </c>
      <c r="AS7" s="6">
        <f>AR7*(1+'model_Assumptions'!$D$5)</f>
        <v/>
      </c>
      <c r="AT7" s="6">
        <f>AS7*(1+'model_Assumptions'!$D$5)</f>
        <v/>
      </c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</row>
    <row r="8">
      <c r="A8" s="7" t="inlineStr">
        <is>
          <t>Cost of Service Revenue [$m]</t>
        </is>
      </c>
      <c r="B8" s="6" t="n">
        <v>1713.24</v>
      </c>
      <c r="C8" s="6" t="n">
        <v>1780.88</v>
      </c>
      <c r="D8" s="6" t="n">
        <v>1954.62</v>
      </c>
      <c r="E8" s="6" t="n">
        <v>2065.4</v>
      </c>
      <c r="F8" s="6" t="n">
        <v>2181.29</v>
      </c>
      <c r="G8" s="6" t="n">
        <v>2352.15</v>
      </c>
      <c r="H8" s="6" t="n">
        <v>2452.08</v>
      </c>
      <c r="I8" s="6" t="n">
        <v>2499.54</v>
      </c>
      <c r="J8" s="6" t="n">
        <v>2627.68</v>
      </c>
      <c r="K8" s="6" t="n">
        <v>2710.21</v>
      </c>
      <c r="L8" s="6" t="n">
        <v>2886.72</v>
      </c>
      <c r="M8" s="6" t="n">
        <v>3057.5</v>
      </c>
      <c r="N8" s="6" t="n">
        <v>3280.92</v>
      </c>
      <c r="O8" s="6" t="n">
        <v>3441.13</v>
      </c>
      <c r="P8" s="6" t="n">
        <v>3708.17</v>
      </c>
      <c r="Q8" s="6" t="n">
        <v>4107.41</v>
      </c>
      <c r="R8" s="6" t="n">
        <v>4172.6</v>
      </c>
      <c r="S8" s="6" t="n">
        <v>4376.44</v>
      </c>
      <c r="T8" s="6" t="n">
        <v>4808.05</v>
      </c>
      <c r="U8" s="6" t="n">
        <v>4967.93</v>
      </c>
      <c r="V8" s="6">
        <f>U8*(1+'model_Assumptions'!$D$5)</f>
        <v/>
      </c>
      <c r="W8" s="6">
        <f>V8*(1+'model_Assumptions'!$D$5)</f>
        <v/>
      </c>
      <c r="X8" s="6">
        <f>W8*(1+'model_Assumptions'!$D$5)</f>
        <v/>
      </c>
      <c r="Y8" s="6">
        <f>X8*(1+'model_Assumptions'!$D$5)</f>
        <v/>
      </c>
      <c r="Z8" s="6">
        <f>Y8*(1+'model_Assumptions'!$D$5)</f>
        <v/>
      </c>
      <c r="AA8" s="6">
        <f>Z8*(1+'model_Assumptions'!$D$5)</f>
        <v/>
      </c>
      <c r="AB8" s="6">
        <f>AA8*(1+'model_Assumptions'!$D$5)</f>
        <v/>
      </c>
      <c r="AC8" s="6" t="n"/>
      <c r="AD8" s="6">
        <f>AB8*(1+'model_Assumptions'!$D$5)</f>
        <v/>
      </c>
      <c r="AE8" s="6">
        <f>AD8*(1+'model_Assumptions'!$D$5)</f>
        <v/>
      </c>
      <c r="AF8" s="6">
        <f>AE8*(1+'model_Assumptions'!$D$5)</f>
        <v/>
      </c>
      <c r="AG8" s="6">
        <f>AF8*(1+'model_Assumptions'!$D$5)</f>
        <v/>
      </c>
      <c r="AH8" s="6" t="n"/>
      <c r="AI8" s="6">
        <f>AH8*(1+'model_Assumptions'!$D$5)</f>
        <v/>
      </c>
      <c r="AJ8" s="6">
        <f>AI8*(1+'model_Assumptions'!$D$5)</f>
        <v/>
      </c>
      <c r="AK8" s="6">
        <f>AJ8*(1+'model_Assumptions'!$D$5)</f>
        <v/>
      </c>
      <c r="AL8" s="6">
        <f>AK8*(1+'model_Assumptions'!$D$5)</f>
        <v/>
      </c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</row>
    <row r="9">
      <c r="A9" s="7" t="inlineStr">
        <is>
          <t>Cost of Other Revenue [$m]</t>
        </is>
      </c>
      <c r="B9" s="6" t="n">
        <v>299.47</v>
      </c>
      <c r="C9" s="6" t="n">
        <v>301.79</v>
      </c>
      <c r="D9" s="6" t="n">
        <v>334.42</v>
      </c>
      <c r="E9" s="6" t="n">
        <v>329.28</v>
      </c>
      <c r="F9" s="6" t="n">
        <v>366.35</v>
      </c>
      <c r="G9" s="6" t="n">
        <v>354.86</v>
      </c>
      <c r="H9" s="6" t="n">
        <v>361.26</v>
      </c>
      <c r="I9" s="6" t="n">
        <v>373.7</v>
      </c>
      <c r="J9" s="6" t="n">
        <v>380.4</v>
      </c>
      <c r="K9" s="6" t="n">
        <v>401.01</v>
      </c>
      <c r="L9" s="6" t="n">
        <v>409.85</v>
      </c>
      <c r="M9" s="6" t="n">
        <v>427.25</v>
      </c>
      <c r="N9" s="6" t="n">
        <v>417.72</v>
      </c>
      <c r="O9" s="6" t="n">
        <v>405.32</v>
      </c>
      <c r="P9" s="6" t="n">
        <v>407.77</v>
      </c>
      <c r="Q9" s="6" t="n">
        <v>438.98</v>
      </c>
      <c r="R9" s="6" t="n">
        <v>417.87</v>
      </c>
      <c r="S9" s="6" t="n">
        <v>449.3</v>
      </c>
      <c r="T9" s="6" t="n">
        <v>453.1</v>
      </c>
      <c r="U9" s="6" t="n">
        <v>474.62</v>
      </c>
      <c r="V9" s="6">
        <f>U9*(1+'model_Assumptions'!$D$5)</f>
        <v/>
      </c>
      <c r="W9" s="6">
        <f>V9*(1+'model_Assumptions'!$D$5)</f>
        <v/>
      </c>
      <c r="X9" s="6">
        <f>W9*(1+'model_Assumptions'!$D$5)</f>
        <v/>
      </c>
      <c r="Y9" s="6">
        <f>X9*(1+'model_Assumptions'!$D$5)</f>
        <v/>
      </c>
      <c r="Z9" s="6">
        <f>Y9*(1+'model_Assumptions'!$D$5)</f>
        <v/>
      </c>
      <c r="AA9" s="6">
        <f>Z9*(1+'model_Assumptions'!$D$5)</f>
        <v/>
      </c>
      <c r="AB9" s="6">
        <f>AA9*(1+'model_Assumptions'!$D$5)</f>
        <v/>
      </c>
      <c r="AC9" s="6" t="n"/>
      <c r="AD9" s="6">
        <f>AB9*(1+'model_Assumptions'!$D$5)</f>
        <v/>
      </c>
      <c r="AE9" s="6">
        <f>AD9*(1+'model_Assumptions'!$D$5)</f>
        <v/>
      </c>
      <c r="AF9" s="6">
        <f>AE9*(1+'model_Assumptions'!$D$5)</f>
        <v/>
      </c>
      <c r="AG9" s="6">
        <f>AF9*(1+'model_Assumptions'!$D$5)</f>
        <v/>
      </c>
      <c r="AH9" s="6" t="n"/>
      <c r="AI9" s="6">
        <f>AH9*(1+'model_Assumptions'!$D$5)</f>
        <v/>
      </c>
      <c r="AJ9" s="6">
        <f>AI9*(1+'model_Assumptions'!$D$5)</f>
        <v/>
      </c>
      <c r="AK9" s="6">
        <f>AJ9*(1+'model_Assumptions'!$D$5)</f>
        <v/>
      </c>
      <c r="AL9" s="6">
        <f>AK9*(1+'model_Assumptions'!$D$5)</f>
        <v/>
      </c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</row>
    <row r="10">
      <c r="A10" s="8" t="inlineStr">
        <is>
          <t>Total Cost of Revenue [$m]</t>
        </is>
      </c>
      <c r="B10" s="9">
        <f>SUM(B7:B9)</f>
        <v/>
      </c>
      <c r="C10" s="9">
        <f>SUM(C7:C9)</f>
        <v/>
      </c>
      <c r="D10" s="9">
        <f>SUM(D7:D9)</f>
        <v/>
      </c>
      <c r="E10" s="9">
        <f>SUM(E7:E9)</f>
        <v/>
      </c>
      <c r="F10" s="9">
        <f>SUM(F7:F9)</f>
        <v/>
      </c>
      <c r="G10" s="9">
        <f>SUM(G7:G9)</f>
        <v/>
      </c>
      <c r="H10" s="9">
        <f>SUM(H7:H9)</f>
        <v/>
      </c>
      <c r="I10" s="9">
        <f>SUM(I7:I9)</f>
        <v/>
      </c>
      <c r="J10" s="9">
        <f>SUM(J7:J9)</f>
        <v/>
      </c>
      <c r="K10" s="9">
        <f>SUM(K7:K9)</f>
        <v/>
      </c>
      <c r="L10" s="9">
        <f>SUM(L7:L9)</f>
        <v/>
      </c>
      <c r="M10" s="9">
        <f>SUM(M7:M9)</f>
        <v/>
      </c>
      <c r="N10" s="9">
        <f>SUM(N7:N9)</f>
        <v/>
      </c>
      <c r="O10" s="9">
        <f>SUM(O7:O9)</f>
        <v/>
      </c>
      <c r="P10" s="9" t="n"/>
      <c r="Q10" s="9" t="n"/>
      <c r="R10" s="9" t="n"/>
      <c r="S10" s="9" t="n"/>
      <c r="T10" s="9" t="n"/>
      <c r="U10" s="9" t="n"/>
      <c r="V10" s="9">
        <f>SUM(V7:V9)</f>
        <v/>
      </c>
      <c r="W10" s="9">
        <f>SUM(W7:W9)</f>
        <v/>
      </c>
      <c r="X10" s="9">
        <f>SUM(X7:X9)</f>
        <v/>
      </c>
      <c r="Y10" s="9">
        <f>SUM(Y7:Y9)</f>
        <v/>
      </c>
      <c r="Z10" s="9">
        <f>SUM(Z7:Z9)</f>
        <v/>
      </c>
      <c r="AA10" s="9">
        <f>SUM(AA7:AA9)</f>
        <v/>
      </c>
      <c r="AB10" s="9">
        <f>SUM(AB7:AB9)</f>
        <v/>
      </c>
      <c r="AC10" s="9" t="n"/>
      <c r="AD10" s="9">
        <f>SUM(AD7:AD9)</f>
        <v/>
      </c>
      <c r="AE10" s="9">
        <f>SUM(AE7:AE9)</f>
        <v/>
      </c>
      <c r="AF10" s="9">
        <f>SUM(AF7:AF9)</f>
        <v/>
      </c>
      <c r="AG10" s="9">
        <f>SUM(AG7:AG9)</f>
        <v/>
      </c>
      <c r="AH10" s="9" t="n"/>
      <c r="AI10" s="9">
        <f>SUM(AI7:AI9)</f>
        <v/>
      </c>
      <c r="AJ10" s="9">
        <f>SUM(AJ7:AJ9)</f>
        <v/>
      </c>
      <c r="AK10" s="9">
        <f>SUM(AK7:AK9)</f>
        <v/>
      </c>
      <c r="AL10" s="9">
        <f>SUM(AL7:AL9)</f>
        <v/>
      </c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</row>
    <row r="11">
      <c r="A11" s="7" t="inlineStr">
        <is>
          <t>Cash and Cash Equivalents [$m]</t>
        </is>
      </c>
      <c r="B11" s="6" t="n">
        <v>3372.62</v>
      </c>
      <c r="C11" s="6" t="n">
        <v>3347.33</v>
      </c>
      <c r="D11" s="6" t="n">
        <v>3405.91</v>
      </c>
      <c r="E11" s="6" t="n">
        <v>3447.88</v>
      </c>
      <c r="F11" s="6" t="n">
        <v>3667.33</v>
      </c>
      <c r="G11" s="6" t="n">
        <v>3878.82</v>
      </c>
      <c r="H11" s="6" t="n">
        <v>4186.09</v>
      </c>
      <c r="I11" s="6" t="n">
        <v>4180.62</v>
      </c>
      <c r="J11" s="6" t="n">
        <v>4315.21</v>
      </c>
      <c r="K11" s="6" t="n">
        <v>4284.91</v>
      </c>
      <c r="L11" s="6" t="n">
        <v>4335.75</v>
      </c>
      <c r="M11" s="6" t="n">
        <v>4511.5</v>
      </c>
      <c r="N11" s="6" t="n">
        <v>4478.36</v>
      </c>
      <c r="O11" s="6" t="n">
        <v>4522.62</v>
      </c>
      <c r="P11" s="6" t="n">
        <v>4771.31</v>
      </c>
      <c r="Q11" s="6" t="n">
        <v>4983.61</v>
      </c>
      <c r="R11" s="6" t="n">
        <v>5043.63</v>
      </c>
      <c r="S11" s="6" t="n">
        <v>5290.4</v>
      </c>
      <c r="T11" s="6" t="n">
        <v>5665.72</v>
      </c>
      <c r="U11" s="6" t="n">
        <v>5612.74</v>
      </c>
      <c r="V11" s="6">
        <f>U11*(1+'model_Assumptions'!$D$3)</f>
        <v/>
      </c>
      <c r="W11" s="6">
        <f>V11*(1+'model_Assumptions'!$D$3)</f>
        <v/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</row>
    <row r="12">
      <c r="A12" s="7" t="inlineStr">
        <is>
          <t>Short-Term Investments [$m]</t>
        </is>
      </c>
      <c r="B12" s="6" t="n">
        <v>1600.05</v>
      </c>
      <c r="C12" s="6" t="n">
        <v>1686.09</v>
      </c>
      <c r="D12" s="6" t="n">
        <v>1704.35</v>
      </c>
      <c r="E12" s="6" t="n">
        <v>1685.02</v>
      </c>
      <c r="F12" s="6" t="n">
        <v>1828.02</v>
      </c>
      <c r="G12" s="6" t="n">
        <v>1847.02</v>
      </c>
      <c r="H12" s="6" t="n">
        <v>1812.16</v>
      </c>
      <c r="I12" s="6" t="n">
        <v>1778.83</v>
      </c>
      <c r="J12" s="6" t="n">
        <v>1906.37</v>
      </c>
      <c r="K12" s="6" t="n">
        <v>1987.29</v>
      </c>
      <c r="L12" s="6" t="n">
        <v>2120.15</v>
      </c>
      <c r="M12" s="6" t="n">
        <v>2242.21</v>
      </c>
      <c r="N12" s="6" t="n">
        <v>2319.22</v>
      </c>
      <c r="O12" s="6" t="n">
        <v>2520.47</v>
      </c>
      <c r="P12" s="6" t="n">
        <v>2559.34</v>
      </c>
      <c r="Q12" s="6" t="n">
        <v>2652.11</v>
      </c>
      <c r="R12" s="6" t="n">
        <v>2836.5</v>
      </c>
      <c r="S12" s="6" t="n">
        <v>2961.94</v>
      </c>
      <c r="T12" s="6" t="n">
        <v>3179.36</v>
      </c>
      <c r="U12" s="6" t="n">
        <v>3304.25</v>
      </c>
      <c r="V12" s="6">
        <f>U12*(1+'model_Assumptions'!$D$3)</f>
        <v/>
      </c>
      <c r="W12" s="6">
        <f>V12*(1+'model_Assumptions'!$D$3)</f>
        <v/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</row>
    <row r="13">
      <c r="A13" s="7" t="inlineStr">
        <is>
          <t>Accounts Receivable, Net [$m]</t>
        </is>
      </c>
      <c r="B13" s="6" t="n">
        <v>5026.92</v>
      </c>
      <c r="C13" s="6" t="n">
        <v>5065.87</v>
      </c>
      <c r="D13" s="6" t="n">
        <v>5160.47</v>
      </c>
      <c r="E13" s="6" t="n">
        <v>5275.88</v>
      </c>
      <c r="F13" s="6" t="n">
        <v>5327.51</v>
      </c>
      <c r="G13" s="6" t="n">
        <v>5428.56</v>
      </c>
      <c r="H13" s="6" t="n">
        <v>5488.6</v>
      </c>
      <c r="I13" s="6" t="n">
        <v>5607.59</v>
      </c>
      <c r="J13" s="6" t="n">
        <v>5849.51</v>
      </c>
      <c r="K13" s="6" t="n">
        <v>6006.8</v>
      </c>
      <c r="L13" s="6" t="n">
        <v>6170.25</v>
      </c>
      <c r="M13" s="6" t="n">
        <v>6278.66</v>
      </c>
      <c r="N13" s="6" t="n">
        <v>6410.63</v>
      </c>
      <c r="O13" s="6" t="n">
        <v>6802.96</v>
      </c>
      <c r="P13" s="6" t="n">
        <v>7101.49</v>
      </c>
      <c r="Q13" s="6" t="n">
        <v>7396.54</v>
      </c>
      <c r="R13" s="6" t="n">
        <v>7509.47</v>
      </c>
      <c r="S13" s="6" t="n">
        <v>7875.54</v>
      </c>
      <c r="T13" s="6" t="n">
        <v>7992.13</v>
      </c>
      <c r="U13" s="6" t="n">
        <v>8214.049999999999</v>
      </c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</row>
    <row r="14">
      <c r="A14" s="7" t="inlineStr">
        <is>
          <t>Notes Receivable [$m]</t>
        </is>
      </c>
      <c r="B14" s="6" t="n">
        <v>524.58</v>
      </c>
      <c r="C14" s="6" t="n">
        <v>535.7</v>
      </c>
      <c r="D14" s="6" t="n">
        <v>543.5</v>
      </c>
      <c r="E14" s="6" t="n">
        <v>556.96</v>
      </c>
      <c r="F14" s="6" t="n">
        <v>577.8099999999999</v>
      </c>
      <c r="G14" s="6" t="n">
        <v>596.34</v>
      </c>
      <c r="H14" s="6" t="n">
        <v>589.38</v>
      </c>
      <c r="I14" s="6" t="n">
        <v>573.21</v>
      </c>
      <c r="J14" s="6" t="n">
        <v>570.48</v>
      </c>
      <c r="K14" s="6" t="n">
        <v>565.59</v>
      </c>
      <c r="L14" s="6" t="n">
        <v>558.17</v>
      </c>
      <c r="M14" s="6" t="n">
        <v>583.52</v>
      </c>
      <c r="N14" s="6" t="n">
        <v>606.9299999999999</v>
      </c>
      <c r="O14" s="6" t="n">
        <v>604</v>
      </c>
      <c r="P14" s="6" t="n">
        <v>617.55</v>
      </c>
      <c r="Q14" s="6" t="n">
        <v>618.5700000000001</v>
      </c>
      <c r="R14" s="6" t="n">
        <v>645.27</v>
      </c>
      <c r="S14" s="6" t="n">
        <v>649.6</v>
      </c>
      <c r="T14" s="6" t="n">
        <v>643.88</v>
      </c>
      <c r="U14" s="6" t="n">
        <v>637.26</v>
      </c>
      <c r="V14" s="6">
        <f>U14*(1+'model_Assumptions'!$D$3)</f>
        <v/>
      </c>
      <c r="W14" s="6">
        <f>V14*(1+'model_Assumptions'!$D$3)</f>
        <v/>
      </c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</row>
    <row r="15">
      <c r="A15" s="7" t="inlineStr">
        <is>
          <t>Inventories [$m]</t>
        </is>
      </c>
      <c r="B15" s="6" t="n">
        <v>6377.83</v>
      </c>
      <c r="C15" s="6" t="n">
        <v>6446.48</v>
      </c>
      <c r="D15" s="6" t="n">
        <v>6640.36</v>
      </c>
      <c r="E15" s="6" t="n">
        <v>6964.87</v>
      </c>
      <c r="F15" s="6" t="n">
        <v>7096.95</v>
      </c>
      <c r="G15" s="6" t="n">
        <v>7154.86</v>
      </c>
      <c r="H15" s="6" t="n">
        <v>7547.32</v>
      </c>
      <c r="I15" s="6" t="n">
        <v>7740.32</v>
      </c>
      <c r="J15" s="6" t="n">
        <v>7743.84</v>
      </c>
      <c r="K15" s="6" t="n">
        <v>7727.01</v>
      </c>
      <c r="L15" s="6" t="n">
        <v>7739.21</v>
      </c>
      <c r="M15" s="6" t="n">
        <v>7991.87</v>
      </c>
      <c r="N15" s="6" t="n">
        <v>8331.719999999999</v>
      </c>
      <c r="O15" s="6" t="n">
        <v>8501.1</v>
      </c>
      <c r="P15" s="6" t="n">
        <v>8491</v>
      </c>
      <c r="Q15" s="6" t="n">
        <v>8642.959999999999</v>
      </c>
      <c r="R15" s="6" t="n">
        <v>9116.32</v>
      </c>
      <c r="S15" s="6" t="n">
        <v>9360.15</v>
      </c>
      <c r="T15" s="6" t="n">
        <v>9858.709999999999</v>
      </c>
      <c r="U15" s="6" t="n">
        <v>10318.59</v>
      </c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</row>
    <row r="16">
      <c r="A16" s="7" t="inlineStr">
        <is>
          <t>Prepaid Expenses and Other [$m]</t>
        </is>
      </c>
      <c r="B16" s="6" t="n">
        <v>411.99</v>
      </c>
      <c r="C16" s="6" t="n">
        <v>427.5</v>
      </c>
      <c r="D16" s="6" t="n">
        <v>442.26</v>
      </c>
      <c r="E16" s="6" t="n">
        <v>452.42</v>
      </c>
      <c r="F16" s="6" t="n">
        <v>453.03</v>
      </c>
      <c r="G16" s="6" t="n">
        <v>467.2</v>
      </c>
      <c r="H16" s="6" t="n">
        <v>462.02</v>
      </c>
      <c r="I16" s="6" t="n">
        <v>468.85</v>
      </c>
      <c r="J16" s="6" t="n">
        <v>476.49</v>
      </c>
      <c r="K16" s="6" t="n">
        <v>503.32</v>
      </c>
      <c r="L16" s="6" t="n">
        <v>528.52</v>
      </c>
      <c r="M16" s="6" t="n">
        <v>529.09</v>
      </c>
      <c r="N16" s="6" t="n">
        <v>539.6900000000001</v>
      </c>
      <c r="O16" s="6" t="n">
        <v>536.61</v>
      </c>
      <c r="P16" s="6" t="n">
        <v>565.0599999999999</v>
      </c>
      <c r="Q16" s="6" t="n">
        <v>593.11</v>
      </c>
      <c r="R16" s="6" t="n">
        <v>595.41</v>
      </c>
      <c r="S16" s="6" t="n">
        <v>613.9400000000001</v>
      </c>
      <c r="T16" s="6" t="n">
        <v>631.5700000000001</v>
      </c>
      <c r="U16" s="6" t="n">
        <v>626.66</v>
      </c>
      <c r="V16" s="6">
        <f>U16*(1+'model_Assumptions'!$D$5)</f>
        <v/>
      </c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</row>
    <row r="17">
      <c r="A17" s="7" t="inlineStr">
        <is>
          <t>Other Current Assets [$m]</t>
        </is>
      </c>
      <c r="B17" s="6" t="n">
        <v>324.34</v>
      </c>
      <c r="C17" s="6" t="n">
        <v>332.1</v>
      </c>
      <c r="D17" s="6" t="n">
        <v>348</v>
      </c>
      <c r="E17" s="6" t="n">
        <v>356.01</v>
      </c>
      <c r="F17" s="6" t="n">
        <v>345.35</v>
      </c>
      <c r="G17" s="6" t="n">
        <v>346.19</v>
      </c>
      <c r="H17" s="6" t="n">
        <v>336.48</v>
      </c>
      <c r="I17" s="6" t="n">
        <v>357.64</v>
      </c>
      <c r="J17" s="6" t="n">
        <v>378.34</v>
      </c>
      <c r="K17" s="6" t="n">
        <v>398.46</v>
      </c>
      <c r="L17" s="6" t="n">
        <v>398.76</v>
      </c>
      <c r="M17" s="6" t="n">
        <v>389.1</v>
      </c>
      <c r="N17" s="6" t="n">
        <v>411.59</v>
      </c>
      <c r="O17" s="6" t="n">
        <v>438.22</v>
      </c>
      <c r="P17" s="6" t="n">
        <v>428.83</v>
      </c>
      <c r="Q17" s="6" t="n">
        <v>436.8</v>
      </c>
      <c r="R17" s="6" t="n">
        <v>426.72</v>
      </c>
      <c r="S17" s="6" t="n">
        <v>446.38</v>
      </c>
      <c r="T17" s="6" t="n">
        <v>467.17</v>
      </c>
      <c r="U17" s="6" t="n">
        <v>459.16</v>
      </c>
      <c r="V17" s="6">
        <f>U17*(1+'model_Assumptions'!$D$5)</f>
        <v/>
      </c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</row>
    <row r="18">
      <c r="A18" s="8" t="inlineStr">
        <is>
          <t>Total Current Assets [$m]</t>
        </is>
      </c>
      <c r="B18" s="9">
        <f>SUM(B11:B17)</f>
        <v/>
      </c>
      <c r="C18" s="9">
        <f>SUM(C11:C17)</f>
        <v/>
      </c>
      <c r="D18" s="9">
        <f>SUM(D11:D17)</f>
        <v/>
      </c>
      <c r="E18" s="9">
        <f>SUM(E11:E17)</f>
        <v/>
      </c>
      <c r="F18" s="9">
        <f>SUM(F11:F17)</f>
        <v/>
      </c>
      <c r="G18" s="9">
        <f>SUM(G11:G17)</f>
        <v/>
      </c>
      <c r="H18" s="9">
        <f>SUM(H11:H17)</f>
        <v/>
      </c>
      <c r="I18" s="9">
        <f>SUM(I11:I17)</f>
        <v/>
      </c>
      <c r="J18" s="9">
        <f>SUM(J11:J17)</f>
        <v/>
      </c>
      <c r="K18" s="9">
        <f>SUM(K11:K17)</f>
        <v/>
      </c>
      <c r="L18" s="9">
        <f>SUM(L11:L17)</f>
        <v/>
      </c>
      <c r="M18" s="9">
        <f>SUM(M11:M17)</f>
        <v/>
      </c>
      <c r="N18" s="9">
        <f>SUM(N11:N17)</f>
        <v/>
      </c>
      <c r="O18" s="9">
        <f>SUM(O11:O17)</f>
        <v/>
      </c>
      <c r="P18" s="9">
        <f>SUM(P11:P17)</f>
        <v/>
      </c>
      <c r="Q18" s="9">
        <f>SUM(Q11:Q17)</f>
        <v/>
      </c>
      <c r="R18" s="9">
        <f>SUM(R11:R17)</f>
        <v/>
      </c>
      <c r="S18" s="9">
        <f>SUM(S11:S17)</f>
        <v/>
      </c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</row>
    <row r="19">
      <c r="A19" s="7" t="inlineStr">
        <is>
          <t>Accounts Payable [$m]</t>
        </is>
      </c>
      <c r="B19" s="6" t="n">
        <v>3963.62</v>
      </c>
      <c r="C19" s="6" t="n">
        <v>4012.03</v>
      </c>
      <c r="D19" s="6" t="n">
        <v>4164.71</v>
      </c>
      <c r="E19" s="6" t="n">
        <v>4230.67</v>
      </c>
      <c r="F19" s="6" t="n">
        <v>4354.68</v>
      </c>
      <c r="G19" s="6" t="n">
        <v>4591.23</v>
      </c>
      <c r="H19" s="6" t="n">
        <v>4824.31</v>
      </c>
      <c r="I19" s="6" t="n">
        <v>4851.03</v>
      </c>
      <c r="J19" s="6" t="n">
        <v>4974.31</v>
      </c>
      <c r="K19" s="6" t="n">
        <v>5056.89</v>
      </c>
      <c r="L19" s="6" t="n">
        <v>5057.97</v>
      </c>
      <c r="M19" s="6" t="n">
        <v>5291.98</v>
      </c>
      <c r="N19" s="6" t="n">
        <v>5494.28</v>
      </c>
      <c r="O19" s="6" t="n">
        <v>5580.64</v>
      </c>
      <c r="P19" s="6" t="n">
        <v>5828.83</v>
      </c>
      <c r="Q19" s="6" t="n">
        <v>6021.77</v>
      </c>
      <c r="R19" s="6" t="n">
        <v>6176.29</v>
      </c>
      <c r="S19" s="6" t="n">
        <v>6179.88</v>
      </c>
      <c r="T19" s="6" t="n">
        <v>6207.78</v>
      </c>
      <c r="U19" s="6" t="n">
        <v>6536.7</v>
      </c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</row>
    <row r="20">
      <c r="A20" s="7" t="inlineStr">
        <is>
          <t>Accrued Expenses and Other [$m]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>
        <f>U20*(1+'model_Assumptions'!$D$5)</f>
        <v/>
      </c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</row>
    <row r="21">
      <c r="A21" s="7" t="inlineStr">
        <is>
          <t>Short-Term Borrowings [$m]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>
        <f>U21*(1+'model_Assumptions'!$D$3)</f>
        <v/>
      </c>
      <c r="W21" s="6">
        <f>V21*(1+'model_Assumptions'!$D$3)</f>
        <v/>
      </c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</row>
    <row r="22">
      <c r="A22" s="7" t="inlineStr">
        <is>
          <t>Current Portion of Long-Term Debt [$m]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>
        <f>U22*(1+'model_Assumptions'!$D$3)</f>
        <v/>
      </c>
      <c r="W22" s="6">
        <f>V22*(1+'model_Assumptions'!$D$3)</f>
        <v/>
      </c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</row>
    <row r="23">
      <c r="A23" s="7" t="inlineStr">
        <is>
          <t>Deferred Revenue, Current [$m]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>
        <f>U23*(1+'model_Assumptions'!$D$3)</f>
        <v/>
      </c>
      <c r="W23" s="6">
        <f>V23*(1+'model_Assumptions'!$D$3)</f>
        <v/>
      </c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</row>
    <row r="24">
      <c r="A24" s="7" t="inlineStr">
        <is>
          <t>Other Current Liabilities [$m]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>
        <f>U24*(1+'model_Assumptions'!$D$5)</f>
        <v/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</row>
    <row r="25">
      <c r="A25" s="8" t="inlineStr">
        <is>
          <t>Total Current Liabilities [$m]</t>
        </is>
      </c>
      <c r="B25" s="9">
        <f>SUM(B19:B24)</f>
        <v/>
      </c>
      <c r="C25" s="9">
        <f>SUM(C19:C24)</f>
        <v/>
      </c>
      <c r="D25" s="9">
        <f>SUM(D19:D24)</f>
        <v/>
      </c>
      <c r="E25" s="9">
        <f>SUM(E19:E24)</f>
        <v/>
      </c>
      <c r="F25" s="9">
        <f>SUM(F19:F24)</f>
        <v/>
      </c>
      <c r="G25" s="9">
        <f>SUM(G19:G24)</f>
        <v/>
      </c>
      <c r="H25" s="9">
        <f>SUM(H19:H24)</f>
        <v/>
      </c>
      <c r="I25" s="9">
        <f>SUM(I19:I24)</f>
        <v/>
      </c>
      <c r="J25" s="9">
        <f>SUM(J19:J24)</f>
        <v/>
      </c>
      <c r="K25" s="9">
        <f>SUM(K19:K24)</f>
        <v/>
      </c>
      <c r="L25" s="9">
        <f>SUM(L19:L24)</f>
        <v/>
      </c>
      <c r="M25" s="9">
        <f>SUM(M19:M24)</f>
        <v/>
      </c>
      <c r="N25" s="9">
        <f>SUM(N19:N24)</f>
        <v/>
      </c>
      <c r="O25" s="9">
        <f>SUM(O19:O24)</f>
        <v/>
      </c>
      <c r="P25" s="9">
        <f>SUM(P19:P24)</f>
        <v/>
      </c>
      <c r="Q25" s="9">
        <f>SUM(Q19:Q24)</f>
        <v/>
      </c>
      <c r="R25" s="9">
        <f>SUM(R19:R24)</f>
        <v/>
      </c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</row>
    <row r="26">
      <c r="A26" s="7" t="inlineStr">
        <is>
          <t>Net Working Capital [$m]</t>
        </is>
      </c>
      <c r="B26" s="6">
        <f>B18-B25</f>
        <v/>
      </c>
      <c r="C26" s="6">
        <f>C18-C25</f>
        <v/>
      </c>
      <c r="D26" s="6">
        <f>D18-D25</f>
        <v/>
      </c>
      <c r="E26" s="6">
        <f>E18-E25</f>
        <v/>
      </c>
      <c r="F26" s="6">
        <f>F18-F25</f>
        <v/>
      </c>
      <c r="G26" s="6">
        <f>G18-G25</f>
        <v/>
      </c>
      <c r="H26" s="6">
        <f>H18-H25</f>
        <v/>
      </c>
      <c r="I26" s="6">
        <f>I18-I25</f>
        <v/>
      </c>
      <c r="J26" s="6">
        <f>J18-J25</f>
        <v/>
      </c>
      <c r="K26" s="6">
        <f>K18-K25</f>
        <v/>
      </c>
      <c r="L26" s="6">
        <f>L18-L25</f>
        <v/>
      </c>
      <c r="M26" s="6">
        <f>M18-M25</f>
        <v/>
      </c>
      <c r="N26" s="6">
        <f>N18-N25</f>
        <v/>
      </c>
      <c r="O26" s="6">
        <f>O18-O25</f>
        <v/>
      </c>
      <c r="P26" s="6">
        <f>P18-P25</f>
        <v/>
      </c>
      <c r="Q26" s="6">
        <f>Q18-Q25</f>
        <v/>
      </c>
      <c r="R26" s="6">
        <f>R18-R25</f>
        <v/>
      </c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</row>
    <row r="27"/>
    <row r="28"/>
    <row r="29"/>
    <row r="30">
      <c r="A30" t="inlineStr">
        <is>
          <t>DSO [days]</t>
        </is>
      </c>
      <c r="B30">
        <f>IFERROR((B13/B6)*90, 0)</f>
        <v/>
      </c>
      <c r="C30">
        <f>IFERROR((C13/C6)*90, 0)</f>
        <v/>
      </c>
      <c r="D30">
        <f>IFERROR((D13/D6)*90, 0)</f>
        <v/>
      </c>
      <c r="E30">
        <f>IFERROR((E13/E6)*90, 0)</f>
        <v/>
      </c>
      <c r="F30">
        <f>IFERROR((F13/F6)*90, 0)</f>
        <v/>
      </c>
      <c r="G30">
        <f>IFERROR((G13/G6)*90, 0)</f>
        <v/>
      </c>
      <c r="H30">
        <f>IFERROR((H13/H6)*90, 0)</f>
        <v/>
      </c>
      <c r="I30">
        <f>IFERROR((I13/I6)*90, 0)</f>
        <v/>
      </c>
      <c r="J30">
        <f>IFERROR((J13/J6)*90, 0)</f>
        <v/>
      </c>
      <c r="K30">
        <f>IFERROR((K13/K6)*90, 0)</f>
        <v/>
      </c>
      <c r="L30">
        <f>IFERROR((L13/L6)*90, 0)</f>
        <v/>
      </c>
      <c r="M30">
        <f>IFERROR((M13/M6)*90, 0)</f>
        <v/>
      </c>
      <c r="N30">
        <f>IFERROR((N13/N6)*90, 0)</f>
        <v/>
      </c>
      <c r="O30">
        <f>IFERROR((O13/O6)*90, 0)</f>
        <v/>
      </c>
      <c r="P30">
        <f>IFERROR((P13/P6)*90, 0)</f>
        <v/>
      </c>
      <c r="Q30">
        <f>IFERROR((Q13/Q6)*90, 0)</f>
        <v/>
      </c>
      <c r="R30">
        <f>IFERROR((R13/R6)*90, 0)</f>
        <v/>
      </c>
      <c r="S30">
        <f>IFERROR((S13/S6)*90, 0)</f>
        <v/>
      </c>
      <c r="T30">
        <f>IFERROR((T13/T6)*90, 0)</f>
        <v/>
      </c>
      <c r="U30">
        <f>IFERROR((U13/U6)*90, 0)</f>
        <v/>
      </c>
    </row>
    <row r="31">
      <c r="A31" t="inlineStr">
        <is>
          <t>DIO [days]</t>
        </is>
      </c>
      <c r="B31">
        <f>IFERROR((B15/B10)*90, 0)</f>
        <v/>
      </c>
      <c r="C31">
        <f>IFERROR((C15/C10)*90, 0)</f>
        <v/>
      </c>
      <c r="D31">
        <f>IFERROR((D15/D10)*90, 0)</f>
        <v/>
      </c>
      <c r="E31">
        <f>IFERROR((E15/E10)*90, 0)</f>
        <v/>
      </c>
      <c r="F31">
        <f>IFERROR((F15/F10)*90, 0)</f>
        <v/>
      </c>
      <c r="G31">
        <f>IFERROR((G15/G10)*90, 0)</f>
        <v/>
      </c>
      <c r="H31">
        <f>IFERROR((H15/H10)*90, 0)</f>
        <v/>
      </c>
      <c r="I31">
        <f>IFERROR((I15/I10)*90, 0)</f>
        <v/>
      </c>
      <c r="J31">
        <f>IFERROR((J15/J10)*90, 0)</f>
        <v/>
      </c>
      <c r="K31">
        <f>IFERROR((K15/K10)*90, 0)</f>
        <v/>
      </c>
      <c r="L31">
        <f>IFERROR((L15/L10)*90, 0)</f>
        <v/>
      </c>
      <c r="M31">
        <f>IFERROR((M15/M10)*90, 0)</f>
        <v/>
      </c>
      <c r="N31">
        <f>IFERROR((N15/N10)*90, 0)</f>
        <v/>
      </c>
    </row>
    <row r="32">
      <c r="A32" t="inlineStr">
        <is>
          <t>DPO [days]</t>
        </is>
      </c>
      <c r="B32">
        <f>IFERROR((B19/B10)*90, 0)</f>
        <v/>
      </c>
      <c r="C32">
        <f>IFERROR((C19/C10)*90, 0)</f>
        <v/>
      </c>
      <c r="D32">
        <f>IFERROR((D19/D10)*90, 0)</f>
        <v/>
      </c>
      <c r="E32">
        <f>IFERROR((E19/E10)*90, 0)</f>
        <v/>
      </c>
      <c r="F32">
        <f>IFERROR((F19/F10)*90, 0)</f>
        <v/>
      </c>
      <c r="G32">
        <f>IFERROR((G19/G10)*90, 0)</f>
        <v/>
      </c>
      <c r="H32">
        <f>IFERROR((H19/H10)*90, 0)</f>
        <v/>
      </c>
    </row>
    <row r="33">
      <c r="A33" t="inlineStr">
        <is>
          <t>Median DSO [days]</t>
        </is>
      </c>
      <c r="B33">
        <f>B30+B31-B32</f>
        <v/>
      </c>
      <c r="C33">
        <f>C30+C31-C32</f>
        <v/>
      </c>
      <c r="D33">
        <f>D30+D31-D32</f>
        <v/>
      </c>
      <c r="E33">
        <f>E30+E31-E32</f>
        <v/>
      </c>
      <c r="F33">
        <f>F30+F31-F32</f>
        <v/>
      </c>
      <c r="G33">
        <f>G30+G31-G32</f>
        <v/>
      </c>
      <c r="H33">
        <f>H30+H31-H32</f>
        <v/>
      </c>
    </row>
    <row r="34">
      <c r="A34" t="inlineStr">
        <is>
          <t>Median DIO [days]</t>
        </is>
      </c>
    </row>
    <row r="35">
      <c r="A35" t="inlineStr">
        <is>
          <t>Median DPO [days]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2026-08-19T14:06:06Z</dcterms:created>
  <dcterms:modified xsi:type="dcterms:W3CDTF">2026-08-19T19:54:33Z</dcterms:modified>
</cp:coreProperties>
</file>