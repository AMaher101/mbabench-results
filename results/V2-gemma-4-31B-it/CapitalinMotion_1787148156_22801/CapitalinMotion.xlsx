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lia\Downloads\BizBench New Models\Working Capital Modeling\CapitalinMotion\starting_files\"/>
    </mc:Choice>
  </mc:AlternateContent>
  <xr:revisionPtr revIDLastSave="0" documentId="13_ncr:1_{CF6DD82A-507D-48BB-8C49-7850C87FEB05}" xr6:coauthVersionLast="47" xr6:coauthVersionMax="47" xr10:uidLastSave="{00000000-0000-0000-0000-000000000000}"/>
  <bookViews>
    <workbookView xWindow="-108" yWindow="-108" windowWidth="23256" windowHeight="12456" xr2:uid="{9D050BFD-007E-4C38-9D7B-ED1AFA0D54D5}"/>
  </bookViews>
  <sheets>
    <sheet name="Instructions" sheetId="2" r:id="rId1"/>
    <sheet name="Assumption" sheetId="9" r:id="rId2"/>
    <sheet name="Income Statement" sheetId="12" r:id="rId3"/>
    <sheet name="Balance Sheet" sheetId="13" r:id="rId4"/>
    <sheet name="Questions" sheetId="6" r:id="rId5"/>
  </sheets>
  <definedNames>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2</definedName>
    <definedName name="_AtRisk_SimSetting_MultipleCPUManualCount" hidden="1">2</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001" hidden="1">"Scen 1(Base=123.42, S0=126.12, V=31.97%)"</definedName>
    <definedName name="_AtRisk_SimSetting_SimName002" hidden="1">"Scen 2(Base=123.42, S0=130, V=31.97%)"</definedName>
    <definedName name="_AtRisk_SimSetting_SimName003" hidden="1">"Scen 3(Base=123.42, S0=132, V=31.97%)"</definedName>
    <definedName name="_AtRisk_SimSetting_SimName004" hidden="1">"Scen 4(Base=1, S0=1, V=31.97%)"</definedName>
    <definedName name="_AtRisk_SimSetting_SimNameCount" hidden="1">4</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44091.7196296296</definedName>
    <definedName name="IQ_QTD" hidden="1">750000</definedName>
    <definedName name="IQ_TODAY" hidden="1">0</definedName>
    <definedName name="IQ_YTDMONTH" hidden="1">130000</definedName>
    <definedName name="IQB_BOOKMARK_COUNT" hidden="1">0</definedName>
    <definedName name="Pal_Workbook_GUID" hidden="1">"KHB4MCAJCJC3RUEFU5N2FB3U"</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100000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FALSE</definedName>
    <definedName name="solver_eng" localSheetId="0" hidden="1">1</definedName>
    <definedName name="solver_neg" localSheetId="0" hidden="1">1</definedName>
    <definedName name="solver_num" localSheetId="0" hidden="1">0</definedName>
    <definedName name="solver_opt" localSheetId="0" hidden="1">Instructions!#REF!</definedName>
    <definedName name="solver_typ" localSheetId="0" hidden="1">1</definedName>
    <definedName name="solver_val" localSheetId="0" hidden="1">0</definedName>
    <definedName name="solver_ver" localSheetId="0" hidden="1">3</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calcChain>
</file>

<file path=xl/sharedStrings.xml><?xml version="1.0" encoding="utf-8"?>
<sst xmlns="http://schemas.openxmlformats.org/spreadsheetml/2006/main" count="279" uniqueCount="206">
  <si>
    <t>EBITDA</t>
  </si>
  <si>
    <t>Total Current Assets</t>
  </si>
  <si>
    <t>Accounts Payable</t>
  </si>
  <si>
    <t>Total Current Liabilities</t>
  </si>
  <si>
    <t>Total Liabilities</t>
  </si>
  <si>
    <t>Answers</t>
  </si>
  <si>
    <t>Total Non-Current Liabilities</t>
  </si>
  <si>
    <t>[years]</t>
  </si>
  <si>
    <t>[days]</t>
  </si>
  <si>
    <t>Assumptions sheet may be also in the text on the Instructions tab - please use the assumptions on this sheet for your model</t>
  </si>
  <si>
    <t>End Sheet</t>
  </si>
  <si>
    <t>FP&amp;A Task</t>
  </si>
  <si>
    <t>Questions (please round your answers to two decimal places)</t>
  </si>
  <si>
    <t>Sales</t>
  </si>
  <si>
    <t>Research &amp; Development</t>
  </si>
  <si>
    <t>Interest Expense</t>
  </si>
  <si>
    <t>ASSETS</t>
  </si>
  <si>
    <t>Short-term Investments</t>
  </si>
  <si>
    <t>Accounts Receivable, Net</t>
  </si>
  <si>
    <t>Inventories</t>
  </si>
  <si>
    <t>Goodwill</t>
  </si>
  <si>
    <t>Other Intangible Assets, Net</t>
  </si>
  <si>
    <t>Other Non-Current Assets</t>
  </si>
  <si>
    <t>Total Non-Current Assets</t>
  </si>
  <si>
    <t>Other Current Liabilities</t>
  </si>
  <si>
    <t>Other Non-Current Liabilities</t>
  </si>
  <si>
    <t>Current Assets</t>
  </si>
  <si>
    <t>Current Liabilities</t>
  </si>
  <si>
    <t>Growth rates</t>
  </si>
  <si>
    <t>Selling prices</t>
  </si>
  <si>
    <t>Volume growth</t>
  </si>
  <si>
    <t>General Inflation</t>
  </si>
  <si>
    <t>CCC</t>
  </si>
  <si>
    <t>Average over the last</t>
  </si>
  <si>
    <t>Account links</t>
  </si>
  <si>
    <t>Forecast period</t>
  </si>
  <si>
    <t>Unit</t>
  </si>
  <si>
    <t>You have been provided with assumptions, as well as an income statement and a balance sheet.</t>
  </si>
  <si>
    <t>Answer the questions using your model.</t>
  </si>
  <si>
    <t>Working Capital Model - Capital in Motion</t>
  </si>
  <si>
    <t>NEXAGEN INDUSTRIES INC.</t>
  </si>
  <si>
    <t>Consolidated Income Statement  |  Quarterly  |  USD Millions</t>
  </si>
  <si>
    <t>Source: FactSet  |  Ticker: NXGN US  |  Fiscal Year Ends: December 31</t>
  </si>
  <si>
    <t>Line Item</t>
  </si>
  <si>
    <t>Flags</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</si>
  <si>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</si>
  <si>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</si>
  <si>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</si>
  <si>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</si>
  <si>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</si>
  <si>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</si>
  <si>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</si>
  <si>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</si>
  <si>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</si>
  <si>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</si>
  <si>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</si>
  <si>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</si>
  <si>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</si>
  <si>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</si>
  <si>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</si>
  <si>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</si>
  <si>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</si>
  <si>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</si>
  <si>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</si>
  <si>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</si>
  <si>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REVENUE</t>
  </si>
  <si>
    <t>Product Revenue</t>
  </si>
  <si>
    <t>Service Revenue</t>
  </si>
  <si>
    <t>Licensing &amp; Royalty Revenue</t>
  </si>
  <si>
    <t>Other Revenue</t>
  </si>
  <si>
    <t>Total Revenue</t>
  </si>
  <si>
    <t>COST OF REVENUE</t>
  </si>
  <si>
    <t>Cost of Product Revenue</t>
  </si>
  <si>
    <t>Cost of Service Revenue</t>
  </si>
  <si>
    <t>Cost of Other Revenue</t>
  </si>
  <si>
    <t>Total Cost of Revenue</t>
  </si>
  <si>
    <t>GROSS PROFIT</t>
  </si>
  <si>
    <t>Gross Profit Margin %</t>
  </si>
  <si>
    <t>YoY Growth – Gross Profit</t>
  </si>
  <si>
    <t>OPERATING EXPENSES</t>
  </si>
  <si>
    <t xml:space="preserve">  R&amp;D as % of Revenue</t>
  </si>
  <si>
    <t>Selling &amp; Marketing</t>
  </si>
  <si>
    <t>General &amp; Administrative</t>
  </si>
  <si>
    <t xml:space="preserve">  SG&amp;A as % of Revenue</t>
  </si>
  <si>
    <t>Amortization of Acquired Intangibles</t>
  </si>
  <si>
    <t>Restructuring Charges</t>
  </si>
  <si>
    <t>Asset Impairment</t>
  </si>
  <si>
    <t>Other Operating Expenses</t>
  </si>
  <si>
    <t>Total Operating Expenses</t>
  </si>
  <si>
    <t>OPERATING INCOME (EBIT)</t>
  </si>
  <si>
    <t xml:space="preserve">  EBIT Margin %</t>
  </si>
  <si>
    <t>Add: Depreciation &amp; Amortization</t>
  </si>
  <si>
    <t xml:space="preserve">  EBITDA Margin %</t>
  </si>
  <si>
    <t>YoY Growth – EBITDA</t>
  </si>
  <si>
    <t>NON-OPERATING INCOME / (EXPENSE)</t>
  </si>
  <si>
    <t>Interest Income</t>
  </si>
  <si>
    <t>Foreign Exchange Gain / (Loss)</t>
  </si>
  <si>
    <t>Investment Income</t>
  </si>
  <si>
    <t>Other Non-Operating Income / (Expense)</t>
  </si>
  <si>
    <t>Total Non-Operating Income / (Expense)</t>
  </si>
  <si>
    <t>EARNINGS BEFORE TAX (EBT)</t>
  </si>
  <si>
    <t>TAX</t>
  </si>
  <si>
    <t>Income Tax Expense</t>
  </si>
  <si>
    <t>Effective Tax Rate %</t>
  </si>
  <si>
    <t>NET INCOME FROM CONTINUING OPERATIONS</t>
  </si>
  <si>
    <t>Discontinued Operations, Net of Tax</t>
  </si>
  <si>
    <t>NET INCOME</t>
  </si>
  <si>
    <t xml:space="preserve">  Net Profit Margin %</t>
  </si>
  <si>
    <t>YoY Growth – Net Income</t>
  </si>
  <si>
    <t>Less: Non-Controlling Interest</t>
  </si>
  <si>
    <t>NET INCOME ATTRIBUTABLE TO COMMON</t>
  </si>
  <si>
    <t>PER SHARE DATA &amp; SHARE COUNT</t>
  </si>
  <si>
    <t>Basic EPS ($)</t>
  </si>
  <si>
    <t>Diluted EPS ($)</t>
  </si>
  <si>
    <t>Dividends Per Share ($)</t>
  </si>
  <si>
    <t>Weighted-Avg Shares Outstanding – Basic (M)</t>
  </si>
  <si>
    <t>Weighted-Avg Shares Outstanding – Diluted (M)</t>
  </si>
  <si>
    <t>REVENUE GROWTH ANALYSIS</t>
  </si>
  <si>
    <t>YoY Growth – Total Revenue</t>
  </si>
  <si>
    <t>Consolidated Balance Sheet  |  Quarterly  |  USD Millions</t>
  </si>
  <si>
    <t>Source: FactSet | Ticker: NXGN US | Fiscal Year Ends: December 31</t>
  </si>
  <si>
    <t>Cash and Cash Equivalents</t>
  </si>
  <si>
    <t>Short-Term Investments</t>
  </si>
  <si>
    <t>Notes Receivable</t>
  </si>
  <si>
    <t>Prepaid Expenses and Other</t>
  </si>
  <si>
    <t>Other Current Assets</t>
  </si>
  <si>
    <t>Non-Current Assets</t>
  </si>
  <si>
    <t>Property, Plant &amp; Equipment, Gross</t>
  </si>
  <si>
    <t>Less: Accumulated Depreciation &amp; Amortization</t>
  </si>
  <si>
    <t>Property, Plant &amp; Equipment, Net</t>
  </si>
  <si>
    <t>Long-Term Investments</t>
  </si>
  <si>
    <t>Deferred Tax Assets, Non-Current</t>
  </si>
  <si>
    <t>TOTAL ASSETS</t>
  </si>
  <si>
    <t>LIABILITIES &amp; STOCKHOLDERS' EQUITY</t>
  </si>
  <si>
    <t>Accrued Expenses and Other</t>
  </si>
  <si>
    <t>Short-Term Borrowings</t>
  </si>
  <si>
    <t>Current Portion of Long-Term Debt</t>
  </si>
  <si>
    <t>Deferred Revenue, Current</t>
  </si>
  <si>
    <t>Non-Current Liabilities</t>
  </si>
  <si>
    <t>Long-Term Debt</t>
  </si>
  <si>
    <t>Operating Lease Liabilities, Non-Current</t>
  </si>
  <si>
    <t>Pension and Post-Retirement Obligations</t>
  </si>
  <si>
    <t>Deferred Tax Liabilities, Non-Current</t>
  </si>
  <si>
    <t>Stockholders' Equity</t>
  </si>
  <si>
    <t>Common Stock, Par Value $0.01</t>
  </si>
  <si>
    <t>Additional Paid-In Capital</t>
  </si>
  <si>
    <t>Retained Earnings (Accumulated Deficit)</t>
  </si>
  <si>
    <t>Accumulated Other Comprehensive Income (Loss)</t>
  </si>
  <si>
    <t>Treasury Stock, at Cost</t>
  </si>
  <si>
    <t>Total Stockholders' Equity (Excl. NCI)</t>
  </si>
  <si>
    <t>Non-Controlling Interest (Minority Interest)</t>
  </si>
  <si>
    <t>Total Stockholders' Equity</t>
  </si>
  <si>
    <t>TOTAL LIABILITIES &amp; STOCKHOLDERS' EQUITY</t>
  </si>
  <si>
    <t>SUPPLEMENTAL DATA</t>
  </si>
  <si>
    <t>Cash &amp; Short-Term Investments</t>
  </si>
  <si>
    <t>Total Debt (Short-Term + Long-Term)</t>
  </si>
  <si>
    <t>Net Debt / (Net Cash)</t>
  </si>
  <si>
    <t>Book Value Per Share (est. 500M shares)</t>
  </si>
  <si>
    <t>Current Ratio</t>
  </si>
  <si>
    <t>Debt-to-Equity Ratio</t>
  </si>
  <si>
    <t>Goodwill as % of Total Assets</t>
  </si>
  <si>
    <t>CoR</t>
  </si>
  <si>
    <t>[$m]</t>
  </si>
  <si>
    <t>Quarters per year</t>
  </si>
  <si>
    <t>(running median)</t>
  </si>
  <si>
    <t>Assume that there have been no changes between the Q4 2019 balance sheet and the Q1 2020 balance sheet.</t>
  </si>
  <si>
    <t>- Calculate the amounts for the missing balance sheet items by extrapolating the moving median of the cash conversion cycle (CCC) over the last 4 years, using the most recent available balance sheet figures as a starting point</t>
  </si>
  <si>
    <t>Based on the information provided, you must prepare a 15-year forecast for the relevant items in the income statement and balance sheet (relevant to your model):</t>
  </si>
  <si>
    <t>Create a quarterly model for all 20 years to calculate net working capital, operating net working capital, and the cash conversion cycle.</t>
  </si>
  <si>
    <t>[quarters]</t>
  </si>
  <si>
    <t>(running average)</t>
  </si>
  <si>
    <t>[% p.a.]</t>
  </si>
  <si>
    <t>- Growth rates that affect the items in the income statement in the first place (take the last four quarters as a running average and grow it forward at the given annual growth rate (% p.a.) by applying compounding to each sub-period by converting the annual rate to the appropriate period rate)</t>
  </si>
  <si>
    <t>What is the Net Working Capital for Q4/2021?</t>
  </si>
  <si>
    <t>What is the Total Current Assets for Q1/2024?</t>
  </si>
  <si>
    <t>What is the Total Current Assets for Q2/2020?</t>
  </si>
  <si>
    <t>What is the Total Current Liabilities for Q2/2020?</t>
  </si>
  <si>
    <t>What is the Total Current Liabilities for Q3/2023?</t>
  </si>
  <si>
    <t>What is the amount of Accounts Payable for Q2/2031?</t>
  </si>
  <si>
    <t>What is the amount of Accounts Payable for Q4/2029?</t>
  </si>
  <si>
    <t>What is the amount of Accounts Receivable, Net for Q1/2027?</t>
  </si>
  <si>
    <t>What is the amount of Accounts Receivable, Net for Q4/2027?</t>
  </si>
  <si>
    <t>What is the amount of Accrued Expenses and Other for Q2/2029?</t>
  </si>
  <si>
    <t>What is the amount of Accrued Expenses and Other for Q4/2032?</t>
  </si>
  <si>
    <t>What is the amount of Cash and Cash Equivalents for Q1/2027?</t>
  </si>
  <si>
    <t>What is the amount of Inventories for Q1/2029?</t>
  </si>
  <si>
    <t>What is the amount of Inventories for Q3/2025?</t>
  </si>
  <si>
    <t>What is the amount of Other Current Liabilities for Q4/2036?</t>
  </si>
  <si>
    <t>What is the amount of Revenue for Q2/2029?</t>
  </si>
  <si>
    <t>What is the amount of Short-Term Borrowings for Q3/2038?</t>
  </si>
  <si>
    <t>What is the amount of Total Current Assets for Q3/2039?</t>
  </si>
  <si>
    <t>What is the amount of Total Current Assets for Q4/2028?</t>
  </si>
  <si>
    <t>What is the amount of Total Current Liabilities for Q2/2031?</t>
  </si>
  <si>
    <t>How many days is the metric: Days Inventory Outstanding (DIO) in Q3/2037?</t>
  </si>
  <si>
    <t>How many days is the metric: Days Payable Outstanding (DPO) in Q1/2020?</t>
  </si>
  <si>
    <t>How many days is the metric: Days Payable Outstanding (DPO) in Q1/2024?</t>
  </si>
  <si>
    <t>How many days is the metric: Days Payable Outstanding (DPO) in Q1/2034?</t>
  </si>
  <si>
    <t>How many days is the metric: Days Payable Outstanding (DPO) in Q3/2021?</t>
  </si>
  <si>
    <t>How many days is the metric: Days Payable Outstanding (DPO) in Q3/2028?</t>
  </si>
  <si>
    <t>How many days is the metric: Days Payable Outstanding (DPO) in Q4/2020?</t>
  </si>
  <si>
    <t>How many days is the metric: Days Sales Outstanding (DSO) in Q2/2034?</t>
  </si>
  <si>
    <t>How many days is the metric: Total CCC in Q3/2039?</t>
  </si>
  <si>
    <t>How many days is the metric: Total CCC in Q3/2022?</t>
  </si>
  <si>
    <t>Model basics</t>
  </si>
  <si>
    <t>- Relationships between these income statement items and various balance sheet items (those balance sheet accounts are growing at the same rate as the related income statement account with the last quarter of the balance sheet account as a basis)</t>
  </si>
  <si>
    <t>If in doubt, assume that every balance sheet item is an operating item. If an item's classification as operating vs. financial is ambiguous, treat it as operating.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</si>
</sst>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
    <numFmt numFmtId="166" formatCode="\$#,##0.00;&quot;($&quot;#,##0.00\);\-"/>
    <numFmt numFmtId="167" formatCode="0.00\x;\(0.00&quot;x)&quot;;\-"/>
    <numFmt numFmtId="168" formatCode="0.0;\(0.0\);\-"/>
  </numFmts>
  <fonts count="2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Roboto"/>
    </font>
    <font>
      <sz val="11"/>
      <name val="Roboto"/>
    </font>
    <font>
      <sz val="12"/>
      <color theme="1"/>
      <name val="Aptos Narrow"/>
      <family val="2"/>
      <scheme val="minor"/>
    </font>
    <font>
      <b/>
      <sz val="48"/>
      <color theme="0"/>
      <name val="ROBOTECH GP"/>
      <family val="2"/>
    </font>
    <font>
      <b/>
      <sz val="24"/>
      <color theme="0"/>
      <name val="ROBOTECH GP"/>
      <family val="2"/>
    </font>
    <font>
      <b/>
      <sz val="12"/>
      <color theme="1"/>
      <name val="Aptos Narrow"/>
      <family val="2"/>
      <scheme val="minor"/>
    </font>
    <font>
      <sz val="11"/>
      <color rgb="FF0000FF"/>
      <name val="Aptos Narrow"/>
      <family val="2"/>
      <scheme val="minor"/>
    </font>
    <font>
      <b/>
      <sz val="10"/>
      <color theme="1"/>
      <name val="Arial"/>
      <family val="2"/>
    </font>
    <font>
      <b/>
      <sz val="10"/>
      <color theme="1"/>
      <name val="Aptos Narrow"/>
      <family val="2"/>
      <scheme val="minor"/>
    </font>
    <font>
      <sz val="10"/>
      <color theme="1"/>
      <name val="Aptos Narrow"/>
      <family val="2"/>
      <scheme val="minor"/>
    </font>
    <font>
      <sz val="11"/>
      <color theme="1"/>
      <name val="Calibri"/>
      <family val="2"/>
      <charset val="1"/>
    </font>
    <font>
      <sz val="12"/>
      <color rgb="FF0000FF"/>
      <name val="Aptos Narrow"/>
      <family val="2"/>
      <scheme val="minor"/>
    </font>
    <font>
      <b/>
      <sz val="14"/>
      <color rgb="FFFFFFFF"/>
      <name val="Arial"/>
      <charset val="1"/>
    </font>
    <font>
      <i/>
      <sz val="10"/>
      <color rgb="FFFFFFFF"/>
      <name val="Arial"/>
      <charset val="1"/>
    </font>
    <font>
      <i/>
      <sz val="8"/>
      <color rgb="FF808080"/>
      <name val="Arial"/>
      <charset val="1"/>
    </font>
    <font>
      <b/>
      <sz val="9"/>
      <color rgb="FFFFFFFF"/>
      <name val="Arial"/>
      <charset val="1"/>
    </font>
    <font>
      <sz val="9"/>
      <color rgb="FF404040"/>
      <name val="Arial"/>
      <charset val="1"/>
    </font>
    <font>
      <sz val="9"/>
      <color rgb="FF0000FF"/>
      <name val="Arial"/>
      <charset val="1"/>
    </font>
    <font>
      <b/>
      <sz val="9"/>
      <color rgb="FF1F3864"/>
      <name val="Arial"/>
      <charset val="1"/>
    </font>
    <font>
      <i/>
      <sz val="8"/>
      <color rgb="FF1F3864"/>
      <name val="Arial"/>
      <charset val="1"/>
    </font>
    <font>
      <i/>
      <sz val="8"/>
      <color rgb="FF404040"/>
      <name val="Arial"/>
      <charset val="1"/>
    </font>
    <font>
      <i/>
      <sz val="8"/>
      <color rgb="FF606060"/>
      <name val="Arial"/>
      <charset val="1"/>
    </font>
  </fonts>
  <fills count="13">
    <fill>
      <patternFill patternType="none"/>
    </fill>
    <fill>
      <patternFill patternType="gray125"/>
    </fill>
    <fill>
      <gradientFill>
        <stop position="0">
          <color rgb="FF007B00"/>
        </stop>
        <stop position="1">
          <color rgb="FF020024"/>
        </stop>
      </gradientFill>
    </fill>
    <fill>
      <patternFill patternType="solid">
        <fgColor theme="7" tint="0.79998168889431442"/>
        <bgColor indexed="64"/>
      </patternFill>
    </fill>
    <fill>
      <patternFill patternType="solid">
        <fgColor rgb="FFFFFFCC"/>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1F3864"/>
        <bgColor rgb="FF333399"/>
      </patternFill>
    </fill>
    <fill>
      <patternFill patternType="solid">
        <fgColor rgb="FF2E5EA8"/>
        <bgColor rgb="FF4472C4"/>
      </patternFill>
    </fill>
    <fill>
      <patternFill patternType="solid">
        <fgColor rgb="FFFFFFFF"/>
        <bgColor rgb="FFF2F2F2"/>
      </patternFill>
    </fill>
    <fill>
      <patternFill patternType="solid">
        <fgColor rgb="FFF2F2F2"/>
        <bgColor rgb="FFFFFFFF"/>
      </patternFill>
    </fill>
    <fill>
      <patternFill patternType="solid">
        <fgColor rgb="FFC5D9F1"/>
        <bgColor rgb="FFD9E1F2"/>
      </patternFill>
    </fill>
    <fill>
      <patternFill patternType="solid">
        <fgColor rgb="FFD9E1F2"/>
        <bgColor rgb="FFC5D9F1"/>
      </patternFill>
    </fill>
  </fills>
  <borders count="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4472C4"/>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1" fillId="0" borderId="0"/>
    <xf numFmtId="0" fontId="5" fillId="0" borderId="0"/>
    <xf numFmtId="9" fontId="1" fillId="0" borderId="0" applyFont="0" applyFill="0" applyBorder="0" applyAlignment="0" applyProtection="0"/>
    <xf numFmtId="4" fontId="10" fillId="5" borderId="2">
      <alignment horizontal="left"/>
    </xf>
    <xf numFmtId="0" fontId="13" fillId="0" borderId="0"/>
  </cellStyleXfs>
  <cellXfs count="59">
    <xf numFmtId="0" fontId="0" fillId="0" borderId="0" xfId="0"/>
    <xf numFmtId="0" fontId="3" fillId="0" borderId="0" xfId="1" applyFont="1"/>
    <xf numFmtId="0" fontId="4" fillId="0" borderId="0" xfId="1" applyFont="1"/>
    <xf numFmtId="0" fontId="3" fillId="0" borderId="0" xfId="1" applyFont="1" applyAlignment="1">
      <alignment horizontal="left"/>
    </xf>
    <xf numFmtId="0" fontId="3" fillId="0" borderId="0" xfId="1" applyFont="1" applyAlignment="1">
      <alignment horizontal="center"/>
    </xf>
    <xf numFmtId="0" fontId="4" fillId="0" borderId="0" xfId="1" applyFont="1" applyAlignment="1">
      <alignment horizontal="center"/>
    </xf>
    <xf numFmtId="0" fontId="2" fillId="0" borderId="0" xfId="0" applyFont="1"/>
    <xf numFmtId="0" fontId="8" fillId="0" borderId="0" xfId="2" applyFont="1"/>
    <xf numFmtId="0" fontId="5" fillId="0" borderId="0" xfId="2"/>
    <xf numFmtId="4" fontId="3" fillId="3" borderId="5" xfId="1" applyNumberFormat="1" applyFont="1" applyFill="1" applyBorder="1" applyAlignment="1">
      <alignment horizontal="center"/>
    </xf>
    <xf numFmtId="0" fontId="9" fillId="0" borderId="0" xfId="0" applyFont="1"/>
    <xf numFmtId="4" fontId="11" fillId="6" borderId="2" xfId="4" applyFont="1" applyFill="1">
      <alignment horizontal="left"/>
    </xf>
    <xf numFmtId="4" fontId="2" fillId="6" borderId="2" xfId="4" applyFont="1" applyFill="1">
      <alignment horizontal="left"/>
    </xf>
    <xf numFmtId="0" fontId="12" fillId="6" borderId="0" xfId="0" applyFont="1" applyFill="1"/>
    <xf numFmtId="10" fontId="9" fillId="4" borderId="5" xfId="3" applyNumberFormat="1" applyFont="1" applyFill="1" applyBorder="1"/>
    <xf numFmtId="3" fontId="9" fillId="4" borderId="5" xfId="3" applyNumberFormat="1" applyFont="1" applyFill="1" applyBorder="1"/>
    <xf numFmtId="0" fontId="13" fillId="0" borderId="0" xfId="5"/>
    <xf numFmtId="0" fontId="3" fillId="0" borderId="0" xfId="1" quotePrefix="1" applyFont="1" applyAlignment="1">
      <alignment horizontal="left"/>
    </xf>
    <xf numFmtId="0" fontId="14" fillId="0" borderId="0" xfId="0" applyFont="1"/>
    <xf numFmtId="0" fontId="18" fillId="7" borderId="0" xfId="5" applyFont="1" applyFill="1" applyAlignment="1">
      <alignment horizontal="left" vertical="center" indent="1"/>
    </xf>
    <xf numFmtId="0" fontId="18" fillId="7" borderId="0" xfId="5" applyFont="1" applyFill="1" applyAlignment="1">
      <alignment horizontal="center" vertical="center"/>
    </xf>
    <xf numFmtId="0" fontId="18" fillId="7" borderId="6" xfId="5" applyFont="1" applyFill="1" applyBorder="1" applyAlignment="1">
      <alignment horizontal="right" vertical="center"/>
    </xf>
    <xf numFmtId="0" fontId="19" fillId="9" borderId="7" xfId="5" applyFont="1" applyFill="1" applyBorder="1" applyAlignment="1">
      <alignment horizontal="left" vertical="center" indent="3"/>
    </xf>
    <xf numFmtId="0" fontId="13" fillId="9" borderId="7" xfId="5" applyFill="1" applyBorder="1"/>
    <xf numFmtId="164" fontId="20" fillId="9" borderId="7" xfId="5" applyNumberFormat="1" applyFont="1" applyFill="1" applyBorder="1" applyAlignment="1">
      <alignment horizontal="right" vertical="center"/>
    </xf>
    <xf numFmtId="0" fontId="19" fillId="10" borderId="7" xfId="5" applyFont="1" applyFill="1" applyBorder="1" applyAlignment="1">
      <alignment horizontal="left" vertical="center" indent="3"/>
    </xf>
    <xf numFmtId="0" fontId="13" fillId="10" borderId="7" xfId="5" applyFill="1" applyBorder="1"/>
    <xf numFmtId="164" fontId="20" fillId="10" borderId="7" xfId="5" applyNumberFormat="1" applyFont="1" applyFill="1" applyBorder="1" applyAlignment="1">
      <alignment horizontal="right" vertical="center"/>
    </xf>
    <xf numFmtId="0" fontId="21" fillId="11" borderId="7" xfId="5" applyFont="1" applyFill="1" applyBorder="1" applyAlignment="1">
      <alignment horizontal="left" vertical="center" indent="1"/>
    </xf>
    <xf numFmtId="0" fontId="13" fillId="11" borderId="7" xfId="5" applyFill="1" applyBorder="1"/>
    <xf numFmtId="164" fontId="21" fillId="11" borderId="7" xfId="5" applyNumberFormat="1" applyFont="1" applyFill="1" applyBorder="1" applyAlignment="1">
      <alignment horizontal="right" vertical="center"/>
    </xf>
    <xf numFmtId="0" fontId="18" fillId="7" borderId="7" xfId="5" applyFont="1" applyFill="1" applyBorder="1" applyAlignment="1">
      <alignment horizontal="left" vertical="center" indent="1"/>
    </xf>
    <xf numFmtId="0" fontId="13" fillId="7" borderId="7" xfId="5" applyFill="1" applyBorder="1"/>
    <xf numFmtId="164" fontId="18" fillId="7" borderId="7" xfId="5" applyNumberFormat="1" applyFont="1" applyFill="1" applyBorder="1" applyAlignment="1">
      <alignment horizontal="right" vertical="center"/>
    </xf>
    <xf numFmtId="0" fontId="22" fillId="12" borderId="7" xfId="5" applyFont="1" applyFill="1" applyBorder="1" applyAlignment="1">
      <alignment horizontal="left" vertical="center" indent="3"/>
    </xf>
    <xf numFmtId="0" fontId="13" fillId="12" borderId="7" xfId="5" applyFill="1" applyBorder="1"/>
    <xf numFmtId="165" fontId="23" fillId="12" borderId="7" xfId="5" applyNumberFormat="1" applyFont="1" applyFill="1" applyBorder="1" applyAlignment="1">
      <alignment horizontal="right" vertical="center"/>
    </xf>
    <xf numFmtId="0" fontId="24" fillId="9" borderId="7" xfId="5" applyFont="1" applyFill="1" applyBorder="1" applyAlignment="1">
      <alignment horizontal="left" vertical="center" indent="6"/>
    </xf>
    <xf numFmtId="165" fontId="23" fillId="9" borderId="7" xfId="5" applyNumberFormat="1" applyFont="1" applyFill="1" applyBorder="1" applyAlignment="1">
      <alignment horizontal="right" vertical="center"/>
    </xf>
    <xf numFmtId="0" fontId="24" fillId="9" borderId="7" xfId="5" applyFont="1" applyFill="1" applyBorder="1" applyAlignment="1">
      <alignment horizontal="left" vertical="center" indent="5"/>
    </xf>
    <xf numFmtId="0" fontId="24" fillId="10" borderId="7" xfId="5" applyFont="1" applyFill="1" applyBorder="1" applyAlignment="1">
      <alignment horizontal="left" vertical="center" indent="5"/>
    </xf>
    <xf numFmtId="165" fontId="23" fillId="10" borderId="7" xfId="5" applyNumberFormat="1" applyFont="1" applyFill="1" applyBorder="1" applyAlignment="1">
      <alignment horizontal="right" vertical="center"/>
    </xf>
    <xf numFmtId="166" fontId="20" fillId="10" borderId="7" xfId="5" applyNumberFormat="1" applyFont="1" applyFill="1" applyBorder="1" applyAlignment="1">
      <alignment horizontal="right" vertical="center"/>
    </xf>
    <xf numFmtId="166" fontId="20" fillId="9" borderId="7" xfId="5" applyNumberFormat="1" applyFont="1" applyFill="1" applyBorder="1" applyAlignment="1">
      <alignment horizontal="right" vertical="center"/>
    </xf>
    <xf numFmtId="0" fontId="21" fillId="11" borderId="7" xfId="5" applyFont="1" applyFill="1" applyBorder="1" applyAlignment="1">
      <alignment horizontal="left" vertical="center" indent="3"/>
    </xf>
    <xf numFmtId="0" fontId="21" fillId="11" borderId="7" xfId="5" applyFont="1" applyFill="1" applyBorder="1" applyAlignment="1">
      <alignment horizontal="left" vertical="center" indent="2"/>
    </xf>
    <xf numFmtId="167" fontId="20" fillId="9" borderId="7" xfId="5" applyNumberFormat="1" applyFont="1" applyFill="1" applyBorder="1" applyAlignment="1">
      <alignment horizontal="right" vertical="center"/>
    </xf>
    <xf numFmtId="167" fontId="20" fillId="10" borderId="7" xfId="5" applyNumberFormat="1" applyFont="1" applyFill="1" applyBorder="1" applyAlignment="1">
      <alignment horizontal="right" vertical="center"/>
    </xf>
    <xf numFmtId="168" fontId="20" fillId="10" borderId="7" xfId="5" applyNumberFormat="1" applyFont="1" applyFill="1" applyBorder="1" applyAlignment="1">
      <alignment horizontal="right" vertical="center"/>
    </xf>
    <xf numFmtId="0" fontId="6" fillId="2" borderId="1" xfId="2" applyFont="1" applyFill="1" applyBorder="1" applyAlignment="1">
      <alignment horizontal="center" vertical="center"/>
    </xf>
    <xf numFmtId="0" fontId="6" fillId="2" borderId="2" xfId="2" applyFont="1" applyFill="1" applyBorder="1" applyAlignment="1">
      <alignment horizontal="center" vertical="center"/>
    </xf>
    <xf numFmtId="0" fontId="6" fillId="2" borderId="3" xfId="2" applyFont="1" applyFill="1" applyBorder="1" applyAlignment="1">
      <alignment horizontal="center" vertical="center"/>
    </xf>
    <xf numFmtId="0" fontId="7" fillId="2" borderId="4" xfId="2" applyFont="1" applyFill="1" applyBorder="1" applyAlignment="1">
      <alignment horizontal="center" vertical="center"/>
    </xf>
    <xf numFmtId="0" fontId="7" fillId="2" borderId="0" xfId="2" applyFont="1" applyFill="1" applyAlignment="1">
      <alignment horizontal="center" vertical="center"/>
    </xf>
    <xf numFmtId="0" fontId="18" fillId="8" borderId="7" xfId="5" applyFont="1" applyFill="1" applyBorder="1" applyAlignment="1">
      <alignment horizontal="left" vertical="center" indent="1"/>
    </xf>
    <xf numFmtId="0" fontId="15" fillId="7" borderId="0" xfId="5" applyFont="1" applyFill="1" applyAlignment="1">
      <alignment horizontal="left" vertical="center" indent="1"/>
    </xf>
    <xf numFmtId="0" fontId="16" fillId="8" borderId="0" xfId="5" applyFont="1" applyFill="1" applyAlignment="1">
      <alignment horizontal="left" vertical="center" indent="1"/>
    </xf>
    <xf numFmtId="0" fontId="17" fillId="9" borderId="0" xfId="5" applyFont="1" applyFill="1" applyAlignment="1">
      <alignment horizontal="left" vertical="center" indent="1"/>
    </xf>
    <xf numFmtId="0" fontId="21" fillId="12" borderId="7" xfId="5" applyFont="1" applyFill="1" applyBorder="1" applyAlignment="1">
      <alignment horizontal="left" vertical="center" indent="1"/>
    </xf>
  </cellXfs>
  <cellStyles count="6">
    <cellStyle name="M Section Header" xfId="4" xr:uid="{F944F0E6-F034-49F8-8B3F-D0C9E50BA2F6}"/>
    <cellStyle name="Normal" xfId="0" builtinId="0"/>
    <cellStyle name="Normal 2" xfId="2" xr:uid="{037B3D13-DA10-4240-9E6B-55FD128391C9}"/>
    <cellStyle name="Normal 3" xfId="1" xr:uid="{1C87C372-71EA-4FEE-904D-475CC6E05479}"/>
    <cellStyle name="Normal 4" xfId="5" xr:uid="{273FDE25-047F-448D-BEF1-698059824ACE}"/>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6176C-3579-4288-92CF-6D92740E33DD}">
  <sheetPr>
    <tabColor theme="8" tint="-0.249977111117893"/>
  </sheetPr>
  <dimension ref="A1:K16"/>
  <sheetViews>
    <sheetView showGridLines="0" tabSelected="1" zoomScale="79" zoomScaleNormal="80" zoomScaleSheetLayoutView="100" workbookViewId="0"/>
  </sheetViews>
  <sheetFormatPr defaultColWidth="5.21875" defaultRowHeight="14.4"/>
  <cols>
    <col min="1" max="1" width="1.88671875" style="1" customWidth="1"/>
    <col min="2" max="2" width="32.109375" style="4" customWidth="1"/>
    <col min="3" max="3" width="17.109375" style="4" bestFit="1" customWidth="1"/>
    <col min="4" max="4" width="20.88671875" style="4" bestFit="1" customWidth="1"/>
    <col min="5" max="5" width="24.109375" style="4" customWidth="1"/>
    <col min="6" max="6" width="21.5546875" style="4" customWidth="1"/>
    <col min="7" max="7" width="26.33203125" style="4" bestFit="1" customWidth="1"/>
    <col min="8" max="8" width="40.109375" style="4" customWidth="1"/>
    <col min="9" max="9" width="23.5546875" style="5" customWidth="1"/>
    <col min="10" max="10" width="23.5546875" style="2" customWidth="1"/>
    <col min="11" max="11" width="27.77734375" style="2" customWidth="1"/>
    <col min="12" max="12" width="20.5546875" style="2" customWidth="1"/>
    <col min="13" max="376" width="11.109375" style="2" bestFit="1" customWidth="1"/>
    <col min="377" max="377" width="5.21875" style="2"/>
    <col min="378" max="383" width="9.6640625" style="2" customWidth="1"/>
    <col min="384" max="384" width="5.21875" style="2"/>
    <col min="385" max="393" width="9.6640625" style="2" customWidth="1"/>
    <col min="394" max="16384" width="5.21875" style="2"/>
  </cols>
  <sheetData>
    <row r="1" spans="2:11" ht="15" customHeight="1">
      <c r="B1" s="1"/>
      <c r="C1" s="1"/>
      <c r="D1" s="1"/>
      <c r="E1" s="1"/>
      <c r="F1" s="1"/>
      <c r="G1" s="1"/>
      <c r="H1" s="1"/>
      <c r="I1" s="1"/>
      <c r="J1" s="1"/>
      <c r="K1" s="1"/>
    </row>
    <row r="2" spans="2:11" ht="60.75" customHeight="1">
      <c r="B2" s="49" t="s">
        <v>11</v>
      </c>
      <c r="C2" s="50"/>
      <c r="D2" s="50"/>
      <c r="E2" s="50"/>
      <c r="F2" s="50"/>
      <c r="G2" s="50"/>
      <c r="H2" s="50"/>
      <c r="I2" s="50"/>
      <c r="J2" s="50"/>
      <c r="K2" s="51"/>
    </row>
    <row r="3" spans="2:11" ht="15" customHeight="1">
      <c r="B3" s="1"/>
      <c r="C3" s="1"/>
      <c r="D3" s="1"/>
      <c r="E3" s="1"/>
      <c r="F3" s="1"/>
      <c r="G3" s="1"/>
      <c r="H3" s="1"/>
      <c r="I3" s="1"/>
      <c r="J3" s="1"/>
      <c r="K3" s="1"/>
    </row>
    <row r="4" spans="2:11" ht="33.75" customHeight="1">
      <c r="B4" s="52" t="s">
        <v>39</v>
      </c>
      <c r="C4" s="53"/>
      <c r="D4" s="53"/>
      <c r="E4" s="53"/>
      <c r="F4" s="53"/>
      <c r="G4" s="53"/>
      <c r="H4" s="53"/>
      <c r="I4" s="53"/>
      <c r="J4" s="1"/>
    </row>
    <row r="5" spans="2:11" ht="15" customHeight="1">
      <c r="B5" s="1"/>
      <c r="C5" s="1"/>
      <c r="D5" s="1"/>
      <c r="E5" s="1"/>
      <c r="F5" s="1"/>
      <c r="G5" s="1"/>
      <c r="H5" s="1"/>
      <c r="I5" s="1"/>
      <c r="J5" s="1"/>
      <c r="K5" s="1"/>
    </row>
    <row r="6" spans="2:11" ht="15" customHeight="1">
      <c r="B6" s="1" t="s">
        <v>37</v>
      </c>
      <c r="C6" s="1"/>
      <c r="D6" s="1"/>
      <c r="E6" s="1"/>
      <c r="F6" s="1"/>
      <c r="G6" s="1"/>
      <c r="H6" s="1"/>
      <c r="I6" s="1"/>
      <c r="J6" s="1"/>
      <c r="K6" s="1"/>
    </row>
    <row r="7" spans="2:11">
      <c r="B7" s="3" t="s">
        <v>165</v>
      </c>
    </row>
    <row r="8" spans="2:11">
      <c r="B8" s="3" t="s">
        <v>205</v>
      </c>
    </row>
    <row r="9" spans="2:11">
      <c r="B9" s="3"/>
    </row>
    <row r="10" spans="2:11">
      <c r="B10" s="3" t="s">
        <v>167</v>
      </c>
    </row>
    <row r="11" spans="2:11">
      <c r="B11" s="17" t="s">
        <v>172</v>
      </c>
    </row>
    <row r="12" spans="2:11">
      <c r="B12" s="17" t="s">
        <v>204</v>
      </c>
    </row>
    <row r="13" spans="2:11">
      <c r="B13" s="17" t="s">
        <v>166</v>
      </c>
    </row>
    <row r="15" spans="2:11">
      <c r="B15" s="3" t="s">
        <v>168</v>
      </c>
    </row>
    <row r="16" spans="2:11">
      <c r="B16" s="3" t="s">
        <v>38</v>
      </c>
    </row>
  </sheetData>
  <mergeCells count="2">
    <mergeCell ref="B2:K2"/>
    <mergeCell ref="B4:I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E261-F997-467D-9A31-CC6BD1702C23}">
  <sheetPr>
    <tabColor theme="8" tint="0.39997558519241921"/>
  </sheetPr>
  <dimension ref="A1:AN33"/>
  <sheetViews>
    <sheetView showGridLines="0" zoomScale="84" workbookViewId="0"/>
  </sheetViews>
  <sheetFormatPr defaultRowHeight="14.4"/>
  <cols>
    <col min="1" max="1" width="4.77734375" style="6" customWidth="1"/>
    <col min="2" max="2" width="5.33203125" style="6" customWidth="1"/>
    <col min="3" max="3" width="17.33203125" bestFit="1" customWidth="1"/>
    <col min="5" max="5" width="13.6640625" customWidth="1"/>
    <col min="6" max="6" width="18.109375" bestFit="1" customWidth="1"/>
    <col min="7" max="7" width="19.5546875" bestFit="1" customWidth="1"/>
    <col min="11" max="110" width="10.109375" bestFit="1" customWidth="1"/>
  </cols>
  <sheetData>
    <row r="1" spans="1:40">
      <c r="A1" s="6" t="str">
        <f>Instructions!B2&amp;": "&amp;Instructions!B4</f>
        <v>FP&amp;A Task: Working Capital Model - Capital in Motion</v>
      </c>
    </row>
    <row r="2" spans="1:40">
      <c r="A2" s="6" t="s">
        <v>9</v>
      </c>
    </row>
    <row r="4" spans="1:40" s="13" customFormat="1" ht="14.4" customHeight="1">
      <c r="A4" s="11"/>
      <c r="B4" s="12" t="s">
        <v>203</v>
      </c>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row>
    <row r="6" spans="1:40">
      <c r="C6" t="s">
        <v>35</v>
      </c>
      <c r="F6" s="15">
        <v>15</v>
      </c>
      <c r="G6" s="10" t="s">
        <v>7</v>
      </c>
    </row>
    <row r="7" spans="1:40">
      <c r="C7" t="s">
        <v>163</v>
      </c>
      <c r="F7" s="15">
        <v>4</v>
      </c>
      <c r="G7" s="10"/>
    </row>
    <row r="9" spans="1:40" s="13" customFormat="1" ht="14.4" customHeight="1">
      <c r="A9" s="11"/>
      <c r="B9" s="12" t="s">
        <v>28</v>
      </c>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row>
    <row r="11" spans="1:40">
      <c r="C11" t="s">
        <v>29</v>
      </c>
      <c r="F11" s="14">
        <v>1.4999999999999999E-2</v>
      </c>
      <c r="G11" s="10" t="s">
        <v>171</v>
      </c>
    </row>
    <row r="12" spans="1:40">
      <c r="C12" t="s">
        <v>30</v>
      </c>
      <c r="F12" s="14">
        <v>0.03</v>
      </c>
      <c r="G12" s="10" t="s">
        <v>171</v>
      </c>
    </row>
    <row r="13" spans="1:40">
      <c r="C13" t="s">
        <v>31</v>
      </c>
      <c r="F13" s="14">
        <v>2.1999999999999999E-2</v>
      </c>
      <c r="G13" s="10" t="s">
        <v>171</v>
      </c>
    </row>
    <row r="14" spans="1:40">
      <c r="C14" t="s">
        <v>33</v>
      </c>
      <c r="F14" s="15">
        <v>4</v>
      </c>
      <c r="G14" s="10" t="s">
        <v>169</v>
      </c>
      <c r="H14" t="s">
        <v>170</v>
      </c>
    </row>
    <row r="16" spans="1:40" s="13" customFormat="1" ht="14.4" customHeight="1">
      <c r="A16" s="11"/>
      <c r="B16" s="12" t="s">
        <v>32</v>
      </c>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row>
    <row r="18" spans="1:40">
      <c r="C18" t="s">
        <v>33</v>
      </c>
      <c r="F18" s="15">
        <v>4</v>
      </c>
      <c r="G18" s="10" t="s">
        <v>7</v>
      </c>
      <c r="H18" t="s">
        <v>164</v>
      </c>
    </row>
    <row r="20" spans="1:40" s="13" customFormat="1" ht="14.4" customHeight="1">
      <c r="A20" s="11"/>
      <c r="B20" s="12" t="s">
        <v>34</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2" spans="1:40">
      <c r="C22" t="s">
        <v>121</v>
      </c>
      <c r="F22" s="14" t="s">
        <v>13</v>
      </c>
    </row>
    <row r="23" spans="1:40">
      <c r="C23" t="s">
        <v>17</v>
      </c>
      <c r="F23" s="14" t="s">
        <v>13</v>
      </c>
    </row>
    <row r="24" spans="1:40">
      <c r="C24" t="s">
        <v>123</v>
      </c>
      <c r="F24" s="14" t="s">
        <v>13</v>
      </c>
    </row>
    <row r="25" spans="1:40">
      <c r="C25" t="s">
        <v>124</v>
      </c>
      <c r="F25" s="14" t="s">
        <v>161</v>
      </c>
    </row>
    <row r="26" spans="1:40">
      <c r="C26" t="s">
        <v>125</v>
      </c>
      <c r="F26" s="14" t="s">
        <v>161</v>
      </c>
    </row>
    <row r="27" spans="1:40">
      <c r="C27" t="s">
        <v>134</v>
      </c>
      <c r="F27" s="14" t="s">
        <v>161</v>
      </c>
    </row>
    <row r="28" spans="1:40">
      <c r="C28" t="s">
        <v>135</v>
      </c>
      <c r="F28" s="14" t="s">
        <v>13</v>
      </c>
    </row>
    <row r="29" spans="1:40">
      <c r="C29" t="s">
        <v>136</v>
      </c>
      <c r="F29" s="14" t="s">
        <v>13</v>
      </c>
    </row>
    <row r="30" spans="1:40">
      <c r="C30" t="s">
        <v>137</v>
      </c>
      <c r="F30" s="14" t="s">
        <v>13</v>
      </c>
    </row>
    <row r="31" spans="1:40">
      <c r="C31" t="s">
        <v>24</v>
      </c>
      <c r="F31" s="14" t="s">
        <v>161</v>
      </c>
    </row>
    <row r="33" spans="1:40" s="13" customFormat="1" ht="14.4" customHeight="1">
      <c r="A33" s="11"/>
      <c r="B33" s="12" t="s">
        <v>10</v>
      </c>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500E-859C-445A-B5FA-BF2F1EA079F6}">
  <sheetPr>
    <tabColor theme="8" tint="0.39997558519241921"/>
  </sheetPr>
  <dimension ref="A1:V74"/>
  <sheetViews>
    <sheetView zoomScaleNormal="100" workbookViewId="0">
      <pane xSplit="2" ySplit="5" topLeftCell="K6" activePane="bottomRight" state="frozen"/>
      <selection sqref="A1:V1"/>
      <selection pane="topRight" sqref="A1:V1"/>
      <selection pane="bottomLeft" sqref="A1:V1"/>
      <selection pane="bottomRight" activeCell="A6" sqref="A6:V6"/>
    </sheetView>
  </sheetViews>
  <sheetFormatPr defaultColWidth="8.6640625" defaultRowHeight="14.4"/>
  <cols>
    <col min="1" max="1" width="50" style="16" customWidth="1"/>
    <col min="2" max="2" width="10" style="16" customWidth="1"/>
    <col min="3" max="22" width="12" style="16" customWidth="1"/>
    <col min="23" max="16384" width="8.6640625" style="16"/>
  </cols>
  <sheetData>
    <row r="1" spans="1:22" ht="21.75" customHeight="1">
      <c r="A1" s="55" t="s">
        <v>40</v>
      </c>
      <c r="B1" s="55"/>
      <c r="C1" s="55"/>
      <c r="D1" s="55"/>
      <c r="E1" s="55"/>
      <c r="F1" s="55"/>
      <c r="G1" s="55"/>
      <c r="H1" s="55"/>
      <c r="I1" s="55"/>
      <c r="J1" s="55"/>
      <c r="K1" s="55"/>
      <c r="L1" s="55"/>
      <c r="M1" s="55"/>
      <c r="N1" s="55"/>
      <c r="O1" s="55"/>
      <c r="P1" s="55"/>
      <c r="Q1" s="55"/>
      <c r="R1" s="55"/>
      <c r="S1" s="55"/>
      <c r="T1" s="55"/>
      <c r="U1" s="55"/>
      <c r="V1" s="55"/>
    </row>
    <row r="2" spans="1:22" ht="15.75" customHeight="1">
      <c r="A2" s="56" t="s">
        <v>41</v>
      </c>
      <c r="B2" s="56"/>
      <c r="C2" s="56"/>
      <c r="D2" s="56"/>
      <c r="E2" s="56"/>
      <c r="F2" s="56"/>
      <c r="G2" s="56"/>
      <c r="H2" s="56"/>
      <c r="I2" s="56"/>
      <c r="J2" s="56"/>
      <c r="K2" s="56"/>
      <c r="L2" s="56"/>
      <c r="M2" s="56"/>
      <c r="N2" s="56"/>
      <c r="O2" s="56"/>
      <c r="P2" s="56"/>
      <c r="Q2" s="56"/>
      <c r="R2" s="56"/>
      <c r="S2" s="56"/>
      <c r="T2" s="56"/>
      <c r="U2" s="56"/>
      <c r="V2" s="56"/>
    </row>
    <row r="3" spans="1:22" ht="12.75" customHeight="1">
      <c r="A3" s="57" t="s">
        <v>42</v>
      </c>
      <c r="B3" s="57"/>
      <c r="C3" s="57"/>
      <c r="D3" s="57"/>
      <c r="E3" s="57"/>
      <c r="F3" s="57"/>
      <c r="G3" s="57"/>
      <c r="H3" s="57"/>
      <c r="I3" s="57"/>
      <c r="J3" s="57"/>
      <c r="K3" s="57"/>
      <c r="L3" s="57"/>
      <c r="M3" s="57"/>
      <c r="N3" s="57"/>
      <c r="O3" s="57"/>
      <c r="P3" s="57"/>
      <c r="Q3" s="57"/>
      <c r="R3" s="57"/>
      <c r="S3" s="57"/>
      <c r="T3" s="57"/>
      <c r="U3" s="57"/>
      <c r="V3" s="57"/>
    </row>
    <row r="4" spans="1:22" ht="6" customHeight="1"/>
    <row r="5" spans="1:22" ht="18" customHeight="1">
      <c r="A5" s="19" t="s">
        <v>43</v>
      </c>
      <c r="B5" s="20" t="s">
        <v>44</v>
      </c>
      <c r="C5" s="21" t="s">
        <v>45</v>
      </c>
      <c r="D5" s="21" t="s">
        <v>46</v>
      </c>
      <c r="E5" s="21" t="s">
        <v>47</v>
      </c>
      <c r="F5" s="21" t="s">
        <v>48</v>
      </c>
      <c r="G5" s="21" t="s">
        <v>49</v>
      </c>
      <c r="H5" s="21" t="s">
        <v>50</v>
      </c>
      <c r="I5" s="21" t="s">
        <v>51</v>
      </c>
      <c r="J5" s="21" t="s">
        <v>52</v>
      </c>
      <c r="K5" s="21" t="s">
        <v>53</v>
      </c>
      <c r="L5" s="21" t="s">
        <v>54</v>
      </c>
      <c r="M5" s="21" t="s">
        <v>55</v>
      </c>
      <c r="N5" s="21" t="s">
        <v>56</v>
      </c>
      <c r="O5" s="21" t="s">
        <v>57</v>
      </c>
      <c r="P5" s="21" t="s">
        <v>58</v>
      </c>
      <c r="Q5" s="21" t="s">
        <v>59</v>
      </c>
      <c r="R5" s="21" t="s">
        <v>60</v>
      </c>
      <c r="S5" s="21" t="s">
        <v>61</v>
      </c>
      <c r="T5" s="21" t="s">
        <v>62</v>
      </c>
      <c r="U5" s="21" t="s">
        <v>63</v>
      </c>
      <c r="V5" s="21" t="s">
        <v>64</v>
      </c>
    </row>
    <row r="6" spans="1:22" ht="15" customHeight="1">
      <c r="A6" s="54" t="s">
        <v>65</v>
      </c>
      <c r="B6" s="54"/>
      <c r="C6" s="54"/>
      <c r="D6" s="54"/>
      <c r="E6" s="54"/>
      <c r="F6" s="54"/>
      <c r="G6" s="54"/>
      <c r="H6" s="54"/>
      <c r="I6" s="54"/>
      <c r="J6" s="54"/>
      <c r="K6" s="54"/>
      <c r="L6" s="54"/>
      <c r="M6" s="54"/>
      <c r="N6" s="54"/>
      <c r="O6" s="54"/>
      <c r="P6" s="54"/>
      <c r="Q6" s="54"/>
      <c r="R6" s="54"/>
      <c r="S6" s="54"/>
      <c r="T6" s="54"/>
      <c r="U6" s="54"/>
      <c r="V6" s="54"/>
    </row>
    <row r="7" spans="1:22" ht="15" customHeight="1">
      <c r="A7" s="22" t="s">
        <v>66</v>
      </c>
      <c r="B7" s="23"/>
      <c r="C7" s="24">
        <v>15010.38</v>
      </c>
      <c r="D7" s="24">
        <v>15385.7</v>
      </c>
      <c r="E7" s="24">
        <v>15754.04</v>
      </c>
      <c r="F7" s="24">
        <v>16186.04</v>
      </c>
      <c r="G7" s="24">
        <v>17043.8</v>
      </c>
      <c r="H7" s="24">
        <v>17513.48</v>
      </c>
      <c r="I7" s="24">
        <v>18111.63</v>
      </c>
      <c r="J7" s="24">
        <v>19003</v>
      </c>
      <c r="K7" s="24">
        <v>19799.82</v>
      </c>
      <c r="L7" s="24">
        <v>21025.8</v>
      </c>
      <c r="M7" s="24">
        <v>21855.56</v>
      </c>
      <c r="N7" s="24">
        <v>22644.15</v>
      </c>
      <c r="O7" s="24">
        <v>23678.1</v>
      </c>
      <c r="P7" s="24">
        <v>24289.82</v>
      </c>
      <c r="Q7" s="24">
        <v>25749.63</v>
      </c>
      <c r="R7" s="24">
        <v>26617.37</v>
      </c>
      <c r="S7" s="24">
        <v>27533.16</v>
      </c>
      <c r="T7" s="24">
        <v>28885.54</v>
      </c>
      <c r="U7" s="24">
        <v>29538.76</v>
      </c>
      <c r="V7" s="24">
        <v>30957.45</v>
      </c>
    </row>
    <row r="8" spans="1:22" ht="15" customHeight="1">
      <c r="A8" s="25" t="s">
        <v>67</v>
      </c>
      <c r="B8" s="26"/>
      <c r="C8" s="27">
        <v>4519.1899999999996</v>
      </c>
      <c r="D8" s="27">
        <v>4724.04</v>
      </c>
      <c r="E8" s="27">
        <v>5110.5200000000004</v>
      </c>
      <c r="F8" s="27">
        <v>5400.4</v>
      </c>
      <c r="G8" s="27">
        <v>5786.36</v>
      </c>
      <c r="H8" s="27">
        <v>6093.86</v>
      </c>
      <c r="I8" s="27">
        <v>6393.42</v>
      </c>
      <c r="J8" s="27">
        <v>6656.6</v>
      </c>
      <c r="K8" s="27">
        <v>6826.06</v>
      </c>
      <c r="L8" s="27">
        <v>7080.16</v>
      </c>
      <c r="M8" s="27">
        <v>7677.55</v>
      </c>
      <c r="N8" s="27">
        <v>8115.62</v>
      </c>
      <c r="O8" s="27">
        <v>8543.52</v>
      </c>
      <c r="P8" s="27">
        <v>9218.58</v>
      </c>
      <c r="Q8" s="27">
        <v>9783.9599999999991</v>
      </c>
      <c r="R8" s="27">
        <v>10601.92</v>
      </c>
      <c r="S8" s="27">
        <v>11094.4</v>
      </c>
      <c r="T8" s="27">
        <v>11515.42</v>
      </c>
      <c r="U8" s="27">
        <v>12439.49</v>
      </c>
      <c r="V8" s="27">
        <v>12870.5</v>
      </c>
    </row>
    <row r="9" spans="1:22" ht="15" customHeight="1">
      <c r="A9" s="22" t="s">
        <v>68</v>
      </c>
      <c r="B9" s="23"/>
      <c r="C9" s="24">
        <v>1037.18</v>
      </c>
      <c r="D9" s="24">
        <v>1081.4000000000001</v>
      </c>
      <c r="E9" s="24">
        <v>1161.02</v>
      </c>
      <c r="F9" s="24">
        <v>1242.8900000000001</v>
      </c>
      <c r="G9" s="24">
        <v>1302.33</v>
      </c>
      <c r="H9" s="24">
        <v>1299.68</v>
      </c>
      <c r="I9" s="24">
        <v>1295.5999999999999</v>
      </c>
      <c r="J9" s="24">
        <v>1338.23</v>
      </c>
      <c r="K9" s="24">
        <v>1419.29</v>
      </c>
      <c r="L9" s="24">
        <v>1421.41</v>
      </c>
      <c r="M9" s="24">
        <v>1462.68</v>
      </c>
      <c r="N9" s="24">
        <v>1465.43</v>
      </c>
      <c r="O9" s="24">
        <v>1494.42</v>
      </c>
      <c r="P9" s="24">
        <v>1487.63</v>
      </c>
      <c r="Q9" s="24">
        <v>1519.43</v>
      </c>
      <c r="R9" s="24">
        <v>1575.45</v>
      </c>
      <c r="S9" s="24">
        <v>1592.88</v>
      </c>
      <c r="T9" s="24">
        <v>1685.23</v>
      </c>
      <c r="U9" s="24">
        <v>1684.27</v>
      </c>
      <c r="V9" s="24">
        <v>1704.34</v>
      </c>
    </row>
    <row r="10" spans="1:22" ht="15" customHeight="1">
      <c r="A10" s="25" t="s">
        <v>69</v>
      </c>
      <c r="B10" s="26"/>
      <c r="C10" s="27">
        <v>418.22</v>
      </c>
      <c r="D10" s="27">
        <v>422.57</v>
      </c>
      <c r="E10" s="27">
        <v>442.17</v>
      </c>
      <c r="F10" s="27">
        <v>444.55</v>
      </c>
      <c r="G10" s="27">
        <v>462.11</v>
      </c>
      <c r="H10" s="27">
        <v>490.86</v>
      </c>
      <c r="I10" s="27">
        <v>482.56</v>
      </c>
      <c r="J10" s="27">
        <v>509.77</v>
      </c>
      <c r="K10" s="27">
        <v>525.04999999999995</v>
      </c>
      <c r="L10" s="27">
        <v>548.53</v>
      </c>
      <c r="M10" s="27">
        <v>565.42999999999995</v>
      </c>
      <c r="N10" s="27">
        <v>571.54999999999995</v>
      </c>
      <c r="O10" s="27">
        <v>559.91999999999996</v>
      </c>
      <c r="P10" s="27">
        <v>551.16999999999996</v>
      </c>
      <c r="Q10" s="27">
        <v>544.23</v>
      </c>
      <c r="R10" s="27">
        <v>537.57000000000005</v>
      </c>
      <c r="S10" s="27">
        <v>529.27</v>
      </c>
      <c r="T10" s="27">
        <v>524.37</v>
      </c>
      <c r="U10" s="27">
        <v>538.05999999999995</v>
      </c>
      <c r="V10" s="27">
        <v>563.38</v>
      </c>
    </row>
    <row r="11" spans="1:22" ht="15" customHeight="1">
      <c r="A11" s="28" t="s">
        <v>70</v>
      </c>
      <c r="B11" s="29"/>
      <c r="C11" s="30">
        <v>20984.97</v>
      </c>
      <c r="D11" s="30">
        <v>21613.71</v>
      </c>
      <c r="E11" s="30">
        <v>22467.75</v>
      </c>
      <c r="F11" s="30">
        <v>23273.88</v>
      </c>
      <c r="G11" s="30">
        <v>24594.6</v>
      </c>
      <c r="H11" s="30">
        <v>25397.88</v>
      </c>
      <c r="I11" s="30">
        <v>26283.21</v>
      </c>
      <c r="J11" s="30">
        <v>27507.599999999999</v>
      </c>
      <c r="K11" s="30">
        <v>28570.22</v>
      </c>
      <c r="L11" s="30">
        <v>30075.9</v>
      </c>
      <c r="M11" s="30">
        <v>31561.22</v>
      </c>
      <c r="N11" s="30">
        <v>32796.75</v>
      </c>
      <c r="O11" s="30">
        <v>34275.96</v>
      </c>
      <c r="P11" s="30">
        <v>35547.199999999997</v>
      </c>
      <c r="Q11" s="30">
        <v>37597.25</v>
      </c>
      <c r="R11" s="30">
        <v>39332.31</v>
      </c>
      <c r="S11" s="30">
        <v>40749.71</v>
      </c>
      <c r="T11" s="30">
        <v>42610.559999999998</v>
      </c>
      <c r="U11" s="30">
        <v>44200.58</v>
      </c>
      <c r="V11" s="30">
        <v>46095.67</v>
      </c>
    </row>
    <row r="12" spans="1:22" ht="4.5" customHeight="1"/>
    <row r="13" spans="1:22" ht="15" customHeight="1">
      <c r="A13" s="54" t="s">
        <v>71</v>
      </c>
      <c r="B13" s="54"/>
      <c r="C13" s="54"/>
      <c r="D13" s="54"/>
      <c r="E13" s="54"/>
      <c r="F13" s="54"/>
      <c r="G13" s="54"/>
      <c r="H13" s="54"/>
      <c r="I13" s="54"/>
      <c r="J13" s="54"/>
      <c r="K13" s="54"/>
      <c r="L13" s="54"/>
      <c r="M13" s="54"/>
      <c r="N13" s="54"/>
      <c r="O13" s="54"/>
      <c r="P13" s="54"/>
      <c r="Q13" s="54"/>
      <c r="R13" s="54"/>
      <c r="S13" s="54"/>
      <c r="T13" s="54"/>
      <c r="U13" s="54"/>
      <c r="V13" s="54"/>
    </row>
    <row r="14" spans="1:22" ht="15" customHeight="1">
      <c r="A14" s="22" t="s">
        <v>72</v>
      </c>
      <c r="B14" s="23"/>
      <c r="C14" s="24">
        <v>7876.96</v>
      </c>
      <c r="D14" s="24">
        <v>8085.77</v>
      </c>
      <c r="E14" s="24">
        <v>8095.61</v>
      </c>
      <c r="F14" s="24">
        <v>8500.2199999999993</v>
      </c>
      <c r="G14" s="24">
        <v>8777.1299999999992</v>
      </c>
      <c r="H14" s="24">
        <v>8987.19</v>
      </c>
      <c r="I14" s="24">
        <v>9356.5300000000007</v>
      </c>
      <c r="J14" s="24">
        <v>9907.61</v>
      </c>
      <c r="K14" s="24">
        <v>10152.61</v>
      </c>
      <c r="L14" s="24">
        <v>10837.98</v>
      </c>
      <c r="M14" s="24">
        <v>11329.61</v>
      </c>
      <c r="N14" s="24">
        <v>11891.75</v>
      </c>
      <c r="O14" s="24">
        <v>12274.5</v>
      </c>
      <c r="P14" s="24">
        <v>12597.31</v>
      </c>
      <c r="Q14" s="24">
        <v>13336.65</v>
      </c>
      <c r="R14" s="24">
        <v>13667.56</v>
      </c>
      <c r="S14" s="24">
        <v>14484.45</v>
      </c>
      <c r="T14" s="24">
        <v>15215.99</v>
      </c>
      <c r="U14" s="24">
        <v>15464.92</v>
      </c>
      <c r="V14" s="24">
        <v>16047.64</v>
      </c>
    </row>
    <row r="15" spans="1:22" ht="15" customHeight="1">
      <c r="A15" s="25" t="s">
        <v>73</v>
      </c>
      <c r="B15" s="26"/>
      <c r="C15" s="27">
        <v>1713.24</v>
      </c>
      <c r="D15" s="27">
        <v>1780.88</v>
      </c>
      <c r="E15" s="27">
        <v>1954.62</v>
      </c>
      <c r="F15" s="27">
        <v>2065.4</v>
      </c>
      <c r="G15" s="27">
        <v>2181.29</v>
      </c>
      <c r="H15" s="27">
        <v>2352.15</v>
      </c>
      <c r="I15" s="27">
        <v>2452.08</v>
      </c>
      <c r="J15" s="27">
        <v>2499.54</v>
      </c>
      <c r="K15" s="27">
        <v>2627.68</v>
      </c>
      <c r="L15" s="27">
        <v>2710.21</v>
      </c>
      <c r="M15" s="27">
        <v>2886.72</v>
      </c>
      <c r="N15" s="27">
        <v>3057.5</v>
      </c>
      <c r="O15" s="27">
        <v>3280.92</v>
      </c>
      <c r="P15" s="27">
        <v>3441.13</v>
      </c>
      <c r="Q15" s="27">
        <v>3708.17</v>
      </c>
      <c r="R15" s="27">
        <v>4107.41</v>
      </c>
      <c r="S15" s="27">
        <v>4172.6000000000004</v>
      </c>
      <c r="T15" s="27">
        <v>4376.4399999999996</v>
      </c>
      <c r="U15" s="27">
        <v>4808.05</v>
      </c>
      <c r="V15" s="27">
        <v>4967.93</v>
      </c>
    </row>
    <row r="16" spans="1:22" ht="15" customHeight="1">
      <c r="A16" s="22" t="s">
        <v>74</v>
      </c>
      <c r="B16" s="23"/>
      <c r="C16" s="24">
        <v>299.47000000000003</v>
      </c>
      <c r="D16" s="24">
        <v>301.79000000000002</v>
      </c>
      <c r="E16" s="24">
        <v>334.42</v>
      </c>
      <c r="F16" s="24">
        <v>329.28</v>
      </c>
      <c r="G16" s="24">
        <v>366.35</v>
      </c>
      <c r="H16" s="24">
        <v>354.86</v>
      </c>
      <c r="I16" s="24">
        <v>361.26</v>
      </c>
      <c r="J16" s="24">
        <v>373.7</v>
      </c>
      <c r="K16" s="24">
        <v>380.4</v>
      </c>
      <c r="L16" s="24">
        <v>401.01</v>
      </c>
      <c r="M16" s="24">
        <v>409.85</v>
      </c>
      <c r="N16" s="24">
        <v>427.25</v>
      </c>
      <c r="O16" s="24">
        <v>417.72</v>
      </c>
      <c r="P16" s="24">
        <v>405.32</v>
      </c>
      <c r="Q16" s="24">
        <v>407.77</v>
      </c>
      <c r="R16" s="24">
        <v>438.98</v>
      </c>
      <c r="S16" s="24">
        <v>417.87</v>
      </c>
      <c r="T16" s="24">
        <v>449.3</v>
      </c>
      <c r="U16" s="24">
        <v>453.1</v>
      </c>
      <c r="V16" s="24">
        <v>474.62</v>
      </c>
    </row>
    <row r="17" spans="1:22" ht="15" customHeight="1">
      <c r="A17" s="28" t="s">
        <v>75</v>
      </c>
      <c r="B17" s="29"/>
      <c r="C17" s="30">
        <v>9889.67</v>
      </c>
      <c r="D17" s="30">
        <v>10168.44</v>
      </c>
      <c r="E17" s="30">
        <v>10384.65</v>
      </c>
      <c r="F17" s="30">
        <v>10894.9</v>
      </c>
      <c r="G17" s="30">
        <v>11324.77</v>
      </c>
      <c r="H17" s="30">
        <v>11694.2</v>
      </c>
      <c r="I17" s="30">
        <v>12169.87</v>
      </c>
      <c r="J17" s="30">
        <v>12780.85</v>
      </c>
      <c r="K17" s="30">
        <v>13160.69</v>
      </c>
      <c r="L17" s="30">
        <v>13949.2</v>
      </c>
      <c r="M17" s="30">
        <v>14626.18</v>
      </c>
      <c r="N17" s="30">
        <v>15376.5</v>
      </c>
      <c r="O17" s="30">
        <v>15973.14</v>
      </c>
      <c r="P17" s="30">
        <v>16443.759999999998</v>
      </c>
      <c r="Q17" s="30">
        <v>17452.59</v>
      </c>
      <c r="R17" s="30">
        <v>18213.95</v>
      </c>
      <c r="S17" s="30">
        <v>19074.919999999998</v>
      </c>
      <c r="T17" s="30">
        <v>20041.73</v>
      </c>
      <c r="U17" s="30">
        <v>20726.07</v>
      </c>
      <c r="V17" s="30">
        <v>21490.19</v>
      </c>
    </row>
    <row r="18" spans="1:22" ht="4.5" customHeight="1"/>
    <row r="19" spans="1:22" ht="15" customHeight="1">
      <c r="A19" s="31" t="s">
        <v>76</v>
      </c>
      <c r="B19" s="32"/>
      <c r="C19" s="33">
        <v>11095.3</v>
      </c>
      <c r="D19" s="33">
        <v>11445.27</v>
      </c>
      <c r="E19" s="33">
        <v>12083.1</v>
      </c>
      <c r="F19" s="33">
        <v>12378.98</v>
      </c>
      <c r="G19" s="33">
        <v>13269.83</v>
      </c>
      <c r="H19" s="33">
        <v>13703.68</v>
      </c>
      <c r="I19" s="33">
        <v>14113.34</v>
      </c>
      <c r="J19" s="33">
        <v>14726.75</v>
      </c>
      <c r="K19" s="33">
        <v>15409.53</v>
      </c>
      <c r="L19" s="33">
        <v>16126.7</v>
      </c>
      <c r="M19" s="33">
        <v>16935.04</v>
      </c>
      <c r="N19" s="33">
        <v>17420.25</v>
      </c>
      <c r="O19" s="33">
        <v>18302.82</v>
      </c>
      <c r="P19" s="33">
        <v>19103.439999999999</v>
      </c>
      <c r="Q19" s="33">
        <v>20144.66</v>
      </c>
      <c r="R19" s="33">
        <v>21118.36</v>
      </c>
      <c r="S19" s="33">
        <v>21674.79</v>
      </c>
      <c r="T19" s="33">
        <v>22568.83</v>
      </c>
      <c r="U19" s="33">
        <v>23474.51</v>
      </c>
      <c r="V19" s="33">
        <v>24605.48</v>
      </c>
    </row>
    <row r="20" spans="1:22" ht="15" customHeight="1">
      <c r="A20" s="34" t="s">
        <v>77</v>
      </c>
      <c r="B20" s="35"/>
      <c r="C20" s="36">
        <v>0.52872600000000003</v>
      </c>
      <c r="D20" s="36">
        <v>0.52953799999999995</v>
      </c>
      <c r="E20" s="36">
        <v>0.537798</v>
      </c>
      <c r="F20" s="36">
        <v>0.53188299999999999</v>
      </c>
      <c r="G20" s="36">
        <v>0.53954199999999997</v>
      </c>
      <c r="H20" s="36">
        <v>0.53956000000000004</v>
      </c>
      <c r="I20" s="36">
        <v>0.536972</v>
      </c>
      <c r="J20" s="36">
        <v>0.53537000000000001</v>
      </c>
      <c r="K20" s="36">
        <v>0.53935599999999995</v>
      </c>
      <c r="L20" s="36">
        <v>0.53620000000000001</v>
      </c>
      <c r="M20" s="36">
        <v>0.53657699999999997</v>
      </c>
      <c r="N20" s="36">
        <v>0.53115800000000002</v>
      </c>
      <c r="O20" s="36">
        <v>0.53398400000000001</v>
      </c>
      <c r="P20" s="36">
        <v>0.53741099999999997</v>
      </c>
      <c r="Q20" s="36">
        <v>0.53580099999999997</v>
      </c>
      <c r="R20" s="36">
        <v>0.53692099999999998</v>
      </c>
      <c r="S20" s="36">
        <v>0.53190000000000004</v>
      </c>
      <c r="T20" s="36">
        <v>0.52965300000000004</v>
      </c>
      <c r="U20" s="36">
        <v>0.53109099999999998</v>
      </c>
      <c r="V20" s="36">
        <v>0.53379200000000004</v>
      </c>
    </row>
    <row r="21" spans="1:22" ht="15" customHeight="1">
      <c r="A21" s="34" t="s">
        <v>78</v>
      </c>
      <c r="B21" s="35"/>
      <c r="C21" s="36"/>
      <c r="D21" s="36"/>
      <c r="E21" s="36"/>
      <c r="F21" s="36"/>
      <c r="G21" s="36">
        <v>0.19598699999999999</v>
      </c>
      <c r="H21" s="36">
        <v>0.197323</v>
      </c>
      <c r="I21" s="36">
        <v>0.16802300000000001</v>
      </c>
      <c r="J21" s="36">
        <v>0.18965799999999999</v>
      </c>
      <c r="K21" s="36">
        <v>0.161245</v>
      </c>
      <c r="L21" s="36">
        <v>0.176815</v>
      </c>
      <c r="M21" s="36">
        <v>0.199931</v>
      </c>
      <c r="N21" s="36">
        <v>0.18289800000000001</v>
      </c>
      <c r="O21" s="36">
        <v>0.18776000000000001</v>
      </c>
      <c r="P21" s="36">
        <v>0.184585</v>
      </c>
      <c r="Q21" s="36">
        <v>0.189525</v>
      </c>
      <c r="R21" s="36">
        <v>0.212288</v>
      </c>
      <c r="S21" s="36">
        <v>0.18423200000000001</v>
      </c>
      <c r="T21" s="36">
        <v>0.18140100000000001</v>
      </c>
      <c r="U21" s="36">
        <v>0.165297</v>
      </c>
      <c r="V21" s="36">
        <v>0.16512299999999999</v>
      </c>
    </row>
    <row r="22" spans="1:22" ht="4.5" customHeight="1"/>
    <row r="23" spans="1:22" ht="15" customHeight="1">
      <c r="A23" s="54" t="s">
        <v>79</v>
      </c>
      <c r="B23" s="54"/>
      <c r="C23" s="54"/>
      <c r="D23" s="54"/>
      <c r="E23" s="54"/>
      <c r="F23" s="54"/>
      <c r="G23" s="54"/>
      <c r="H23" s="54"/>
      <c r="I23" s="54"/>
      <c r="J23" s="54"/>
      <c r="K23" s="54"/>
      <c r="L23" s="54"/>
      <c r="M23" s="54"/>
      <c r="N23" s="54"/>
      <c r="O23" s="54"/>
      <c r="P23" s="54"/>
      <c r="Q23" s="54"/>
      <c r="R23" s="54"/>
      <c r="S23" s="54"/>
      <c r="T23" s="54"/>
      <c r="U23" s="54"/>
      <c r="V23" s="54"/>
    </row>
    <row r="24" spans="1:22" ht="15" customHeight="1">
      <c r="A24" s="25" t="s">
        <v>14</v>
      </c>
      <c r="B24" s="26"/>
      <c r="C24" s="27">
        <v>1680.74</v>
      </c>
      <c r="D24" s="27">
        <v>1894.23</v>
      </c>
      <c r="E24" s="27">
        <v>1791.73</v>
      </c>
      <c r="F24" s="27">
        <v>2030.44</v>
      </c>
      <c r="G24" s="27">
        <v>2152.39</v>
      </c>
      <c r="H24" s="27">
        <v>2257.5700000000002</v>
      </c>
      <c r="I24" s="27">
        <v>2388.1</v>
      </c>
      <c r="J24" s="27">
        <v>2219.86</v>
      </c>
      <c r="K24" s="27">
        <v>2593.2600000000002</v>
      </c>
      <c r="L24" s="27">
        <v>2482.12</v>
      </c>
      <c r="M24" s="27">
        <v>2632.16</v>
      </c>
      <c r="N24" s="27">
        <v>2584.3000000000002</v>
      </c>
      <c r="O24" s="27">
        <v>2930.87</v>
      </c>
      <c r="P24" s="27">
        <v>2737.87</v>
      </c>
      <c r="Q24" s="27">
        <v>3081.79</v>
      </c>
      <c r="R24" s="27">
        <v>3451.68</v>
      </c>
      <c r="S24" s="27">
        <v>3625.12</v>
      </c>
      <c r="T24" s="27">
        <v>3395.11</v>
      </c>
      <c r="U24" s="27">
        <v>3958.51</v>
      </c>
      <c r="V24" s="27">
        <v>3876.92</v>
      </c>
    </row>
    <row r="25" spans="1:22" ht="15" customHeight="1">
      <c r="A25" s="37" t="s">
        <v>80</v>
      </c>
      <c r="B25" s="23"/>
      <c r="C25" s="38">
        <v>8.0092999999999998E-2</v>
      </c>
      <c r="D25" s="38">
        <v>8.7639999999999996E-2</v>
      </c>
      <c r="E25" s="38">
        <v>7.9746999999999998E-2</v>
      </c>
      <c r="F25" s="38">
        <v>8.7240999999999999E-2</v>
      </c>
      <c r="G25" s="38">
        <v>8.7514999999999996E-2</v>
      </c>
      <c r="H25" s="38">
        <v>8.8887999999999995E-2</v>
      </c>
      <c r="I25" s="38">
        <v>9.0859999999999996E-2</v>
      </c>
      <c r="J25" s="38">
        <v>8.0699999999999994E-2</v>
      </c>
      <c r="K25" s="38">
        <v>9.0768000000000001E-2</v>
      </c>
      <c r="L25" s="38">
        <v>8.2529000000000005E-2</v>
      </c>
      <c r="M25" s="38">
        <v>8.3399000000000001E-2</v>
      </c>
      <c r="N25" s="38">
        <v>7.8797000000000006E-2</v>
      </c>
      <c r="O25" s="38">
        <v>8.5508000000000001E-2</v>
      </c>
      <c r="P25" s="38">
        <v>7.7021000000000006E-2</v>
      </c>
      <c r="Q25" s="38">
        <v>8.1967999999999999E-2</v>
      </c>
      <c r="R25" s="38">
        <v>8.7757000000000002E-2</v>
      </c>
      <c r="S25" s="38">
        <v>8.8960999999999998E-2</v>
      </c>
      <c r="T25" s="38">
        <v>7.9677999999999999E-2</v>
      </c>
      <c r="U25" s="38">
        <v>8.9557999999999999E-2</v>
      </c>
      <c r="V25" s="38">
        <v>8.4106E-2</v>
      </c>
    </row>
    <row r="26" spans="1:22" ht="15" customHeight="1">
      <c r="A26" s="22" t="s">
        <v>81</v>
      </c>
      <c r="B26" s="23"/>
      <c r="C26" s="24">
        <v>1424.34</v>
      </c>
      <c r="D26" s="24">
        <v>1631.4</v>
      </c>
      <c r="E26" s="24">
        <v>1692.83</v>
      </c>
      <c r="F26" s="24">
        <v>1665.3</v>
      </c>
      <c r="G26" s="24">
        <v>1781.5</v>
      </c>
      <c r="H26" s="24">
        <v>1871.25</v>
      </c>
      <c r="I26" s="24">
        <v>1940.85</v>
      </c>
      <c r="J26" s="24">
        <v>2082.62</v>
      </c>
      <c r="K26" s="24">
        <v>2164.63</v>
      </c>
      <c r="L26" s="24">
        <v>2039.27</v>
      </c>
      <c r="M26" s="24">
        <v>2060.59</v>
      </c>
      <c r="N26" s="24">
        <v>2180.0700000000002</v>
      </c>
      <c r="O26" s="24">
        <v>2375.5</v>
      </c>
      <c r="P26" s="24">
        <v>2599.4699999999998</v>
      </c>
      <c r="Q26" s="24">
        <v>2949.73</v>
      </c>
      <c r="R26" s="24">
        <v>2786.1</v>
      </c>
      <c r="S26" s="24">
        <v>2859.37</v>
      </c>
      <c r="T26" s="24">
        <v>3102.1</v>
      </c>
      <c r="U26" s="24">
        <v>3459.86</v>
      </c>
      <c r="V26" s="24">
        <v>3375.69</v>
      </c>
    </row>
    <row r="27" spans="1:22" ht="15" customHeight="1">
      <c r="A27" s="25" t="s">
        <v>82</v>
      </c>
      <c r="B27" s="26"/>
      <c r="C27" s="27">
        <v>955.7</v>
      </c>
      <c r="D27" s="27">
        <v>1104.03</v>
      </c>
      <c r="E27" s="27">
        <v>1211.05</v>
      </c>
      <c r="F27" s="27">
        <v>1199.1500000000001</v>
      </c>
      <c r="G27" s="27">
        <v>1150.57</v>
      </c>
      <c r="H27" s="27">
        <v>1119.21</v>
      </c>
      <c r="I27" s="27">
        <v>1249.24</v>
      </c>
      <c r="J27" s="27">
        <v>1197.73</v>
      </c>
      <c r="K27" s="27">
        <v>1244.75</v>
      </c>
      <c r="L27" s="27">
        <v>1424.35</v>
      </c>
      <c r="M27" s="27">
        <v>1647.58</v>
      </c>
      <c r="N27" s="27">
        <v>1653.68</v>
      </c>
      <c r="O27" s="27">
        <v>1611.59</v>
      </c>
      <c r="P27" s="27">
        <v>1900.07</v>
      </c>
      <c r="Q27" s="27">
        <v>1659.77</v>
      </c>
      <c r="R27" s="27">
        <v>1770.03</v>
      </c>
      <c r="S27" s="27">
        <v>1845.27</v>
      </c>
      <c r="T27" s="27">
        <v>2082.46</v>
      </c>
      <c r="U27" s="27">
        <v>2328.36</v>
      </c>
      <c r="V27" s="27">
        <v>2147.6799999999998</v>
      </c>
    </row>
    <row r="28" spans="1:22" ht="15" customHeight="1">
      <c r="A28" s="37" t="s">
        <v>83</v>
      </c>
      <c r="B28" s="23"/>
      <c r="C28" s="38">
        <v>0.113416</v>
      </c>
      <c r="D28" s="38">
        <v>0.12656000000000001</v>
      </c>
      <c r="E28" s="38">
        <v>0.129247</v>
      </c>
      <c r="F28" s="38">
        <v>0.123076</v>
      </c>
      <c r="G28" s="38">
        <v>0.119216</v>
      </c>
      <c r="H28" s="38">
        <v>0.117744</v>
      </c>
      <c r="I28" s="38">
        <v>0.121374</v>
      </c>
      <c r="J28" s="38">
        <v>0.119252</v>
      </c>
      <c r="K28" s="38">
        <v>0.11933299999999999</v>
      </c>
      <c r="L28" s="38">
        <v>0.115163</v>
      </c>
      <c r="M28" s="38">
        <v>0.117491</v>
      </c>
      <c r="N28" s="38">
        <v>0.116894</v>
      </c>
      <c r="O28" s="38">
        <v>0.116323</v>
      </c>
      <c r="P28" s="38">
        <v>0.126579</v>
      </c>
      <c r="Q28" s="38">
        <v>0.122602</v>
      </c>
      <c r="R28" s="38">
        <v>0.115837</v>
      </c>
      <c r="S28" s="38">
        <v>0.115452</v>
      </c>
      <c r="T28" s="38">
        <v>0.121673</v>
      </c>
      <c r="U28" s="38">
        <v>0.13095300000000001</v>
      </c>
      <c r="V28" s="38">
        <v>0.119824</v>
      </c>
    </row>
    <row r="29" spans="1:22" ht="15" customHeight="1">
      <c r="A29" s="22" t="s">
        <v>84</v>
      </c>
      <c r="B29" s="23"/>
      <c r="C29" s="24">
        <v>327.38</v>
      </c>
      <c r="D29" s="24">
        <v>336.38</v>
      </c>
      <c r="E29" s="24">
        <v>339.46</v>
      </c>
      <c r="F29" s="24">
        <v>348.19</v>
      </c>
      <c r="G29" s="24">
        <v>357.09</v>
      </c>
      <c r="H29" s="24">
        <v>360.33</v>
      </c>
      <c r="I29" s="24">
        <v>359.17</v>
      </c>
      <c r="J29" s="24">
        <v>356.65</v>
      </c>
      <c r="K29" s="24">
        <v>356.5</v>
      </c>
      <c r="L29" s="24">
        <v>359.49</v>
      </c>
      <c r="M29" s="24">
        <v>356.12</v>
      </c>
      <c r="N29" s="24">
        <v>357.26</v>
      </c>
      <c r="O29" s="24">
        <v>360.74</v>
      </c>
      <c r="P29" s="24">
        <v>361.98</v>
      </c>
      <c r="Q29" s="24">
        <v>368.99</v>
      </c>
      <c r="R29" s="24">
        <v>373.7</v>
      </c>
      <c r="S29" s="24">
        <v>377.93</v>
      </c>
      <c r="T29" s="24">
        <v>383.73</v>
      </c>
      <c r="U29" s="24">
        <v>388.84</v>
      </c>
      <c r="V29" s="24">
        <v>391.39</v>
      </c>
    </row>
    <row r="30" spans="1:22" ht="15" customHeight="1">
      <c r="A30" s="25" t="s">
        <v>85</v>
      </c>
      <c r="B30" s="26"/>
      <c r="C30" s="27">
        <v>0</v>
      </c>
      <c r="D30" s="27">
        <v>9</v>
      </c>
      <c r="E30" s="27">
        <v>0</v>
      </c>
      <c r="F30" s="27">
        <v>0</v>
      </c>
      <c r="G30" s="27">
        <v>0</v>
      </c>
      <c r="H30" s="27">
        <v>29</v>
      </c>
      <c r="I30" s="27">
        <v>0</v>
      </c>
      <c r="J30" s="27">
        <v>75</v>
      </c>
      <c r="K30" s="27">
        <v>21</v>
      </c>
      <c r="L30" s="27">
        <v>0</v>
      </c>
      <c r="M30" s="27">
        <v>0</v>
      </c>
      <c r="N30" s="27">
        <v>0</v>
      </c>
      <c r="O30" s="27">
        <v>36</v>
      </c>
      <c r="P30" s="27">
        <v>126</v>
      </c>
      <c r="Q30" s="27">
        <v>147</v>
      </c>
      <c r="R30" s="27">
        <v>0</v>
      </c>
      <c r="S30" s="27">
        <v>130</v>
      </c>
      <c r="T30" s="27">
        <v>27</v>
      </c>
      <c r="U30" s="27">
        <v>0</v>
      </c>
      <c r="V30" s="27">
        <v>116</v>
      </c>
    </row>
    <row r="31" spans="1:22" ht="15" customHeight="1">
      <c r="A31" s="22" t="s">
        <v>86</v>
      </c>
      <c r="B31" s="23"/>
      <c r="C31" s="24">
        <v>0</v>
      </c>
      <c r="D31" s="24">
        <v>179</v>
      </c>
      <c r="E31" s="24">
        <v>0</v>
      </c>
      <c r="F31" s="24">
        <v>0</v>
      </c>
      <c r="G31" s="24">
        <v>0</v>
      </c>
      <c r="H31" s="24">
        <v>0</v>
      </c>
      <c r="I31" s="24">
        <v>0</v>
      </c>
      <c r="J31" s="24">
        <v>0</v>
      </c>
      <c r="K31" s="24">
        <v>0</v>
      </c>
      <c r="L31" s="24">
        <v>0</v>
      </c>
      <c r="M31" s="24">
        <v>0</v>
      </c>
      <c r="N31" s="24">
        <v>0</v>
      </c>
      <c r="O31" s="24">
        <v>0</v>
      </c>
      <c r="P31" s="24">
        <v>183</v>
      </c>
      <c r="Q31" s="24">
        <v>0</v>
      </c>
      <c r="R31" s="24">
        <v>0</v>
      </c>
      <c r="S31" s="24">
        <v>0</v>
      </c>
      <c r="T31" s="24">
        <v>0</v>
      </c>
      <c r="U31" s="24">
        <v>0</v>
      </c>
      <c r="V31" s="24">
        <v>0</v>
      </c>
    </row>
    <row r="32" spans="1:22" ht="15" customHeight="1">
      <c r="A32" s="25" t="s">
        <v>87</v>
      </c>
      <c r="B32" s="26"/>
      <c r="C32" s="27">
        <v>240.04</v>
      </c>
      <c r="D32" s="27">
        <v>322.68</v>
      </c>
      <c r="E32" s="27">
        <v>353.69</v>
      </c>
      <c r="F32" s="27">
        <v>181.58</v>
      </c>
      <c r="G32" s="27">
        <v>373.17</v>
      </c>
      <c r="H32" s="27">
        <v>400.13</v>
      </c>
      <c r="I32" s="27">
        <v>404.39</v>
      </c>
      <c r="J32" s="27">
        <v>405.47</v>
      </c>
      <c r="K32" s="27">
        <v>306.58999999999997</v>
      </c>
      <c r="L32" s="27">
        <v>304.79000000000002</v>
      </c>
      <c r="M32" s="27">
        <v>235.32</v>
      </c>
      <c r="N32" s="27">
        <v>359.63</v>
      </c>
      <c r="O32" s="27">
        <v>342.98</v>
      </c>
      <c r="P32" s="27">
        <v>305.29000000000002</v>
      </c>
      <c r="Q32" s="27">
        <v>617.96</v>
      </c>
      <c r="R32" s="27">
        <v>621.83000000000004</v>
      </c>
      <c r="S32" s="27">
        <v>615.19000000000005</v>
      </c>
      <c r="T32" s="27">
        <v>424.29</v>
      </c>
      <c r="U32" s="27">
        <v>364.04</v>
      </c>
      <c r="V32" s="27">
        <v>519.73</v>
      </c>
    </row>
    <row r="33" spans="1:22" ht="15" customHeight="1">
      <c r="A33" s="28" t="s">
        <v>88</v>
      </c>
      <c r="B33" s="29"/>
      <c r="C33" s="30">
        <v>4628.2</v>
      </c>
      <c r="D33" s="30">
        <v>5476.72</v>
      </c>
      <c r="E33" s="30">
        <v>5388.76</v>
      </c>
      <c r="F33" s="30">
        <v>5424.66</v>
      </c>
      <c r="G33" s="30">
        <v>5814.72</v>
      </c>
      <c r="H33" s="30">
        <v>6037.49</v>
      </c>
      <c r="I33" s="30">
        <v>6341.75</v>
      </c>
      <c r="J33" s="30">
        <v>6337.33</v>
      </c>
      <c r="K33" s="30">
        <v>6686.73</v>
      </c>
      <c r="L33" s="30">
        <v>6610.02</v>
      </c>
      <c r="M33" s="30">
        <v>6931.77</v>
      </c>
      <c r="N33" s="30">
        <v>7134.94</v>
      </c>
      <c r="O33" s="30">
        <v>7657.68</v>
      </c>
      <c r="P33" s="30">
        <v>8213.68</v>
      </c>
      <c r="Q33" s="30">
        <v>8825.24</v>
      </c>
      <c r="R33" s="30">
        <v>9003.34</v>
      </c>
      <c r="S33" s="30">
        <v>9452.8799999999992</v>
      </c>
      <c r="T33" s="30">
        <v>9414.69</v>
      </c>
      <c r="U33" s="30">
        <v>10499.61</v>
      </c>
      <c r="V33" s="30">
        <v>10427.41</v>
      </c>
    </row>
    <row r="34" spans="1:22" ht="4.5" customHeight="1"/>
    <row r="35" spans="1:22" ht="15" customHeight="1">
      <c r="A35" s="31" t="s">
        <v>89</v>
      </c>
      <c r="B35" s="32"/>
      <c r="C35" s="33">
        <v>6467.1</v>
      </c>
      <c r="D35" s="33">
        <v>5968.55</v>
      </c>
      <c r="E35" s="33">
        <v>6694.34</v>
      </c>
      <c r="F35" s="33">
        <v>6954.32</v>
      </c>
      <c r="G35" s="33">
        <v>7455.11</v>
      </c>
      <c r="H35" s="33">
        <v>7666.19</v>
      </c>
      <c r="I35" s="33">
        <v>7771.59</v>
      </c>
      <c r="J35" s="33">
        <v>8389.42</v>
      </c>
      <c r="K35" s="33">
        <v>8722.7999999999993</v>
      </c>
      <c r="L35" s="33">
        <v>9516.68</v>
      </c>
      <c r="M35" s="33">
        <v>10003.27</v>
      </c>
      <c r="N35" s="33">
        <v>10285.31</v>
      </c>
      <c r="O35" s="33">
        <v>10645.14</v>
      </c>
      <c r="P35" s="33">
        <v>10889.76</v>
      </c>
      <c r="Q35" s="33">
        <v>11319.42</v>
      </c>
      <c r="R35" s="33">
        <v>12115.02</v>
      </c>
      <c r="S35" s="33">
        <v>12221.91</v>
      </c>
      <c r="T35" s="33">
        <v>13154.14</v>
      </c>
      <c r="U35" s="33">
        <v>12974.9</v>
      </c>
      <c r="V35" s="33">
        <v>14178.07</v>
      </c>
    </row>
    <row r="36" spans="1:22" ht="15" customHeight="1">
      <c r="A36" s="39" t="s">
        <v>90</v>
      </c>
      <c r="B36" s="23"/>
      <c r="C36" s="38">
        <v>0.30817800000000001</v>
      </c>
      <c r="D36" s="38">
        <v>0.276146</v>
      </c>
      <c r="E36" s="38">
        <v>0.29795300000000002</v>
      </c>
      <c r="F36" s="38">
        <v>0.29880400000000001</v>
      </c>
      <c r="G36" s="38">
        <v>0.30312</v>
      </c>
      <c r="H36" s="38">
        <v>0.301844</v>
      </c>
      <c r="I36" s="38">
        <v>0.295686</v>
      </c>
      <c r="J36" s="38">
        <v>0.30498599999999998</v>
      </c>
      <c r="K36" s="38">
        <v>0.305311</v>
      </c>
      <c r="L36" s="38">
        <v>0.31642199999999998</v>
      </c>
      <c r="M36" s="38">
        <v>0.31694800000000001</v>
      </c>
      <c r="N36" s="38">
        <v>0.313608</v>
      </c>
      <c r="O36" s="38">
        <v>0.31057200000000001</v>
      </c>
      <c r="P36" s="38">
        <v>0.30634600000000001</v>
      </c>
      <c r="Q36" s="38">
        <v>0.30107</v>
      </c>
      <c r="R36" s="38">
        <v>0.30801699999999999</v>
      </c>
      <c r="S36" s="38">
        <v>0.29992600000000003</v>
      </c>
      <c r="T36" s="38">
        <v>0.30870599999999998</v>
      </c>
      <c r="U36" s="38">
        <v>0.29354599999999997</v>
      </c>
      <c r="V36" s="38">
        <v>0.30757899999999999</v>
      </c>
    </row>
    <row r="37" spans="1:22" ht="15" customHeight="1">
      <c r="A37" s="22" t="s">
        <v>91</v>
      </c>
      <c r="B37" s="23"/>
      <c r="C37" s="24">
        <v>886.94</v>
      </c>
      <c r="D37" s="24">
        <v>903.93</v>
      </c>
      <c r="E37" s="24">
        <v>930.38</v>
      </c>
      <c r="F37" s="24">
        <v>946.84</v>
      </c>
      <c r="G37" s="24">
        <v>964.24</v>
      </c>
      <c r="H37" s="24">
        <v>981.68</v>
      </c>
      <c r="I37" s="24">
        <v>1019.14</v>
      </c>
      <c r="J37" s="24">
        <v>1025.6400000000001</v>
      </c>
      <c r="K37" s="24">
        <v>1064.1600000000001</v>
      </c>
      <c r="L37" s="24">
        <v>1095.46</v>
      </c>
      <c r="M37" s="24">
        <v>1124.95</v>
      </c>
      <c r="N37" s="24">
        <v>1161.78</v>
      </c>
      <c r="O37" s="24">
        <v>1168.46</v>
      </c>
      <c r="P37" s="24">
        <v>1214.6400000000001</v>
      </c>
      <c r="Q37" s="24">
        <v>1234.74</v>
      </c>
      <c r="R37" s="24">
        <v>1260.6500000000001</v>
      </c>
      <c r="S37" s="24">
        <v>1292.78</v>
      </c>
      <c r="T37" s="24">
        <v>1345.85</v>
      </c>
      <c r="U37" s="24">
        <v>1364.84</v>
      </c>
      <c r="V37" s="24">
        <v>1400.28</v>
      </c>
    </row>
    <row r="38" spans="1:22" ht="15" customHeight="1">
      <c r="A38" s="28" t="s">
        <v>0</v>
      </c>
      <c r="B38" s="29"/>
      <c r="C38" s="30">
        <v>7354.04</v>
      </c>
      <c r="D38" s="30">
        <v>6872.48</v>
      </c>
      <c r="E38" s="30">
        <v>7624.72</v>
      </c>
      <c r="F38" s="30">
        <v>7901.16</v>
      </c>
      <c r="G38" s="30">
        <v>8419.35</v>
      </c>
      <c r="H38" s="30">
        <v>8647.8700000000008</v>
      </c>
      <c r="I38" s="30">
        <v>8790.73</v>
      </c>
      <c r="J38" s="30">
        <v>9415.06</v>
      </c>
      <c r="K38" s="30">
        <v>9786.9599999999991</v>
      </c>
      <c r="L38" s="30">
        <v>10612.14</v>
      </c>
      <c r="M38" s="30">
        <v>11128.22</v>
      </c>
      <c r="N38" s="30">
        <v>11447.09</v>
      </c>
      <c r="O38" s="30">
        <v>11813.6</v>
      </c>
      <c r="P38" s="30">
        <v>12104.4</v>
      </c>
      <c r="Q38" s="30">
        <v>12554.16</v>
      </c>
      <c r="R38" s="30">
        <v>13375.67</v>
      </c>
      <c r="S38" s="30">
        <v>13514.69</v>
      </c>
      <c r="T38" s="30">
        <v>14499.99</v>
      </c>
      <c r="U38" s="30">
        <v>14339.74</v>
      </c>
      <c r="V38" s="30">
        <v>15578.35</v>
      </c>
    </row>
    <row r="39" spans="1:22" ht="15" customHeight="1">
      <c r="A39" s="40" t="s">
        <v>92</v>
      </c>
      <c r="B39" s="26"/>
      <c r="C39" s="41">
        <v>0.350443</v>
      </c>
      <c r="D39" s="41">
        <v>0.317969</v>
      </c>
      <c r="E39" s="41">
        <v>0.33936300000000003</v>
      </c>
      <c r="F39" s="41">
        <v>0.33948600000000001</v>
      </c>
      <c r="G39" s="41">
        <v>0.34232499999999999</v>
      </c>
      <c r="H39" s="41">
        <v>0.34049600000000002</v>
      </c>
      <c r="I39" s="41">
        <v>0.33446199999999998</v>
      </c>
      <c r="J39" s="41">
        <v>0.34227099999999999</v>
      </c>
      <c r="K39" s="41">
        <v>0.34255799999999997</v>
      </c>
      <c r="L39" s="41">
        <v>0.35284500000000002</v>
      </c>
      <c r="M39" s="41">
        <v>0.35259200000000002</v>
      </c>
      <c r="N39" s="41">
        <v>0.34903099999999998</v>
      </c>
      <c r="O39" s="41">
        <v>0.344661</v>
      </c>
      <c r="P39" s="41">
        <v>0.34051599999999999</v>
      </c>
      <c r="Q39" s="41">
        <v>0.33391199999999999</v>
      </c>
      <c r="R39" s="41">
        <v>0.34006799999999998</v>
      </c>
      <c r="S39" s="41">
        <v>0.33165099999999997</v>
      </c>
      <c r="T39" s="41">
        <v>0.34029100000000001</v>
      </c>
      <c r="U39" s="41">
        <v>0.32442399999999999</v>
      </c>
      <c r="V39" s="41">
        <v>0.33795700000000001</v>
      </c>
    </row>
    <row r="40" spans="1:22" ht="15" customHeight="1">
      <c r="A40" s="34" t="s">
        <v>93</v>
      </c>
      <c r="B40" s="35"/>
      <c r="C40" s="36"/>
      <c r="D40" s="36"/>
      <c r="E40" s="36"/>
      <c r="F40" s="36"/>
      <c r="G40" s="36">
        <v>0.14486099999999999</v>
      </c>
      <c r="H40" s="36">
        <v>0.25833299999999998</v>
      </c>
      <c r="I40" s="36">
        <v>0.15292500000000001</v>
      </c>
      <c r="J40" s="36">
        <v>0.191605</v>
      </c>
      <c r="K40" s="36">
        <v>0.162437</v>
      </c>
      <c r="L40" s="36">
        <v>0.22713900000000001</v>
      </c>
      <c r="M40" s="36">
        <v>0.26590399999999997</v>
      </c>
      <c r="N40" s="36">
        <v>0.21582799999999999</v>
      </c>
      <c r="O40" s="36">
        <v>0.20707600000000001</v>
      </c>
      <c r="P40" s="36">
        <v>0.14061799999999999</v>
      </c>
      <c r="Q40" s="36">
        <v>0.128137</v>
      </c>
      <c r="R40" s="36">
        <v>0.16847799999999999</v>
      </c>
      <c r="S40" s="36">
        <v>0.14399400000000001</v>
      </c>
      <c r="T40" s="36">
        <v>0.197911</v>
      </c>
      <c r="U40" s="36">
        <v>0.14223</v>
      </c>
      <c r="V40" s="36">
        <v>0.16467799999999999</v>
      </c>
    </row>
    <row r="41" spans="1:22" ht="4.5" customHeight="1"/>
    <row r="42" spans="1:22" ht="15" customHeight="1">
      <c r="A42" s="54" t="s">
        <v>94</v>
      </c>
      <c r="B42" s="54"/>
      <c r="C42" s="54"/>
      <c r="D42" s="54"/>
      <c r="E42" s="54"/>
      <c r="F42" s="54"/>
      <c r="G42" s="54"/>
      <c r="H42" s="54"/>
      <c r="I42" s="54"/>
      <c r="J42" s="54"/>
      <c r="K42" s="54"/>
      <c r="L42" s="54"/>
      <c r="M42" s="54"/>
      <c r="N42" s="54"/>
      <c r="O42" s="54"/>
      <c r="P42" s="54"/>
      <c r="Q42" s="54"/>
      <c r="R42" s="54"/>
      <c r="S42" s="54"/>
      <c r="T42" s="54"/>
      <c r="U42" s="54"/>
      <c r="V42" s="54"/>
    </row>
    <row r="43" spans="1:22" ht="15" customHeight="1">
      <c r="A43" s="25" t="s">
        <v>15</v>
      </c>
      <c r="B43" s="26"/>
      <c r="C43" s="27">
        <v>-544.21</v>
      </c>
      <c r="D43" s="27">
        <v>-425.73</v>
      </c>
      <c r="E43" s="27">
        <v>-520.86</v>
      </c>
      <c r="F43" s="27">
        <v>-449.43</v>
      </c>
      <c r="G43" s="27">
        <v>-554.29999999999995</v>
      </c>
      <c r="H43" s="27">
        <v>-545.49</v>
      </c>
      <c r="I43" s="27">
        <v>-592.02</v>
      </c>
      <c r="J43" s="27">
        <v>-501.46</v>
      </c>
      <c r="K43" s="27">
        <v>-560.44000000000005</v>
      </c>
      <c r="L43" s="27">
        <v>-758.05</v>
      </c>
      <c r="M43" s="27">
        <v>-613.49</v>
      </c>
      <c r="N43" s="27">
        <v>-669.18</v>
      </c>
      <c r="O43" s="27">
        <v>-888.21</v>
      </c>
      <c r="P43" s="27">
        <v>-712.25</v>
      </c>
      <c r="Q43" s="27">
        <v>-851.13</v>
      </c>
      <c r="R43" s="27">
        <v>-843.48</v>
      </c>
      <c r="S43" s="27">
        <v>-734.54</v>
      </c>
      <c r="T43" s="27">
        <v>-986.37</v>
      </c>
      <c r="U43" s="27">
        <v>-973.47</v>
      </c>
      <c r="V43" s="27">
        <v>-1175.23</v>
      </c>
    </row>
    <row r="44" spans="1:22" ht="15" customHeight="1">
      <c r="A44" s="22" t="s">
        <v>95</v>
      </c>
      <c r="B44" s="23"/>
      <c r="C44" s="24">
        <v>185.93</v>
      </c>
      <c r="D44" s="24">
        <v>74.44</v>
      </c>
      <c r="E44" s="24">
        <v>146.69999999999999</v>
      </c>
      <c r="F44" s="24">
        <v>117.48</v>
      </c>
      <c r="G44" s="24">
        <v>93.28</v>
      </c>
      <c r="H44" s="24">
        <v>215.92</v>
      </c>
      <c r="I44" s="24">
        <v>93.2</v>
      </c>
      <c r="J44" s="24">
        <v>165.37</v>
      </c>
      <c r="K44" s="24">
        <v>125.59</v>
      </c>
      <c r="L44" s="24">
        <v>193.61</v>
      </c>
      <c r="M44" s="24">
        <v>134.15</v>
      </c>
      <c r="N44" s="24">
        <v>266.58999999999997</v>
      </c>
      <c r="O44" s="24">
        <v>192.56</v>
      </c>
      <c r="P44" s="24">
        <v>149.66</v>
      </c>
      <c r="Q44" s="24">
        <v>293.39999999999998</v>
      </c>
      <c r="R44" s="24">
        <v>149.76</v>
      </c>
      <c r="S44" s="24">
        <v>302.73</v>
      </c>
      <c r="T44" s="24">
        <v>191.34</v>
      </c>
      <c r="U44" s="24">
        <v>355.61</v>
      </c>
      <c r="V44" s="24">
        <v>209.24</v>
      </c>
    </row>
    <row r="45" spans="1:22" ht="15" customHeight="1">
      <c r="A45" s="25" t="s">
        <v>96</v>
      </c>
      <c r="B45" s="26"/>
      <c r="C45" s="27">
        <v>48</v>
      </c>
      <c r="D45" s="27">
        <v>55</v>
      </c>
      <c r="E45" s="27">
        <v>1</v>
      </c>
      <c r="F45" s="27">
        <v>119</v>
      </c>
      <c r="G45" s="27">
        <v>14</v>
      </c>
      <c r="H45" s="27">
        <v>-85</v>
      </c>
      <c r="I45" s="27">
        <v>8</v>
      </c>
      <c r="J45" s="27">
        <v>60</v>
      </c>
      <c r="K45" s="27">
        <v>-25</v>
      </c>
      <c r="L45" s="27">
        <v>8</v>
      </c>
      <c r="M45" s="27">
        <v>-137</v>
      </c>
      <c r="N45" s="27">
        <v>-80</v>
      </c>
      <c r="O45" s="27">
        <v>85</v>
      </c>
      <c r="P45" s="27">
        <v>-53</v>
      </c>
      <c r="Q45" s="27">
        <v>-99</v>
      </c>
      <c r="R45" s="27">
        <v>94</v>
      </c>
      <c r="S45" s="27">
        <v>-151</v>
      </c>
      <c r="T45" s="27">
        <v>-148</v>
      </c>
      <c r="U45" s="27">
        <v>-140</v>
      </c>
      <c r="V45" s="27">
        <v>-99</v>
      </c>
    </row>
    <row r="46" spans="1:22" ht="15" customHeight="1">
      <c r="A46" s="22" t="s">
        <v>97</v>
      </c>
      <c r="B46" s="23"/>
      <c r="C46" s="24">
        <v>46.16</v>
      </c>
      <c r="D46" s="24">
        <v>68.55</v>
      </c>
      <c r="E46" s="24">
        <v>69.040000000000006</v>
      </c>
      <c r="F46" s="24">
        <v>132.49</v>
      </c>
      <c r="G46" s="24">
        <v>74.27</v>
      </c>
      <c r="H46" s="24">
        <v>109.44</v>
      </c>
      <c r="I46" s="24">
        <v>83.62</v>
      </c>
      <c r="J46" s="24">
        <v>134.86000000000001</v>
      </c>
      <c r="K46" s="24">
        <v>70.180000000000007</v>
      </c>
      <c r="L46" s="24">
        <v>101.6</v>
      </c>
      <c r="M46" s="24">
        <v>81.09</v>
      </c>
      <c r="N46" s="24">
        <v>105.61</v>
      </c>
      <c r="O46" s="24">
        <v>104.25</v>
      </c>
      <c r="P46" s="24">
        <v>135.41999999999999</v>
      </c>
      <c r="Q46" s="24">
        <v>217.09</v>
      </c>
      <c r="R46" s="24">
        <v>82.95</v>
      </c>
      <c r="S46" s="24">
        <v>119.25</v>
      </c>
      <c r="T46" s="24">
        <v>188.9</v>
      </c>
      <c r="U46" s="24">
        <v>236</v>
      </c>
      <c r="V46" s="24">
        <v>162.18</v>
      </c>
    </row>
    <row r="47" spans="1:22" ht="15" customHeight="1">
      <c r="A47" s="25" t="s">
        <v>98</v>
      </c>
      <c r="B47" s="26"/>
      <c r="C47" s="27">
        <v>-23</v>
      </c>
      <c r="D47" s="27">
        <v>-29</v>
      </c>
      <c r="E47" s="27">
        <v>-20</v>
      </c>
      <c r="F47" s="27">
        <v>6</v>
      </c>
      <c r="G47" s="27">
        <v>45</v>
      </c>
      <c r="H47" s="27">
        <v>-77</v>
      </c>
      <c r="I47" s="27">
        <v>-52</v>
      </c>
      <c r="J47" s="27">
        <v>-44</v>
      </c>
      <c r="K47" s="27">
        <v>19</v>
      </c>
      <c r="L47" s="27">
        <v>42</v>
      </c>
      <c r="M47" s="27">
        <v>-69</v>
      </c>
      <c r="N47" s="27">
        <v>-80</v>
      </c>
      <c r="O47" s="27">
        <v>-62</v>
      </c>
      <c r="P47" s="27">
        <v>-10</v>
      </c>
      <c r="Q47" s="27">
        <v>31</v>
      </c>
      <c r="R47" s="27">
        <v>76</v>
      </c>
      <c r="S47" s="27">
        <v>-21</v>
      </c>
      <c r="T47" s="27">
        <v>-12</v>
      </c>
      <c r="U47" s="27">
        <v>60</v>
      </c>
      <c r="V47" s="27">
        <v>43</v>
      </c>
    </row>
    <row r="48" spans="1:22" ht="15" customHeight="1">
      <c r="A48" s="28" t="s">
        <v>99</v>
      </c>
      <c r="B48" s="29"/>
      <c r="C48" s="30">
        <v>-287.12</v>
      </c>
      <c r="D48" s="30">
        <v>-256.74</v>
      </c>
      <c r="E48" s="30">
        <v>-324.12</v>
      </c>
      <c r="F48" s="30">
        <v>-74.459999999999994</v>
      </c>
      <c r="G48" s="30">
        <v>-327.75</v>
      </c>
      <c r="H48" s="30">
        <v>-382.13</v>
      </c>
      <c r="I48" s="30">
        <v>-459.2</v>
      </c>
      <c r="J48" s="30">
        <v>-185.23</v>
      </c>
      <c r="K48" s="30">
        <v>-370.67</v>
      </c>
      <c r="L48" s="30">
        <v>-412.84</v>
      </c>
      <c r="M48" s="30">
        <v>-604.25</v>
      </c>
      <c r="N48" s="30">
        <v>-456.98</v>
      </c>
      <c r="O48" s="30">
        <v>-568.4</v>
      </c>
      <c r="P48" s="30">
        <v>-490.17</v>
      </c>
      <c r="Q48" s="30">
        <v>-408.64</v>
      </c>
      <c r="R48" s="30">
        <v>-440.77</v>
      </c>
      <c r="S48" s="30">
        <v>-484.56</v>
      </c>
      <c r="T48" s="30">
        <v>-766.13</v>
      </c>
      <c r="U48" s="30">
        <v>-461.86</v>
      </c>
      <c r="V48" s="30">
        <v>-859.81</v>
      </c>
    </row>
    <row r="49" spans="1:22" ht="4.5" customHeight="1"/>
    <row r="50" spans="1:22" ht="15" customHeight="1">
      <c r="A50" s="31" t="s">
        <v>100</v>
      </c>
      <c r="B50" s="32"/>
      <c r="C50" s="33">
        <v>6179.98</v>
      </c>
      <c r="D50" s="33">
        <v>5711.81</v>
      </c>
      <c r="E50" s="33">
        <v>6370.22</v>
      </c>
      <c r="F50" s="33">
        <v>6879.86</v>
      </c>
      <c r="G50" s="33">
        <v>7127.36</v>
      </c>
      <c r="H50" s="33">
        <v>7284.06</v>
      </c>
      <c r="I50" s="33">
        <v>7312.39</v>
      </c>
      <c r="J50" s="33">
        <v>8204.19</v>
      </c>
      <c r="K50" s="33">
        <v>8352.1299999999992</v>
      </c>
      <c r="L50" s="33">
        <v>9103.84</v>
      </c>
      <c r="M50" s="33">
        <v>9399.02</v>
      </c>
      <c r="N50" s="33">
        <v>9828.33</v>
      </c>
      <c r="O50" s="33">
        <v>10076.74</v>
      </c>
      <c r="P50" s="33">
        <v>10399.59</v>
      </c>
      <c r="Q50" s="33">
        <v>10910.78</v>
      </c>
      <c r="R50" s="33">
        <v>11674.25</v>
      </c>
      <c r="S50" s="33">
        <v>11737.35</v>
      </c>
      <c r="T50" s="33">
        <v>12388.01</v>
      </c>
      <c r="U50" s="33">
        <v>12513.04</v>
      </c>
      <c r="V50" s="33">
        <v>13318.26</v>
      </c>
    </row>
    <row r="51" spans="1:22" ht="4.5" customHeight="1"/>
    <row r="52" spans="1:22" ht="15" customHeight="1">
      <c r="A52" s="54" t="s">
        <v>101</v>
      </c>
      <c r="B52" s="54"/>
      <c r="C52" s="54"/>
      <c r="D52" s="54"/>
      <c r="E52" s="54"/>
      <c r="F52" s="54"/>
      <c r="G52" s="54"/>
      <c r="H52" s="54"/>
      <c r="I52" s="54"/>
      <c r="J52" s="54"/>
      <c r="K52" s="54"/>
      <c r="L52" s="54"/>
      <c r="M52" s="54"/>
      <c r="N52" s="54"/>
      <c r="O52" s="54"/>
      <c r="P52" s="54"/>
      <c r="Q52" s="54"/>
      <c r="R52" s="54"/>
      <c r="S52" s="54"/>
      <c r="T52" s="54"/>
      <c r="U52" s="54"/>
      <c r="V52" s="54"/>
    </row>
    <row r="53" spans="1:22" ht="15" customHeight="1">
      <c r="A53" s="22" t="s">
        <v>102</v>
      </c>
      <c r="B53" s="23"/>
      <c r="C53" s="24">
        <v>1397.91</v>
      </c>
      <c r="D53" s="24">
        <v>1145.22</v>
      </c>
      <c r="E53" s="24">
        <v>1391.89</v>
      </c>
      <c r="F53" s="24">
        <v>1529.39</v>
      </c>
      <c r="G53" s="24">
        <v>1431.89</v>
      </c>
      <c r="H53" s="24">
        <v>1454.63</v>
      </c>
      <c r="I53" s="24">
        <v>1661.38</v>
      </c>
      <c r="J53" s="24">
        <v>1630.99</v>
      </c>
      <c r="K53" s="24">
        <v>1695.48</v>
      </c>
      <c r="L53" s="24">
        <v>1767.06</v>
      </c>
      <c r="M53" s="24">
        <v>2115.7199999999998</v>
      </c>
      <c r="N53" s="24">
        <v>2112.11</v>
      </c>
      <c r="O53" s="24">
        <v>2012.32</v>
      </c>
      <c r="P53" s="24">
        <v>2159.9899999999998</v>
      </c>
      <c r="Q53" s="24">
        <v>2267.2600000000002</v>
      </c>
      <c r="R53" s="24">
        <v>2226.2800000000002</v>
      </c>
      <c r="S53" s="24">
        <v>2578.6999999999998</v>
      </c>
      <c r="T53" s="24">
        <v>2392.12</v>
      </c>
      <c r="U53" s="24">
        <v>2568.9299999999998</v>
      </c>
      <c r="V53" s="24">
        <v>2923.36</v>
      </c>
    </row>
    <row r="54" spans="1:22" ht="15" customHeight="1">
      <c r="A54" s="40" t="s">
        <v>103</v>
      </c>
      <c r="B54" s="26"/>
      <c r="C54" s="41">
        <v>0.22620000000000001</v>
      </c>
      <c r="D54" s="41">
        <v>0.20050000000000001</v>
      </c>
      <c r="E54" s="41">
        <v>0.2185</v>
      </c>
      <c r="F54" s="41">
        <v>0.2223</v>
      </c>
      <c r="G54" s="41">
        <v>0.2009</v>
      </c>
      <c r="H54" s="41">
        <v>0.19969999999999999</v>
      </c>
      <c r="I54" s="41">
        <v>0.22720000000000001</v>
      </c>
      <c r="J54" s="41">
        <v>0.1988</v>
      </c>
      <c r="K54" s="41">
        <v>0.20300000000000001</v>
      </c>
      <c r="L54" s="41">
        <v>0.19409999999999999</v>
      </c>
      <c r="M54" s="41">
        <v>0.22509999999999999</v>
      </c>
      <c r="N54" s="41">
        <v>0.21490000000000001</v>
      </c>
      <c r="O54" s="41">
        <v>0.19969999999999999</v>
      </c>
      <c r="P54" s="41">
        <v>0.2077</v>
      </c>
      <c r="Q54" s="41">
        <v>0.20780000000000001</v>
      </c>
      <c r="R54" s="41">
        <v>0.19070000000000001</v>
      </c>
      <c r="S54" s="41">
        <v>0.21970000000000001</v>
      </c>
      <c r="T54" s="41">
        <v>0.19309999999999999</v>
      </c>
      <c r="U54" s="41">
        <v>0.20530000000000001</v>
      </c>
      <c r="V54" s="41">
        <v>0.2195</v>
      </c>
    </row>
    <row r="55" spans="1:22" ht="4.5" customHeight="1"/>
    <row r="56" spans="1:22" ht="15" customHeight="1">
      <c r="A56" s="31" t="s">
        <v>104</v>
      </c>
      <c r="B56" s="32"/>
      <c r="C56" s="33">
        <v>4782.07</v>
      </c>
      <c r="D56" s="33">
        <v>4566.59</v>
      </c>
      <c r="E56" s="33">
        <v>4978.33</v>
      </c>
      <c r="F56" s="33">
        <v>5350.47</v>
      </c>
      <c r="G56" s="33">
        <v>5695.47</v>
      </c>
      <c r="H56" s="33">
        <v>5829.43</v>
      </c>
      <c r="I56" s="33">
        <v>5651.01</v>
      </c>
      <c r="J56" s="33">
        <v>6573.2</v>
      </c>
      <c r="K56" s="33">
        <v>6656.65</v>
      </c>
      <c r="L56" s="33">
        <v>7336.78</v>
      </c>
      <c r="M56" s="33">
        <v>7283.3</v>
      </c>
      <c r="N56" s="33">
        <v>7716.22</v>
      </c>
      <c r="O56" s="33">
        <v>8064.42</v>
      </c>
      <c r="P56" s="33">
        <v>8239.6</v>
      </c>
      <c r="Q56" s="33">
        <v>8643.52</v>
      </c>
      <c r="R56" s="33">
        <v>9447.9699999999993</v>
      </c>
      <c r="S56" s="33">
        <v>9158.65</v>
      </c>
      <c r="T56" s="33">
        <v>9995.89</v>
      </c>
      <c r="U56" s="33">
        <v>9944.11</v>
      </c>
      <c r="V56" s="33">
        <v>10394.9</v>
      </c>
    </row>
    <row r="57" spans="1:22" ht="15" customHeight="1">
      <c r="A57" s="25" t="s">
        <v>105</v>
      </c>
      <c r="B57" s="26"/>
      <c r="C57" s="27">
        <v>0</v>
      </c>
      <c r="D57" s="27">
        <v>0</v>
      </c>
      <c r="E57" s="27">
        <v>39</v>
      </c>
      <c r="F57" s="27">
        <v>0</v>
      </c>
      <c r="G57" s="27">
        <v>-15</v>
      </c>
      <c r="H57" s="27">
        <v>25</v>
      </c>
      <c r="I57" s="27">
        <v>0</v>
      </c>
      <c r="J57" s="27">
        <v>-45</v>
      </c>
      <c r="K57" s="27">
        <v>0</v>
      </c>
      <c r="L57" s="27">
        <v>0</v>
      </c>
      <c r="M57" s="27">
        <v>0</v>
      </c>
      <c r="N57" s="27">
        <v>4</v>
      </c>
      <c r="O57" s="27">
        <v>0</v>
      </c>
      <c r="P57" s="27">
        <v>-48</v>
      </c>
      <c r="Q57" s="27">
        <v>0</v>
      </c>
      <c r="R57" s="27">
        <v>0</v>
      </c>
      <c r="S57" s="27">
        <v>0</v>
      </c>
      <c r="T57" s="27">
        <v>-33</v>
      </c>
      <c r="U57" s="27">
        <v>32</v>
      </c>
      <c r="V57" s="27">
        <v>0</v>
      </c>
    </row>
    <row r="58" spans="1:22" ht="15" customHeight="1">
      <c r="A58" s="31" t="s">
        <v>106</v>
      </c>
      <c r="B58" s="32"/>
      <c r="C58" s="33">
        <v>4782.07</v>
      </c>
      <c r="D58" s="33">
        <v>4566.59</v>
      </c>
      <c r="E58" s="33">
        <v>5017.33</v>
      </c>
      <c r="F58" s="33">
        <v>5350.47</v>
      </c>
      <c r="G58" s="33">
        <v>5680.47</v>
      </c>
      <c r="H58" s="33">
        <v>5854.43</v>
      </c>
      <c r="I58" s="33">
        <v>5651.01</v>
      </c>
      <c r="J58" s="33">
        <v>6528.2</v>
      </c>
      <c r="K58" s="33">
        <v>6656.65</v>
      </c>
      <c r="L58" s="33">
        <v>7336.78</v>
      </c>
      <c r="M58" s="33">
        <v>7283.3</v>
      </c>
      <c r="N58" s="33">
        <v>7720.22</v>
      </c>
      <c r="O58" s="33">
        <v>8064.42</v>
      </c>
      <c r="P58" s="33">
        <v>8191.6</v>
      </c>
      <c r="Q58" s="33">
        <v>8643.52</v>
      </c>
      <c r="R58" s="33">
        <v>9447.9699999999993</v>
      </c>
      <c r="S58" s="33">
        <v>9158.65</v>
      </c>
      <c r="T58" s="33">
        <v>9962.89</v>
      </c>
      <c r="U58" s="33">
        <v>9976.11</v>
      </c>
      <c r="V58" s="33">
        <v>10394.9</v>
      </c>
    </row>
    <row r="59" spans="1:22" ht="15" customHeight="1">
      <c r="A59" s="39" t="s">
        <v>107</v>
      </c>
      <c r="B59" s="23"/>
      <c r="C59" s="38">
        <v>0.227881</v>
      </c>
      <c r="D59" s="38">
        <v>0.211282</v>
      </c>
      <c r="E59" s="38">
        <v>0.22331300000000001</v>
      </c>
      <c r="F59" s="38">
        <v>0.22989200000000001</v>
      </c>
      <c r="G59" s="38">
        <v>0.230964</v>
      </c>
      <c r="H59" s="38">
        <v>0.23050899999999999</v>
      </c>
      <c r="I59" s="38">
        <v>0.215005</v>
      </c>
      <c r="J59" s="38">
        <v>0.23732400000000001</v>
      </c>
      <c r="K59" s="38">
        <v>0.23299300000000001</v>
      </c>
      <c r="L59" s="38">
        <v>0.24394199999999999</v>
      </c>
      <c r="M59" s="38">
        <v>0.230767</v>
      </c>
      <c r="N59" s="38">
        <v>0.23539599999999999</v>
      </c>
      <c r="O59" s="38">
        <v>0.23527899999999999</v>
      </c>
      <c r="P59" s="38">
        <v>0.23044300000000001</v>
      </c>
      <c r="Q59" s="38">
        <v>0.22989799999999999</v>
      </c>
      <c r="R59" s="38">
        <v>0.24020900000000001</v>
      </c>
      <c r="S59" s="38">
        <v>0.22475400000000001</v>
      </c>
      <c r="T59" s="38">
        <v>0.23381299999999999</v>
      </c>
      <c r="U59" s="38">
        <v>0.22570100000000001</v>
      </c>
      <c r="V59" s="38">
        <v>0.22550700000000001</v>
      </c>
    </row>
    <row r="60" spans="1:22" ht="15" customHeight="1">
      <c r="A60" s="34" t="s">
        <v>108</v>
      </c>
      <c r="B60" s="35"/>
      <c r="C60" s="36"/>
      <c r="D60" s="36"/>
      <c r="E60" s="36"/>
      <c r="F60" s="36"/>
      <c r="G60" s="36">
        <v>0.18786800000000001</v>
      </c>
      <c r="H60" s="36">
        <v>0.28201300000000001</v>
      </c>
      <c r="I60" s="36">
        <v>0.12629799999999999</v>
      </c>
      <c r="J60" s="36">
        <v>0.22011700000000001</v>
      </c>
      <c r="K60" s="36">
        <v>0.171848</v>
      </c>
      <c r="L60" s="36">
        <v>0.25320100000000001</v>
      </c>
      <c r="M60" s="36">
        <v>0.28884900000000002</v>
      </c>
      <c r="N60" s="36">
        <v>0.18259600000000001</v>
      </c>
      <c r="O60" s="36">
        <v>0.211483</v>
      </c>
      <c r="P60" s="36">
        <v>0.116512</v>
      </c>
      <c r="Q60" s="36">
        <v>0.18675900000000001</v>
      </c>
      <c r="R60" s="36">
        <v>0.22379499999999999</v>
      </c>
      <c r="S60" s="36">
        <v>0.135686</v>
      </c>
      <c r="T60" s="36">
        <v>0.21623200000000001</v>
      </c>
      <c r="U60" s="36">
        <v>0.154172</v>
      </c>
      <c r="V60" s="36">
        <v>0.100226</v>
      </c>
    </row>
    <row r="61" spans="1:22" ht="15" customHeight="1">
      <c r="A61" s="22" t="s">
        <v>109</v>
      </c>
      <c r="B61" s="23"/>
      <c r="C61" s="24">
        <v>96.58</v>
      </c>
      <c r="D61" s="24">
        <v>127.83</v>
      </c>
      <c r="E61" s="24">
        <v>111.29</v>
      </c>
      <c r="F61" s="24">
        <v>142.74</v>
      </c>
      <c r="G61" s="24">
        <v>170.03</v>
      </c>
      <c r="H61" s="24">
        <v>117.83</v>
      </c>
      <c r="I61" s="24">
        <v>137.30000000000001</v>
      </c>
      <c r="J61" s="24">
        <v>191.84</v>
      </c>
      <c r="K61" s="24">
        <v>152.22999999999999</v>
      </c>
      <c r="L61" s="24">
        <v>208.21</v>
      </c>
      <c r="M61" s="24">
        <v>205.31</v>
      </c>
      <c r="N61" s="24">
        <v>207.73</v>
      </c>
      <c r="O61" s="24">
        <v>241.8</v>
      </c>
      <c r="P61" s="24">
        <v>221.64</v>
      </c>
      <c r="Q61" s="24">
        <v>181.92</v>
      </c>
      <c r="R61" s="24">
        <v>268.5</v>
      </c>
      <c r="S61" s="24">
        <v>252.02</v>
      </c>
      <c r="T61" s="24">
        <v>237.73</v>
      </c>
      <c r="U61" s="24">
        <v>209.13</v>
      </c>
      <c r="V61" s="24">
        <v>235.86</v>
      </c>
    </row>
    <row r="62" spans="1:22" ht="15" customHeight="1">
      <c r="A62" s="31" t="s">
        <v>110</v>
      </c>
      <c r="B62" s="32"/>
      <c r="C62" s="33">
        <v>4685.49</v>
      </c>
      <c r="D62" s="33">
        <v>4438.76</v>
      </c>
      <c r="E62" s="33">
        <v>4906.04</v>
      </c>
      <c r="F62" s="33">
        <v>5207.7299999999996</v>
      </c>
      <c r="G62" s="33">
        <v>5510.44</v>
      </c>
      <c r="H62" s="33">
        <v>5736.6</v>
      </c>
      <c r="I62" s="33">
        <v>5513.71</v>
      </c>
      <c r="J62" s="33">
        <v>6336.36</v>
      </c>
      <c r="K62" s="33">
        <v>6504.42</v>
      </c>
      <c r="L62" s="33">
        <v>7128.57</v>
      </c>
      <c r="M62" s="33">
        <v>7077.99</v>
      </c>
      <c r="N62" s="33">
        <v>7512.49</v>
      </c>
      <c r="O62" s="33">
        <v>7822.62</v>
      </c>
      <c r="P62" s="33">
        <v>7969.96</v>
      </c>
      <c r="Q62" s="33">
        <v>8461.6</v>
      </c>
      <c r="R62" s="33">
        <v>9179.4699999999993</v>
      </c>
      <c r="S62" s="33">
        <v>8906.6299999999992</v>
      </c>
      <c r="T62" s="33">
        <v>9725.16</v>
      </c>
      <c r="U62" s="33">
        <v>9766.98</v>
      </c>
      <c r="V62" s="33">
        <v>10159.040000000001</v>
      </c>
    </row>
    <row r="63" spans="1:22" ht="4.5" customHeight="1"/>
    <row r="64" spans="1:22" ht="15" customHeight="1">
      <c r="A64" s="54" t="s">
        <v>111</v>
      </c>
      <c r="B64" s="54"/>
      <c r="C64" s="54"/>
      <c r="D64" s="54"/>
      <c r="E64" s="54"/>
      <c r="F64" s="54"/>
      <c r="G64" s="54"/>
      <c r="H64" s="54"/>
      <c r="I64" s="54"/>
      <c r="J64" s="54"/>
      <c r="K64" s="54"/>
      <c r="L64" s="54"/>
      <c r="M64" s="54"/>
      <c r="N64" s="54"/>
      <c r="O64" s="54"/>
      <c r="P64" s="54"/>
      <c r="Q64" s="54"/>
      <c r="R64" s="54"/>
      <c r="S64" s="54"/>
      <c r="T64" s="54"/>
      <c r="U64" s="54"/>
      <c r="V64" s="54"/>
    </row>
    <row r="65" spans="1:22" ht="15" customHeight="1">
      <c r="A65" s="25" t="s">
        <v>112</v>
      </c>
      <c r="B65" s="26"/>
      <c r="C65" s="42">
        <v>9.3702000000000005</v>
      </c>
      <c r="D65" s="42">
        <v>8.9212000000000007</v>
      </c>
      <c r="E65" s="42">
        <v>9.8809000000000005</v>
      </c>
      <c r="F65" s="42">
        <v>10.545</v>
      </c>
      <c r="G65" s="42">
        <v>11.2128</v>
      </c>
      <c r="H65" s="42">
        <v>11.7378</v>
      </c>
      <c r="I65" s="42">
        <v>11.3157</v>
      </c>
      <c r="J65" s="42">
        <v>13.039099999999999</v>
      </c>
      <c r="K65" s="42">
        <v>13.4519</v>
      </c>
      <c r="L65" s="42">
        <v>14.8086</v>
      </c>
      <c r="M65" s="42">
        <v>14.739699999999999</v>
      </c>
      <c r="N65" s="42">
        <v>15.7011</v>
      </c>
      <c r="O65" s="42">
        <v>16.433399999999999</v>
      </c>
      <c r="P65" s="42">
        <v>16.776700000000002</v>
      </c>
      <c r="Q65" s="42">
        <v>17.863900000000001</v>
      </c>
      <c r="R65" s="42">
        <v>19.4724</v>
      </c>
      <c r="S65" s="42">
        <v>18.973700000000001</v>
      </c>
      <c r="T65" s="42">
        <v>20.8003</v>
      </c>
      <c r="U65" s="42">
        <v>20.962299999999999</v>
      </c>
      <c r="V65" s="42">
        <v>21.895</v>
      </c>
    </row>
    <row r="66" spans="1:22" ht="15" customHeight="1">
      <c r="A66" s="22" t="s">
        <v>113</v>
      </c>
      <c r="B66" s="23"/>
      <c r="C66" s="43">
        <v>9.3140000000000001</v>
      </c>
      <c r="D66" s="43">
        <v>8.8566000000000003</v>
      </c>
      <c r="E66" s="43">
        <v>9.8229000000000006</v>
      </c>
      <c r="F66" s="43">
        <v>10.4558</v>
      </c>
      <c r="G66" s="43">
        <v>11.109500000000001</v>
      </c>
      <c r="H66" s="43">
        <v>11.630699999999999</v>
      </c>
      <c r="I66" s="43">
        <v>11.2538</v>
      </c>
      <c r="J66" s="43">
        <v>12.924200000000001</v>
      </c>
      <c r="K66" s="43">
        <v>13.3126</v>
      </c>
      <c r="L66" s="43">
        <v>14.676299999999999</v>
      </c>
      <c r="M66" s="43">
        <v>14.6318</v>
      </c>
      <c r="N66" s="43">
        <v>15.538</v>
      </c>
      <c r="O66" s="43">
        <v>16.3063</v>
      </c>
      <c r="P66" s="43">
        <v>16.601700000000001</v>
      </c>
      <c r="Q66" s="43">
        <v>17.773900000000001</v>
      </c>
      <c r="R66" s="43">
        <v>19.363499999999998</v>
      </c>
      <c r="S66" s="43">
        <v>18.819299999999998</v>
      </c>
      <c r="T66" s="43">
        <v>20.684799999999999</v>
      </c>
      <c r="U66" s="43">
        <v>20.829599999999999</v>
      </c>
      <c r="V66" s="43">
        <v>21.645399999999999</v>
      </c>
    </row>
    <row r="67" spans="1:22" ht="15" customHeight="1">
      <c r="A67" s="25" t="s">
        <v>114</v>
      </c>
      <c r="B67" s="26"/>
      <c r="C67" s="42">
        <v>3.0419999999999998</v>
      </c>
      <c r="D67" s="42">
        <v>2.6385999999999998</v>
      </c>
      <c r="E67" s="42">
        <v>2.8178999999999998</v>
      </c>
      <c r="F67" s="42">
        <v>3.3864999999999998</v>
      </c>
      <c r="G67" s="42">
        <v>3.5825999999999998</v>
      </c>
      <c r="H67" s="42">
        <v>3.3774999999999999</v>
      </c>
      <c r="I67" s="42">
        <v>3.5257999999999998</v>
      </c>
      <c r="J67" s="42">
        <v>4.1159999999999997</v>
      </c>
      <c r="K67" s="42">
        <v>3.7986</v>
      </c>
      <c r="L67" s="42">
        <v>4.2076000000000002</v>
      </c>
      <c r="M67" s="42">
        <v>4.1189999999999998</v>
      </c>
      <c r="N67" s="42">
        <v>5.1314000000000002</v>
      </c>
      <c r="O67" s="42">
        <v>4.8571</v>
      </c>
      <c r="P67" s="42">
        <v>4.9819000000000004</v>
      </c>
      <c r="Q67" s="42">
        <v>5.0224000000000002</v>
      </c>
      <c r="R67" s="42">
        <v>6.1755000000000004</v>
      </c>
      <c r="S67" s="42">
        <v>5.5518000000000001</v>
      </c>
      <c r="T67" s="42">
        <v>6.4646999999999997</v>
      </c>
      <c r="U67" s="42">
        <v>6.2690000000000001</v>
      </c>
      <c r="V67" s="42">
        <v>6.5128000000000004</v>
      </c>
    </row>
    <row r="68" spans="1:22" ht="15" customHeight="1">
      <c r="A68" s="22" t="s">
        <v>115</v>
      </c>
      <c r="B68" s="23"/>
      <c r="C68" s="24">
        <v>500.04</v>
      </c>
      <c r="D68" s="24">
        <v>497.55</v>
      </c>
      <c r="E68" s="24">
        <v>496.52</v>
      </c>
      <c r="F68" s="24">
        <v>493.86</v>
      </c>
      <c r="G68" s="24">
        <v>491.44</v>
      </c>
      <c r="H68" s="24">
        <v>488.73</v>
      </c>
      <c r="I68" s="24">
        <v>487.26</v>
      </c>
      <c r="J68" s="24">
        <v>485.95</v>
      </c>
      <c r="K68" s="24">
        <v>483.53</v>
      </c>
      <c r="L68" s="24">
        <v>481.38</v>
      </c>
      <c r="M68" s="24">
        <v>480.2</v>
      </c>
      <c r="N68" s="24">
        <v>478.47</v>
      </c>
      <c r="O68" s="24">
        <v>476.02</v>
      </c>
      <c r="P68" s="24">
        <v>475.06</v>
      </c>
      <c r="Q68" s="24">
        <v>473.67</v>
      </c>
      <c r="R68" s="24">
        <v>471.41</v>
      </c>
      <c r="S68" s="24">
        <v>469.42</v>
      </c>
      <c r="T68" s="24">
        <v>467.55</v>
      </c>
      <c r="U68" s="24">
        <v>465.93</v>
      </c>
      <c r="V68" s="24">
        <v>463.99</v>
      </c>
    </row>
    <row r="69" spans="1:22" ht="15" customHeight="1">
      <c r="A69" s="25" t="s">
        <v>116</v>
      </c>
      <c r="B69" s="26"/>
      <c r="C69" s="27">
        <v>503.06</v>
      </c>
      <c r="D69" s="27">
        <v>501.18</v>
      </c>
      <c r="E69" s="27">
        <v>499.45</v>
      </c>
      <c r="F69" s="27">
        <v>498.07</v>
      </c>
      <c r="G69" s="27">
        <v>496.01</v>
      </c>
      <c r="H69" s="27">
        <v>493.23</v>
      </c>
      <c r="I69" s="27">
        <v>489.94</v>
      </c>
      <c r="J69" s="27">
        <v>490.27</v>
      </c>
      <c r="K69" s="27">
        <v>488.59</v>
      </c>
      <c r="L69" s="27">
        <v>485.72</v>
      </c>
      <c r="M69" s="27">
        <v>483.74</v>
      </c>
      <c r="N69" s="27">
        <v>483.49</v>
      </c>
      <c r="O69" s="27">
        <v>479.73</v>
      </c>
      <c r="P69" s="27">
        <v>480.07</v>
      </c>
      <c r="Q69" s="27">
        <v>476.07</v>
      </c>
      <c r="R69" s="27">
        <v>474.06</v>
      </c>
      <c r="S69" s="27">
        <v>473.27</v>
      </c>
      <c r="T69" s="27">
        <v>470.16</v>
      </c>
      <c r="U69" s="27">
        <v>468.9</v>
      </c>
      <c r="V69" s="27">
        <v>469.34</v>
      </c>
    </row>
    <row r="70" spans="1:22" ht="4.5" customHeight="1"/>
    <row r="71" spans="1:22" ht="15" customHeight="1">
      <c r="A71" s="54" t="s">
        <v>117</v>
      </c>
      <c r="B71" s="54"/>
      <c r="C71" s="54"/>
      <c r="D71" s="54"/>
      <c r="E71" s="54"/>
      <c r="F71" s="54"/>
      <c r="G71" s="54"/>
      <c r="H71" s="54"/>
      <c r="I71" s="54"/>
      <c r="J71" s="54"/>
      <c r="K71" s="54"/>
      <c r="L71" s="54"/>
      <c r="M71" s="54"/>
      <c r="N71" s="54"/>
      <c r="O71" s="54"/>
      <c r="P71" s="54"/>
      <c r="Q71" s="54"/>
      <c r="R71" s="54"/>
      <c r="S71" s="54"/>
      <c r="T71" s="54"/>
      <c r="U71" s="54"/>
      <c r="V71" s="54"/>
    </row>
    <row r="72" spans="1:22" ht="15" customHeight="1">
      <c r="A72" s="22" t="s">
        <v>70</v>
      </c>
      <c r="B72" s="23"/>
      <c r="C72" s="24">
        <v>20984.97</v>
      </c>
      <c r="D72" s="24">
        <v>21613.71</v>
      </c>
      <c r="E72" s="24">
        <v>22467.75</v>
      </c>
      <c r="F72" s="24">
        <v>23273.88</v>
      </c>
      <c r="G72" s="24">
        <v>24594.6</v>
      </c>
      <c r="H72" s="24">
        <v>25397.88</v>
      </c>
      <c r="I72" s="24">
        <v>26283.21</v>
      </c>
      <c r="J72" s="24">
        <v>27507.599999999999</v>
      </c>
      <c r="K72" s="24">
        <v>28570.22</v>
      </c>
      <c r="L72" s="24">
        <v>30075.9</v>
      </c>
      <c r="M72" s="24">
        <v>31561.22</v>
      </c>
      <c r="N72" s="24">
        <v>32796.75</v>
      </c>
      <c r="O72" s="24">
        <v>34275.96</v>
      </c>
      <c r="P72" s="24">
        <v>35547.199999999997</v>
      </c>
      <c r="Q72" s="24">
        <v>37597.25</v>
      </c>
      <c r="R72" s="24">
        <v>39332.31</v>
      </c>
      <c r="S72" s="24">
        <v>40749.71</v>
      </c>
      <c r="T72" s="24">
        <v>42610.559999999998</v>
      </c>
      <c r="U72" s="24">
        <v>44200.58</v>
      </c>
      <c r="V72" s="24">
        <v>46095.67</v>
      </c>
    </row>
    <row r="73" spans="1:22" ht="15" customHeight="1">
      <c r="A73" s="40" t="s">
        <v>118</v>
      </c>
      <c r="B73" s="26"/>
      <c r="C73" s="41"/>
      <c r="D73" s="41"/>
      <c r="E73" s="41"/>
      <c r="F73" s="41"/>
      <c r="G73" s="41">
        <v>0.17201</v>
      </c>
      <c r="H73" s="41">
        <v>0.17508199999999999</v>
      </c>
      <c r="I73" s="41">
        <v>0.169819</v>
      </c>
      <c r="J73" s="41">
        <v>0.18190899999999999</v>
      </c>
      <c r="K73" s="41">
        <v>0.16164600000000001</v>
      </c>
      <c r="L73" s="41">
        <v>0.18418899999999999</v>
      </c>
      <c r="M73" s="41">
        <v>0.20081299999999999</v>
      </c>
      <c r="N73" s="41">
        <v>0.19228000000000001</v>
      </c>
      <c r="O73" s="41">
        <v>0.199709</v>
      </c>
      <c r="P73" s="41">
        <v>0.18191599999999999</v>
      </c>
      <c r="Q73" s="41">
        <v>0.191248</v>
      </c>
      <c r="R73" s="41">
        <v>0.19927500000000001</v>
      </c>
      <c r="S73" s="41">
        <v>0.18887100000000001</v>
      </c>
      <c r="T73" s="41">
        <v>0.19870399999999999</v>
      </c>
      <c r="U73" s="41">
        <v>0.17563300000000001</v>
      </c>
      <c r="V73" s="41">
        <v>0.171954</v>
      </c>
    </row>
    <row r="74" spans="1:22" ht="4.5" customHeight="1"/>
  </sheetData>
  <mergeCells count="10">
    <mergeCell ref="A42:V42"/>
    <mergeCell ref="A52:V52"/>
    <mergeCell ref="A64:V64"/>
    <mergeCell ref="A71:V71"/>
    <mergeCell ref="A1:V1"/>
    <mergeCell ref="A2:V2"/>
    <mergeCell ref="A3:V3"/>
    <mergeCell ref="A6:V6"/>
    <mergeCell ref="A13:V13"/>
    <mergeCell ref="A23:V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0EBAF-9BD2-49BB-8600-0255CF7BB122}">
  <sheetPr>
    <tabColor theme="8" tint="0.39997558519241921"/>
  </sheetPr>
  <dimension ref="A1:V73"/>
  <sheetViews>
    <sheetView zoomScaleNormal="100" workbookViewId="0">
      <pane xSplit="2" ySplit="5" topLeftCell="C6" activePane="bottomRight" state="frozen"/>
      <selection sqref="A1:V1"/>
      <selection pane="topRight" sqref="A1:V1"/>
      <selection pane="bottomLeft" sqref="A1:V1"/>
      <selection pane="bottomRight" activeCell="C6" sqref="C6"/>
    </sheetView>
  </sheetViews>
  <sheetFormatPr defaultColWidth="8.6640625" defaultRowHeight="14.4"/>
  <cols>
    <col min="1" max="1" width="46" style="16" customWidth="1"/>
    <col min="2" max="2" width="10" style="16" customWidth="1"/>
    <col min="3" max="22" width="12" style="16" customWidth="1"/>
    <col min="23" max="16384" width="8.6640625" style="16"/>
  </cols>
  <sheetData>
    <row r="1" spans="1:22" ht="21.75" customHeight="1">
      <c r="A1" s="55" t="s">
        <v>40</v>
      </c>
      <c r="B1" s="55"/>
      <c r="C1" s="55"/>
      <c r="D1" s="55"/>
      <c r="E1" s="55"/>
      <c r="F1" s="55"/>
      <c r="G1" s="55"/>
      <c r="H1" s="55"/>
      <c r="I1" s="55"/>
      <c r="J1" s="55"/>
      <c r="K1" s="55"/>
      <c r="L1" s="55"/>
      <c r="M1" s="55"/>
      <c r="N1" s="55"/>
      <c r="O1" s="55"/>
      <c r="P1" s="55"/>
      <c r="Q1" s="55"/>
      <c r="R1" s="55"/>
      <c r="S1" s="55"/>
      <c r="T1" s="55"/>
      <c r="U1" s="55"/>
      <c r="V1" s="55"/>
    </row>
    <row r="2" spans="1:22" ht="15.75" customHeight="1">
      <c r="A2" s="56" t="s">
        <v>119</v>
      </c>
      <c r="B2" s="56"/>
      <c r="C2" s="56"/>
      <c r="D2" s="56"/>
      <c r="E2" s="56"/>
      <c r="F2" s="56"/>
      <c r="G2" s="56"/>
      <c r="H2" s="56"/>
      <c r="I2" s="56"/>
      <c r="J2" s="56"/>
      <c r="K2" s="56"/>
      <c r="L2" s="56"/>
      <c r="M2" s="56"/>
      <c r="N2" s="56"/>
      <c r="O2" s="56"/>
      <c r="P2" s="56"/>
      <c r="Q2" s="56"/>
      <c r="R2" s="56"/>
      <c r="S2" s="56"/>
      <c r="T2" s="56"/>
      <c r="U2" s="56"/>
      <c r="V2" s="56"/>
    </row>
    <row r="3" spans="1:22" ht="12.75" customHeight="1">
      <c r="A3" s="57" t="s">
        <v>120</v>
      </c>
      <c r="B3" s="57"/>
      <c r="C3" s="57"/>
      <c r="D3" s="57"/>
      <c r="E3" s="57"/>
      <c r="F3" s="57"/>
      <c r="G3" s="57"/>
      <c r="H3" s="57"/>
      <c r="I3" s="57"/>
      <c r="J3" s="57"/>
      <c r="K3" s="57"/>
      <c r="L3" s="57"/>
      <c r="M3" s="57"/>
      <c r="N3" s="57"/>
      <c r="O3" s="57"/>
      <c r="P3" s="57"/>
      <c r="Q3" s="57"/>
      <c r="R3" s="57"/>
      <c r="S3" s="57"/>
      <c r="T3" s="57"/>
      <c r="U3" s="57"/>
      <c r="V3" s="57"/>
    </row>
    <row r="4" spans="1:22" ht="6" customHeight="1"/>
    <row r="5" spans="1:22" ht="18" customHeight="1">
      <c r="A5" s="19" t="s">
        <v>43</v>
      </c>
      <c r="B5" s="20" t="s">
        <v>44</v>
      </c>
      <c r="C5" s="21" t="s">
        <v>45</v>
      </c>
      <c r="D5" s="21" t="s">
        <v>46</v>
      </c>
      <c r="E5" s="21" t="s">
        <v>47</v>
      </c>
      <c r="F5" s="21" t="s">
        <v>48</v>
      </c>
      <c r="G5" s="21" t="s">
        <v>49</v>
      </c>
      <c r="H5" s="21" t="s">
        <v>50</v>
      </c>
      <c r="I5" s="21" t="s">
        <v>51</v>
      </c>
      <c r="J5" s="21" t="s">
        <v>52</v>
      </c>
      <c r="K5" s="21" t="s">
        <v>53</v>
      </c>
      <c r="L5" s="21" t="s">
        <v>54</v>
      </c>
      <c r="M5" s="21" t="s">
        <v>55</v>
      </c>
      <c r="N5" s="21" t="s">
        <v>56</v>
      </c>
      <c r="O5" s="21" t="s">
        <v>57</v>
      </c>
      <c r="P5" s="21" t="s">
        <v>58</v>
      </c>
      <c r="Q5" s="21" t="s">
        <v>59</v>
      </c>
      <c r="R5" s="21" t="s">
        <v>60</v>
      </c>
      <c r="S5" s="21" t="s">
        <v>61</v>
      </c>
      <c r="T5" s="21" t="s">
        <v>62</v>
      </c>
      <c r="U5" s="21" t="s">
        <v>63</v>
      </c>
      <c r="V5" s="21" t="s">
        <v>64</v>
      </c>
    </row>
    <row r="6" spans="1:22" ht="15" customHeight="1"/>
    <row r="7" spans="1:22" ht="15" customHeight="1"/>
    <row r="8" spans="1:22" ht="15" customHeight="1"/>
    <row r="9" spans="1:22" ht="4.5" customHeight="1"/>
    <row r="10" spans="1:22" ht="15" customHeight="1">
      <c r="A10" s="54" t="s">
        <v>16</v>
      </c>
      <c r="B10" s="54"/>
      <c r="C10" s="54"/>
      <c r="D10" s="54"/>
      <c r="E10" s="54"/>
      <c r="F10" s="54"/>
      <c r="G10" s="54"/>
      <c r="H10" s="54"/>
      <c r="I10" s="54"/>
      <c r="J10" s="54"/>
      <c r="K10" s="54"/>
      <c r="L10" s="54"/>
      <c r="M10" s="54"/>
      <c r="N10" s="54"/>
      <c r="O10" s="54"/>
      <c r="P10" s="54"/>
      <c r="Q10" s="54"/>
      <c r="R10" s="54"/>
      <c r="S10" s="54"/>
      <c r="T10" s="54"/>
      <c r="U10" s="54"/>
      <c r="V10" s="54"/>
    </row>
    <row r="11" spans="1:22" ht="15" customHeight="1">
      <c r="A11" s="58" t="s">
        <v>26</v>
      </c>
      <c r="B11" s="58"/>
      <c r="C11" s="58"/>
      <c r="D11" s="58"/>
      <c r="E11" s="58"/>
      <c r="F11" s="58"/>
      <c r="G11" s="58"/>
      <c r="H11" s="58"/>
      <c r="I11" s="58"/>
      <c r="J11" s="58"/>
      <c r="K11" s="58"/>
      <c r="L11" s="58"/>
      <c r="M11" s="58"/>
      <c r="N11" s="58"/>
      <c r="O11" s="58"/>
      <c r="P11" s="58"/>
      <c r="Q11" s="58"/>
      <c r="R11" s="58"/>
      <c r="S11" s="58"/>
      <c r="T11" s="58"/>
      <c r="U11" s="58"/>
      <c r="V11" s="58"/>
    </row>
    <row r="12" spans="1:22" ht="15" customHeight="1">
      <c r="A12" s="22" t="s">
        <v>121</v>
      </c>
      <c r="B12" s="23"/>
      <c r="C12" s="24">
        <v>3372.62</v>
      </c>
      <c r="D12" s="24">
        <v>3347.33</v>
      </c>
      <c r="E12" s="24">
        <v>3405.91</v>
      </c>
      <c r="F12" s="24">
        <v>3447.88</v>
      </c>
      <c r="G12" s="24">
        <v>3667.33</v>
      </c>
      <c r="H12" s="24">
        <v>3878.82</v>
      </c>
      <c r="I12" s="24">
        <v>4186.09</v>
      </c>
      <c r="J12" s="24">
        <v>4180.62</v>
      </c>
      <c r="K12" s="24">
        <v>4315.21</v>
      </c>
      <c r="L12" s="24">
        <v>4284.91</v>
      </c>
      <c r="M12" s="24">
        <v>4335.75</v>
      </c>
      <c r="N12" s="24">
        <v>4511.5</v>
      </c>
      <c r="O12" s="24">
        <v>4478.3599999999997</v>
      </c>
      <c r="P12" s="24">
        <v>4522.62</v>
      </c>
      <c r="Q12" s="24">
        <v>4771.3100000000004</v>
      </c>
      <c r="R12" s="24">
        <v>4983.6099999999997</v>
      </c>
      <c r="S12" s="24">
        <v>5043.63</v>
      </c>
      <c r="T12" s="24">
        <v>5290.4</v>
      </c>
      <c r="U12" s="24">
        <v>5665.72</v>
      </c>
      <c r="V12" s="24">
        <v>5612.74</v>
      </c>
    </row>
    <row r="13" spans="1:22" ht="15" customHeight="1">
      <c r="A13" s="25" t="s">
        <v>122</v>
      </c>
      <c r="B13" s="26"/>
      <c r="C13" s="27">
        <v>1600.05</v>
      </c>
      <c r="D13" s="27">
        <v>1686.09</v>
      </c>
      <c r="E13" s="27">
        <v>1704.35</v>
      </c>
      <c r="F13" s="27">
        <v>1685.02</v>
      </c>
      <c r="G13" s="27">
        <v>1828.02</v>
      </c>
      <c r="H13" s="27">
        <v>1847.02</v>
      </c>
      <c r="I13" s="27">
        <v>1812.16</v>
      </c>
      <c r="J13" s="27">
        <v>1778.83</v>
      </c>
      <c r="K13" s="27">
        <v>1906.37</v>
      </c>
      <c r="L13" s="27">
        <v>1987.29</v>
      </c>
      <c r="M13" s="27">
        <v>2120.15</v>
      </c>
      <c r="N13" s="27">
        <v>2242.21</v>
      </c>
      <c r="O13" s="27">
        <v>2319.2199999999998</v>
      </c>
      <c r="P13" s="27">
        <v>2520.4699999999998</v>
      </c>
      <c r="Q13" s="27">
        <v>2559.34</v>
      </c>
      <c r="R13" s="27">
        <v>2652.11</v>
      </c>
      <c r="S13" s="27">
        <v>2836.5</v>
      </c>
      <c r="T13" s="27">
        <v>2961.94</v>
      </c>
      <c r="U13" s="27">
        <v>3179.36</v>
      </c>
      <c r="V13" s="27">
        <v>3304.25</v>
      </c>
    </row>
    <row r="14" spans="1:22" ht="15" customHeight="1">
      <c r="A14" s="22" t="s">
        <v>18</v>
      </c>
      <c r="B14" s="23"/>
      <c r="C14" s="24">
        <v>5026.92</v>
      </c>
      <c r="D14" s="24">
        <v>5065.87</v>
      </c>
      <c r="E14" s="24">
        <v>5160.47</v>
      </c>
      <c r="F14" s="24">
        <v>5275.88</v>
      </c>
      <c r="G14" s="24">
        <v>5327.51</v>
      </c>
      <c r="H14" s="24">
        <v>5428.56</v>
      </c>
      <c r="I14" s="24">
        <v>5488.6</v>
      </c>
      <c r="J14" s="24">
        <v>5607.59</v>
      </c>
      <c r="K14" s="24">
        <v>5849.51</v>
      </c>
      <c r="L14" s="24">
        <v>6006.8</v>
      </c>
      <c r="M14" s="24">
        <v>6170.25</v>
      </c>
      <c r="N14" s="24">
        <v>6278.66</v>
      </c>
      <c r="O14" s="24">
        <v>6410.63</v>
      </c>
      <c r="P14" s="24">
        <v>6802.96</v>
      </c>
      <c r="Q14" s="24">
        <v>7101.49</v>
      </c>
      <c r="R14" s="24">
        <v>7396.54</v>
      </c>
      <c r="S14" s="24">
        <v>7509.47</v>
      </c>
      <c r="T14" s="24">
        <v>7875.54</v>
      </c>
      <c r="U14" s="24">
        <v>7992.13</v>
      </c>
      <c r="V14" s="24">
        <v>8214.0499999999993</v>
      </c>
    </row>
    <row r="15" spans="1:22" ht="15" customHeight="1">
      <c r="A15" s="25" t="s">
        <v>123</v>
      </c>
      <c r="B15" s="26"/>
      <c r="C15" s="27">
        <v>524.58000000000004</v>
      </c>
      <c r="D15" s="27">
        <v>535.70000000000005</v>
      </c>
      <c r="E15" s="27">
        <v>543.5</v>
      </c>
      <c r="F15" s="27">
        <v>556.96</v>
      </c>
      <c r="G15" s="27">
        <v>577.80999999999995</v>
      </c>
      <c r="H15" s="27">
        <v>596.34</v>
      </c>
      <c r="I15" s="27">
        <v>589.38</v>
      </c>
      <c r="J15" s="27">
        <v>573.21</v>
      </c>
      <c r="K15" s="27">
        <v>570.48</v>
      </c>
      <c r="L15" s="27">
        <v>565.59</v>
      </c>
      <c r="M15" s="27">
        <v>558.16999999999996</v>
      </c>
      <c r="N15" s="27">
        <v>583.52</v>
      </c>
      <c r="O15" s="27">
        <v>606.92999999999995</v>
      </c>
      <c r="P15" s="27">
        <v>604</v>
      </c>
      <c r="Q15" s="27">
        <v>617.54999999999995</v>
      </c>
      <c r="R15" s="27">
        <v>618.57000000000005</v>
      </c>
      <c r="S15" s="27">
        <v>645.27</v>
      </c>
      <c r="T15" s="27">
        <v>649.6</v>
      </c>
      <c r="U15" s="27">
        <v>643.88</v>
      </c>
      <c r="V15" s="27">
        <v>637.26</v>
      </c>
    </row>
    <row r="16" spans="1:22" ht="15" customHeight="1">
      <c r="A16" s="22" t="s">
        <v>19</v>
      </c>
      <c r="B16" s="23"/>
      <c r="C16" s="24">
        <v>6377.83</v>
      </c>
      <c r="D16" s="24">
        <v>6446.48</v>
      </c>
      <c r="E16" s="24">
        <v>6640.36</v>
      </c>
      <c r="F16" s="24">
        <v>6964.87</v>
      </c>
      <c r="G16" s="24">
        <v>7096.95</v>
      </c>
      <c r="H16" s="24">
        <v>7154.86</v>
      </c>
      <c r="I16" s="24">
        <v>7547.32</v>
      </c>
      <c r="J16" s="24">
        <v>7740.32</v>
      </c>
      <c r="K16" s="24">
        <v>7743.84</v>
      </c>
      <c r="L16" s="24">
        <v>7727.01</v>
      </c>
      <c r="M16" s="24">
        <v>7739.21</v>
      </c>
      <c r="N16" s="24">
        <v>7991.87</v>
      </c>
      <c r="O16" s="24">
        <v>8331.7199999999993</v>
      </c>
      <c r="P16" s="24">
        <v>8501.1</v>
      </c>
      <c r="Q16" s="24">
        <v>8491</v>
      </c>
      <c r="R16" s="24">
        <v>8642.9599999999991</v>
      </c>
      <c r="S16" s="24">
        <v>9116.32</v>
      </c>
      <c r="T16" s="24">
        <v>9360.15</v>
      </c>
      <c r="U16" s="24">
        <v>9858.7099999999991</v>
      </c>
      <c r="V16" s="24">
        <v>10318.59</v>
      </c>
    </row>
    <row r="17" spans="1:22" ht="15" customHeight="1">
      <c r="A17" s="25" t="s">
        <v>124</v>
      </c>
      <c r="B17" s="26"/>
      <c r="C17" s="27">
        <v>411.99</v>
      </c>
      <c r="D17" s="27">
        <v>427.5</v>
      </c>
      <c r="E17" s="27">
        <v>442.26</v>
      </c>
      <c r="F17" s="27">
        <v>452.42</v>
      </c>
      <c r="G17" s="27">
        <v>453.03</v>
      </c>
      <c r="H17" s="27">
        <v>467.2</v>
      </c>
      <c r="I17" s="27">
        <v>462.02</v>
      </c>
      <c r="J17" s="27">
        <v>468.85</v>
      </c>
      <c r="K17" s="27">
        <v>476.49</v>
      </c>
      <c r="L17" s="27">
        <v>503.32</v>
      </c>
      <c r="M17" s="27">
        <v>528.52</v>
      </c>
      <c r="N17" s="27">
        <v>529.09</v>
      </c>
      <c r="O17" s="27">
        <v>539.69000000000005</v>
      </c>
      <c r="P17" s="27">
        <v>536.61</v>
      </c>
      <c r="Q17" s="27">
        <v>565.05999999999995</v>
      </c>
      <c r="R17" s="27">
        <v>593.11</v>
      </c>
      <c r="S17" s="27">
        <v>595.41</v>
      </c>
      <c r="T17" s="27">
        <v>613.94000000000005</v>
      </c>
      <c r="U17" s="27">
        <v>631.57000000000005</v>
      </c>
      <c r="V17" s="27">
        <v>626.66</v>
      </c>
    </row>
    <row r="18" spans="1:22" ht="15" customHeight="1">
      <c r="A18" s="22" t="s">
        <v>125</v>
      </c>
      <c r="B18" s="23"/>
      <c r="C18" s="24">
        <v>324.33999999999997</v>
      </c>
      <c r="D18" s="24">
        <v>332.1</v>
      </c>
      <c r="E18" s="24">
        <v>348</v>
      </c>
      <c r="F18" s="24">
        <v>356.01</v>
      </c>
      <c r="G18" s="24">
        <v>345.35</v>
      </c>
      <c r="H18" s="24">
        <v>346.19</v>
      </c>
      <c r="I18" s="24">
        <v>336.48</v>
      </c>
      <c r="J18" s="24">
        <v>357.64</v>
      </c>
      <c r="K18" s="24">
        <v>378.34</v>
      </c>
      <c r="L18" s="24">
        <v>398.46</v>
      </c>
      <c r="M18" s="24">
        <v>398.76</v>
      </c>
      <c r="N18" s="24">
        <v>389.1</v>
      </c>
      <c r="O18" s="24">
        <v>411.59</v>
      </c>
      <c r="P18" s="24">
        <v>438.22</v>
      </c>
      <c r="Q18" s="24">
        <v>428.83</v>
      </c>
      <c r="R18" s="24">
        <v>436.8</v>
      </c>
      <c r="S18" s="24">
        <v>426.72</v>
      </c>
      <c r="T18" s="24">
        <v>446.38</v>
      </c>
      <c r="U18" s="24">
        <v>467.17</v>
      </c>
      <c r="V18" s="24">
        <v>459.16</v>
      </c>
    </row>
    <row r="19" spans="1:22" ht="15" customHeight="1">
      <c r="A19" s="44" t="s">
        <v>1</v>
      </c>
      <c r="B19" s="29"/>
      <c r="C19" s="30">
        <v>17638.330000000002</v>
      </c>
      <c r="D19" s="30">
        <v>17841.07</v>
      </c>
      <c r="E19" s="30">
        <v>18244.849999999999</v>
      </c>
      <c r="F19" s="30">
        <v>18739.04</v>
      </c>
      <c r="G19" s="30">
        <v>19296</v>
      </c>
      <c r="H19" s="30">
        <v>19718.990000000002</v>
      </c>
      <c r="I19" s="30">
        <v>20422.05</v>
      </c>
      <c r="J19" s="30">
        <v>20707.060000000001</v>
      </c>
      <c r="K19" s="30">
        <v>21240.240000000002</v>
      </c>
      <c r="L19" s="30">
        <v>21473.38</v>
      </c>
      <c r="M19" s="30">
        <v>21850.81</v>
      </c>
      <c r="N19" s="30">
        <v>22525.95</v>
      </c>
      <c r="O19" s="30">
        <v>23098.14</v>
      </c>
      <c r="P19" s="30">
        <v>23925.98</v>
      </c>
      <c r="Q19" s="30">
        <v>24534.58</v>
      </c>
      <c r="R19" s="30">
        <v>25323.7</v>
      </c>
      <c r="S19" s="30">
        <v>26173.32</v>
      </c>
      <c r="T19" s="30">
        <v>27197.95</v>
      </c>
      <c r="U19" s="30">
        <v>28438.54</v>
      </c>
      <c r="V19" s="30">
        <v>29172.71</v>
      </c>
    </row>
    <row r="20" spans="1:22" ht="4.5" customHeight="1"/>
    <row r="21" spans="1:22" ht="15" customHeight="1">
      <c r="A21" s="58" t="s">
        <v>126</v>
      </c>
      <c r="B21" s="58"/>
      <c r="C21" s="58"/>
      <c r="D21" s="58"/>
      <c r="E21" s="58"/>
      <c r="F21" s="58"/>
      <c r="G21" s="58"/>
      <c r="H21" s="58"/>
      <c r="I21" s="58"/>
      <c r="J21" s="58"/>
      <c r="K21" s="58"/>
      <c r="L21" s="58"/>
      <c r="M21" s="58"/>
      <c r="N21" s="58"/>
      <c r="O21" s="58"/>
      <c r="P21" s="58"/>
      <c r="Q21" s="58"/>
      <c r="R21" s="58"/>
      <c r="S21" s="58"/>
      <c r="T21" s="58"/>
      <c r="U21" s="58"/>
      <c r="V21" s="58"/>
    </row>
    <row r="22" spans="1:22" ht="15" customHeight="1">
      <c r="A22" s="25" t="s">
        <v>127</v>
      </c>
      <c r="B22" s="26"/>
      <c r="C22" s="27">
        <v>29092.32</v>
      </c>
      <c r="D22" s="27">
        <v>30313.96</v>
      </c>
      <c r="E22" s="27">
        <v>31241.64</v>
      </c>
      <c r="F22" s="27">
        <v>32956.720000000001</v>
      </c>
      <c r="G22" s="27">
        <v>34173.67</v>
      </c>
      <c r="H22" s="27">
        <v>35146.660000000003</v>
      </c>
      <c r="I22" s="27">
        <v>36607.769999999997</v>
      </c>
      <c r="J22" s="27">
        <v>38408.769999999997</v>
      </c>
      <c r="K22" s="27">
        <v>39485.980000000003</v>
      </c>
      <c r="L22" s="27">
        <v>40768.04</v>
      </c>
      <c r="M22" s="27">
        <v>43206.21</v>
      </c>
      <c r="N22" s="27">
        <v>45193.49</v>
      </c>
      <c r="O22" s="27">
        <v>46889.33</v>
      </c>
      <c r="P22" s="27">
        <v>48797.87</v>
      </c>
      <c r="Q22" s="27">
        <v>50010.01</v>
      </c>
      <c r="R22" s="27">
        <v>51459.7</v>
      </c>
      <c r="S22" s="27">
        <v>53184.800000000003</v>
      </c>
      <c r="T22" s="27">
        <v>55500.06</v>
      </c>
      <c r="U22" s="27">
        <v>57120.92</v>
      </c>
      <c r="V22" s="27">
        <v>58766.5</v>
      </c>
    </row>
    <row r="23" spans="1:22" ht="15" customHeight="1">
      <c r="A23" s="22" t="s">
        <v>128</v>
      </c>
      <c r="B23" s="23"/>
      <c r="C23" s="24">
        <v>9811.98</v>
      </c>
      <c r="D23" s="24">
        <v>10354.030000000001</v>
      </c>
      <c r="E23" s="24">
        <v>10759.47</v>
      </c>
      <c r="F23" s="24">
        <v>11471.93</v>
      </c>
      <c r="G23" s="24">
        <v>12210.55</v>
      </c>
      <c r="H23" s="24">
        <v>12611.48</v>
      </c>
      <c r="I23" s="24">
        <v>13109.89</v>
      </c>
      <c r="J23" s="24">
        <v>13853.99</v>
      </c>
      <c r="K23" s="24">
        <v>14388.33</v>
      </c>
      <c r="L23" s="24">
        <v>14896.13</v>
      </c>
      <c r="M23" s="24">
        <v>15900.44</v>
      </c>
      <c r="N23" s="24">
        <v>16740.650000000001</v>
      </c>
      <c r="O23" s="24">
        <v>17559.38</v>
      </c>
      <c r="P23" s="24">
        <v>18637.259999999998</v>
      </c>
      <c r="Q23" s="24">
        <v>19798.36</v>
      </c>
      <c r="R23" s="24">
        <v>20543.099999999999</v>
      </c>
      <c r="S23" s="24">
        <v>21239.040000000001</v>
      </c>
      <c r="T23" s="24">
        <v>22242.42</v>
      </c>
      <c r="U23" s="24">
        <v>23286.55</v>
      </c>
      <c r="V23" s="24">
        <v>24420.16</v>
      </c>
    </row>
    <row r="24" spans="1:22" ht="15" customHeight="1">
      <c r="A24" s="44" t="s">
        <v>129</v>
      </c>
      <c r="B24" s="29"/>
      <c r="C24" s="30">
        <v>19280.34</v>
      </c>
      <c r="D24" s="30">
        <v>19959.93</v>
      </c>
      <c r="E24" s="30">
        <v>20482.169999999998</v>
      </c>
      <c r="F24" s="30">
        <v>21484.79</v>
      </c>
      <c r="G24" s="30">
        <v>21963.119999999999</v>
      </c>
      <c r="H24" s="30">
        <v>22535.18</v>
      </c>
      <c r="I24" s="30">
        <v>23497.88</v>
      </c>
      <c r="J24" s="30">
        <v>24554.78</v>
      </c>
      <c r="K24" s="30">
        <v>25097.65</v>
      </c>
      <c r="L24" s="30">
        <v>25871.91</v>
      </c>
      <c r="M24" s="30">
        <v>27305.77</v>
      </c>
      <c r="N24" s="30">
        <v>28452.84</v>
      </c>
      <c r="O24" s="30">
        <v>29329.95</v>
      </c>
      <c r="P24" s="30">
        <v>30160.61</v>
      </c>
      <c r="Q24" s="30">
        <v>30211.65</v>
      </c>
      <c r="R24" s="30">
        <v>30916.6</v>
      </c>
      <c r="S24" s="30">
        <v>31945.759999999998</v>
      </c>
      <c r="T24" s="30">
        <v>33257.64</v>
      </c>
      <c r="U24" s="30">
        <v>33834.370000000003</v>
      </c>
      <c r="V24" s="30">
        <v>34346.339999999997</v>
      </c>
    </row>
    <row r="25" spans="1:22" ht="15" customHeight="1">
      <c r="A25" s="25" t="s">
        <v>20</v>
      </c>
      <c r="B25" s="26"/>
      <c r="C25" s="27">
        <v>12174.98</v>
      </c>
      <c r="D25" s="27">
        <v>12338.94</v>
      </c>
      <c r="E25" s="27">
        <v>12581.81</v>
      </c>
      <c r="F25" s="27">
        <v>12606.58</v>
      </c>
      <c r="G25" s="27">
        <v>12708.09</v>
      </c>
      <c r="H25" s="27">
        <v>12794.33</v>
      </c>
      <c r="I25" s="27">
        <v>13014.82</v>
      </c>
      <c r="J25" s="27">
        <v>13079.54</v>
      </c>
      <c r="K25" s="27">
        <v>13129.3</v>
      </c>
      <c r="L25" s="27">
        <v>13247.1</v>
      </c>
      <c r="M25" s="27">
        <v>13358.88</v>
      </c>
      <c r="N25" s="27">
        <v>13433.3</v>
      </c>
      <c r="O25" s="27">
        <v>13500.41</v>
      </c>
      <c r="P25" s="27">
        <v>13749.7</v>
      </c>
      <c r="Q25" s="27">
        <v>13871.56</v>
      </c>
      <c r="R25" s="27">
        <v>14110.52</v>
      </c>
      <c r="S25" s="27">
        <v>14265.83</v>
      </c>
      <c r="T25" s="27">
        <v>14280.27</v>
      </c>
      <c r="U25" s="27">
        <v>14565.67</v>
      </c>
      <c r="V25" s="27">
        <v>14809.21</v>
      </c>
    </row>
    <row r="26" spans="1:22" ht="15" customHeight="1">
      <c r="A26" s="22" t="s">
        <v>21</v>
      </c>
      <c r="B26" s="23"/>
      <c r="C26" s="24">
        <v>3947.29</v>
      </c>
      <c r="D26" s="24">
        <v>4093.55</v>
      </c>
      <c r="E26" s="24">
        <v>4232.5200000000004</v>
      </c>
      <c r="F26" s="24">
        <v>4260.68</v>
      </c>
      <c r="G26" s="24">
        <v>4343.4399999999996</v>
      </c>
      <c r="H26" s="24">
        <v>4380.58</v>
      </c>
      <c r="I26" s="24">
        <v>4450.8500000000004</v>
      </c>
      <c r="J26" s="24">
        <v>4461.29</v>
      </c>
      <c r="K26" s="24">
        <v>4528.92</v>
      </c>
      <c r="L26" s="24">
        <v>4707.41</v>
      </c>
      <c r="M26" s="24">
        <v>4757.3500000000004</v>
      </c>
      <c r="N26" s="24">
        <v>4906.55</v>
      </c>
      <c r="O26" s="24">
        <v>4995.8599999999997</v>
      </c>
      <c r="P26" s="24">
        <v>5080.3900000000003</v>
      </c>
      <c r="Q26" s="24">
        <v>5274.93</v>
      </c>
      <c r="R26" s="24">
        <v>5484.96</v>
      </c>
      <c r="S26" s="24">
        <v>5606.89</v>
      </c>
      <c r="T26" s="24">
        <v>5768.02</v>
      </c>
      <c r="U26" s="24">
        <v>5803.73</v>
      </c>
      <c r="V26" s="24">
        <v>5872.61</v>
      </c>
    </row>
    <row r="27" spans="1:22" ht="15" customHeight="1">
      <c r="A27" s="25" t="s">
        <v>130</v>
      </c>
      <c r="B27" s="26"/>
      <c r="C27" s="27">
        <v>2241.7399999999998</v>
      </c>
      <c r="D27" s="27">
        <v>2323.1999999999998</v>
      </c>
      <c r="E27" s="27">
        <v>2400.73</v>
      </c>
      <c r="F27" s="27">
        <v>2520.38</v>
      </c>
      <c r="G27" s="27">
        <v>2506.6999999999998</v>
      </c>
      <c r="H27" s="27">
        <v>2598.79</v>
      </c>
      <c r="I27" s="27">
        <v>2677.34</v>
      </c>
      <c r="J27" s="27">
        <v>2833.21</v>
      </c>
      <c r="K27" s="27">
        <v>2840.56</v>
      </c>
      <c r="L27" s="27">
        <v>3030.49</v>
      </c>
      <c r="M27" s="27">
        <v>3019.61</v>
      </c>
      <c r="N27" s="27">
        <v>3034.3</v>
      </c>
      <c r="O27" s="27">
        <v>3148.4</v>
      </c>
      <c r="P27" s="27">
        <v>3286.98</v>
      </c>
      <c r="Q27" s="27">
        <v>3315.96</v>
      </c>
      <c r="R27" s="27">
        <v>3314.6</v>
      </c>
      <c r="S27" s="27">
        <v>3517.53</v>
      </c>
      <c r="T27" s="27">
        <v>3551.64</v>
      </c>
      <c r="U27" s="27">
        <v>3685.05</v>
      </c>
      <c r="V27" s="27">
        <v>3830.79</v>
      </c>
    </row>
    <row r="28" spans="1:22" ht="15" customHeight="1">
      <c r="A28" s="22" t="s">
        <v>131</v>
      </c>
      <c r="B28" s="23"/>
      <c r="C28" s="24">
        <v>791.82</v>
      </c>
      <c r="D28" s="24">
        <v>811.63</v>
      </c>
      <c r="E28" s="24">
        <v>828.97</v>
      </c>
      <c r="F28" s="24">
        <v>867.17</v>
      </c>
      <c r="G28" s="24">
        <v>869.13</v>
      </c>
      <c r="H28" s="24">
        <v>897.79</v>
      </c>
      <c r="I28" s="24">
        <v>901.67</v>
      </c>
      <c r="J28" s="24">
        <v>914.06</v>
      </c>
      <c r="K28" s="24">
        <v>941.76</v>
      </c>
      <c r="L28" s="24">
        <v>949.29</v>
      </c>
      <c r="M28" s="24">
        <v>957.81</v>
      </c>
      <c r="N28" s="24">
        <v>991.44</v>
      </c>
      <c r="O28" s="24">
        <v>985.84</v>
      </c>
      <c r="P28" s="24">
        <v>1003.09</v>
      </c>
      <c r="Q28" s="24">
        <v>1053.1500000000001</v>
      </c>
      <c r="R28" s="24">
        <v>1105.56</v>
      </c>
      <c r="S28" s="24">
        <v>1099.3699999999999</v>
      </c>
      <c r="T28" s="24">
        <v>1102.43</v>
      </c>
      <c r="U28" s="24">
        <v>1108.95</v>
      </c>
      <c r="V28" s="24">
        <v>1159.96</v>
      </c>
    </row>
    <row r="29" spans="1:22" ht="15" customHeight="1">
      <c r="A29" s="25" t="s">
        <v>22</v>
      </c>
      <c r="B29" s="26"/>
      <c r="C29" s="27">
        <v>585.46</v>
      </c>
      <c r="D29" s="27">
        <v>612.01</v>
      </c>
      <c r="E29" s="27">
        <v>614.79999999999995</v>
      </c>
      <c r="F29" s="27">
        <v>607.19000000000005</v>
      </c>
      <c r="G29" s="27">
        <v>632.51</v>
      </c>
      <c r="H29" s="27">
        <v>652.29999999999995</v>
      </c>
      <c r="I29" s="27">
        <v>667.91</v>
      </c>
      <c r="J29" s="27">
        <v>703.96</v>
      </c>
      <c r="K29" s="27">
        <v>723.19</v>
      </c>
      <c r="L29" s="27">
        <v>705.56</v>
      </c>
      <c r="M29" s="27">
        <v>734.05</v>
      </c>
      <c r="N29" s="27">
        <v>733.28</v>
      </c>
      <c r="O29" s="27">
        <v>753.86</v>
      </c>
      <c r="P29" s="27">
        <v>791.64</v>
      </c>
      <c r="Q29" s="27">
        <v>780.35</v>
      </c>
      <c r="R29" s="27">
        <v>768.05</v>
      </c>
      <c r="S29" s="27">
        <v>755.43</v>
      </c>
      <c r="T29" s="27">
        <v>769.97</v>
      </c>
      <c r="U29" s="27">
        <v>767.5</v>
      </c>
      <c r="V29" s="27">
        <v>785.45</v>
      </c>
    </row>
    <row r="30" spans="1:22" ht="15" customHeight="1">
      <c r="A30" s="44" t="s">
        <v>23</v>
      </c>
      <c r="B30" s="29"/>
      <c r="C30" s="30">
        <v>39021.629999999997</v>
      </c>
      <c r="D30" s="30">
        <v>40139.26</v>
      </c>
      <c r="E30" s="30">
        <v>41141</v>
      </c>
      <c r="F30" s="30">
        <v>42346.79</v>
      </c>
      <c r="G30" s="30">
        <v>43022.99</v>
      </c>
      <c r="H30" s="30">
        <v>43858.97</v>
      </c>
      <c r="I30" s="30">
        <v>45210.47</v>
      </c>
      <c r="J30" s="30">
        <v>46546.84</v>
      </c>
      <c r="K30" s="30">
        <v>47261.38</v>
      </c>
      <c r="L30" s="30">
        <v>48511.76</v>
      </c>
      <c r="M30" s="30">
        <v>50133.47</v>
      </c>
      <c r="N30" s="30">
        <v>51551.71</v>
      </c>
      <c r="O30" s="30">
        <v>52714.32</v>
      </c>
      <c r="P30" s="30">
        <v>54072.41</v>
      </c>
      <c r="Q30" s="30">
        <v>54507.6</v>
      </c>
      <c r="R30" s="30">
        <v>55700.29</v>
      </c>
      <c r="S30" s="30">
        <v>57190.81</v>
      </c>
      <c r="T30" s="30">
        <v>58729.97</v>
      </c>
      <c r="U30" s="30">
        <v>59765.27</v>
      </c>
      <c r="V30" s="30">
        <v>60804.36</v>
      </c>
    </row>
    <row r="31" spans="1:22" ht="4.5" customHeight="1"/>
    <row r="32" spans="1:22" ht="15" customHeight="1">
      <c r="A32" s="31" t="s">
        <v>132</v>
      </c>
      <c r="B32" s="32"/>
      <c r="C32" s="33">
        <v>56659.96</v>
      </c>
      <c r="D32" s="33">
        <v>57980.33</v>
      </c>
      <c r="E32" s="33">
        <v>59385.85</v>
      </c>
      <c r="F32" s="33">
        <v>61085.83</v>
      </c>
      <c r="G32" s="33">
        <v>62318.99</v>
      </c>
      <c r="H32" s="33">
        <v>63577.96</v>
      </c>
      <c r="I32" s="33">
        <v>65632.52</v>
      </c>
      <c r="J32" s="33">
        <v>67253.899999999994</v>
      </c>
      <c r="K32" s="33">
        <v>68501.62</v>
      </c>
      <c r="L32" s="33">
        <v>69985.14</v>
      </c>
      <c r="M32" s="33">
        <v>71984.28</v>
      </c>
      <c r="N32" s="33">
        <v>74077.66</v>
      </c>
      <c r="O32" s="33">
        <v>75812.460000000006</v>
      </c>
      <c r="P32" s="33">
        <v>77998.39</v>
      </c>
      <c r="Q32" s="33">
        <v>79042.179999999993</v>
      </c>
      <c r="R32" s="33">
        <v>81023.990000000005</v>
      </c>
      <c r="S32" s="33">
        <v>83364.13</v>
      </c>
      <c r="T32" s="33">
        <v>85927.92</v>
      </c>
      <c r="U32" s="33">
        <v>88203.81</v>
      </c>
      <c r="V32" s="33">
        <v>89977.07</v>
      </c>
    </row>
    <row r="33" spans="1:22" ht="4.5" customHeight="1"/>
    <row r="34" spans="1:22" ht="15" customHeight="1">
      <c r="A34" s="54" t="s">
        <v>133</v>
      </c>
      <c r="B34" s="54"/>
      <c r="C34" s="54"/>
      <c r="D34" s="54"/>
      <c r="E34" s="54"/>
      <c r="F34" s="54"/>
      <c r="G34" s="54"/>
      <c r="H34" s="54"/>
      <c r="I34" s="54"/>
      <c r="J34" s="54"/>
      <c r="K34" s="54"/>
      <c r="L34" s="54"/>
      <c r="M34" s="54"/>
      <c r="N34" s="54"/>
      <c r="O34" s="54"/>
      <c r="P34" s="54"/>
      <c r="Q34" s="54"/>
      <c r="R34" s="54"/>
      <c r="S34" s="54"/>
      <c r="T34" s="54"/>
      <c r="U34" s="54"/>
      <c r="V34" s="54"/>
    </row>
    <row r="35" spans="1:22" ht="15" customHeight="1">
      <c r="A35" s="58" t="s">
        <v>27</v>
      </c>
      <c r="B35" s="58"/>
      <c r="C35" s="58"/>
      <c r="D35" s="58"/>
      <c r="E35" s="58"/>
      <c r="F35" s="58"/>
      <c r="G35" s="58"/>
      <c r="H35" s="58"/>
      <c r="I35" s="58"/>
      <c r="J35" s="58"/>
      <c r="K35" s="58"/>
      <c r="L35" s="58"/>
      <c r="M35" s="58"/>
      <c r="N35" s="58"/>
      <c r="O35" s="58"/>
      <c r="P35" s="58"/>
      <c r="Q35" s="58"/>
      <c r="R35" s="58"/>
      <c r="S35" s="58"/>
      <c r="T35" s="58"/>
      <c r="U35" s="58"/>
      <c r="V35" s="58"/>
    </row>
    <row r="36" spans="1:22" ht="15" customHeight="1">
      <c r="A36" s="22" t="s">
        <v>2</v>
      </c>
      <c r="B36" s="23"/>
      <c r="C36" s="24">
        <v>3963.62</v>
      </c>
      <c r="D36" s="24">
        <v>4012.03</v>
      </c>
      <c r="E36" s="24">
        <v>4164.71</v>
      </c>
      <c r="F36" s="24">
        <v>4230.67</v>
      </c>
      <c r="G36" s="24">
        <v>4354.68</v>
      </c>
      <c r="H36" s="24">
        <v>4591.2299999999996</v>
      </c>
      <c r="I36" s="24">
        <v>4824.3100000000004</v>
      </c>
      <c r="J36" s="24">
        <v>4851.03</v>
      </c>
      <c r="K36" s="24">
        <v>4974.3100000000004</v>
      </c>
      <c r="L36" s="24">
        <v>5056.8900000000003</v>
      </c>
      <c r="M36" s="24">
        <v>5057.97</v>
      </c>
      <c r="N36" s="24">
        <v>5291.98</v>
      </c>
      <c r="O36" s="24">
        <v>5494.28</v>
      </c>
      <c r="P36" s="24">
        <v>5580.64</v>
      </c>
      <c r="Q36" s="24">
        <v>5828.83</v>
      </c>
      <c r="R36" s="24">
        <v>6021.77</v>
      </c>
      <c r="S36" s="24">
        <v>6176.29</v>
      </c>
      <c r="T36" s="24">
        <v>6179.88</v>
      </c>
      <c r="U36" s="24">
        <v>6207.78</v>
      </c>
      <c r="V36" s="24">
        <v>6536.7</v>
      </c>
    </row>
    <row r="37" spans="1:22" ht="15" customHeight="1">
      <c r="A37" s="25" t="s">
        <v>134</v>
      </c>
      <c r="B37" s="26"/>
      <c r="C37" s="27">
        <v>2008.9</v>
      </c>
      <c r="D37" s="27">
        <v>2066.4499999999998</v>
      </c>
      <c r="E37" s="27">
        <v>2173.42</v>
      </c>
      <c r="F37" s="27">
        <v>2242.1</v>
      </c>
      <c r="G37" s="27">
        <v>2235.04</v>
      </c>
      <c r="H37" s="27">
        <v>2224.3000000000002</v>
      </c>
      <c r="I37" s="27">
        <v>2245.79</v>
      </c>
      <c r="J37" s="27">
        <v>2373.61</v>
      </c>
      <c r="K37" s="27">
        <v>2489.1799999999998</v>
      </c>
      <c r="L37" s="27">
        <v>2623.24</v>
      </c>
      <c r="M37" s="27">
        <v>2772.54</v>
      </c>
      <c r="N37" s="27">
        <v>2777.55</v>
      </c>
      <c r="O37" s="27">
        <v>2791.33</v>
      </c>
      <c r="P37" s="27">
        <v>2772.42</v>
      </c>
      <c r="Q37" s="27">
        <v>2903.85</v>
      </c>
      <c r="R37" s="27">
        <v>3065.69</v>
      </c>
      <c r="S37" s="27">
        <v>3119.37</v>
      </c>
      <c r="T37" s="27">
        <v>3227.46</v>
      </c>
      <c r="U37" s="27">
        <v>3218.96</v>
      </c>
      <c r="V37" s="27">
        <v>3410.13</v>
      </c>
    </row>
    <row r="38" spans="1:22" ht="15" customHeight="1">
      <c r="A38" s="22" t="s">
        <v>135</v>
      </c>
      <c r="B38" s="23"/>
      <c r="C38" s="24">
        <v>1276.5</v>
      </c>
      <c r="D38" s="24">
        <v>1374.98</v>
      </c>
      <c r="E38" s="24">
        <v>1453.75</v>
      </c>
      <c r="F38" s="24">
        <v>1549.37</v>
      </c>
      <c r="G38" s="24">
        <v>1492</v>
      </c>
      <c r="H38" s="24">
        <v>1564.2</v>
      </c>
      <c r="I38" s="24">
        <v>1563.98</v>
      </c>
      <c r="J38" s="24">
        <v>1676.12</v>
      </c>
      <c r="K38" s="24">
        <v>1770.43</v>
      </c>
      <c r="L38" s="24">
        <v>1883.18</v>
      </c>
      <c r="M38" s="24">
        <v>1991.07</v>
      </c>
      <c r="N38" s="24">
        <v>1975.17</v>
      </c>
      <c r="O38" s="24">
        <v>2082.79</v>
      </c>
      <c r="P38" s="24">
        <v>2026.5</v>
      </c>
      <c r="Q38" s="24">
        <v>2157.5300000000002</v>
      </c>
      <c r="R38" s="24">
        <v>2293.52</v>
      </c>
      <c r="S38" s="24">
        <v>2263</v>
      </c>
      <c r="T38" s="24">
        <v>2394.23</v>
      </c>
      <c r="U38" s="24">
        <v>2430.71</v>
      </c>
      <c r="V38" s="24">
        <v>2422.5</v>
      </c>
    </row>
    <row r="39" spans="1:22" ht="15" customHeight="1">
      <c r="A39" s="25" t="s">
        <v>136</v>
      </c>
      <c r="B39" s="26"/>
      <c r="C39" s="27">
        <v>626.72</v>
      </c>
      <c r="D39" s="27">
        <v>619.04999999999995</v>
      </c>
      <c r="E39" s="27">
        <v>598.85</v>
      </c>
      <c r="F39" s="27">
        <v>589.45000000000005</v>
      </c>
      <c r="G39" s="27">
        <v>588.16999999999996</v>
      </c>
      <c r="H39" s="27">
        <v>618.41999999999996</v>
      </c>
      <c r="I39" s="27">
        <v>656.57</v>
      </c>
      <c r="J39" s="27">
        <v>651.91999999999996</v>
      </c>
      <c r="K39" s="27">
        <v>670.92</v>
      </c>
      <c r="L39" s="27">
        <v>674.26</v>
      </c>
      <c r="M39" s="27">
        <v>716.81</v>
      </c>
      <c r="N39" s="27">
        <v>730.16</v>
      </c>
      <c r="O39" s="27">
        <v>773.18</v>
      </c>
      <c r="P39" s="27">
        <v>755.04</v>
      </c>
      <c r="Q39" s="27">
        <v>801.88</v>
      </c>
      <c r="R39" s="27">
        <v>788.14</v>
      </c>
      <c r="S39" s="27">
        <v>836.41</v>
      </c>
      <c r="T39" s="27">
        <v>829.34</v>
      </c>
      <c r="U39" s="27">
        <v>809.31</v>
      </c>
      <c r="V39" s="27">
        <v>816.15</v>
      </c>
    </row>
    <row r="40" spans="1:22" ht="15" customHeight="1">
      <c r="A40" s="22" t="s">
        <v>137</v>
      </c>
      <c r="B40" s="23"/>
      <c r="C40" s="24">
        <v>471.73</v>
      </c>
      <c r="D40" s="24">
        <v>478.85</v>
      </c>
      <c r="E40" s="24">
        <v>497.28</v>
      </c>
      <c r="F40" s="24">
        <v>512.65</v>
      </c>
      <c r="G40" s="24">
        <v>523.33000000000004</v>
      </c>
      <c r="H40" s="24">
        <v>542.23</v>
      </c>
      <c r="I40" s="24">
        <v>547.86</v>
      </c>
      <c r="J40" s="24">
        <v>573.45000000000005</v>
      </c>
      <c r="K40" s="24">
        <v>567.79</v>
      </c>
      <c r="L40" s="24">
        <v>604.15</v>
      </c>
      <c r="M40" s="24">
        <v>624.14</v>
      </c>
      <c r="N40" s="24">
        <v>653.82000000000005</v>
      </c>
      <c r="O40" s="24">
        <v>686.09</v>
      </c>
      <c r="P40" s="24">
        <v>716.04</v>
      </c>
      <c r="Q40" s="24">
        <v>729.74</v>
      </c>
      <c r="R40" s="24">
        <v>726.53</v>
      </c>
      <c r="S40" s="24">
        <v>757.87</v>
      </c>
      <c r="T40" s="24">
        <v>770.31</v>
      </c>
      <c r="U40" s="24">
        <v>781.95</v>
      </c>
      <c r="V40" s="24">
        <v>827.18</v>
      </c>
    </row>
    <row r="41" spans="1:22" ht="15" customHeight="1">
      <c r="A41" s="25" t="s">
        <v>24</v>
      </c>
      <c r="B41" s="26"/>
      <c r="C41" s="27">
        <v>394.28</v>
      </c>
      <c r="D41" s="27">
        <v>395.87</v>
      </c>
      <c r="E41" s="27">
        <v>397.75</v>
      </c>
      <c r="F41" s="27">
        <v>402.79</v>
      </c>
      <c r="G41" s="27">
        <v>407.7</v>
      </c>
      <c r="H41" s="27">
        <v>409.19</v>
      </c>
      <c r="I41" s="27">
        <v>405.17</v>
      </c>
      <c r="J41" s="27">
        <v>410.69</v>
      </c>
      <c r="K41" s="27">
        <v>433.38</v>
      </c>
      <c r="L41" s="27">
        <v>448.19</v>
      </c>
      <c r="M41" s="27">
        <v>471.6</v>
      </c>
      <c r="N41" s="27">
        <v>485.39</v>
      </c>
      <c r="O41" s="27">
        <v>487.37</v>
      </c>
      <c r="P41" s="27">
        <v>498.98</v>
      </c>
      <c r="Q41" s="27">
        <v>489.02</v>
      </c>
      <c r="R41" s="27">
        <v>490.46</v>
      </c>
      <c r="S41" s="27">
        <v>497.52</v>
      </c>
      <c r="T41" s="27">
        <v>510.65</v>
      </c>
      <c r="U41" s="27">
        <v>527.19000000000005</v>
      </c>
      <c r="V41" s="27">
        <v>536.25</v>
      </c>
    </row>
    <row r="42" spans="1:22" ht="15" customHeight="1">
      <c r="A42" s="44" t="s">
        <v>3</v>
      </c>
      <c r="B42" s="29"/>
      <c r="C42" s="30">
        <v>8741.75</v>
      </c>
      <c r="D42" s="30">
        <v>8947.23</v>
      </c>
      <c r="E42" s="30">
        <v>9285.76</v>
      </c>
      <c r="F42" s="30">
        <v>9527.0300000000007</v>
      </c>
      <c r="G42" s="30">
        <v>9600.92</v>
      </c>
      <c r="H42" s="30">
        <v>9949.57</v>
      </c>
      <c r="I42" s="30">
        <v>10243.68</v>
      </c>
      <c r="J42" s="30">
        <v>10536.82</v>
      </c>
      <c r="K42" s="30">
        <v>10906.01</v>
      </c>
      <c r="L42" s="30">
        <v>11289.91</v>
      </c>
      <c r="M42" s="30">
        <v>11634.13</v>
      </c>
      <c r="N42" s="30">
        <v>11914.07</v>
      </c>
      <c r="O42" s="30">
        <v>12315.04</v>
      </c>
      <c r="P42" s="30">
        <v>12349.62</v>
      </c>
      <c r="Q42" s="30">
        <v>12910.85</v>
      </c>
      <c r="R42" s="30">
        <v>13386.11</v>
      </c>
      <c r="S42" s="30">
        <v>13650.46</v>
      </c>
      <c r="T42" s="30">
        <v>13911.87</v>
      </c>
      <c r="U42" s="30">
        <v>13975.9</v>
      </c>
      <c r="V42" s="30">
        <v>14548.91</v>
      </c>
    </row>
    <row r="43" spans="1:22" ht="4.5" customHeight="1"/>
    <row r="44" spans="1:22" ht="15" customHeight="1">
      <c r="A44" s="58" t="s">
        <v>138</v>
      </c>
      <c r="B44" s="58"/>
      <c r="C44" s="58"/>
      <c r="D44" s="58"/>
      <c r="E44" s="58"/>
      <c r="F44" s="58"/>
      <c r="G44" s="58"/>
      <c r="H44" s="58"/>
      <c r="I44" s="58"/>
      <c r="J44" s="58"/>
      <c r="K44" s="58"/>
      <c r="L44" s="58"/>
      <c r="M44" s="58"/>
      <c r="N44" s="58"/>
      <c r="O44" s="58"/>
      <c r="P44" s="58"/>
      <c r="Q44" s="58"/>
      <c r="R44" s="58"/>
      <c r="S44" s="58"/>
      <c r="T44" s="58"/>
      <c r="U44" s="58"/>
      <c r="V44" s="58"/>
    </row>
    <row r="45" spans="1:22" ht="15" customHeight="1">
      <c r="A45" s="22" t="s">
        <v>139</v>
      </c>
      <c r="B45" s="23"/>
      <c r="C45" s="24">
        <v>14683.95</v>
      </c>
      <c r="D45" s="24">
        <v>14736.05</v>
      </c>
      <c r="E45" s="24">
        <v>14941.29</v>
      </c>
      <c r="F45" s="24">
        <v>15405.17</v>
      </c>
      <c r="G45" s="24">
        <v>15818.66</v>
      </c>
      <c r="H45" s="24">
        <v>15846.94</v>
      </c>
      <c r="I45" s="24">
        <v>15821.46</v>
      </c>
      <c r="J45" s="24">
        <v>16068.56</v>
      </c>
      <c r="K45" s="24">
        <v>16395.03</v>
      </c>
      <c r="L45" s="24">
        <v>16532.87</v>
      </c>
      <c r="M45" s="24">
        <v>16991.45</v>
      </c>
      <c r="N45" s="24">
        <v>17417.009999999998</v>
      </c>
      <c r="O45" s="24">
        <v>17798.64</v>
      </c>
      <c r="P45" s="24">
        <v>17869.580000000002</v>
      </c>
      <c r="Q45" s="24">
        <v>17922.57</v>
      </c>
      <c r="R45" s="24">
        <v>17850.47</v>
      </c>
      <c r="S45" s="24">
        <v>17936.04</v>
      </c>
      <c r="T45" s="24">
        <v>18187.240000000002</v>
      </c>
      <c r="U45" s="24">
        <v>18714.48</v>
      </c>
      <c r="V45" s="24">
        <v>18675.419999999998</v>
      </c>
    </row>
    <row r="46" spans="1:22" ht="15" customHeight="1">
      <c r="A46" s="25" t="s">
        <v>140</v>
      </c>
      <c r="B46" s="26"/>
      <c r="C46" s="27">
        <v>2243.71</v>
      </c>
      <c r="D46" s="27">
        <v>2317.27</v>
      </c>
      <c r="E46" s="27">
        <v>2332.7199999999998</v>
      </c>
      <c r="F46" s="27">
        <v>2418.52</v>
      </c>
      <c r="G46" s="27">
        <v>2478.16</v>
      </c>
      <c r="H46" s="27">
        <v>2502.0500000000002</v>
      </c>
      <c r="I46" s="27">
        <v>2588.0300000000002</v>
      </c>
      <c r="J46" s="27">
        <v>2575.9499999999998</v>
      </c>
      <c r="K46" s="27">
        <v>2679.14</v>
      </c>
      <c r="L46" s="27">
        <v>2789.52</v>
      </c>
      <c r="M46" s="27">
        <v>2793.42</v>
      </c>
      <c r="N46" s="27">
        <v>2850.71</v>
      </c>
      <c r="O46" s="27">
        <v>2866.54</v>
      </c>
      <c r="P46" s="27">
        <v>3016.97</v>
      </c>
      <c r="Q46" s="27">
        <v>3095.64</v>
      </c>
      <c r="R46" s="27">
        <v>3089.49</v>
      </c>
      <c r="S46" s="27">
        <v>3120.24</v>
      </c>
      <c r="T46" s="27">
        <v>3263.46</v>
      </c>
      <c r="U46" s="27">
        <v>3336.52</v>
      </c>
      <c r="V46" s="27">
        <v>3480.27</v>
      </c>
    </row>
    <row r="47" spans="1:22" ht="15" customHeight="1">
      <c r="A47" s="22" t="s">
        <v>141</v>
      </c>
      <c r="B47" s="23"/>
      <c r="C47" s="24">
        <v>999.65</v>
      </c>
      <c r="D47" s="24">
        <v>1038.9100000000001</v>
      </c>
      <c r="E47" s="24">
        <v>1055.25</v>
      </c>
      <c r="F47" s="24">
        <v>1094.3</v>
      </c>
      <c r="G47" s="24">
        <v>1130.94</v>
      </c>
      <c r="H47" s="24">
        <v>1149.9000000000001</v>
      </c>
      <c r="I47" s="24">
        <v>1176.52</v>
      </c>
      <c r="J47" s="24">
        <v>1188.6300000000001</v>
      </c>
      <c r="K47" s="24">
        <v>1224.0899999999999</v>
      </c>
      <c r="L47" s="24">
        <v>1239.8399999999999</v>
      </c>
      <c r="M47" s="24">
        <v>1281.79</v>
      </c>
      <c r="N47" s="24">
        <v>1313.35</v>
      </c>
      <c r="O47" s="24">
        <v>1324.49</v>
      </c>
      <c r="P47" s="24">
        <v>1318.59</v>
      </c>
      <c r="Q47" s="24">
        <v>1311.78</v>
      </c>
      <c r="R47" s="24">
        <v>1335.74</v>
      </c>
      <c r="S47" s="24">
        <v>1370.4</v>
      </c>
      <c r="T47" s="24">
        <v>1385.85</v>
      </c>
      <c r="U47" s="24">
        <v>1410.25</v>
      </c>
      <c r="V47" s="24">
        <v>1405.28</v>
      </c>
    </row>
    <row r="48" spans="1:22" ht="15" customHeight="1">
      <c r="A48" s="25" t="s">
        <v>142</v>
      </c>
      <c r="B48" s="26"/>
      <c r="C48" s="27">
        <v>646.52</v>
      </c>
      <c r="D48" s="27">
        <v>651.14</v>
      </c>
      <c r="E48" s="27">
        <v>655.24</v>
      </c>
      <c r="F48" s="27">
        <v>661.26</v>
      </c>
      <c r="G48" s="27">
        <v>676.08</v>
      </c>
      <c r="H48" s="27">
        <v>674.93</v>
      </c>
      <c r="I48" s="27">
        <v>677.55</v>
      </c>
      <c r="J48" s="27">
        <v>698.98</v>
      </c>
      <c r="K48" s="27">
        <v>721.62</v>
      </c>
      <c r="L48" s="27">
        <v>717.18</v>
      </c>
      <c r="M48" s="27">
        <v>727.55</v>
      </c>
      <c r="N48" s="27">
        <v>743.96</v>
      </c>
      <c r="O48" s="27">
        <v>755.08</v>
      </c>
      <c r="P48" s="27">
        <v>756.9</v>
      </c>
      <c r="Q48" s="27">
        <v>768.41</v>
      </c>
      <c r="R48" s="27">
        <v>802.45</v>
      </c>
      <c r="S48" s="27">
        <v>822.54</v>
      </c>
      <c r="T48" s="27">
        <v>848.65</v>
      </c>
      <c r="U48" s="27">
        <v>883.78</v>
      </c>
      <c r="V48" s="27">
        <v>915.54</v>
      </c>
    </row>
    <row r="49" spans="1:22" ht="15" customHeight="1">
      <c r="A49" s="22" t="s">
        <v>25</v>
      </c>
      <c r="B49" s="23"/>
      <c r="C49" s="24">
        <v>422.28</v>
      </c>
      <c r="D49" s="24">
        <v>411.92</v>
      </c>
      <c r="E49" s="24">
        <v>413.22</v>
      </c>
      <c r="F49" s="24">
        <v>427.79</v>
      </c>
      <c r="G49" s="24">
        <v>446.31</v>
      </c>
      <c r="H49" s="24">
        <v>469.19</v>
      </c>
      <c r="I49" s="24">
        <v>473.19</v>
      </c>
      <c r="J49" s="24">
        <v>489.66</v>
      </c>
      <c r="K49" s="24">
        <v>498.81</v>
      </c>
      <c r="L49" s="24">
        <v>510.41</v>
      </c>
      <c r="M49" s="24">
        <v>506.66</v>
      </c>
      <c r="N49" s="24">
        <v>502.88</v>
      </c>
      <c r="O49" s="24">
        <v>507.85</v>
      </c>
      <c r="P49" s="24">
        <v>496.33</v>
      </c>
      <c r="Q49" s="24">
        <v>497.27</v>
      </c>
      <c r="R49" s="24">
        <v>511.85</v>
      </c>
      <c r="S49" s="24">
        <v>515.61</v>
      </c>
      <c r="T49" s="24">
        <v>509.53</v>
      </c>
      <c r="U49" s="24">
        <v>515.84</v>
      </c>
      <c r="V49" s="24">
        <v>508.21</v>
      </c>
    </row>
    <row r="50" spans="1:22" ht="15" customHeight="1">
      <c r="A50" s="44" t="s">
        <v>6</v>
      </c>
      <c r="B50" s="29"/>
      <c r="C50" s="30">
        <v>18996.11</v>
      </c>
      <c r="D50" s="30">
        <v>19155.29</v>
      </c>
      <c r="E50" s="30">
        <v>19397.72</v>
      </c>
      <c r="F50" s="30">
        <v>20007.04</v>
      </c>
      <c r="G50" s="30">
        <v>20550.150000000001</v>
      </c>
      <c r="H50" s="30">
        <v>20643.009999999998</v>
      </c>
      <c r="I50" s="30">
        <v>20736.75</v>
      </c>
      <c r="J50" s="30">
        <v>21021.78</v>
      </c>
      <c r="K50" s="30">
        <v>21518.69</v>
      </c>
      <c r="L50" s="30">
        <v>21789.82</v>
      </c>
      <c r="M50" s="30">
        <v>22300.87</v>
      </c>
      <c r="N50" s="30">
        <v>22827.91</v>
      </c>
      <c r="O50" s="30">
        <v>23252.6</v>
      </c>
      <c r="P50" s="30">
        <v>23458.37</v>
      </c>
      <c r="Q50" s="30">
        <v>23595.67</v>
      </c>
      <c r="R50" s="30">
        <v>23590</v>
      </c>
      <c r="S50" s="30">
        <v>23764.83</v>
      </c>
      <c r="T50" s="30">
        <v>24194.73</v>
      </c>
      <c r="U50" s="30">
        <v>24860.87</v>
      </c>
      <c r="V50" s="30">
        <v>24984.720000000001</v>
      </c>
    </row>
    <row r="51" spans="1:22" ht="4.5" customHeight="1"/>
    <row r="52" spans="1:22" ht="15" customHeight="1">
      <c r="A52" s="45" t="s">
        <v>4</v>
      </c>
      <c r="B52" s="29"/>
      <c r="C52" s="30">
        <v>27737.86</v>
      </c>
      <c r="D52" s="30">
        <v>28102.52</v>
      </c>
      <c r="E52" s="30">
        <v>28683.48</v>
      </c>
      <c r="F52" s="30">
        <v>29534.07</v>
      </c>
      <c r="G52" s="30">
        <v>30151.07</v>
      </c>
      <c r="H52" s="30">
        <v>30592.58</v>
      </c>
      <c r="I52" s="30">
        <v>30980.43</v>
      </c>
      <c r="J52" s="30">
        <v>31558.6</v>
      </c>
      <c r="K52" s="30">
        <v>32424.7</v>
      </c>
      <c r="L52" s="30">
        <v>33079.730000000003</v>
      </c>
      <c r="M52" s="30">
        <v>33935</v>
      </c>
      <c r="N52" s="30">
        <v>34741.980000000003</v>
      </c>
      <c r="O52" s="30">
        <v>35567.64</v>
      </c>
      <c r="P52" s="30">
        <v>35807.99</v>
      </c>
      <c r="Q52" s="30">
        <v>36506.519999999997</v>
      </c>
      <c r="R52" s="30">
        <v>36976.11</v>
      </c>
      <c r="S52" s="30">
        <v>37415.29</v>
      </c>
      <c r="T52" s="30">
        <v>38106.6</v>
      </c>
      <c r="U52" s="30">
        <v>38836.769999999997</v>
      </c>
      <c r="V52" s="30">
        <v>39533.629999999997</v>
      </c>
    </row>
    <row r="53" spans="1:22" ht="4.5" customHeight="1"/>
    <row r="54" spans="1:22" ht="15" customHeight="1">
      <c r="A54" s="58" t="s">
        <v>143</v>
      </c>
      <c r="B54" s="58"/>
      <c r="C54" s="58"/>
      <c r="D54" s="58"/>
      <c r="E54" s="58"/>
      <c r="F54" s="58"/>
      <c r="G54" s="58"/>
      <c r="H54" s="58"/>
      <c r="I54" s="58"/>
      <c r="J54" s="58"/>
      <c r="K54" s="58"/>
      <c r="L54" s="58"/>
      <c r="M54" s="58"/>
      <c r="N54" s="58"/>
      <c r="O54" s="58"/>
      <c r="P54" s="58"/>
      <c r="Q54" s="58"/>
      <c r="R54" s="58"/>
      <c r="S54" s="58"/>
      <c r="T54" s="58"/>
      <c r="U54" s="58"/>
      <c r="V54" s="58"/>
    </row>
    <row r="55" spans="1:22" ht="15" customHeight="1">
      <c r="A55" s="25" t="s">
        <v>144</v>
      </c>
      <c r="B55" s="26"/>
      <c r="C55" s="27">
        <v>1000</v>
      </c>
      <c r="D55" s="27">
        <v>1000</v>
      </c>
      <c r="E55" s="27">
        <v>1000</v>
      </c>
      <c r="F55" s="27">
        <v>1000</v>
      </c>
      <c r="G55" s="27">
        <v>1000</v>
      </c>
      <c r="H55" s="27">
        <v>1000</v>
      </c>
      <c r="I55" s="27">
        <v>1000</v>
      </c>
      <c r="J55" s="27">
        <v>1000</v>
      </c>
      <c r="K55" s="27">
        <v>1000</v>
      </c>
      <c r="L55" s="27">
        <v>1000</v>
      </c>
      <c r="M55" s="27">
        <v>1000</v>
      </c>
      <c r="N55" s="27">
        <v>1000</v>
      </c>
      <c r="O55" s="27">
        <v>1000</v>
      </c>
      <c r="P55" s="27">
        <v>1000</v>
      </c>
      <c r="Q55" s="27">
        <v>1000</v>
      </c>
      <c r="R55" s="27">
        <v>1000</v>
      </c>
      <c r="S55" s="27">
        <v>1000</v>
      </c>
      <c r="T55" s="27">
        <v>1000</v>
      </c>
      <c r="U55" s="27">
        <v>1000</v>
      </c>
      <c r="V55" s="27">
        <v>1000</v>
      </c>
    </row>
    <row r="56" spans="1:22" ht="15" customHeight="1">
      <c r="A56" s="22" t="s">
        <v>145</v>
      </c>
      <c r="B56" s="23"/>
      <c r="C56" s="24">
        <v>18202.009999999998</v>
      </c>
      <c r="D56" s="24">
        <v>18297.919999999998</v>
      </c>
      <c r="E56" s="24">
        <v>18461.509999999998</v>
      </c>
      <c r="F56" s="24">
        <v>18658.009999999998</v>
      </c>
      <c r="G56" s="24">
        <v>18756.36</v>
      </c>
      <c r="H56" s="24">
        <v>18970.7</v>
      </c>
      <c r="I56" s="24">
        <v>19091.3</v>
      </c>
      <c r="J56" s="24">
        <v>19274.900000000001</v>
      </c>
      <c r="K56" s="24">
        <v>19380.96</v>
      </c>
      <c r="L56" s="24">
        <v>19551.34</v>
      </c>
      <c r="M56" s="24">
        <v>19690.48</v>
      </c>
      <c r="N56" s="24">
        <v>19853.29</v>
      </c>
      <c r="O56" s="24">
        <v>20103.689999999999</v>
      </c>
      <c r="P56" s="24">
        <v>20280.419999999998</v>
      </c>
      <c r="Q56" s="24">
        <v>20534.34</v>
      </c>
      <c r="R56" s="24">
        <v>20807.84</v>
      </c>
      <c r="S56" s="24">
        <v>20964.37</v>
      </c>
      <c r="T56" s="24">
        <v>21086.36</v>
      </c>
      <c r="U56" s="24">
        <v>21195.88</v>
      </c>
      <c r="V56" s="24">
        <v>21416.2</v>
      </c>
    </row>
    <row r="57" spans="1:22" ht="15" customHeight="1">
      <c r="A57" s="25" t="s">
        <v>146</v>
      </c>
      <c r="B57" s="26"/>
      <c r="C57" s="27">
        <v>9094.9699999999993</v>
      </c>
      <c r="D57" s="27">
        <v>9495.1299999999992</v>
      </c>
      <c r="E57" s="27">
        <v>10026.92</v>
      </c>
      <c r="F57" s="27">
        <v>10641.06</v>
      </c>
      <c r="G57" s="27">
        <v>11237.7</v>
      </c>
      <c r="H57" s="27">
        <v>11913.87</v>
      </c>
      <c r="I57" s="27">
        <v>12723.83</v>
      </c>
      <c r="J57" s="27">
        <v>13207.01</v>
      </c>
      <c r="K57" s="27">
        <v>13613.98</v>
      </c>
      <c r="L57" s="27">
        <v>14105.38</v>
      </c>
      <c r="M57" s="27">
        <v>14599.76</v>
      </c>
      <c r="N57" s="27">
        <v>15428.71</v>
      </c>
      <c r="O57" s="27">
        <v>16239.62</v>
      </c>
      <c r="P57" s="27">
        <v>16868.400000000001</v>
      </c>
      <c r="Q57" s="27">
        <v>17846.41</v>
      </c>
      <c r="R57" s="27">
        <v>18929.25</v>
      </c>
      <c r="S57" s="27">
        <v>19624.18</v>
      </c>
      <c r="T57" s="27">
        <v>20689.57</v>
      </c>
      <c r="U57" s="27">
        <v>21929.23</v>
      </c>
      <c r="V57" s="27">
        <v>22687.57</v>
      </c>
    </row>
    <row r="58" spans="1:22" ht="15" customHeight="1">
      <c r="A58" s="22" t="s">
        <v>147</v>
      </c>
      <c r="B58" s="23"/>
      <c r="C58" s="24">
        <v>192</v>
      </c>
      <c r="D58" s="24">
        <v>279</v>
      </c>
      <c r="E58" s="24">
        <v>-235</v>
      </c>
      <c r="F58" s="24">
        <v>-285</v>
      </c>
      <c r="G58" s="24">
        <v>-113</v>
      </c>
      <c r="H58" s="24">
        <v>106</v>
      </c>
      <c r="I58" s="24">
        <v>275</v>
      </c>
      <c r="J58" s="24">
        <v>-62</v>
      </c>
      <c r="K58" s="24">
        <v>129</v>
      </c>
      <c r="L58" s="24">
        <v>-254</v>
      </c>
      <c r="M58" s="24">
        <v>114</v>
      </c>
      <c r="N58" s="24">
        <v>76</v>
      </c>
      <c r="O58" s="24">
        <v>-239</v>
      </c>
      <c r="P58" s="24">
        <v>163</v>
      </c>
      <c r="Q58" s="24">
        <v>210</v>
      </c>
      <c r="R58" s="24">
        <v>60</v>
      </c>
      <c r="S58" s="24">
        <v>-227</v>
      </c>
      <c r="T58" s="24">
        <v>290</v>
      </c>
      <c r="U58" s="24">
        <v>170</v>
      </c>
      <c r="V58" s="24">
        <v>-92</v>
      </c>
    </row>
    <row r="59" spans="1:22" ht="15" customHeight="1">
      <c r="A59" s="25" t="s">
        <v>148</v>
      </c>
      <c r="B59" s="26"/>
      <c r="C59" s="27">
        <v>-4103.97</v>
      </c>
      <c r="D59" s="27">
        <v>-4000.64</v>
      </c>
      <c r="E59" s="27">
        <v>-3921.58</v>
      </c>
      <c r="F59" s="27">
        <v>-3818.25</v>
      </c>
      <c r="G59" s="27">
        <v>-3795.27</v>
      </c>
      <c r="H59" s="27">
        <v>-3768.3</v>
      </c>
      <c r="I59" s="27">
        <v>-3633.48</v>
      </c>
      <c r="J59" s="27">
        <v>-3627.78</v>
      </c>
      <c r="K59" s="27">
        <v>-3574.9</v>
      </c>
      <c r="L59" s="27">
        <v>-3550.4</v>
      </c>
      <c r="M59" s="27">
        <v>-3508.83</v>
      </c>
      <c r="N59" s="27">
        <v>-3429.6</v>
      </c>
      <c r="O59" s="27">
        <v>-3393.08</v>
      </c>
      <c r="P59" s="27">
        <v>-3388.4</v>
      </c>
      <c r="Q59" s="27">
        <v>-3289.47</v>
      </c>
      <c r="R59" s="27">
        <v>-3264.23</v>
      </c>
      <c r="S59" s="27">
        <v>-3203.93</v>
      </c>
      <c r="T59" s="27">
        <v>-3137.74</v>
      </c>
      <c r="U59" s="27">
        <v>-3066.9</v>
      </c>
      <c r="V59" s="27">
        <v>-3033.9</v>
      </c>
    </row>
    <row r="60" spans="1:22" ht="15" customHeight="1">
      <c r="A60" s="44" t="s">
        <v>149</v>
      </c>
      <c r="B60" s="29"/>
      <c r="C60" s="30">
        <v>24385.01</v>
      </c>
      <c r="D60" s="30">
        <v>25071.41</v>
      </c>
      <c r="E60" s="30">
        <v>25331.85</v>
      </c>
      <c r="F60" s="30">
        <v>26195.82</v>
      </c>
      <c r="G60" s="30">
        <v>27085.79</v>
      </c>
      <c r="H60" s="30">
        <v>28222.27</v>
      </c>
      <c r="I60" s="30">
        <v>29456.65</v>
      </c>
      <c r="J60" s="30">
        <v>29792.13</v>
      </c>
      <c r="K60" s="30">
        <v>30549.040000000001</v>
      </c>
      <c r="L60" s="30">
        <v>30852.32</v>
      </c>
      <c r="M60" s="30">
        <v>31895.41</v>
      </c>
      <c r="N60" s="30">
        <v>32928.400000000001</v>
      </c>
      <c r="O60" s="30">
        <v>33711.230000000003</v>
      </c>
      <c r="P60" s="30">
        <v>34923.42</v>
      </c>
      <c r="Q60" s="30">
        <v>36301.279999999999</v>
      </c>
      <c r="R60" s="30">
        <v>37532.86</v>
      </c>
      <c r="S60" s="30">
        <v>38157.620000000003</v>
      </c>
      <c r="T60" s="30">
        <v>39928.19</v>
      </c>
      <c r="U60" s="30">
        <v>41228.21</v>
      </c>
      <c r="V60" s="30">
        <v>41977.87</v>
      </c>
    </row>
    <row r="61" spans="1:22" ht="15" customHeight="1">
      <c r="A61" s="22" t="s">
        <v>150</v>
      </c>
      <c r="B61" s="23"/>
      <c r="C61" s="24">
        <v>629.98</v>
      </c>
      <c r="D61" s="24">
        <v>662.18</v>
      </c>
      <c r="E61" s="24">
        <v>695.18</v>
      </c>
      <c r="F61" s="24">
        <v>698.8</v>
      </c>
      <c r="G61" s="24">
        <v>735.76</v>
      </c>
      <c r="H61" s="24">
        <v>746.53</v>
      </c>
      <c r="I61" s="24">
        <v>767.34</v>
      </c>
      <c r="J61" s="24">
        <v>795.44</v>
      </c>
      <c r="K61" s="24">
        <v>813.53</v>
      </c>
      <c r="L61" s="24">
        <v>814.93</v>
      </c>
      <c r="M61" s="24">
        <v>856.54</v>
      </c>
      <c r="N61" s="24">
        <v>865.89</v>
      </c>
      <c r="O61" s="24">
        <v>876.91</v>
      </c>
      <c r="P61" s="24">
        <v>918.88</v>
      </c>
      <c r="Q61" s="24">
        <v>937.65</v>
      </c>
      <c r="R61" s="24">
        <v>987.17</v>
      </c>
      <c r="S61" s="24">
        <v>1028.71</v>
      </c>
      <c r="T61" s="24">
        <v>1045.76</v>
      </c>
      <c r="U61" s="24">
        <v>1046.3900000000001</v>
      </c>
      <c r="V61" s="24">
        <v>1105.92</v>
      </c>
    </row>
    <row r="62" spans="1:22" ht="15" customHeight="1">
      <c r="A62" s="44" t="s">
        <v>151</v>
      </c>
      <c r="B62" s="29"/>
      <c r="C62" s="30">
        <v>25014.99</v>
      </c>
      <c r="D62" s="30">
        <v>25733.59</v>
      </c>
      <c r="E62" s="30">
        <v>26027.03</v>
      </c>
      <c r="F62" s="30">
        <v>26894.62</v>
      </c>
      <c r="G62" s="30">
        <v>27821.55</v>
      </c>
      <c r="H62" s="30">
        <v>28968.799999999999</v>
      </c>
      <c r="I62" s="30">
        <v>30223.99</v>
      </c>
      <c r="J62" s="30">
        <v>30587.57</v>
      </c>
      <c r="K62" s="30">
        <v>31362.57</v>
      </c>
      <c r="L62" s="30">
        <v>31667.25</v>
      </c>
      <c r="M62" s="30">
        <v>32751.95</v>
      </c>
      <c r="N62" s="30">
        <v>33794.29</v>
      </c>
      <c r="O62" s="30">
        <v>34588.14</v>
      </c>
      <c r="P62" s="30">
        <v>35842.300000000003</v>
      </c>
      <c r="Q62" s="30">
        <v>37238.93</v>
      </c>
      <c r="R62" s="30">
        <v>38520.03</v>
      </c>
      <c r="S62" s="30">
        <v>39186.33</v>
      </c>
      <c r="T62" s="30">
        <v>40973.949999999997</v>
      </c>
      <c r="U62" s="30">
        <v>42274.6</v>
      </c>
      <c r="V62" s="30">
        <v>43083.79</v>
      </c>
    </row>
    <row r="63" spans="1:22" ht="4.5" customHeight="1"/>
    <row r="64" spans="1:22" ht="15" customHeight="1">
      <c r="A64" s="31" t="s">
        <v>152</v>
      </c>
      <c r="B64" s="32"/>
      <c r="C64" s="33">
        <v>52752.85</v>
      </c>
      <c r="D64" s="33">
        <v>53836.11</v>
      </c>
      <c r="E64" s="33">
        <v>54710.51</v>
      </c>
      <c r="F64" s="33">
        <v>56428.69</v>
      </c>
      <c r="G64" s="33">
        <v>57972.62</v>
      </c>
      <c r="H64" s="33">
        <v>59561.38</v>
      </c>
      <c r="I64" s="33">
        <v>61204.42</v>
      </c>
      <c r="J64" s="33">
        <v>62146.17</v>
      </c>
      <c r="K64" s="33">
        <v>63787.27</v>
      </c>
      <c r="L64" s="33">
        <v>64746.98</v>
      </c>
      <c r="M64" s="33">
        <v>66686.95</v>
      </c>
      <c r="N64" s="33">
        <v>68536.27</v>
      </c>
      <c r="O64" s="33">
        <v>70155.78</v>
      </c>
      <c r="P64" s="33">
        <v>71650.289999999994</v>
      </c>
      <c r="Q64" s="33">
        <v>73745.45</v>
      </c>
      <c r="R64" s="33">
        <v>75496.14</v>
      </c>
      <c r="S64" s="33">
        <v>76601.62</v>
      </c>
      <c r="T64" s="33">
        <v>79080.55</v>
      </c>
      <c r="U64" s="33">
        <v>81111.37</v>
      </c>
      <c r="V64" s="33">
        <v>82617.42</v>
      </c>
    </row>
    <row r="65" spans="1:22" ht="4.5" customHeight="1"/>
    <row r="66" spans="1:22" ht="15" customHeight="1">
      <c r="A66" s="54" t="s">
        <v>153</v>
      </c>
      <c r="B66" s="54"/>
      <c r="C66" s="54"/>
      <c r="D66" s="54"/>
      <c r="E66" s="54"/>
      <c r="F66" s="54"/>
      <c r="G66" s="54"/>
      <c r="H66" s="54"/>
      <c r="I66" s="54"/>
      <c r="J66" s="54"/>
      <c r="K66" s="54"/>
      <c r="L66" s="54"/>
      <c r="M66" s="54"/>
      <c r="N66" s="54"/>
      <c r="O66" s="54"/>
      <c r="P66" s="54"/>
      <c r="Q66" s="54"/>
      <c r="R66" s="54"/>
      <c r="S66" s="54"/>
      <c r="T66" s="54"/>
      <c r="U66" s="54"/>
      <c r="V66" s="54"/>
    </row>
    <row r="67" spans="1:22" ht="15" customHeight="1">
      <c r="A67" s="25" t="s">
        <v>154</v>
      </c>
      <c r="B67" s="26"/>
      <c r="C67" s="27">
        <v>4972.67</v>
      </c>
      <c r="D67" s="27">
        <v>5033.42</v>
      </c>
      <c r="E67" s="27">
        <v>5110.26</v>
      </c>
      <c r="F67" s="27">
        <v>5132.8999999999996</v>
      </c>
      <c r="G67" s="27">
        <v>5495.35</v>
      </c>
      <c r="H67" s="27">
        <v>5725.84</v>
      </c>
      <c r="I67" s="27">
        <v>5998.25</v>
      </c>
      <c r="J67" s="27">
        <v>5959.45</v>
      </c>
      <c r="K67" s="27">
        <v>6221.58</v>
      </c>
      <c r="L67" s="27">
        <v>6272.2</v>
      </c>
      <c r="M67" s="27">
        <v>6455.9</v>
      </c>
      <c r="N67" s="27">
        <v>6753.71</v>
      </c>
      <c r="O67" s="27">
        <v>6797.58</v>
      </c>
      <c r="P67" s="27">
        <v>7043.09</v>
      </c>
      <c r="Q67" s="27">
        <v>7330.65</v>
      </c>
      <c r="R67" s="27">
        <v>7635.72</v>
      </c>
      <c r="S67" s="27">
        <v>7880.13</v>
      </c>
      <c r="T67" s="27">
        <v>8252.34</v>
      </c>
      <c r="U67" s="27">
        <v>8845.08</v>
      </c>
      <c r="V67" s="27">
        <v>8916.99</v>
      </c>
    </row>
    <row r="68" spans="1:22" ht="15" customHeight="1">
      <c r="A68" s="22" t="s">
        <v>155</v>
      </c>
      <c r="B68" s="23"/>
      <c r="C68" s="24">
        <v>16587.169999999998</v>
      </c>
      <c r="D68" s="24">
        <v>16730.080000000002</v>
      </c>
      <c r="E68" s="24">
        <v>16993.89</v>
      </c>
      <c r="F68" s="24">
        <v>17543.990000000002</v>
      </c>
      <c r="G68" s="24">
        <v>17898.830000000002</v>
      </c>
      <c r="H68" s="24">
        <v>18029.560000000001</v>
      </c>
      <c r="I68" s="24">
        <v>18042.009999999998</v>
      </c>
      <c r="J68" s="24">
        <v>18396.599999999999</v>
      </c>
      <c r="K68" s="24">
        <v>18836.38</v>
      </c>
      <c r="L68" s="24">
        <v>19090.310000000001</v>
      </c>
      <c r="M68" s="24">
        <v>19699.330000000002</v>
      </c>
      <c r="N68" s="24">
        <v>20122.34</v>
      </c>
      <c r="O68" s="24">
        <v>20654.61</v>
      </c>
      <c r="P68" s="24">
        <v>20651.12</v>
      </c>
      <c r="Q68" s="24">
        <v>20881.98</v>
      </c>
      <c r="R68" s="24">
        <v>20932.13</v>
      </c>
      <c r="S68" s="24">
        <v>21035.45</v>
      </c>
      <c r="T68" s="24">
        <v>21410.81</v>
      </c>
      <c r="U68" s="24">
        <v>21954.5</v>
      </c>
      <c r="V68" s="24">
        <v>21914.07</v>
      </c>
    </row>
    <row r="69" spans="1:22" ht="15" customHeight="1">
      <c r="A69" s="25" t="s">
        <v>156</v>
      </c>
      <c r="B69" s="26"/>
      <c r="C69" s="27">
        <v>11614.5</v>
      </c>
      <c r="D69" s="27">
        <v>11696.66</v>
      </c>
      <c r="E69" s="27">
        <v>11883.63</v>
      </c>
      <c r="F69" s="27">
        <v>12411.09</v>
      </c>
      <c r="G69" s="27">
        <v>12403.48</v>
      </c>
      <c r="H69" s="27">
        <v>12303.72</v>
      </c>
      <c r="I69" s="27">
        <v>12043.76</v>
      </c>
      <c r="J69" s="27">
        <v>12437.15</v>
      </c>
      <c r="K69" s="27">
        <v>12614.8</v>
      </c>
      <c r="L69" s="27">
        <v>12818.11</v>
      </c>
      <c r="M69" s="27">
        <v>13243.43</v>
      </c>
      <c r="N69" s="27">
        <v>13368.63</v>
      </c>
      <c r="O69" s="27">
        <v>13857.03</v>
      </c>
      <c r="P69" s="27">
        <v>13608.03</v>
      </c>
      <c r="Q69" s="27">
        <v>13551.33</v>
      </c>
      <c r="R69" s="27">
        <v>13296.41</v>
      </c>
      <c r="S69" s="27">
        <v>13155.32</v>
      </c>
      <c r="T69" s="27">
        <v>13158.47</v>
      </c>
      <c r="U69" s="27">
        <v>13109.42</v>
      </c>
      <c r="V69" s="27">
        <v>12997.08</v>
      </c>
    </row>
    <row r="70" spans="1:22" ht="15" customHeight="1">
      <c r="A70" s="22" t="s">
        <v>157</v>
      </c>
      <c r="B70" s="23"/>
      <c r="C70" s="46">
        <v>50.03</v>
      </c>
      <c r="D70" s="46">
        <v>51.47</v>
      </c>
      <c r="E70" s="46">
        <v>52.05</v>
      </c>
      <c r="F70" s="46">
        <v>53.79</v>
      </c>
      <c r="G70" s="46">
        <v>55.64</v>
      </c>
      <c r="H70" s="46">
        <v>57.94</v>
      </c>
      <c r="I70" s="46">
        <v>60.45</v>
      </c>
      <c r="J70" s="46">
        <v>61.18</v>
      </c>
      <c r="K70" s="46">
        <v>62.73</v>
      </c>
      <c r="L70" s="46">
        <v>63.33</v>
      </c>
      <c r="M70" s="46">
        <v>65.5</v>
      </c>
      <c r="N70" s="46">
        <v>67.59</v>
      </c>
      <c r="O70" s="46">
        <v>69.180000000000007</v>
      </c>
      <c r="P70" s="46">
        <v>71.680000000000007</v>
      </c>
      <c r="Q70" s="46">
        <v>74.48</v>
      </c>
      <c r="R70" s="46">
        <v>77.040000000000006</v>
      </c>
      <c r="S70" s="46">
        <v>78.37</v>
      </c>
      <c r="T70" s="46">
        <v>81.95</v>
      </c>
      <c r="U70" s="46">
        <v>84.55</v>
      </c>
      <c r="V70" s="46">
        <v>86.17</v>
      </c>
    </row>
    <row r="71" spans="1:22" ht="15" customHeight="1">
      <c r="A71" s="25" t="s">
        <v>158</v>
      </c>
      <c r="B71" s="26"/>
      <c r="C71" s="47">
        <v>2.02</v>
      </c>
      <c r="D71" s="47">
        <v>1.99</v>
      </c>
      <c r="E71" s="47">
        <v>1.96</v>
      </c>
      <c r="F71" s="47">
        <v>1.97</v>
      </c>
      <c r="G71" s="47">
        <v>2.0099999999999998</v>
      </c>
      <c r="H71" s="47">
        <v>1.98</v>
      </c>
      <c r="I71" s="47">
        <v>1.99</v>
      </c>
      <c r="J71" s="47">
        <v>1.97</v>
      </c>
      <c r="K71" s="47">
        <v>1.95</v>
      </c>
      <c r="L71" s="47">
        <v>1.9</v>
      </c>
      <c r="M71" s="47">
        <v>1.88</v>
      </c>
      <c r="N71" s="47">
        <v>1.89</v>
      </c>
      <c r="O71" s="47">
        <v>1.88</v>
      </c>
      <c r="P71" s="47">
        <v>1.94</v>
      </c>
      <c r="Q71" s="47">
        <v>1.9</v>
      </c>
      <c r="R71" s="47">
        <v>1.89</v>
      </c>
      <c r="S71" s="47">
        <v>1.92</v>
      </c>
      <c r="T71" s="47">
        <v>1.96</v>
      </c>
      <c r="U71" s="47">
        <v>2.0299999999999998</v>
      </c>
      <c r="V71" s="47">
        <v>2.0099999999999998</v>
      </c>
    </row>
    <row r="72" spans="1:22" ht="15" customHeight="1">
      <c r="A72" s="22" t="s">
        <v>159</v>
      </c>
      <c r="B72" s="23"/>
      <c r="C72" s="46">
        <v>0.66</v>
      </c>
      <c r="D72" s="46">
        <v>0.65</v>
      </c>
      <c r="E72" s="46">
        <v>0.65</v>
      </c>
      <c r="F72" s="46">
        <v>0.65</v>
      </c>
      <c r="G72" s="46">
        <v>0.64</v>
      </c>
      <c r="H72" s="46">
        <v>0.62</v>
      </c>
      <c r="I72" s="46">
        <v>0.6</v>
      </c>
      <c r="J72" s="46">
        <v>0.6</v>
      </c>
      <c r="K72" s="46">
        <v>0.6</v>
      </c>
      <c r="L72" s="46">
        <v>0.6</v>
      </c>
      <c r="M72" s="46">
        <v>0.6</v>
      </c>
      <c r="N72" s="46">
        <v>0.6</v>
      </c>
      <c r="O72" s="46">
        <v>0.6</v>
      </c>
      <c r="P72" s="46">
        <v>0.57999999999999996</v>
      </c>
      <c r="Q72" s="46">
        <v>0.56000000000000005</v>
      </c>
      <c r="R72" s="46">
        <v>0.54</v>
      </c>
      <c r="S72" s="46">
        <v>0.54</v>
      </c>
      <c r="T72" s="46">
        <v>0.52</v>
      </c>
      <c r="U72" s="46">
        <v>0.52</v>
      </c>
      <c r="V72" s="46">
        <v>0.51</v>
      </c>
    </row>
    <row r="73" spans="1:22" ht="15" customHeight="1">
      <c r="A73" s="25" t="s">
        <v>160</v>
      </c>
      <c r="B73" s="26"/>
      <c r="C73" s="48">
        <v>21.5</v>
      </c>
      <c r="D73" s="48">
        <v>21.3</v>
      </c>
      <c r="E73" s="48">
        <v>21.2</v>
      </c>
      <c r="F73" s="48">
        <v>20.6</v>
      </c>
      <c r="G73" s="48">
        <v>20.399999999999999</v>
      </c>
      <c r="H73" s="48">
        <v>20.100000000000001</v>
      </c>
      <c r="I73" s="48">
        <v>19.8</v>
      </c>
      <c r="J73" s="48">
        <v>19.399999999999999</v>
      </c>
      <c r="K73" s="48">
        <v>19.2</v>
      </c>
      <c r="L73" s="48">
        <v>18.899999999999999</v>
      </c>
      <c r="M73" s="48">
        <v>18.600000000000001</v>
      </c>
      <c r="N73" s="48">
        <v>18.100000000000001</v>
      </c>
      <c r="O73" s="48">
        <v>17.8</v>
      </c>
      <c r="P73" s="48">
        <v>17.600000000000001</v>
      </c>
      <c r="Q73" s="48">
        <v>17.5</v>
      </c>
      <c r="R73" s="48">
        <v>17.399999999999999</v>
      </c>
      <c r="S73" s="48">
        <v>17.100000000000001</v>
      </c>
      <c r="T73" s="48">
        <v>16.600000000000001</v>
      </c>
      <c r="U73" s="48">
        <v>16.5</v>
      </c>
      <c r="V73" s="48">
        <v>16.5</v>
      </c>
    </row>
  </sheetData>
  <mergeCells count="11">
    <mergeCell ref="A34:V34"/>
    <mergeCell ref="A35:V35"/>
    <mergeCell ref="A44:V44"/>
    <mergeCell ref="A54:V54"/>
    <mergeCell ref="A66:V66"/>
    <mergeCell ref="A21:V21"/>
    <mergeCell ref="A1:V1"/>
    <mergeCell ref="A2:V2"/>
    <mergeCell ref="A3:V3"/>
    <mergeCell ref="A10:V10"/>
    <mergeCell ref="A11:V1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228C5-4B81-4411-8B81-A42617545EC2}">
  <sheetPr>
    <tabColor theme="8" tint="0.79998168889431442"/>
  </sheetPr>
  <dimension ref="A1:C31"/>
  <sheetViews>
    <sheetView zoomScale="77" workbookViewId="0"/>
  </sheetViews>
  <sheetFormatPr defaultRowHeight="15.6"/>
  <cols>
    <col min="1" max="1" width="76.33203125" style="8" bestFit="1" customWidth="1"/>
    <col min="2" max="2" width="16.33203125" style="8" customWidth="1"/>
    <col min="3" max="16384" width="8.88671875" style="8"/>
  </cols>
  <sheetData>
    <row r="1" spans="1:3">
      <c r="A1" s="7" t="s">
        <v>12</v>
      </c>
      <c r="B1" s="7" t="s">
        <v>5</v>
      </c>
      <c r="C1" s="7" t="s">
        <v>36</v>
      </c>
    </row>
    <row r="2" spans="1:3">
      <c r="A2" s="3" t="s">
        <v>173</v>
      </c>
      <c r="B2" s="9"/>
      <c r="C2" s="18" t="s">
        <v>162</v>
      </c>
    </row>
    <row r="3" spans="1:3">
      <c r="A3" s="3" t="s">
        <v>174</v>
      </c>
      <c r="B3" s="9"/>
      <c r="C3" s="18" t="s">
        <v>162</v>
      </c>
    </row>
    <row r="4" spans="1:3">
      <c r="A4" s="3" t="s">
        <v>175</v>
      </c>
      <c r="B4" s="9"/>
      <c r="C4" s="18" t="s">
        <v>162</v>
      </c>
    </row>
    <row r="5" spans="1:3">
      <c r="A5" s="3" t="s">
        <v>176</v>
      </c>
      <c r="B5" s="9"/>
      <c r="C5" s="18" t="s">
        <v>162</v>
      </c>
    </row>
    <row r="6" spans="1:3">
      <c r="A6" s="3" t="s">
        <v>177</v>
      </c>
      <c r="B6" s="9"/>
      <c r="C6" s="18" t="s">
        <v>162</v>
      </c>
    </row>
    <row r="7" spans="1:3">
      <c r="A7" s="3" t="s">
        <v>178</v>
      </c>
      <c r="B7" s="9"/>
      <c r="C7" s="18" t="s">
        <v>162</v>
      </c>
    </row>
    <row r="8" spans="1:3">
      <c r="A8" s="3" t="s">
        <v>179</v>
      </c>
      <c r="B8" s="9"/>
      <c r="C8" s="18" t="s">
        <v>162</v>
      </c>
    </row>
    <row r="9" spans="1:3">
      <c r="A9" s="3" t="s">
        <v>180</v>
      </c>
      <c r="B9" s="9"/>
      <c r="C9" s="18" t="s">
        <v>162</v>
      </c>
    </row>
    <row r="10" spans="1:3">
      <c r="A10" s="3" t="s">
        <v>181</v>
      </c>
      <c r="B10" s="9"/>
      <c r="C10" s="18" t="s">
        <v>162</v>
      </c>
    </row>
    <row r="11" spans="1:3">
      <c r="A11" s="3" t="s">
        <v>182</v>
      </c>
      <c r="B11" s="9"/>
      <c r="C11" s="18" t="s">
        <v>162</v>
      </c>
    </row>
    <row r="12" spans="1:3">
      <c r="A12" s="3" t="s">
        <v>183</v>
      </c>
      <c r="B12" s="9"/>
      <c r="C12" s="18" t="s">
        <v>162</v>
      </c>
    </row>
    <row r="13" spans="1:3">
      <c r="A13" s="3" t="s">
        <v>184</v>
      </c>
      <c r="B13" s="9"/>
      <c r="C13" s="18" t="s">
        <v>162</v>
      </c>
    </row>
    <row r="14" spans="1:3">
      <c r="A14" s="3" t="s">
        <v>185</v>
      </c>
      <c r="B14" s="9"/>
      <c r="C14" s="18" t="s">
        <v>162</v>
      </c>
    </row>
    <row r="15" spans="1:3">
      <c r="A15" s="3" t="s">
        <v>186</v>
      </c>
      <c r="B15" s="9"/>
      <c r="C15" s="18" t="s">
        <v>162</v>
      </c>
    </row>
    <row r="16" spans="1:3">
      <c r="A16" s="3" t="s">
        <v>187</v>
      </c>
      <c r="B16" s="9"/>
      <c r="C16" s="18" t="s">
        <v>162</v>
      </c>
    </row>
    <row r="17" spans="1:3">
      <c r="A17" s="3" t="s">
        <v>188</v>
      </c>
      <c r="B17" s="9"/>
      <c r="C17" s="18" t="s">
        <v>162</v>
      </c>
    </row>
    <row r="18" spans="1:3">
      <c r="A18" s="3" t="s">
        <v>189</v>
      </c>
      <c r="B18" s="9"/>
      <c r="C18" s="18" t="s">
        <v>162</v>
      </c>
    </row>
    <row r="19" spans="1:3">
      <c r="A19" s="3" t="s">
        <v>190</v>
      </c>
      <c r="B19" s="9"/>
      <c r="C19" s="18" t="s">
        <v>162</v>
      </c>
    </row>
    <row r="20" spans="1:3">
      <c r="A20" s="3" t="s">
        <v>191</v>
      </c>
      <c r="B20" s="9"/>
      <c r="C20" s="18" t="s">
        <v>162</v>
      </c>
    </row>
    <row r="21" spans="1:3">
      <c r="A21" s="3" t="s">
        <v>192</v>
      </c>
      <c r="B21" s="9"/>
      <c r="C21" s="18" t="s">
        <v>162</v>
      </c>
    </row>
    <row r="22" spans="1:3">
      <c r="A22" s="3" t="s">
        <v>193</v>
      </c>
      <c r="B22" s="9"/>
      <c r="C22" s="18" t="s">
        <v>8</v>
      </c>
    </row>
    <row r="23" spans="1:3">
      <c r="A23" s="3" t="s">
        <v>194</v>
      </c>
      <c r="B23" s="9"/>
      <c r="C23" s="18" t="s">
        <v>8</v>
      </c>
    </row>
    <row r="24" spans="1:3">
      <c r="A24" s="3" t="s">
        <v>195</v>
      </c>
      <c r="B24" s="9"/>
      <c r="C24" s="18" t="s">
        <v>8</v>
      </c>
    </row>
    <row r="25" spans="1:3">
      <c r="A25" s="3" t="s">
        <v>196</v>
      </c>
      <c r="B25" s="9"/>
      <c r="C25" s="18" t="s">
        <v>8</v>
      </c>
    </row>
    <row r="26" spans="1:3">
      <c r="A26" s="3" t="s">
        <v>197</v>
      </c>
      <c r="B26" s="9"/>
      <c r="C26" s="18" t="s">
        <v>8</v>
      </c>
    </row>
    <row r="27" spans="1:3">
      <c r="A27" s="3" t="s">
        <v>198</v>
      </c>
      <c r="B27" s="9"/>
      <c r="C27" s="18" t="s">
        <v>8</v>
      </c>
    </row>
    <row r="28" spans="1:3">
      <c r="A28" s="3" t="s">
        <v>199</v>
      </c>
      <c r="B28" s="9"/>
      <c r="C28" s="18" t="s">
        <v>8</v>
      </c>
    </row>
    <row r="29" spans="1:3">
      <c r="A29" s="3" t="s">
        <v>200</v>
      </c>
      <c r="B29" s="9"/>
      <c r="C29" s="18" t="s">
        <v>8</v>
      </c>
    </row>
    <row r="30" spans="1:3">
      <c r="A30" s="3" t="s">
        <v>202</v>
      </c>
      <c r="B30" s="9"/>
      <c r="C30" s="18" t="s">
        <v>8</v>
      </c>
    </row>
    <row r="31" spans="1:3">
      <c r="A31" s="3" t="s">
        <v>201</v>
      </c>
      <c r="B31" s="9"/>
      <c r="C31" s="18" t="s">
        <v>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Assumption</vt:lpstr>
      <vt:lpstr>Income Statement</vt:lpstr>
      <vt:lpstr>Balance Sheet</vt: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Pöltl</dc:creator>
  <cp:lastModifiedBy>Julian Pöltl</cp:lastModifiedBy>
  <dcterms:created xsi:type="dcterms:W3CDTF">2025-10-30T13:30:27Z</dcterms:created>
  <dcterms:modified xsi:type="dcterms:W3CDTF">2026-04-26T18:20:57Z</dcterms:modified>
</cp:coreProperties>
</file>