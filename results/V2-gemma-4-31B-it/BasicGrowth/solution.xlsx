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1_10" sheetId="3" state="visible" r:id="rId3"/>
    <sheet name="answers_Q11_20" sheetId="4" state="visible" r:id="rId4"/>
    <sheet name="answers_Q21_30" sheetId="5" state="visible" r:id="rId5"/>
    <sheet name="answers_Q31_40" sheetId="6" state="visible" r:id="rId6"/>
    <sheet name="answers_Q41_5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_);($#,##0)"/>
  </numFmts>
  <fonts count="10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0000FF"/>
      <sz val="11"/>
    </font>
    <font>
      <name val="Calibri"/>
      <color rgb="00008000"/>
      <sz val="11"/>
    </font>
    <font>
      <name val="Calibri"/>
      <b val="1"/>
      <color rgb="00008000"/>
      <sz val="11"/>
    </font>
    <font>
      <name val="Calibri"/>
      <b val="1"/>
      <color rgb="00FF8C00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>
        <fgColor rgb="001F4E78"/>
        <bgColor rgb="001F4E78"/>
      </patternFill>
    </fill>
    <fill>
      <patternFill>
        <fgColor rgb="00002060"/>
        <bgColor rgb="00002060"/>
      </patternFill>
    </fill>
  </fills>
  <borders count="3">
    <border>
      <left/>
      <right/>
      <top/>
      <bottom/>
      <diagonal/>
    </border>
    <border>
      <left/>
      <right/>
      <top style="thin"/>
      <bottom style="thin"/>
    </border>
    <border>
      <left/>
      <right/>
      <top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0" fontId="3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6" fillId="2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  <xf numFmtId="0" fontId="7" fillId="0" borderId="0" pivotButton="0" quotePrefix="0" xfId="0"/>
    <xf numFmtId="0" fontId="1" fillId="2" borderId="0" pivotButton="0" quotePrefix="0" xfId="0"/>
    <xf numFmtId="164" fontId="7" fillId="0" borderId="0" pivotButton="0" quotePrefix="0" xfId="0"/>
    <xf numFmtId="164" fontId="1" fillId="0" borderId="0" pivotButton="0" quotePrefix="0" xfId="0"/>
    <xf numFmtId="164" fontId="1" fillId="2" borderId="0" pivotButton="0" quotePrefix="0" xfId="0"/>
    <xf numFmtId="10" fontId="1" fillId="0" borderId="0" pivotButton="0" quotePrefix="0" xfId="0"/>
    <xf numFmtId="164" fontId="8" fillId="0" borderId="0" applyAlignment="1" pivotButton="0" quotePrefix="0" xfId="0">
      <alignment horizontal="right"/>
    </xf>
    <xf numFmtId="164" fontId="9" fillId="2" borderId="0" applyAlignment="1" pivotButton="0" quotePrefix="0" xfId="0">
      <alignment horizontal="right"/>
    </xf>
    <xf numFmtId="164" fontId="9" fillId="0" borderId="0" pivotButton="0" quotePrefix="0" xfId="0"/>
    <xf numFmtId="164" fontId="8" fillId="0" borderId="0" pivotButton="0" quotePrefix="0" xfId="0"/>
    <xf numFmtId="164" fontId="8" fillId="2" borderId="0" pivotButton="0" quotePrefix="0" xfId="0"/>
    <xf numFmtId="164" fontId="5" fillId="0" borderId="0" pivotButton="0" quotePrefix="0" xfId="0"/>
    <xf numFmtId="164" fontId="8" fillId="0" borderId="1" applyAlignment="1" pivotButton="0" quotePrefix="0" xfId="0">
      <alignment horizontal="right"/>
    </xf>
    <xf numFmtId="0" fontId="2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1" fillId="3" borderId="0" pivotButton="0" quotePrefix="0" xfId="0"/>
    <xf numFmtId="164" fontId="9" fillId="3" borderId="0" applyAlignment="1" pivotButton="0" quotePrefix="0" xfId="0">
      <alignment horizontal="right"/>
    </xf>
    <xf numFmtId="164" fontId="8" fillId="3" borderId="0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</cols>
  <sheetData>
    <row r="1">
      <c r="A1" s="24" t="inlineStr">
        <is>
          <t>Model Basics</t>
        </is>
      </c>
      <c r="B1" s="24" t="n"/>
    </row>
    <row r="2">
      <c r="A2" s="1" t="inlineStr">
        <is>
          <t>Start Date</t>
        </is>
      </c>
      <c r="B2" s="3" t="inlineStr">
        <is>
          <t>2027-01-01</t>
        </is>
      </c>
    </row>
    <row r="3">
      <c r="A3" s="1" t="inlineStr">
        <is>
          <t>Months per Year</t>
        </is>
      </c>
      <c r="B3" s="3" t="n">
        <v>12</v>
      </c>
    </row>
    <row r="4">
      <c r="A4" s="1" t="inlineStr">
        <is>
          <t>Model Duration [years]</t>
        </is>
      </c>
      <c r="B4" s="3" t="n">
        <v>10</v>
      </c>
    </row>
    <row r="5">
      <c r="A5" s="1" t="n"/>
      <c r="B5" s="3" t="n"/>
    </row>
    <row r="6">
      <c r="A6" s="24" t="inlineStr">
        <is>
          <t>Other Inputs</t>
        </is>
      </c>
      <c r="B6" s="25" t="n"/>
    </row>
    <row r="7">
      <c r="A7" s="1" t="inlineStr">
        <is>
          <t>Tax Rate [%]</t>
        </is>
      </c>
      <c r="B7" s="6" t="n">
        <v>0.26375</v>
      </c>
    </row>
    <row r="8">
      <c r="A8" s="1" t="inlineStr">
        <is>
          <t>Profit Distribution Quota [%]</t>
        </is>
      </c>
      <c r="B8" s="6" t="n">
        <v>0.8</v>
      </c>
    </row>
    <row r="9">
      <c r="A9" s="1" t="n"/>
      <c r="B9" s="3" t="n"/>
    </row>
    <row r="10">
      <c r="A10" s="24" t="inlineStr">
        <is>
          <t>GL Amounts &amp; Categorization</t>
        </is>
      </c>
      <c r="B10" s="25" t="n"/>
    </row>
    <row r="11">
      <c r="A11" s="1" t="inlineStr">
        <is>
          <t>Revenue [$]</t>
        </is>
      </c>
      <c r="B11" s="5" t="n">
        <v>4872391284</v>
      </c>
    </row>
    <row r="12">
      <c r="A12" s="1" t="inlineStr">
        <is>
          <t>Cost of Goods Sold [$]</t>
        </is>
      </c>
      <c r="B12" s="5" t="n">
        <v>-2913774662</v>
      </c>
    </row>
    <row r="13">
      <c r="A13" s="1" t="inlineStr">
        <is>
          <t>Research &amp; Development [$]</t>
        </is>
      </c>
      <c r="B13" s="5" t="n">
        <v>-312447193</v>
      </c>
    </row>
    <row r="14">
      <c r="A14" s="1" t="inlineStr">
        <is>
          <t>Sales &amp; Marketing [$]</t>
        </is>
      </c>
      <c r="B14" s="5" t="n">
        <v>-421885774</v>
      </c>
    </row>
    <row r="15">
      <c r="A15" s="1" t="inlineStr">
        <is>
          <t>General &amp; Administrative [$]</t>
        </is>
      </c>
      <c r="B15" s="5" t="n">
        <v>-287119508</v>
      </c>
    </row>
    <row r="16">
      <c r="A16" s="1" t="inlineStr">
        <is>
          <t>Depreciation &amp; Amortization [$]</t>
        </is>
      </c>
      <c r="B16" s="5" t="n">
        <v>-25866391</v>
      </c>
    </row>
    <row r="17">
      <c r="A17" s="1" t="inlineStr">
        <is>
          <t>IT &amp; Infrastructure [$]</t>
        </is>
      </c>
      <c r="B17" s="5" t="n">
        <v>-96337441</v>
      </c>
    </row>
    <row r="18">
      <c r="A18" s="1" t="inlineStr">
        <is>
          <t>Legal &amp; Compliance [$]</t>
        </is>
      </c>
      <c r="B18" s="5" t="n">
        <v>-54992118</v>
      </c>
    </row>
    <row r="19">
      <c r="A19" s="1" t="inlineStr">
        <is>
          <t>Logistics &amp; Distribution [$]</t>
        </is>
      </c>
      <c r="B19" s="5" t="n">
        <v>-133771509</v>
      </c>
    </row>
    <row r="20">
      <c r="A20" s="1" t="inlineStr">
        <is>
          <t>Interest Income [$]</t>
        </is>
      </c>
      <c r="B20" s="5" t="n">
        <v>12448920</v>
      </c>
    </row>
    <row r="21">
      <c r="A21" s="1" t="inlineStr">
        <is>
          <t>Interest Expense [$]</t>
        </is>
      </c>
      <c r="B21" s="5" t="n">
        <v>-88773411</v>
      </c>
    </row>
    <row r="22">
      <c r="A22" s="1" t="n"/>
      <c r="B22" s="5" t="n"/>
    </row>
    <row r="23">
      <c r="A23" s="1" t="inlineStr">
        <is>
          <t>Cash &amp; Cash Equivalents [$]</t>
        </is>
      </c>
      <c r="B23" s="5" t="n">
        <v>713331786</v>
      </c>
    </row>
    <row r="24">
      <c r="A24" s="1" t="inlineStr">
        <is>
          <t>Short-Term Investments [$]</t>
        </is>
      </c>
      <c r="B24" s="5" t="n">
        <v>298117903</v>
      </c>
    </row>
    <row r="25">
      <c r="A25" s="1" t="inlineStr">
        <is>
          <t>Accounts Receivable [$]</t>
        </is>
      </c>
      <c r="B25" s="5" t="n">
        <v>734228556</v>
      </c>
    </row>
    <row r="26">
      <c r="A26" s="1" t="inlineStr">
        <is>
          <t>Inventory [$]</t>
        </is>
      </c>
      <c r="B26" s="5" t="n">
        <v>589441772</v>
      </c>
    </row>
    <row r="27">
      <c r="A27" s="1" t="inlineStr">
        <is>
          <t>Prepaid Expenses [$]</t>
        </is>
      </c>
      <c r="B27" s="5" t="n">
        <v>83772194</v>
      </c>
    </row>
    <row r="28">
      <c r="A28" s="1" t="inlineStr">
        <is>
          <t>Other Current Assets [$]</t>
        </is>
      </c>
      <c r="B28" s="5" t="n">
        <v>61992663</v>
      </c>
    </row>
    <row r="29">
      <c r="A29" s="1" t="inlineStr">
        <is>
          <t>Property, Plant &amp; Equipment [$]</t>
        </is>
      </c>
      <c r="B29" s="5" t="n">
        <v>2948661509</v>
      </c>
    </row>
    <row r="30">
      <c r="A30" s="1" t="inlineStr">
        <is>
          <t>Accumulated Depreciation [$]</t>
        </is>
      </c>
      <c r="B30" s="5" t="n">
        <v>-1221447882</v>
      </c>
    </row>
    <row r="31">
      <c r="A31" s="1" t="inlineStr">
        <is>
          <t>Intangible Assets [$]</t>
        </is>
      </c>
      <c r="B31" s="5" t="n">
        <v>643229770</v>
      </c>
    </row>
    <row r="32">
      <c r="A32" s="1" t="inlineStr">
        <is>
          <t>Long-Term Investments [$]</t>
        </is>
      </c>
      <c r="B32" s="5" t="n">
        <v>512774008</v>
      </c>
    </row>
    <row r="33">
      <c r="A33" s="1" t="inlineStr">
        <is>
          <t>Other Non-Current Assets [$]</t>
        </is>
      </c>
      <c r="B33" s="5" t="n">
        <v>76441557</v>
      </c>
    </row>
    <row r="34">
      <c r="A34" s="1" t="inlineStr">
        <is>
          <t>Accounts Payable [$]</t>
        </is>
      </c>
      <c r="B34" s="5" t="n">
        <v>498117224</v>
      </c>
    </row>
    <row r="35">
      <c r="A35" s="1" t="inlineStr">
        <is>
          <t>Short-Term Debt [$]</t>
        </is>
      </c>
      <c r="B35" s="5" t="n">
        <v>376882911</v>
      </c>
    </row>
    <row r="36">
      <c r="A36" s="1" t="inlineStr">
        <is>
          <t>Accrued Expenses [$]</t>
        </is>
      </c>
      <c r="B36" s="5" t="n">
        <v>284773619</v>
      </c>
    </row>
    <row r="37">
      <c r="A37" s="1" t="inlineStr">
        <is>
          <t>Deferred Revenue [$]</t>
        </is>
      </c>
      <c r="B37" s="5" t="n">
        <v>192338440</v>
      </c>
    </row>
    <row r="38">
      <c r="A38" s="1" t="inlineStr">
        <is>
          <t>Current Portion of LT Debt [$]</t>
        </is>
      </c>
      <c r="B38" s="5" t="n">
        <v>141774229</v>
      </c>
    </row>
    <row r="39">
      <c r="A39" s="1" t="inlineStr">
        <is>
          <t>Other Current Liabilities [$]</t>
        </is>
      </c>
      <c r="B39" s="5" t="n">
        <v>97441772</v>
      </c>
    </row>
    <row r="40">
      <c r="A40" s="1" t="inlineStr">
        <is>
          <t>Long-Term Debt [$]</t>
        </is>
      </c>
      <c r="B40" s="5" t="n">
        <v>2184662773</v>
      </c>
    </row>
    <row r="41">
      <c r="A41" s="1" t="inlineStr">
        <is>
          <t>Pension Liabilities [$]</t>
        </is>
      </c>
      <c r="B41" s="5" t="n">
        <v>318447661</v>
      </c>
    </row>
    <row r="42">
      <c r="A42" s="1" t="inlineStr">
        <is>
          <t>Lease Liabilities [$]</t>
        </is>
      </c>
      <c r="B42" s="5" t="n">
        <v>274119508</v>
      </c>
    </row>
    <row r="43">
      <c r="A43" s="1" t="inlineStr">
        <is>
          <t>Other Long-Term Liabilities [$]</t>
        </is>
      </c>
      <c r="B43" s="5" t="n">
        <v>96228441</v>
      </c>
    </row>
    <row r="44">
      <c r="A44" s="1" t="inlineStr">
        <is>
          <t>Share Capital [$]</t>
        </is>
      </c>
      <c r="B44" s="5" t="n">
        <v>642883000</v>
      </c>
    </row>
    <row r="45">
      <c r="A45" s="1" t="inlineStr">
        <is>
          <t>Additional Paid-In Capital [$]</t>
        </is>
      </c>
      <c r="B45" s="5" t="n">
        <v>218447229</v>
      </c>
    </row>
    <row r="46">
      <c r="A46" s="1" t="inlineStr">
        <is>
          <t>Retained Earnings [$]</t>
        </is>
      </c>
      <c r="B46" s="5" t="n">
        <v>114427029</v>
      </c>
    </row>
    <row r="47">
      <c r="A47" s="1" t="n"/>
      <c r="B47" s="3" t="n"/>
    </row>
    <row r="48">
      <c r="A48" s="24" t="inlineStr">
        <is>
          <t>Growth Rates</t>
        </is>
      </c>
      <c r="B48" s="25" t="n"/>
    </row>
    <row r="49">
      <c r="A49" s="1" t="inlineStr">
        <is>
          <t>EAG Revenue [%]</t>
        </is>
      </c>
      <c r="B49" s="6" t="n">
        <v>0.022</v>
      </c>
    </row>
    <row r="50">
      <c r="A50" s="1" t="inlineStr">
        <is>
          <t>EAG COGS [%]</t>
        </is>
      </c>
      <c r="B50" s="6" t="n">
        <v>0.0215</v>
      </c>
    </row>
    <row r="51">
      <c r="A51" s="1" t="inlineStr">
        <is>
          <t>EAG Operating Expenses [%]</t>
        </is>
      </c>
      <c r="B51" s="6" t="n">
        <v>0.016</v>
      </c>
    </row>
    <row r="52">
      <c r="A52" s="1" t="inlineStr">
        <is>
          <t>EAG Non-Operating Items [%]</t>
        </is>
      </c>
      <c r="B52" s="6" t="n">
        <v>0.025</v>
      </c>
    </row>
    <row r="53">
      <c r="A53" s="1" t="inlineStr">
        <is>
          <t>EAG Current Assets [%]</t>
        </is>
      </c>
      <c r="B53" s="6" t="n">
        <v>0.02</v>
      </c>
    </row>
    <row r="54">
      <c r="A54" s="1" t="inlineStr">
        <is>
          <t>EAG Non-Current Assets [%]</t>
        </is>
      </c>
      <c r="B54" s="6" t="n">
        <v>0.021</v>
      </c>
    </row>
    <row r="55">
      <c r="A55" s="1" t="inlineStr">
        <is>
          <t>EAG Current Liabilities [%]</t>
        </is>
      </c>
      <c r="B55" s="6" t="n">
        <v>0.019</v>
      </c>
    </row>
    <row r="56">
      <c r="A56" s="1" t="inlineStr">
        <is>
          <t>EAG Non-Current Liabilities [%]</t>
        </is>
      </c>
      <c r="B56" s="6" t="n">
        <v>0.015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0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</cols>
  <sheetData>
    <row r="1">
      <c r="A1" s="24" t="inlineStr">
        <is>
          <t>Month</t>
        </is>
      </c>
      <c r="B1" s="24" t="n">
        <v>1</v>
      </c>
      <c r="C1" s="26" t="n">
        <v>2</v>
      </c>
      <c r="D1" s="26" t="n">
        <v>3</v>
      </c>
      <c r="E1" s="26" t="n">
        <v>4</v>
      </c>
      <c r="F1" s="26" t="n">
        <v>5</v>
      </c>
      <c r="G1" s="26" t="n">
        <v>6</v>
      </c>
      <c r="H1" s="26" t="n">
        <v>7</v>
      </c>
      <c r="I1" s="26" t="n">
        <v>8</v>
      </c>
      <c r="J1" s="26" t="n">
        <v>9</v>
      </c>
      <c r="K1" s="26" t="n">
        <v>10</v>
      </c>
      <c r="L1" s="26" t="n">
        <v>11</v>
      </c>
      <c r="M1" s="26" t="n">
        <v>12</v>
      </c>
      <c r="N1" s="26" t="n">
        <v>13</v>
      </c>
      <c r="O1" s="26" t="n">
        <v>14</v>
      </c>
      <c r="P1" s="26" t="n">
        <v>15</v>
      </c>
      <c r="Q1" s="26" t="n">
        <v>16</v>
      </c>
      <c r="R1" s="26" t="n">
        <v>17</v>
      </c>
      <c r="S1" s="26" t="n">
        <v>18</v>
      </c>
      <c r="T1" s="26" t="n">
        <v>19</v>
      </c>
      <c r="U1" s="26" t="n">
        <v>20</v>
      </c>
      <c r="V1" s="26" t="n">
        <v>21</v>
      </c>
      <c r="W1" s="26" t="n">
        <v>22</v>
      </c>
      <c r="X1" s="26" t="n">
        <v>23</v>
      </c>
      <c r="Y1" s="26" t="n">
        <v>24</v>
      </c>
      <c r="Z1" s="26" t="n">
        <v>25</v>
      </c>
      <c r="AA1" s="26" t="n">
        <v>26</v>
      </c>
      <c r="AB1" s="26" t="n">
        <v>27</v>
      </c>
      <c r="AC1" s="26" t="n">
        <v>28</v>
      </c>
      <c r="AD1" s="26" t="n">
        <v>29</v>
      </c>
      <c r="AE1" s="26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</row>
    <row r="2">
      <c r="A2" s="1" t="inlineStr">
        <is>
          <t>Date</t>
        </is>
      </c>
      <c r="B2" s="1" t="inlineStr">
        <is>
          <t>2027-01-01</t>
        </is>
      </c>
      <c r="C2" s="1" t="inlineStr">
        <is>
          <t>2027-02-01</t>
        </is>
      </c>
      <c r="D2" s="1" t="inlineStr">
        <is>
          <t>2027-03-01</t>
        </is>
      </c>
      <c r="E2" s="1" t="inlineStr">
        <is>
          <t>2027-04-01</t>
        </is>
      </c>
      <c r="F2" s="1" t="inlineStr">
        <is>
          <t>2027-05-01</t>
        </is>
      </c>
      <c r="G2" s="1" t="inlineStr">
        <is>
          <t>2027-06-01</t>
        </is>
      </c>
      <c r="H2" s="1" t="inlineStr">
        <is>
          <t>2027-07-01</t>
        </is>
      </c>
      <c r="I2" s="1" t="inlineStr">
        <is>
          <t>2027-08-01</t>
        </is>
      </c>
      <c r="J2" s="1" t="inlineStr">
        <is>
          <t>2027-09-01</t>
        </is>
      </c>
      <c r="K2" s="1" t="inlineStr">
        <is>
          <t>2027-10-01</t>
        </is>
      </c>
      <c r="L2" s="1" t="inlineStr">
        <is>
          <t>2027-11-01</t>
        </is>
      </c>
      <c r="M2" s="1" t="inlineStr">
        <is>
          <t>2027-12-01</t>
        </is>
      </c>
      <c r="N2" s="1" t="inlineStr">
        <is>
          <t>2028-01-01</t>
        </is>
      </c>
      <c r="O2" s="1" t="inlineStr">
        <is>
          <t>2028-02-01</t>
        </is>
      </c>
      <c r="P2" s="1" t="inlineStr">
        <is>
          <t>2028-03-01</t>
        </is>
      </c>
      <c r="Q2" s="1" t="inlineStr">
        <is>
          <t>2028-04-01</t>
        </is>
      </c>
      <c r="R2" s="1" t="inlineStr">
        <is>
          <t>2028-05-01</t>
        </is>
      </c>
      <c r="S2" s="1" t="inlineStr">
        <is>
          <t>2028-06-01</t>
        </is>
      </c>
      <c r="T2" s="1" t="inlineStr">
        <is>
          <t>2028-07-01</t>
        </is>
      </c>
      <c r="U2" s="1" t="inlineStr">
        <is>
          <t>2028-08-01</t>
        </is>
      </c>
      <c r="V2" s="1" t="inlineStr">
        <is>
          <t>2028-09-01</t>
        </is>
      </c>
      <c r="W2" s="1" t="inlineStr">
        <is>
          <t>2028-10-01</t>
        </is>
      </c>
      <c r="X2" s="1" t="inlineStr">
        <is>
          <t>2028-11-01</t>
        </is>
      </c>
      <c r="Y2" s="1" t="inlineStr">
        <is>
          <t>2028-12-01</t>
        </is>
      </c>
      <c r="Z2" s="1" t="inlineStr">
        <is>
          <t>2029-01-01</t>
        </is>
      </c>
      <c r="AA2" s="1" t="inlineStr">
        <is>
          <t>2029-02-01</t>
        </is>
      </c>
      <c r="AB2" s="1" t="inlineStr">
        <is>
          <t>2029-03-01</t>
        </is>
      </c>
      <c r="AC2" s="1" t="inlineStr">
        <is>
          <t>2029-04-01</t>
        </is>
      </c>
      <c r="AD2" s="1" t="inlineStr">
        <is>
          <t>2029-05-01</t>
        </is>
      </c>
      <c r="AE2" s="1" t="inlineStr">
        <is>
          <t>2029-06-01</t>
        </is>
      </c>
      <c r="AF2" t="inlineStr">
        <is>
          <t>2029-07-01</t>
        </is>
      </c>
      <c r="AG2" t="inlineStr">
        <is>
          <t>2029-08-01</t>
        </is>
      </c>
      <c r="AH2" t="inlineStr">
        <is>
          <t>2029-09-01</t>
        </is>
      </c>
      <c r="AI2" t="inlineStr">
        <is>
          <t>2029-10-01</t>
        </is>
      </c>
      <c r="AJ2" t="inlineStr">
        <is>
          <t>2029-11-01</t>
        </is>
      </c>
      <c r="AK2" t="inlineStr">
        <is>
          <t>2029-12-01</t>
        </is>
      </c>
      <c r="AL2" t="inlineStr">
        <is>
          <t>2030-01-01</t>
        </is>
      </c>
      <c r="AM2" t="inlineStr">
        <is>
          <t>2030-02-01</t>
        </is>
      </c>
      <c r="AN2" t="inlineStr">
        <is>
          <t>2030-03-01</t>
        </is>
      </c>
      <c r="AO2" t="inlineStr">
        <is>
          <t>2030-04-01</t>
        </is>
      </c>
      <c r="AP2" t="inlineStr">
        <is>
          <t>2030-05-01</t>
        </is>
      </c>
      <c r="AQ2" t="inlineStr">
        <is>
          <t>2030-06-01</t>
        </is>
      </c>
      <c r="AR2" t="inlineStr">
        <is>
          <t>2030-07-01</t>
        </is>
      </c>
      <c r="AS2" t="inlineStr">
        <is>
          <t>2030-08-01</t>
        </is>
      </c>
      <c r="AT2" t="inlineStr">
        <is>
          <t>2030-09-01</t>
        </is>
      </c>
      <c r="AU2" t="inlineStr">
        <is>
          <t>2030-10-01</t>
        </is>
      </c>
      <c r="AV2" t="inlineStr">
        <is>
          <t>2030-11-01</t>
        </is>
      </c>
      <c r="AW2" t="inlineStr">
        <is>
          <t>2030-12-01</t>
        </is>
      </c>
      <c r="AX2" t="inlineStr">
        <is>
          <t>2031-01-01</t>
        </is>
      </c>
      <c r="AY2" t="inlineStr">
        <is>
          <t>2031-02-01</t>
        </is>
      </c>
      <c r="AZ2" t="inlineStr">
        <is>
          <t>2031-03-01</t>
        </is>
      </c>
      <c r="BA2" t="inlineStr">
        <is>
          <t>2031-04-01</t>
        </is>
      </c>
      <c r="BB2" t="inlineStr">
        <is>
          <t>2031-05-01</t>
        </is>
      </c>
      <c r="BC2" t="inlineStr">
        <is>
          <t>2031-06-01</t>
        </is>
      </c>
      <c r="BD2" t="inlineStr">
        <is>
          <t>2031-07-01</t>
        </is>
      </c>
      <c r="BE2" t="inlineStr">
        <is>
          <t>2031-08-01</t>
        </is>
      </c>
      <c r="BF2" t="inlineStr">
        <is>
          <t>2031-09-01</t>
        </is>
      </c>
      <c r="BG2" t="inlineStr">
        <is>
          <t>2031-10-01</t>
        </is>
      </c>
      <c r="BH2" t="inlineStr">
        <is>
          <t>2031-11-01</t>
        </is>
      </c>
      <c r="BI2" t="inlineStr">
        <is>
          <t>2031-12-01</t>
        </is>
      </c>
      <c r="BK2">
        <f>EDATE(BJ2, 1)</f>
        <v/>
      </c>
      <c r="BL2">
        <f>EDATE(BK2, 1)</f>
        <v/>
      </c>
      <c r="BM2">
        <f>EDATE(BL2, 1)</f>
        <v/>
      </c>
      <c r="BN2">
        <f>EDATE(BM2, 1)</f>
        <v/>
      </c>
      <c r="BO2">
        <f>EDATE(BN2, 1)</f>
        <v/>
      </c>
      <c r="BP2">
        <f>EDATE(BO2, 1)</f>
        <v/>
      </c>
      <c r="BQ2">
        <f>EDATE(BP2, 1)</f>
        <v/>
      </c>
      <c r="BR2">
        <f>EDATE(BQ2, 1)</f>
        <v/>
      </c>
      <c r="BS2">
        <f>EDATE(BR2, 1)</f>
        <v/>
      </c>
      <c r="BT2">
        <f>EDATE(BS2, 1)</f>
        <v/>
      </c>
      <c r="BU2">
        <f>EDATE(BT2, 1)</f>
        <v/>
      </c>
      <c r="BV2">
        <f>EDATE(BU2, 1)</f>
        <v/>
      </c>
      <c r="BW2">
        <f>EDATE(BV2, 1)</f>
        <v/>
      </c>
      <c r="BX2">
        <f>EDATE(BW2, 1)</f>
        <v/>
      </c>
      <c r="BY2">
        <f>EDATE(BX2, 1)</f>
        <v/>
      </c>
      <c r="BZ2">
        <f>EDATE(BY2, 1)</f>
        <v/>
      </c>
      <c r="CA2">
        <f>EDATE(BZ2, 1)</f>
        <v/>
      </c>
      <c r="CB2">
        <f>EDATE(CA2, 1)</f>
        <v/>
      </c>
      <c r="CC2">
        <f>EDATE(CB2, 1)</f>
        <v/>
      </c>
      <c r="CD2">
        <f>EDATE(CC2, 1)</f>
        <v/>
      </c>
      <c r="CE2">
        <f>EDATE(CD2, 1)</f>
        <v/>
      </c>
      <c r="CF2">
        <f>EDATE(CE2, 1)</f>
        <v/>
      </c>
      <c r="CG2">
        <f>EDATE(CF2, 1)</f>
        <v/>
      </c>
      <c r="CH2">
        <f>EDATE(CG2, 1)</f>
        <v/>
      </c>
      <c r="CI2">
        <f>EDATE(CH2, 1)</f>
        <v/>
      </c>
      <c r="CJ2">
        <f>EDATE(CI2, 1)</f>
        <v/>
      </c>
      <c r="CK2">
        <f>EDATE(CJ2, 1)</f>
        <v/>
      </c>
      <c r="CL2">
        <f>EDATE(CK2, 1)</f>
        <v/>
      </c>
      <c r="CM2">
        <f>EDATE(CL2, 1)</f>
        <v/>
      </c>
      <c r="CN2">
        <f>EDATE(CM2, 1)</f>
        <v/>
      </c>
      <c r="CO2">
        <f>EDATE(CN2, 1)</f>
        <v/>
      </c>
      <c r="CP2">
        <f>EDATE(CO2, 1)</f>
        <v/>
      </c>
      <c r="CQ2">
        <f>EDATE(CP2, 1)</f>
        <v/>
      </c>
      <c r="CR2">
        <f>EDATE(CQ2, 1)</f>
        <v/>
      </c>
      <c r="CS2">
        <f>EDATE(CR2, 1)</f>
        <v/>
      </c>
      <c r="CT2">
        <f>EDATE(CS2, 1)</f>
        <v/>
      </c>
      <c r="CU2">
        <f>EDATE(CT2, 1)</f>
        <v/>
      </c>
      <c r="CV2">
        <f>EDATE(CU2, 1)</f>
        <v/>
      </c>
      <c r="CW2">
        <f>EDATE(CV2, 1)</f>
        <v/>
      </c>
      <c r="CX2">
        <f>EDATE(CW2, 1)</f>
        <v/>
      </c>
      <c r="CY2">
        <f>EDATE(CX2, 1)</f>
        <v/>
      </c>
      <c r="CZ2">
        <f>EDATE(CY2, 1)</f>
        <v/>
      </c>
      <c r="DA2">
        <f>EDATE(CZ2, 1)</f>
        <v/>
      </c>
      <c r="DB2">
        <f>EDATE(DA2, 1)</f>
        <v/>
      </c>
      <c r="DC2">
        <f>EDATE(DB2, 1)</f>
        <v/>
      </c>
      <c r="DD2">
        <f>EDATE(DC2, 1)</f>
        <v/>
      </c>
      <c r="DE2">
        <f>EDATE(DD2, 1)</f>
        <v/>
      </c>
      <c r="DF2">
        <f>EDATE(DE2, 1)</f>
        <v/>
      </c>
      <c r="DG2">
        <f>EDATE(DF2, 1)</f>
        <v/>
      </c>
      <c r="DH2">
        <f>EDATE(DG2, 1)</f>
        <v/>
      </c>
      <c r="DI2">
        <f>EDATE(DH2, 1)</f>
        <v/>
      </c>
      <c r="DJ2">
        <f>EDATE(DI2, 1)</f>
        <v/>
      </c>
      <c r="DK2">
        <f>EDATE(DJ2, 1)</f>
        <v/>
      </c>
      <c r="DL2">
        <f>EDATE(DK2, 1)</f>
        <v/>
      </c>
      <c r="DM2">
        <f>EDATE(DL2, 1)</f>
        <v/>
      </c>
      <c r="DN2">
        <f>EDATE(DM2, 1)</f>
        <v/>
      </c>
      <c r="DO2">
        <f>EDATE(DN2, 1)</f>
        <v/>
      </c>
      <c r="DP2">
        <f>EDATE(DO2, 1)</f>
        <v/>
      </c>
      <c r="DQ2">
        <f>EDATE(DP2, 1)</f>
        <v/>
      </c>
    </row>
    <row r="3">
      <c r="A3" s="1" t="inlineStr">
        <is>
          <t>Workdays in Month</t>
        </is>
      </c>
      <c r="B3" s="1">
        <f>NETWORKDAYS(B2, EOMONTH(B2, 0))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inlineStr">
        <is>
          <t>Workdays in Year</t>
        </is>
      </c>
      <c r="B4" s="1">
        <f>NETWORKDAYS(DATE(YEAR(B2),1,1), DATE(YEAR(B2),12,31))</f>
        <v/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inlineStr">
        <is>
          <t>Monthly Weight</t>
        </is>
      </c>
      <c r="B5" s="16">
        <f>B3/B4</f>
        <v/>
      </c>
      <c r="C5" s="1">
        <f>C3/C4</f>
        <v/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inlineStr">
        <is>
          <t>Cumulative Weight</t>
        </is>
      </c>
      <c r="B6" s="16">
        <f>B5</f>
        <v/>
      </c>
      <c r="C6" s="1">
        <f>B6+C5</f>
        <v/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CD6">
        <f>CC6+CD5</f>
        <v/>
      </c>
    </row>
    <row r="7">
      <c r="A7" s="1" t="inlineStr">
        <is>
          <t>Weight</t>
        </is>
      </c>
      <c r="B7" s="16">
        <f>B5</f>
        <v/>
      </c>
      <c r="C7" s="1">
        <f>C5</f>
        <v/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24" t="inlineStr">
        <is>
          <t>P&amp;L Statement</t>
        </is>
      </c>
      <c r="B10" s="24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</row>
    <row r="11">
      <c r="A11" s="1" t="inlineStr">
        <is>
          <t>Revenue</t>
        </is>
      </c>
      <c r="B11" s="9">
        <f>('model_Assumptions'!$B$11/12)*(1+'model_Assumptions'!$B$49)^B6</f>
        <v/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inlineStr">
        <is>
          <t>Cost of Goods Sold</t>
        </is>
      </c>
      <c r="B12" s="9">
        <f>('model_Assumptions'!$B$12/12)*(1+'model_Assumptions'!$B$50)^B6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inlineStr">
        <is>
          <t>Gross Profit</t>
        </is>
      </c>
      <c r="B13" s="17">
        <f>B11+B12</f>
        <v/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inlineStr">
        <is>
          <t>Operating Expenses</t>
        </is>
      </c>
      <c r="B14" s="17">
        <f>SUM(B15:B20)</f>
        <v/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inlineStr">
        <is>
          <t xml:space="preserve">  Research &amp; Development</t>
        </is>
      </c>
      <c r="B15" s="9">
        <f>('model_Assumptions'!$B$13/12)*(1+'model_Assumptions'!$B$51)^B6</f>
        <v/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inlineStr">
        <is>
          <t xml:space="preserve">  Sales &amp; Marketing</t>
        </is>
      </c>
      <c r="B16" s="9">
        <f>('model_Assumptions'!$B$14/12)*(1+'model_Assumptions'!$B$51)^B6</f>
        <v/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inlineStr">
        <is>
          <t xml:space="preserve">  General &amp; Administrative</t>
        </is>
      </c>
      <c r="B17" s="9">
        <f>('model_Assumptions'!$B$15/12)*(1+'model_Assumptions'!$B$51)^B6</f>
        <v/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inlineStr">
        <is>
          <t xml:space="preserve">  IT &amp; Infrastructure</t>
        </is>
      </c>
      <c r="B18" s="9">
        <f>('model_Assumptions'!$B$17/12)*(1+'model_Assumptions'!$B$51)^B6</f>
        <v/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inlineStr">
        <is>
          <t xml:space="preserve">  Legal &amp; Compliance</t>
        </is>
      </c>
      <c r="B19" s="9">
        <f>('model_Assumptions'!$B$18/12)*(1+'model_Assumptions'!$B$51)^B6</f>
        <v/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inlineStr">
        <is>
          <t xml:space="preserve">  Logistics &amp; Distribution</t>
        </is>
      </c>
      <c r="B20" s="9">
        <f>('model_Assumptions'!$B$19/12)*(1+'model_Assumptions'!$B$51)^B6</f>
        <v/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inlineStr">
        <is>
          <t>EBITDA</t>
        </is>
      </c>
      <c r="B21" s="17">
        <f>B13+B14</f>
        <v/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inlineStr">
        <is>
          <t>Depreciation &amp; Amortization</t>
        </is>
      </c>
      <c r="B22" s="9">
        <f>B41 - 'model_Assumptions'!$B$30</f>
        <v/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inlineStr">
        <is>
          <t>EBIT</t>
        </is>
      </c>
      <c r="B23" s="17">
        <f>B21 + B22</f>
        <v/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inlineStr">
        <is>
          <t>Interest Income</t>
        </is>
      </c>
      <c r="B24" s="9">
        <f>('model_Assumptions'!$B$20/12)*(1+'model_Assumptions'!$B$52)^B6</f>
        <v/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inlineStr">
        <is>
          <t>Interest Expense</t>
        </is>
      </c>
      <c r="B25" s="9">
        <f>('model_Assumptions'!$B$21/12)*(1+'model_Assumptions'!$B$52)^B6</f>
        <v/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inlineStr">
        <is>
          <t>Pre-Tax Income</t>
        </is>
      </c>
      <c r="B26" s="17">
        <f>B23+B24+B25</f>
        <v/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inlineStr">
        <is>
          <t>Taxes</t>
        </is>
      </c>
      <c r="B27" s="17">
        <f>IF(B26&gt;0, -B26*'model_Assumptions'!$B$7, 0)</f>
        <v/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>
      <c r="A28" s="1" t="inlineStr">
        <is>
          <t>Net Income</t>
        </is>
      </c>
      <c r="B28" s="17">
        <f>B26+B27</f>
        <v/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17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24" t="inlineStr">
        <is>
          <t>Balance Sheet</t>
        </is>
      </c>
      <c r="B30" s="27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</row>
    <row r="31">
      <c r="A31" s="1" t="inlineStr">
        <is>
          <t>Current Assets</t>
        </is>
      </c>
      <c r="B31" s="17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>
      <c r="A32" s="1" t="inlineStr">
        <is>
          <t xml:space="preserve">  Cash &amp; Cash Equivalents</t>
        </is>
      </c>
      <c r="B32" s="17">
        <f>B67 - (SUM(B33:B37) + SUM(B40:B44))</f>
        <v/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>
      <c r="A33" s="1" t="inlineStr">
        <is>
          <t xml:space="preserve">  Short-Term Investments</t>
        </is>
      </c>
      <c r="B33" s="9">
        <f>'model_Assumptions'!$B$24*(1+'model_Assumptions'!$B$53)^B6</f>
        <v/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>
      <c r="A34" s="1" t="inlineStr">
        <is>
          <t xml:space="preserve">  Accounts Receivable</t>
        </is>
      </c>
      <c r="B34" s="9">
        <f>'model_Assumptions'!$B$25*(1+'model_Assumptions'!$B$53)^B6</f>
        <v/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>
      <c r="A35" s="1" t="inlineStr">
        <is>
          <t xml:space="preserve">  Inventory</t>
        </is>
      </c>
      <c r="B35" s="9">
        <f>'model_Assumptions'!$B$26*(1+'model_Assumptions'!$B$53)^B6</f>
        <v/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>
      <c r="A36" s="1" t="inlineStr">
        <is>
          <t xml:space="preserve">  Prepaid Expenses</t>
        </is>
      </c>
      <c r="B36" s="9">
        <f>'model_Assumptions'!$B$27*(1+'model_Assumptions'!$B$53)^B6</f>
        <v/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>
      <c r="A37" s="1" t="inlineStr">
        <is>
          <t xml:space="preserve">  Other Current Assets</t>
        </is>
      </c>
      <c r="B37" s="9">
        <f>'model_Assumptions'!$B$28*(1+'model_Assumptions'!$B$53)^B6</f>
        <v/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>
      <c r="A38" s="1" t="inlineStr">
        <is>
          <t>Total Current Assets</t>
        </is>
      </c>
      <c r="B38" s="17">
        <f>SUM(B32:B37)</f>
        <v/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</row>
    <row r="39">
      <c r="A39" s="1" t="inlineStr">
        <is>
          <t>Non-Current Assets</t>
        </is>
      </c>
      <c r="B39" s="17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</row>
    <row r="40">
      <c r="A40" s="1" t="inlineStr">
        <is>
          <t xml:space="preserve">  Property, Plant &amp; Equipment</t>
        </is>
      </c>
      <c r="B40" s="9">
        <f>'model_Assumptions'!$B$29*(1+'model_Assumptions'!$B$54)^B6</f>
        <v/>
      </c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</row>
    <row r="41">
      <c r="A41" s="1" t="inlineStr">
        <is>
          <t xml:space="preserve">  Accumulated Depreciation</t>
        </is>
      </c>
      <c r="B41" s="9">
        <f>'model_Assumptions'!$B$30*(1+'model_Assumptions'!$B$54)^B6</f>
        <v/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</row>
    <row r="42">
      <c r="A42" s="1" t="inlineStr">
        <is>
          <t xml:space="preserve">  Intangible Assets</t>
        </is>
      </c>
      <c r="B42" s="9">
        <f>'model_Assumptions'!$B$31*(1+'model_Assumptions'!$B$54)^B6</f>
        <v/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>
      <c r="A43" s="1" t="inlineStr">
        <is>
          <t xml:space="preserve">  Long-Term Investments</t>
        </is>
      </c>
      <c r="B43" s="9">
        <f>'model_Assumptions'!$B$32*(1+'model_Assumptions'!$B$54)^B6</f>
        <v/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</row>
    <row r="44">
      <c r="A44" s="1" t="inlineStr">
        <is>
          <t xml:space="preserve">  Other Non-Current Assets</t>
        </is>
      </c>
      <c r="B44" s="9">
        <f>'model_Assumptions'!$B$33*(1+'model_Assumptions'!$B$54)^B6</f>
        <v/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</row>
    <row r="45">
      <c r="A45" s="1" t="inlineStr">
        <is>
          <t>Total Non-Current Assets</t>
        </is>
      </c>
      <c r="B45" s="17">
        <f>SUM(B40:B44)</f>
        <v/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</row>
    <row r="46">
      <c r="A46" s="29" t="inlineStr">
        <is>
          <t>Total Assets</t>
        </is>
      </c>
      <c r="B46" s="23">
        <f>B38 + B45</f>
        <v/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</row>
    <row r="47">
      <c r="A47" s="1" t="inlineStr">
        <is>
          <t>Current Liabilities</t>
        </is>
      </c>
      <c r="B47" s="17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</row>
    <row r="48">
      <c r="A48" s="1" t="inlineStr">
        <is>
          <t xml:space="preserve">  Accounts Payable</t>
        </is>
      </c>
      <c r="B48" s="9">
        <f>'model_Assumptions'!$B$34*(1+'model_Assumptions'!$B$55)^B6</f>
        <v/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</row>
    <row r="49">
      <c r="A49" s="1" t="inlineStr">
        <is>
          <t xml:space="preserve">  Short-Term Debt</t>
        </is>
      </c>
      <c r="B49" s="9">
        <f>'model_Assumptions'!$B$35*(1+'model_Assumptions'!$B$55)^B6</f>
        <v/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</row>
    <row r="50">
      <c r="A50" s="1" t="inlineStr">
        <is>
          <t xml:space="preserve">  Accrued Expenses</t>
        </is>
      </c>
      <c r="B50" s="9">
        <f>'model_Assumptions'!$B$36*(1+'model_Assumptions'!$B$55)^B6</f>
        <v/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</row>
    <row r="51">
      <c r="A51" s="1" t="inlineStr">
        <is>
          <t xml:space="preserve">  Deferred Revenue</t>
        </is>
      </c>
      <c r="B51" s="9">
        <f>'model_Assumptions'!$B$37*(1+'model_Assumptions'!$B$55)^B6</f>
        <v/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</row>
    <row r="52">
      <c r="A52" s="1" t="inlineStr">
        <is>
          <t xml:space="preserve">  Current Portion LT Debt</t>
        </is>
      </c>
      <c r="B52" s="9">
        <f>'model_Assumptions'!$B$38*(1+'model_Assumptions'!$B$55)^B6</f>
        <v/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</row>
    <row r="53">
      <c r="A53" s="1" t="inlineStr">
        <is>
          <t xml:space="preserve">  Other Current Liabilities</t>
        </is>
      </c>
      <c r="B53" s="9">
        <f>'model_Assumptions'!$B$39*(1+'model_Assumptions'!$B$55)^B6</f>
        <v/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</row>
    <row r="54">
      <c r="A54" s="1" t="inlineStr">
        <is>
          <t>Total Current Liabilities</t>
        </is>
      </c>
      <c r="B54" s="17">
        <f>SUM(B48:B53)</f>
        <v/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</row>
    <row r="55">
      <c r="A55" s="1" t="inlineStr">
        <is>
          <t>Non-Current Liabilities</t>
        </is>
      </c>
      <c r="B55" s="17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</row>
    <row r="56">
      <c r="A56" s="1" t="inlineStr">
        <is>
          <t xml:space="preserve">  Long-Term Debt</t>
        </is>
      </c>
      <c r="B56" s="9">
        <f>'model_Assumptions'!$B$40*(1+'model_Assumptions'!$B$56)^B6</f>
        <v/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</row>
    <row r="57">
      <c r="A57" s="1" t="inlineStr">
        <is>
          <t xml:space="preserve">  Pension Liabilities</t>
        </is>
      </c>
      <c r="B57" s="9">
        <f>'model_Assumptions'!$B$41*(1+'model_Assumptions'!$B$56)^B6</f>
        <v/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</row>
    <row r="58">
      <c r="A58" s="1" t="inlineStr">
        <is>
          <t xml:space="preserve">  Lease Liabilities</t>
        </is>
      </c>
      <c r="B58" s="9">
        <f>'model_Assumptions'!$B$42*(1+'model_Assumptions'!$B$56)^B6</f>
        <v/>
      </c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</row>
    <row r="59">
      <c r="A59" s="1" t="inlineStr">
        <is>
          <t xml:space="preserve">  Other Long-Term Liabilities</t>
        </is>
      </c>
      <c r="B59" s="9">
        <f>'model_Assumptions'!$B$43*(1+'model_Assumptions'!$B$56)^B6</f>
        <v/>
      </c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</row>
    <row r="60">
      <c r="A60" s="1" t="inlineStr">
        <is>
          <t>Total Non-Current Liabilities</t>
        </is>
      </c>
      <c r="B60" s="17">
        <f>SUM(B56:B59)</f>
        <v/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</row>
    <row r="61">
      <c r="A61" s="1" t="inlineStr">
        <is>
          <t>Total Liabilities</t>
        </is>
      </c>
      <c r="B61" s="17">
        <f>B54 + B60</f>
        <v/>
      </c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</row>
    <row r="62">
      <c r="A62" s="2" t="inlineStr">
        <is>
          <t>Equity</t>
        </is>
      </c>
      <c r="B62" s="18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</row>
    <row r="63">
      <c r="A63" s="1" t="inlineStr">
        <is>
          <t xml:space="preserve">  Share Capital</t>
        </is>
      </c>
      <c r="B63" s="9">
        <f>'model_Assumptions'!$B$44</f>
        <v/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</row>
    <row r="64">
      <c r="A64" s="1" t="inlineStr">
        <is>
          <t xml:space="preserve">  Additional Paid-In Capital</t>
        </is>
      </c>
      <c r="B64" s="9">
        <f>'model_Assumptions'!$B$45</f>
        <v/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</row>
    <row r="65">
      <c r="A65" s="1" t="inlineStr">
        <is>
          <t xml:space="preserve">  Retained Earnings</t>
        </is>
      </c>
      <c r="B65" s="9">
        <f>'model_Assumptions'!$B$46 + B28 * (1 - 'model_Assumptions'!$B$8)</f>
        <v/>
      </c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</row>
    <row r="66">
      <c r="A66" s="1" t="inlineStr">
        <is>
          <t>Total Equity</t>
        </is>
      </c>
      <c r="B66" s="17">
        <f>SUM(B63:B65)</f>
        <v/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</row>
    <row r="67">
      <c r="A67" s="29" t="inlineStr">
        <is>
          <t>Total Liabilities &amp; Equity</t>
        </is>
      </c>
      <c r="B67" s="23">
        <f>B61 + B66</f>
        <v/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</row>
    <row r="68">
      <c r="A68" s="1" t="inlineStr">
        <is>
          <t>Balance Check</t>
        </is>
      </c>
      <c r="B68" s="13">
        <f>B46 - B67</f>
        <v/>
      </c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</row>
    <row r="69">
      <c r="A69" s="1" t="n"/>
      <c r="B69" s="20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</row>
    <row r="70">
      <c r="A70" s="26" t="inlineStr">
        <is>
          <t>Cash Flow Statement</t>
        </is>
      </c>
      <c r="B70" s="28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  <c r="AA70" s="26" t="n"/>
      <c r="AB70" s="26" t="n"/>
      <c r="AC70" s="26" t="n"/>
      <c r="AD70" s="26" t="n"/>
      <c r="AE70" s="26" t="n"/>
    </row>
    <row r="71">
      <c r="A71" s="1" t="inlineStr">
        <is>
          <t>Net Income</t>
        </is>
      </c>
      <c r="B71" s="20">
        <f>B28</f>
        <v/>
      </c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</row>
    <row r="72">
      <c r="A72" s="1" t="inlineStr">
        <is>
          <t>Depreciation</t>
        </is>
      </c>
      <c r="B72" s="20">
        <f>ABS(B22)</f>
        <v/>
      </c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</row>
    <row r="73">
      <c r="A73" s="1" t="inlineStr">
        <is>
          <t>Change in Working Capital</t>
        </is>
      </c>
      <c r="B73" s="20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</row>
    <row r="74">
      <c r="A74" s="1" t="inlineStr">
        <is>
          <t>CAPEX - PP&amp;E</t>
        </is>
      </c>
      <c r="B74" s="22">
        <f>B40 - 'model_Assumptions'!$B$29</f>
        <v/>
      </c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</row>
    <row r="75">
      <c r="A75" s="1" t="inlineStr">
        <is>
          <t>Cash Flow from Operating</t>
        </is>
      </c>
      <c r="B75" s="20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</row>
    <row r="76">
      <c r="A76" s="1" t="inlineStr">
        <is>
          <t>Cash Flow from Investing</t>
        </is>
      </c>
      <c r="B76" s="20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</row>
    <row r="77">
      <c r="A77" s="1" t="inlineStr">
        <is>
          <t>Cash Flow from Financing</t>
        </is>
      </c>
      <c r="B77" s="20">
        <f>-B28 * 'model_Assumptions'!$B$8</f>
        <v/>
      </c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</row>
    <row r="78">
      <c r="A78" s="1" t="inlineStr">
        <is>
          <t>Net Cashflow for the Month</t>
        </is>
      </c>
      <c r="B78" s="20">
        <f>B32 - 'model_Assumptions'!$B$23</f>
        <v/>
      </c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</row>
    <row r="79">
      <c r="A79" s="1" t="inlineStr">
        <is>
          <t>Opening Cash</t>
        </is>
      </c>
      <c r="B79" s="22">
        <f>'model_Assumptions'!$B$23</f>
        <v/>
      </c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</row>
    <row r="80">
      <c r="A80" s="1" t="inlineStr">
        <is>
          <t>Closing Cash</t>
        </is>
      </c>
      <c r="B80" s="20">
        <f>B79 + B78</f>
        <v/>
      </c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</row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t="inlineStr">
        <is>
          <t>Month Index</t>
        </is>
      </c>
      <c r="B100" t="inlineStr">
        <is>
          <t>Date</t>
        </is>
      </c>
      <c r="C100" t="inlineStr">
        <is>
          <t>Workdays</t>
        </is>
      </c>
      <c r="D100" t="inlineStr">
        <is>
          <t>YearWorkdays</t>
        </is>
      </c>
      <c r="E100" t="inlineStr">
        <is>
          <t>Weight</t>
        </is>
      </c>
      <c r="F100" t="inlineStr">
        <is>
          <t>CumWeight</t>
        </is>
      </c>
    </row>
    <row r="101"/>
    <row r="102"/>
    <row r="103"/>
    <row r="104"/>
    <row r="105"/>
    <row r="106"/>
    <row r="107"/>
    <row r="108"/>
    <row r="109"/>
    <row r="110">
      <c r="A110" t="inlineStr">
        <is>
          <t>Monthly Net 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2026-08-17T03:47:29Z</dcterms:created>
  <dcterms:modified xsi:type="dcterms:W3CDTF">2026-08-17T06:23:28Z</dcterms:modified>
</cp:coreProperties>
</file>