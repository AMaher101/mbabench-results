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_);(€#,##0)"/>
    <numFmt numFmtId="165" formatCode="$#,##0_);($#,##0)"/>
    <numFmt numFmtId="166" formatCode="$#,##0"/>
  </numFmts>
  <fonts count="10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4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00FFFFFF"/>
      <sz val="12"/>
    </font>
    <font>
      <name val="Calibri"/>
      <color rgb="00008000"/>
      <sz val="11"/>
    </font>
    <font>
      <name val="Calibri"/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2060"/>
        <bgColor rgb="0000206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2" fontId="1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164" fontId="1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/>
    </xf>
    <xf numFmtId="0" fontId="1" fillId="0" borderId="1" pivotButton="0" quotePrefix="0" xfId="0"/>
    <xf numFmtId="164" fontId="4" fillId="0" borderId="1" applyAlignment="1" pivotButton="0" quotePrefix="0" xfId="0">
      <alignment horizontal="right"/>
    </xf>
    <xf numFmtId="2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1" fillId="0" borderId="2" pivotButton="0" quotePrefix="0" xfId="0"/>
    <xf numFmtId="0" fontId="7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0" fontId="3" fillId="3" borderId="1" applyAlignment="1" pivotButton="0" quotePrefix="0" xfId="0">
      <alignment horizontal="center"/>
    </xf>
    <xf numFmtId="165" fontId="8" fillId="0" borderId="0" applyAlignment="1" pivotButton="0" quotePrefix="0" xfId="0">
      <alignment horizontal="right"/>
    </xf>
    <xf numFmtId="165" fontId="3" fillId="3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2" fontId="1" fillId="0" borderId="0" pivotButton="0" quotePrefix="0" xfId="0"/>
    <xf numFmtId="2" fontId="3" fillId="2" borderId="0" applyAlignment="1" pivotButton="0" quotePrefix="0" xfId="0">
      <alignment horizontal="center"/>
    </xf>
    <xf numFmtId="165" fontId="1" fillId="0" borderId="2" pivotButton="0" quotePrefix="0" xfId="0"/>
    <xf numFmtId="0" fontId="1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2" fontId="3" fillId="2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1" fillId="0" borderId="1" applyAlignment="1" pivotButton="0" quotePrefix="0" xfId="0">
      <alignment horizontal="right"/>
    </xf>
    <xf numFmtId="166" fontId="1" fillId="0" borderId="2" applyAlignment="1" pivotButton="0" quotePrefix="0" xfId="0">
      <alignment horizontal="right"/>
    </xf>
    <xf numFmtId="166" fontId="9" fillId="3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center"/>
    </xf>
    <xf numFmtId="166" fontId="8" fillId="0" borderId="2" applyAlignment="1" pivotButton="0" quotePrefix="0" xfId="0">
      <alignment horizontal="right"/>
    </xf>
    <xf numFmtId="0" fontId="8" fillId="0" borderId="0" pivotButton="0" quotePrefix="0" xfId="0"/>
    <xf numFmtId="4" fontId="8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1" fillId="0" borderId="0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3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17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9" t="inlineStr">
        <is>
          <t>Bosch Target Data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>
      <c r="A2" s="1" t="inlineStr">
        <is>
          <t>Mobility Sales [€m]</t>
        </is>
      </c>
      <c r="B2" s="45" t="n">
        <v>55793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inlineStr">
        <is>
          <t>Consumer Sales [€m]</t>
        </is>
      </c>
      <c r="B3" s="45" t="n">
        <v>20264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inlineStr">
        <is>
          <t>Energy Sales [€m]</t>
        </is>
      </c>
      <c r="B4" s="45" t="n">
        <v>7478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Industrial Sales [€m]</t>
        </is>
      </c>
      <c r="B5" s="45" t="n">
        <v>6450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Net Debt [€m]</t>
        </is>
      </c>
      <c r="B6" s="45" t="n">
        <v>-993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Bosch Margins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9" t="inlineStr">
        <is>
          <t>Division</t>
        </is>
      </c>
      <c r="B8" s="19" t="inlineStr">
        <is>
          <t>EBITDA Margin [%]</t>
        </is>
      </c>
      <c r="C8" s="19" t="inlineStr">
        <is>
          <t>EBIT Margin [%]</t>
        </is>
      </c>
      <c r="D8" s="19" t="inlineStr">
        <is>
          <t>Net Margin [%]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Mobility Solutions</t>
        </is>
      </c>
      <c r="B9" s="5" t="n">
        <v>0.0493</v>
      </c>
      <c r="C9" s="5" t="n">
        <v>0.0257</v>
      </c>
      <c r="D9" s="5" t="n">
        <v>0.0108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Consumer Goods</t>
        </is>
      </c>
      <c r="B10" s="5" t="n">
        <v>0.0581</v>
      </c>
      <c r="C10" s="5" t="n">
        <v>0.0344</v>
      </c>
      <c r="D10" s="5" t="n">
        <v>0.015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inlineStr">
        <is>
          <t>Energy &amp; Building</t>
        </is>
      </c>
      <c r="B11" s="5" t="n">
        <v>0.06</v>
      </c>
      <c r="C11" s="5" t="n">
        <v>0.0507</v>
      </c>
      <c r="D11" s="5" t="n">
        <v>0.0196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inlineStr">
        <is>
          <t>Industrial Technology</t>
        </is>
      </c>
      <c r="B12" s="5" t="n">
        <v>0.0878</v>
      </c>
      <c r="C12" s="5" t="n">
        <v>0.06900000000000001</v>
      </c>
      <c r="D12" s="5" t="n">
        <v>0.0277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8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3" customWidth="1" min="14" max="14"/>
    <col width="14" customWidth="1" min="15" max="15"/>
    <col width="19" customWidth="1" min="16" max="16"/>
    <col width="13" customWidth="1" min="17" max="17"/>
    <col width="15" customWidth="1" min="18" max="18"/>
    <col width="17" customWidth="1" min="19" max="19"/>
    <col width="20" customWidth="1" min="20" max="20"/>
    <col width="17" customWidth="1" min="21" max="21"/>
    <col width="17" customWidth="1" min="22" max="22"/>
    <col width="17" customWidth="1" min="23" max="23"/>
    <col width="19" customWidth="1" min="24" max="24"/>
    <col width="17" customWidth="1" min="25" max="25"/>
    <col width="17" customWidth="1" min="26" max="26"/>
    <col width="17" customWidth="1" min="27" max="27"/>
    <col width="19" customWidth="1" min="28" max="28"/>
    <col width="13" customWidth="1" min="29" max="29"/>
    <col width="15" customWidth="1" min="30" max="30"/>
    <col width="16" customWidth="1" min="31" max="31"/>
    <col width="21" customWidth="1" min="32" max="32"/>
    <col width="15" customWidth="1" min="33" max="33"/>
    <col width="16" customWidth="1" min="34" max="34"/>
    <col width="17" customWidth="1" min="35" max="35"/>
    <col width="22" customWidth="1" min="36" max="36"/>
    <col width="16" customWidth="1" min="37" max="37"/>
    <col width="15" customWidth="1" min="38" max="38"/>
    <col width="16" customWidth="1" min="39" max="39"/>
    <col width="21" customWidth="1" min="40" max="40"/>
    <col width="15" customWidth="1" min="41" max="41"/>
    <col width="17" customWidth="1" min="42" max="42"/>
    <col width="17" customWidth="1" min="43" max="43"/>
    <col width="21" customWidth="1" min="44" max="44"/>
    <col width="15" customWidth="1" min="45" max="45"/>
  </cols>
  <sheetData>
    <row r="1">
      <c r="A1" s="21" t="inlineStr">
        <is>
          <t>Comparable Multiples Calculation</t>
        </is>
      </c>
      <c r="B1" s="21" t="inlineStr">
        <is>
          <t>Sales [€m]</t>
        </is>
      </c>
      <c r="C1" s="21" t="inlineStr">
        <is>
          <t>EBITDA [€m]</t>
        </is>
      </c>
      <c r="D1" s="21" t="inlineStr">
        <is>
          <t>EBIT [€m]</t>
        </is>
      </c>
      <c r="E1" s="21" t="inlineStr">
        <is>
          <t>Net Income [€m]</t>
        </is>
      </c>
      <c r="F1" s="21" t="inlineStr">
        <is>
          <t>Shares Out [M]</t>
        </is>
      </c>
      <c r="G1" s="21" t="inlineStr">
        <is>
          <t>Price [€]</t>
        </is>
      </c>
      <c r="H1" s="21" t="inlineStr">
        <is>
          <t>EV [€m]</t>
        </is>
      </c>
      <c r="I1" s="21" t="inlineStr">
        <is>
          <t>Market Cap [€m]</t>
        </is>
      </c>
      <c r="J1" s="21" t="inlineStr">
        <is>
          <t>P/S</t>
        </is>
      </c>
      <c r="K1" s="21" t="inlineStr">
        <is>
          <t>EV/S</t>
        </is>
      </c>
      <c r="L1" s="21" t="inlineStr">
        <is>
          <t>EV/EBITDA</t>
        </is>
      </c>
      <c r="M1" s="21" t="inlineStr">
        <is>
          <t>P/E</t>
        </is>
      </c>
      <c r="N1" s="19" t="inlineStr">
        <is>
          <t>Mob P/S Pos</t>
        </is>
      </c>
      <c r="O1" s="19" t="inlineStr">
        <is>
          <t>Mob EV/S Pos</t>
        </is>
      </c>
      <c r="P1" s="19" t="inlineStr">
        <is>
          <t>Mob EV/EBITDA Pos</t>
        </is>
      </c>
      <c r="Q1" s="19" t="inlineStr">
        <is>
          <t>Mob P/E Pos</t>
        </is>
      </c>
      <c r="R1" s="19" t="inlineStr">
        <is>
          <t>Cons P/S Pos</t>
        </is>
      </c>
      <c r="S1" s="19" t="inlineStr">
        <is>
          <t>Cons EV/S Pos</t>
        </is>
      </c>
      <c r="T1" s="19" t="inlineStr">
        <is>
          <t>Cons EV/EBITDA Pos</t>
        </is>
      </c>
      <c r="U1" s="19" t="inlineStr">
        <is>
          <t>Cons P/E Pos</t>
        </is>
      </c>
      <c r="V1" s="19" t="inlineStr">
        <is>
          <t>Eng P/S Pos</t>
        </is>
      </c>
      <c r="W1" s="19" t="inlineStr">
        <is>
          <t>Eng EV/S Pos</t>
        </is>
      </c>
      <c r="X1" s="19" t="inlineStr">
        <is>
          <t>Eng EV/EBITDA Pos</t>
        </is>
      </c>
      <c r="Y1" s="19" t="inlineStr">
        <is>
          <t>Eng P/E Pos</t>
        </is>
      </c>
      <c r="Z1" s="19" t="inlineStr">
        <is>
          <t>Ind P/S Pos</t>
        </is>
      </c>
      <c r="AA1" s="19" t="inlineStr">
        <is>
          <t>Ind EV/S Pos</t>
        </is>
      </c>
      <c r="AB1" s="19" t="inlineStr">
        <is>
          <t>Ind EV/EBITDA Pos</t>
        </is>
      </c>
      <c r="AC1" s="20" t="inlineStr">
        <is>
          <t>Ind P/E Pos</t>
        </is>
      </c>
      <c r="AD1" s="20" t="inlineStr">
        <is>
          <t>Mob P/S Clean</t>
        </is>
      </c>
      <c r="AE1" s="20" t="inlineStr">
        <is>
          <t>Mob EV/S Clean</t>
        </is>
      </c>
      <c r="AF1" s="20" t="inlineStr">
        <is>
          <t>Mob EV/EBITDA Clean</t>
        </is>
      </c>
      <c r="AG1" s="20" t="inlineStr">
        <is>
          <t>Mob P/E Clean</t>
        </is>
      </c>
      <c r="AH1" s="20" t="inlineStr">
        <is>
          <t>Cons P/S Clean</t>
        </is>
      </c>
      <c r="AI1" s="20" t="inlineStr">
        <is>
          <t>Cons EV/S Clean</t>
        </is>
      </c>
      <c r="AJ1" s="20" t="inlineStr">
        <is>
          <t>Cons EV/EBITDA Clean</t>
        </is>
      </c>
      <c r="AK1" s="20" t="inlineStr">
        <is>
          <t>Cons P/E Clean</t>
        </is>
      </c>
      <c r="AL1" s="20" t="inlineStr">
        <is>
          <t>Eng P/S Clean</t>
        </is>
      </c>
      <c r="AM1" s="20" t="inlineStr">
        <is>
          <t>Eng EV/S Clean</t>
        </is>
      </c>
      <c r="AN1" s="20" t="inlineStr">
        <is>
          <t>Eng EV/EBITDA Clean</t>
        </is>
      </c>
      <c r="AO1" s="20" t="inlineStr">
        <is>
          <t>Eng P/E Clean</t>
        </is>
      </c>
      <c r="AP1" s="20" t="inlineStr">
        <is>
          <t>Ind P/S Clean</t>
        </is>
      </c>
      <c r="AQ1" s="20" t="inlineStr">
        <is>
          <t>Ind EV/S Clean</t>
        </is>
      </c>
      <c r="AR1" t="inlineStr">
        <is>
          <t>Ind EV/EBITDA Clean</t>
        </is>
      </c>
      <c r="AS1" t="inlineStr">
        <is>
          <t>Ind P/E Clean</t>
        </is>
      </c>
    </row>
    <row r="2">
      <c r="A2" s="12" t="inlineStr">
        <is>
          <t>Mobility: Magna</t>
        </is>
      </c>
      <c r="B2" s="46" t="n">
        <v>37262.82</v>
      </c>
      <c r="C2" s="46" t="n">
        <v>3647.07</v>
      </c>
      <c r="D2" s="46" t="n">
        <v>1941.38</v>
      </c>
      <c r="E2" s="46" t="n">
        <v>1680.23</v>
      </c>
      <c r="F2" s="46" t="n">
        <v>278.79</v>
      </c>
      <c r="G2" s="46" t="n">
        <v>52.85</v>
      </c>
      <c r="H2" s="46" t="n">
        <v>17541.81</v>
      </c>
      <c r="I2" s="46">
        <f>F2*G2</f>
        <v/>
      </c>
      <c r="J2" s="47">
        <f>IFERROR(I2/B2, "N/A")</f>
        <v/>
      </c>
      <c r="K2" s="47">
        <f>IFERROR(H2/B2, "N/A")</f>
        <v/>
      </c>
      <c r="L2" s="47">
        <f>IFERROR(H2/C2, "N/A")</f>
        <v/>
      </c>
      <c r="M2" s="47">
        <f>IFERROR(I2/E2, "N/A")</f>
        <v/>
      </c>
      <c r="N2" s="30" t="n"/>
      <c r="O2" s="30" t="n"/>
      <c r="P2" s="30" t="n"/>
      <c r="Q2" s="30" t="n"/>
      <c r="R2" s="48" t="inlineStr">
        <is>
          <t>P/S Avg</t>
        </is>
      </c>
      <c r="S2" s="48" t="inlineStr">
        <is>
          <t>Average</t>
        </is>
      </c>
      <c r="T2" s="48" t="inlineStr">
        <is>
          <t>StdDev</t>
        </is>
      </c>
      <c r="U2" s="48">
        <f>IF(J2&gt;0, J2, "")</f>
        <v/>
      </c>
      <c r="V2" s="48">
        <f>IF(K2&gt;0, K2, "")</f>
        <v/>
      </c>
      <c r="W2" s="48">
        <f>IF(L2&gt;0, L2, "")</f>
        <v/>
      </c>
      <c r="X2" s="48">
        <f>IF(M2&gt;0, M2, "")</f>
        <v/>
      </c>
      <c r="Y2" s="48">
        <f>IF(AND(U2&lt;&gt;"", U2 &gt;= $AP$2-$AQ$2, U2 &lt;= $AP$2+$AQ$2), U2, "")</f>
        <v/>
      </c>
      <c r="Z2" s="48">
        <f>IF(AND(V2&lt;&gt;"", V2 &gt;= $AP$3-$AQ$3, V2 &lt;= $AP$3+$AQ$3), V2, "")</f>
        <v/>
      </c>
      <c r="AA2" s="48">
        <f>IF(AND(W2&lt;&gt;"", W2 &gt;= $AP$4-$AQ$4, W2 &lt;= $AP$4+$AQ$4), W2, "")</f>
        <v/>
      </c>
      <c r="AB2" s="48">
        <f>IF(AND(X2&lt;&gt;"", X2 &gt;= $AP$5-$AQ$5, X2 &lt;= $AP$5+$AQ$5), X2, "")</f>
        <v/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P/S</t>
        </is>
      </c>
      <c r="AP2" s="48">
        <f>AVERAGE(U2:U41)</f>
        <v/>
      </c>
      <c r="AQ2" s="48">
        <f>STDEVP(U2:U41)</f>
        <v/>
      </c>
    </row>
    <row r="3">
      <c r="A3" s="12" t="inlineStr">
        <is>
          <t>Mobility: Denso</t>
        </is>
      </c>
      <c r="B3" s="46" t="n">
        <v>43645.39</v>
      </c>
      <c r="C3" s="46" t="n">
        <v>5435.39</v>
      </c>
      <c r="D3" s="46" t="n">
        <v>3270.14</v>
      </c>
      <c r="E3" s="46" t="n">
        <v>3094.11</v>
      </c>
      <c r="F3" s="46" t="n">
        <v>2910.98</v>
      </c>
      <c r="G3" s="46" t="n">
        <v>9.859999999999999</v>
      </c>
      <c r="H3" s="46" t="n">
        <v>26549.76</v>
      </c>
      <c r="I3" s="46">
        <f>F3*G3</f>
        <v/>
      </c>
      <c r="J3" s="47">
        <f>IFERROR(I3/B3, "N/A")</f>
        <v/>
      </c>
      <c r="K3" s="47">
        <f>IFERROR(H3/B3, "N/A")</f>
        <v/>
      </c>
      <c r="L3" s="47">
        <f>IFERROR(H3/C3, "N/A")</f>
        <v/>
      </c>
      <c r="M3" s="47">
        <f>IFERROR(I3/E3, "N/A")</f>
        <v/>
      </c>
      <c r="N3" s="30" t="n"/>
      <c r="O3" s="30" t="n"/>
      <c r="P3" s="30" t="n"/>
      <c r="Q3" s="30" t="n"/>
      <c r="R3" s="48" t="inlineStr">
        <is>
          <t>EV/S Avg</t>
        </is>
      </c>
      <c r="S3" s="48">
        <f>AVERAGE(V2:V41)</f>
        <v/>
      </c>
      <c r="T3" s="48" t="n"/>
      <c r="U3" s="48" t="n"/>
      <c r="V3" s="48" t="n"/>
      <c r="W3" s="48" t="n"/>
      <c r="X3" s="48" t="n"/>
      <c r="Y3" s="48">
        <f>IF(AND(U3&lt;&gt;"", U3 &gt;= $AP$2-$AQ$2, U3 &lt;= $AP$2+$AQ$2), U3, "")</f>
        <v/>
      </c>
      <c r="Z3" s="48">
        <f>IF(AND(V3&lt;&gt;"", V3 &gt;= $AP$3-$AQ$3, V3 &lt;= $AP$3+$AQ$3), V3, "")</f>
        <v/>
      </c>
      <c r="AA3" s="48">
        <f>IF(AND(W3&lt;&gt;"", W3 &gt;= $AP$4-$AQ$4, W3 &lt;= $AP$4+$AQ$4), W3, "")</f>
        <v/>
      </c>
      <c r="AB3" s="48">
        <f>IF(AND(X3&lt;&gt;"", X3 &gt;= $AP$5-$AQ$5, X3 &lt;= $AP$5+$AQ$5), X3, "")</f>
        <v/>
      </c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EV/S</t>
        </is>
      </c>
      <c r="AP3" s="48">
        <f>AVERAGE(V2:V41)</f>
        <v/>
      </c>
      <c r="AQ3" s="48">
        <f>STDEVP(V2:V41)</f>
        <v/>
      </c>
    </row>
    <row r="4">
      <c r="A4" s="12" t="inlineStr">
        <is>
          <t>Mobility: Continental</t>
        </is>
      </c>
      <c r="B4" s="46" t="n">
        <v>19676</v>
      </c>
      <c r="C4" s="46" t="n">
        <v>2856</v>
      </c>
      <c r="D4" s="46" t="n">
        <v>1784</v>
      </c>
      <c r="E4" s="46" t="n">
        <v>1682.91</v>
      </c>
      <c r="F4" s="46" t="n">
        <v>200.01</v>
      </c>
      <c r="G4" s="46" t="n">
        <v>63.5</v>
      </c>
      <c r="H4" s="46" t="n">
        <v>18162.38</v>
      </c>
      <c r="I4" s="46">
        <f>F4*G4</f>
        <v/>
      </c>
      <c r="J4" s="47">
        <f>IFERROR(I4/B4, "N/A")</f>
        <v/>
      </c>
      <c r="K4" s="47">
        <f>IFERROR(H4/B4, "N/A")</f>
        <v/>
      </c>
      <c r="L4" s="47">
        <f>IFERROR(H4/C4, "N/A")</f>
        <v/>
      </c>
      <c r="M4" s="47">
        <f>IFERROR(I4/E4, "N/A")</f>
        <v/>
      </c>
      <c r="N4" s="30" t="n"/>
      <c r="O4" s="30" t="n"/>
      <c r="P4" s="30" t="n"/>
      <c r="Q4" s="30" t="n"/>
      <c r="R4" s="48" t="inlineStr">
        <is>
          <t>EV/EBITDA Avg</t>
        </is>
      </c>
      <c r="S4" s="48">
        <f>AVERAGE(W2:W41)</f>
        <v/>
      </c>
      <c r="T4" s="48" t="n"/>
      <c r="U4" s="48" t="n"/>
      <c r="V4" s="48" t="n"/>
      <c r="W4" s="48" t="n"/>
      <c r="X4" s="48" t="n"/>
      <c r="Y4" s="48">
        <f>IF(AND(U4&lt;&gt;"", U4 &gt;= $AP$2-$AQ$2, U4 &lt;= $AP$2+$AQ$2), U4, "")</f>
        <v/>
      </c>
      <c r="Z4" s="48">
        <f>IF(AND(V4&lt;&gt;"", V4 &gt;= $AP$3-$AQ$3, V4 &lt;= $AP$3+$AQ$3), V4, "")</f>
        <v/>
      </c>
      <c r="AA4" s="48">
        <f>IF(AND(W4&lt;&gt;"", W4 &gt;= $AP$4-$AQ$4, W4 &lt;= $AP$4+$AQ$4), W4, "")</f>
        <v/>
      </c>
      <c r="AB4" s="48">
        <f>IF(AND(X4&lt;&gt;"", X4 &gt;= $AP$5-$AQ$5, X4 &lt;= $AP$5+$AQ$5), X4, "")</f>
        <v/>
      </c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inlineStr">
        <is>
          <t>EV/EBITDA</t>
        </is>
      </c>
      <c r="AP4" s="48">
        <f>AVERAGE(W2:W41)</f>
        <v/>
      </c>
      <c r="AQ4" s="48">
        <f>STDEVP(W2:W41)</f>
        <v/>
      </c>
    </row>
    <row r="5">
      <c r="A5" s="12" t="inlineStr">
        <is>
          <t>Mobility: Aisin</t>
        </is>
      </c>
      <c r="B5" s="46" t="n">
        <v>29988.45</v>
      </c>
      <c r="C5" s="46" t="n">
        <v>2863.76</v>
      </c>
      <c r="D5" s="46" t="n">
        <v>1348.2</v>
      </c>
      <c r="E5" s="46" t="n">
        <v>987.79</v>
      </c>
      <c r="F5" s="46" t="n">
        <v>759.02</v>
      </c>
      <c r="G5" s="46" t="n">
        <v>12.3</v>
      </c>
      <c r="H5" s="46" t="n">
        <v>11733.14</v>
      </c>
      <c r="I5" s="46">
        <f>F5*G5</f>
        <v/>
      </c>
      <c r="J5" s="47">
        <f>IFERROR(I5/B5, "N/A")</f>
        <v/>
      </c>
      <c r="K5" s="47">
        <f>IFERROR(H5/B5, "N/A")</f>
        <v/>
      </c>
      <c r="L5" s="47">
        <f>IFERROR(H5/C5, "N/A")</f>
        <v/>
      </c>
      <c r="M5" s="47">
        <f>IFERROR(I5/E5, "N/A")</f>
        <v/>
      </c>
      <c r="N5" s="30" t="n"/>
      <c r="O5" s="30" t="n"/>
      <c r="P5" s="30" t="n"/>
      <c r="Q5" s="30" t="n"/>
      <c r="R5" s="48" t="inlineStr">
        <is>
          <t>P/E Avg</t>
        </is>
      </c>
      <c r="S5" s="49">
        <f>AVERAGE(X2:X41)</f>
        <v/>
      </c>
      <c r="T5" s="49" t="inlineStr">
        <is>
          <t>P/S</t>
        </is>
      </c>
      <c r="U5" s="49" t="inlineStr">
        <is>
          <t>EV/S</t>
        </is>
      </c>
      <c r="V5" s="49" t="inlineStr">
        <is>
          <t>EV/EBITDA</t>
        </is>
      </c>
      <c r="W5" s="49" t="inlineStr">
        <is>
          <t>P/E</t>
        </is>
      </c>
      <c r="X5" s="48" t="n"/>
      <c r="Y5" s="48" t="n"/>
      <c r="Z5" s="48" t="n"/>
      <c r="AA5" s="48" t="n"/>
      <c r="AB5" s="48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P/E</t>
        </is>
      </c>
      <c r="AP5" s="48">
        <f>AVERAGE(X2:X41)</f>
        <v/>
      </c>
      <c r="AQ5" s="48">
        <f>STDEVP(X2:X41)</f>
        <v/>
      </c>
    </row>
    <row r="6">
      <c r="A6" s="12" t="inlineStr">
        <is>
          <t>Mobility: Valeo</t>
        </is>
      </c>
      <c r="B6" s="46" t="n">
        <v>20903</v>
      </c>
      <c r="C6" s="46" t="n">
        <v>2928</v>
      </c>
      <c r="D6" s="46" t="n">
        <v>840</v>
      </c>
      <c r="E6" s="46" t="n">
        <v>603.4299999999999</v>
      </c>
      <c r="F6" s="46" t="n">
        <v>245.61</v>
      </c>
      <c r="G6" s="46" t="n">
        <v>10.48</v>
      </c>
      <c r="H6" s="46" t="n">
        <v>7364.53</v>
      </c>
      <c r="I6" s="46">
        <f>F6*G6</f>
        <v/>
      </c>
      <c r="J6" s="47">
        <f>IFERROR(I6/B6, "N/A")</f>
        <v/>
      </c>
      <c r="K6" s="47">
        <f>IFERROR(H6/B6, "N/A")</f>
        <v/>
      </c>
      <c r="L6" s="47">
        <f>IFERROR(H6/C6, "N/A")</f>
        <v/>
      </c>
      <c r="M6" s="47">
        <f>IFERROR(I6/E6, "N/A")</f>
        <v/>
      </c>
      <c r="N6" s="30" t="n"/>
      <c r="O6" s="30" t="n"/>
      <c r="P6" s="30" t="n"/>
      <c r="Q6" s="30" t="n"/>
      <c r="R6" s="30" t="n"/>
      <c r="S6" s="48" t="inlineStr">
        <is>
          <t>Metric</t>
        </is>
      </c>
      <c r="T6" s="48" t="inlineStr">
        <is>
          <t>P/S</t>
        </is>
      </c>
      <c r="U6" s="48" t="inlineStr">
        <is>
          <t>EV/S</t>
        </is>
      </c>
      <c r="V6" s="48" t="inlineStr">
        <is>
          <t>EV/EBITDA</t>
        </is>
      </c>
      <c r="W6" s="48" t="inlineStr">
        <is>
          <t>P/E</t>
        </is>
      </c>
      <c r="X6" s="48" t="n"/>
      <c r="Y6" s="48" t="n"/>
      <c r="Z6" s="48" t="n"/>
      <c r="AA6" s="48" t="n"/>
      <c r="AB6" s="48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A7" s="12" t="inlineStr">
        <is>
          <t>Mobility: Hyundai Mobis</t>
        </is>
      </c>
      <c r="B7" s="46" t="n">
        <v>38104.59</v>
      </c>
      <c r="C7" s="46" t="n">
        <v>2820.87</v>
      </c>
      <c r="D7" s="46" t="n">
        <v>2093.65</v>
      </c>
      <c r="E7" s="46" t="n">
        <v>1841.52</v>
      </c>
      <c r="F7" s="46" t="n">
        <v>90.73</v>
      </c>
      <c r="G7" s="46" t="n">
        <v>253.8</v>
      </c>
      <c r="H7" s="46" t="n">
        <v>3086.89</v>
      </c>
      <c r="I7" s="46">
        <f>F7*G7</f>
        <v/>
      </c>
      <c r="J7" s="47">
        <f>IFERROR(I7/B7, "N/A")</f>
        <v/>
      </c>
      <c r="K7" s="47">
        <f>IFERROR(H7/B7, "N/A")</f>
        <v/>
      </c>
      <c r="L7" s="47">
        <f>IFERROR(H7/C7, "N/A")</f>
        <v/>
      </c>
      <c r="M7" s="47">
        <f>IFERROR(I7/E7, "N/A")</f>
        <v/>
      </c>
      <c r="N7" s="30" t="n"/>
      <c r="O7" s="30" t="n"/>
      <c r="P7" s="30" t="n"/>
      <c r="Q7" s="30" t="n"/>
      <c r="R7" s="30" t="n"/>
      <c r="S7" s="48" t="inlineStr">
        <is>
          <t>25th Pct</t>
        </is>
      </c>
      <c r="T7" s="48">
        <f>PERCENTILE.INC(Y2:Y41, 0.25)</f>
        <v/>
      </c>
      <c r="U7" s="48">
        <f>PERCENTILE.INC(Z2:Z41, 0.25)</f>
        <v/>
      </c>
      <c r="V7" s="48">
        <f>PERCENTILE.INC(AA2:AA41, 0.25)</f>
        <v/>
      </c>
      <c r="W7" s="48">
        <f>PERCENTILE.INC(AB2:AB41, 0.25)</f>
        <v/>
      </c>
      <c r="X7" s="48" t="n"/>
      <c r="Y7" s="48" t="n"/>
      <c r="Z7" s="48" t="n"/>
      <c r="AA7" s="48" t="n"/>
      <c r="AB7" s="48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>
      <c r="A8" s="12" t="inlineStr">
        <is>
          <t>Mobility: Forvia</t>
        </is>
      </c>
      <c r="B8" s="46" t="n">
        <v>21346.8</v>
      </c>
      <c r="C8" s="46" t="n">
        <v>2252.6</v>
      </c>
      <c r="D8" s="46" t="n">
        <v>1098.4</v>
      </c>
      <c r="E8" s="46" t="n">
        <v>1006.38</v>
      </c>
      <c r="F8" s="46" t="n">
        <v>197.09</v>
      </c>
      <c r="G8" s="46" t="n">
        <v>9.76</v>
      </c>
      <c r="H8" s="46" t="n">
        <v>9303.370000000001</v>
      </c>
      <c r="I8" s="46">
        <f>F8*G8</f>
        <v/>
      </c>
      <c r="J8" s="47">
        <f>IFERROR(I8/B8, "N/A")</f>
        <v/>
      </c>
      <c r="K8" s="47">
        <f>IFERROR(H8/B8, "N/A")</f>
        <v/>
      </c>
      <c r="L8" s="47">
        <f>IFERROR(H8/C8, "N/A")</f>
        <v/>
      </c>
      <c r="M8" s="47">
        <f>IFERROR(I8/E8, "N/A")</f>
        <v/>
      </c>
      <c r="N8" s="30" t="n"/>
      <c r="O8" s="30" t="n"/>
      <c r="P8" s="30" t="n"/>
      <c r="Q8" s="30" t="n"/>
      <c r="R8" s="30" t="n"/>
      <c r="S8" s="48" t="inlineStr">
        <is>
          <t>Median</t>
        </is>
      </c>
      <c r="T8" s="48">
        <f>MEDIAN(Y2:Y41)</f>
        <v/>
      </c>
      <c r="U8" s="48">
        <f>MEDIAN(Z2:Z41)</f>
        <v/>
      </c>
      <c r="V8" s="48">
        <f>MEDIAN(AA2:AA41)</f>
        <v/>
      </c>
      <c r="W8" s="48">
        <f>MEDIAN(AB2:AB41)</f>
        <v/>
      </c>
      <c r="X8" s="48" t="n"/>
      <c r="Y8" s="48" t="n"/>
      <c r="Z8" s="48" t="n"/>
      <c r="AA8" s="48" t="n"/>
      <c r="AB8" s="48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</row>
    <row r="9">
      <c r="A9" s="12" t="inlineStr">
        <is>
          <t>Mobility: Lear</t>
        </is>
      </c>
      <c r="B9" s="46" t="n">
        <v>20608.5</v>
      </c>
      <c r="C9" s="46" t="n">
        <v>1441.46</v>
      </c>
      <c r="D9" s="46" t="n">
        <v>906.1799999999999</v>
      </c>
      <c r="E9" s="46" t="n">
        <v>656.9299999999999</v>
      </c>
      <c r="F9" s="46" t="n">
        <v>50.63</v>
      </c>
      <c r="G9" s="46" t="n">
        <v>105.85</v>
      </c>
      <c r="H9" s="46" t="n">
        <v>7257.12</v>
      </c>
      <c r="I9" s="46">
        <f>F9*G9</f>
        <v/>
      </c>
      <c r="J9" s="47">
        <f>IFERROR(I9/B9, "N/A")</f>
        <v/>
      </c>
      <c r="K9" s="47">
        <f>IFERROR(H9/B9, "N/A")</f>
        <v/>
      </c>
      <c r="L9" s="47">
        <f>IFERROR(H9/C9, "N/A")</f>
        <v/>
      </c>
      <c r="M9" s="47">
        <f>IFERROR(I9/E9, "N/A")</f>
        <v/>
      </c>
      <c r="N9" s="30" t="n"/>
      <c r="O9" s="30" t="n"/>
      <c r="P9" s="30" t="n"/>
      <c r="Q9" s="30" t="n"/>
      <c r="R9" s="30" t="n"/>
      <c r="S9" s="48" t="inlineStr">
        <is>
          <t>Average</t>
        </is>
      </c>
      <c r="T9" s="48">
        <f>AVERAGE(Y2:Y41)</f>
        <v/>
      </c>
      <c r="U9" s="48">
        <f>AVERAGE(Z2:Z41)</f>
        <v/>
      </c>
      <c r="V9" s="48">
        <f>AVERAGE(AA2:AA41)</f>
        <v/>
      </c>
      <c r="W9" s="48">
        <f>AVERAGE(AB2:AB41)</f>
        <v/>
      </c>
      <c r="X9" s="48" t="n"/>
      <c r="Y9" s="48" t="n"/>
      <c r="Z9" s="48" t="n"/>
      <c r="AA9" s="48" t="n"/>
      <c r="AB9" s="48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</row>
    <row r="10">
      <c r="A10" s="12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30" t="n"/>
      <c r="O10" s="30" t="n"/>
      <c r="P10" s="30" t="n"/>
      <c r="Q10" s="30" t="n"/>
      <c r="R10" s="30" t="n"/>
      <c r="S10" s="48" t="inlineStr">
        <is>
          <t>75th Pct</t>
        </is>
      </c>
      <c r="T10" s="48">
        <f>PERCENTILE.INC(Y2:Y41, 0.75)</f>
        <v/>
      </c>
      <c r="U10" s="48">
        <f>PERCENTILE.INC(Z2:Z41, 0.75)</f>
        <v/>
      </c>
      <c r="V10" s="48">
        <f>PERCENTILE.INC(AA2:AA41, 0.75)</f>
        <v/>
      </c>
      <c r="W10" s="48">
        <f>PERCENTILE.INC(AB2:AB41, 0.75)</f>
        <v/>
      </c>
      <c r="X10" s="48" t="n"/>
      <c r="Y10" s="48" t="n"/>
      <c r="Z10" s="48" t="n"/>
      <c r="AA10" s="48" t="n"/>
      <c r="AB10" s="48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</row>
    <row r="11">
      <c r="A11" s="12" t="inlineStr">
        <is>
          <t>Consumer: Whirlpool</t>
        </is>
      </c>
      <c r="B11" s="47" t="n">
        <v>13754.48</v>
      </c>
      <c r="C11" s="47" t="n">
        <v>949.87</v>
      </c>
      <c r="D11" s="47" t="n">
        <v>650.38</v>
      </c>
      <c r="E11" s="47" t="n">
        <v>486.84</v>
      </c>
      <c r="F11" s="47" t="n">
        <v>64.87</v>
      </c>
      <c r="G11" s="47" t="n">
        <v>46.7</v>
      </c>
      <c r="H11" s="47" t="n">
        <v>7422.24</v>
      </c>
      <c r="I11" s="47">
        <f>F11*G11</f>
        <v/>
      </c>
      <c r="J11" s="47">
        <f>IFERROR(I11/B11, "N/A")</f>
        <v/>
      </c>
      <c r="K11" s="47">
        <f>IFERROR(H11/B11, "N/A")</f>
        <v/>
      </c>
      <c r="L11" s="47">
        <f>IFERROR(H11/C11, "N/A")</f>
        <v/>
      </c>
      <c r="M11" s="47">
        <f>IFERROR(I11/E11, "N/A")</f>
        <v/>
      </c>
      <c r="N11" s="30" t="n"/>
      <c r="O11" s="30" t="n"/>
      <c r="P11" s="30" t="n"/>
      <c r="Q11" s="30" t="n"/>
      <c r="R11" s="30" t="n"/>
      <c r="S11" s="48" t="inlineStr">
        <is>
          <t>Maximum</t>
        </is>
      </c>
      <c r="T11" s="48">
        <f>MAX(Y2:Y41)</f>
        <v/>
      </c>
      <c r="U11" s="48">
        <f>MAX(Z2:Z41)</f>
        <v/>
      </c>
      <c r="V11" s="48">
        <f>MAX(AA2:AA41)</f>
        <v/>
      </c>
      <c r="W11" s="48">
        <f>MAX(AB2:AB41)</f>
        <v/>
      </c>
      <c r="X11" s="48" t="n"/>
      <c r="Y11" s="48" t="n"/>
      <c r="Z11" s="48" t="n"/>
      <c r="AA11" s="48" t="n"/>
      <c r="AB11" s="48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</row>
    <row r="12">
      <c r="A12" s="12" t="inlineStr">
        <is>
          <t>Consumer: Electrolux</t>
        </is>
      </c>
      <c r="B12" s="47" t="n">
        <v>11730.31</v>
      </c>
      <c r="C12" s="47" t="n">
        <v>658.55</v>
      </c>
      <c r="D12" s="47" t="n">
        <v>146.16</v>
      </c>
      <c r="E12" s="47" t="n">
        <v>123.63</v>
      </c>
      <c r="F12" s="47" t="n">
        <v>274.89</v>
      </c>
      <c r="G12" s="47" t="n">
        <v>4.64</v>
      </c>
      <c r="H12" s="47" t="n">
        <v>4003.95</v>
      </c>
      <c r="I12" s="47">
        <f>F12*G12</f>
        <v/>
      </c>
      <c r="J12" s="47">
        <f>IFERROR(I12/B12, "N/A")</f>
        <v/>
      </c>
      <c r="K12" s="47">
        <f>IFERROR(H12/B12, "N/A")</f>
        <v/>
      </c>
      <c r="L12" s="47">
        <f>IFERROR(H12/C12, "N/A")</f>
        <v/>
      </c>
      <c r="M12" s="47">
        <f>IFERROR(I12/E12, "N/A")</f>
        <v/>
      </c>
      <c r="N12" s="30" t="n"/>
      <c r="O12" s="30" t="n"/>
      <c r="P12" s="30" t="n"/>
      <c r="Q12" s="30" t="n"/>
      <c r="R12" s="30" t="n"/>
      <c r="S12" s="48" t="inlineStr">
        <is>
          <t>Minimum</t>
        </is>
      </c>
      <c r="T12" s="48">
        <f>MIN(Y2:Y41)</f>
        <v/>
      </c>
      <c r="U12" s="48">
        <f>MIN(Z2:Z41)</f>
        <v/>
      </c>
      <c r="V12" s="48">
        <f>MIN(AA2:AA41)</f>
        <v/>
      </c>
      <c r="W12" s="48">
        <f>MIN(AB2:AB41)</f>
        <v/>
      </c>
      <c r="X12" s="48" t="n"/>
      <c r="Y12" s="48" t="n"/>
      <c r="Z12" s="48" t="n"/>
      <c r="AA12" s="48" t="n"/>
      <c r="AB12" s="48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</row>
    <row r="13">
      <c r="A13" s="12" t="inlineStr">
        <is>
          <t>Consumer: LG</t>
        </is>
      </c>
      <c r="B13" s="47" t="n">
        <v>55613.01</v>
      </c>
      <c r="C13" s="47" t="n">
        <v>3792.03</v>
      </c>
      <c r="D13" s="47" t="n">
        <v>1545.17</v>
      </c>
      <c r="E13" s="47" t="n">
        <v>1189.27</v>
      </c>
      <c r="F13" s="47" t="n">
        <v>162.89</v>
      </c>
      <c r="G13" s="47" t="n">
        <v>78.51000000000001</v>
      </c>
      <c r="H13" s="47" t="n">
        <v>16761.14</v>
      </c>
      <c r="I13" s="47">
        <f>F13*G13</f>
        <v/>
      </c>
      <c r="J13" s="47">
        <f>IFERROR(I13/B13, "N/A")</f>
        <v/>
      </c>
      <c r="K13" s="47">
        <f>IFERROR(H13/B13, "N/A")</f>
        <v/>
      </c>
      <c r="L13" s="47">
        <f>IFERROR(H13/C13, "N/A")</f>
        <v/>
      </c>
      <c r="M13" s="47">
        <f>IFERROR(I13/E13, "N/A")</f>
        <v/>
      </c>
      <c r="N13" s="30" t="n"/>
      <c r="O13" s="30" t="n"/>
      <c r="P13" s="30" t="n"/>
      <c r="Q13" s="30" t="n"/>
      <c r="R13" s="30" t="n"/>
      <c r="S13" s="30" t="n"/>
      <c r="T13" s="30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</row>
    <row r="14">
      <c r="A14" s="12" t="inlineStr">
        <is>
          <t>Consumer: Midea</t>
        </is>
      </c>
      <c r="B14" s="47" t="n">
        <v>56352.54</v>
      </c>
      <c r="C14" s="47" t="n">
        <v>6511</v>
      </c>
      <c r="D14" s="47" t="n">
        <v>5359.76</v>
      </c>
      <c r="E14" s="47" t="n">
        <v>4556.27</v>
      </c>
      <c r="F14" s="47" t="n">
        <v>6852.08</v>
      </c>
      <c r="G14" s="47" t="n">
        <v>10.17</v>
      </c>
      <c r="H14" s="47" t="n">
        <v>58933.56</v>
      </c>
      <c r="I14" s="47">
        <f>F14*G14</f>
        <v/>
      </c>
      <c r="J14" s="47">
        <f>IFERROR(I14/B14, "N/A")</f>
        <v/>
      </c>
      <c r="K14" s="47">
        <f>IFERROR(H14/B14, "N/A")</f>
        <v/>
      </c>
      <c r="L14" s="47">
        <f>IFERROR(H14/C14, "N/A")</f>
        <v/>
      </c>
      <c r="M14" s="47">
        <f>IFERROR(I14/E14, "N/A")</f>
        <v/>
      </c>
      <c r="N14" s="30" t="n"/>
      <c r="O14" s="30" t="n"/>
      <c r="P14" s="30" t="n"/>
      <c r="Q14" s="30" t="n"/>
      <c r="R14" s="30" t="n"/>
      <c r="S14" s="30" t="n"/>
      <c r="T14" s="30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</row>
    <row r="15">
      <c r="A15" s="12" t="inlineStr">
        <is>
          <t>Consumer: Hisense</t>
        </is>
      </c>
      <c r="B15" s="47" t="n">
        <v>10808.82</v>
      </c>
      <c r="C15" s="47" t="n">
        <v>664.13</v>
      </c>
      <c r="D15" s="47" t="n">
        <v>501.42</v>
      </c>
      <c r="E15" s="47" t="n">
        <v>432.22</v>
      </c>
      <c r="F15" s="47" t="n">
        <v>925.27</v>
      </c>
      <c r="G15" s="47" t="n">
        <v>2.94</v>
      </c>
      <c r="H15" s="47" t="n">
        <v>2907.07</v>
      </c>
      <c r="I15" s="47">
        <f>F15*G15</f>
        <v/>
      </c>
      <c r="J15" s="47">
        <f>IFERROR(I15/B15, "N/A")</f>
        <v/>
      </c>
      <c r="K15" s="47">
        <f>IFERROR(H15/B15, "N/A")</f>
        <v/>
      </c>
      <c r="L15" s="47">
        <f>IFERROR(H15/C15, "N/A")</f>
        <v/>
      </c>
      <c r="M15" s="47">
        <f>IFERROR(I15/E15, "N/A")</f>
        <v/>
      </c>
      <c r="N15" s="30" t="n"/>
      <c r="O15" s="30" t="n"/>
      <c r="P15" s="30" t="n"/>
      <c r="Q15" s="30" t="n"/>
      <c r="R15" s="30" t="n"/>
      <c r="S15" s="30" t="n"/>
      <c r="T15" s="30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</row>
    <row r="16">
      <c r="A16" s="12" t="inlineStr">
        <is>
          <t>Consumer: Arcelik</t>
        </is>
      </c>
      <c r="B16" s="47" t="n">
        <v>10862.31</v>
      </c>
      <c r="C16" s="47" t="n">
        <v>581.85</v>
      </c>
      <c r="D16" s="47" t="n">
        <v>77.95</v>
      </c>
      <c r="E16" s="47" t="n">
        <v>67.75</v>
      </c>
      <c r="F16" s="47" t="n">
        <v>675.73</v>
      </c>
      <c r="G16" s="47" t="n">
        <v>2.13</v>
      </c>
      <c r="H16" s="47" t="n">
        <v>4741.23</v>
      </c>
      <c r="I16" s="47">
        <f>F16*G16</f>
        <v/>
      </c>
      <c r="J16" s="47">
        <f>IFERROR(I16/B16, "N/A")</f>
        <v/>
      </c>
      <c r="K16" s="47">
        <f>IFERROR(H16/B16, "N/A")</f>
        <v/>
      </c>
      <c r="L16" s="47">
        <f>IFERROR(H16/C16, "N/A")</f>
        <v/>
      </c>
      <c r="M16" s="47">
        <f>IFERROR(I16/E16, "N/A")</f>
        <v/>
      </c>
      <c r="N16" s="30" t="n"/>
      <c r="O16" s="30" t="n"/>
      <c r="P16" s="30" t="n"/>
      <c r="Q16" s="30" t="n"/>
      <c r="R16" s="30" t="n"/>
      <c r="S16" s="30" t="n"/>
      <c r="T16" s="30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</row>
    <row r="17">
      <c r="A17" s="12" t="inlineStr">
        <is>
          <t>Consumer: Sharp</t>
        </is>
      </c>
      <c r="B17" s="47" t="n">
        <v>11371.39</v>
      </c>
      <c r="C17" s="47" t="n">
        <v>508.72</v>
      </c>
      <c r="D17" s="47" t="n">
        <v>283.92</v>
      </c>
      <c r="E17" s="47" t="n">
        <v>218.6</v>
      </c>
      <c r="F17" s="47" t="n">
        <v>650.41</v>
      </c>
      <c r="G17" s="47" t="n">
        <v>3.02</v>
      </c>
      <c r="H17" s="47" t="n">
        <v>3415.52</v>
      </c>
      <c r="I17" s="47">
        <f>F17*G17</f>
        <v/>
      </c>
      <c r="J17" s="47">
        <f>IFERROR(I17/B17, "N/A")</f>
        <v/>
      </c>
      <c r="K17" s="47">
        <f>IFERROR(H17/B17, "N/A")</f>
        <v/>
      </c>
      <c r="L17" s="47">
        <f>IFERROR(H17/C17, "N/A")</f>
        <v/>
      </c>
      <c r="M17" s="47">
        <f>IFERROR(I17/E17, "N/A")</f>
        <v/>
      </c>
      <c r="N17" s="30" t="n"/>
      <c r="O17" s="30" t="n"/>
      <c r="P17" s="30" t="n"/>
      <c r="Q17" s="30" t="n"/>
      <c r="R17" s="30" t="n"/>
      <c r="S17" s="30" t="n"/>
      <c r="T17" s="30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</row>
    <row r="18">
      <c r="A18" s="12" t="inlineStr">
        <is>
          <t>Consumer: Vestel</t>
        </is>
      </c>
      <c r="B18" s="47" t="n">
        <v>3095.67</v>
      </c>
      <c r="C18" s="47" t="n">
        <v>-101.47</v>
      </c>
      <c r="D18" s="47" t="n">
        <v>-291.56</v>
      </c>
      <c r="E18" s="47" t="n">
        <v>-209.66</v>
      </c>
      <c r="F18" s="47" t="n">
        <v>335.46</v>
      </c>
      <c r="G18" s="47" t="n">
        <v>0.53</v>
      </c>
      <c r="H18" s="47" t="n">
        <v>2040.38</v>
      </c>
      <c r="I18" s="47">
        <f>F18*G18</f>
        <v/>
      </c>
      <c r="J18" s="47">
        <f>IFERROR(I18/B18, "N/A")</f>
        <v/>
      </c>
      <c r="K18" s="47">
        <f>IFERROR(H18/B18, "N/A")</f>
        <v/>
      </c>
      <c r="L18" s="47">
        <f>IFERROR(H18/C18, "N/A")</f>
        <v/>
      </c>
      <c r="M18" s="47">
        <f>IFERROR(I18/E18, "N/A")</f>
        <v/>
      </c>
      <c r="N18" s="30" t="n"/>
      <c r="O18" s="30" t="n"/>
      <c r="P18" s="30" t="n"/>
      <c r="Q18" s="30" t="n"/>
      <c r="R18" s="30" t="n"/>
      <c r="S18" s="30" t="n"/>
      <c r="T18" s="30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</row>
    <row r="19">
      <c r="A19" s="12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30" t="n"/>
      <c r="O19" s="30" t="n"/>
      <c r="P19" s="30" t="n"/>
      <c r="Q19" s="30" t="n"/>
      <c r="R19" s="30" t="n"/>
      <c r="S19" s="30" t="n"/>
      <c r="T19" s="30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</row>
    <row r="20">
      <c r="A20" s="12" t="inlineStr">
        <is>
          <t>Energy: Schneider Electric</t>
        </is>
      </c>
      <c r="B20" s="47" t="n">
        <v>40152</v>
      </c>
      <c r="C20" s="47" t="n">
        <v>8699</v>
      </c>
      <c r="D20" s="47" t="n">
        <v>7047</v>
      </c>
      <c r="E20" s="47" t="n">
        <v>5661.31</v>
      </c>
      <c r="F20" s="47" t="n">
        <v>577.12</v>
      </c>
      <c r="G20" s="47" t="n">
        <v>271.55</v>
      </c>
      <c r="H20" s="47" t="n">
        <v>167583.01</v>
      </c>
      <c r="I20" s="47">
        <f>F20*G20</f>
        <v/>
      </c>
      <c r="J20" s="47">
        <f>IFERROR(I20/B20, "N/A")</f>
        <v/>
      </c>
      <c r="K20" s="47">
        <f>IFERROR(H20/B20, "N/A")</f>
        <v/>
      </c>
      <c r="L20" s="47">
        <f>IFERROR(H20/C20, "N/A")</f>
        <v/>
      </c>
      <c r="M20" s="47">
        <f>IFERROR(I20/E20, "N/A")</f>
        <v/>
      </c>
      <c r="N20" s="30" t="n"/>
      <c r="O20" s="30" t="n"/>
      <c r="P20" s="30" t="n"/>
      <c r="Q20" s="30" t="n"/>
      <c r="R20" s="30" t="n"/>
      <c r="S20" s="30" t="n"/>
      <c r="T20" s="30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</row>
    <row r="21">
      <c r="A21" s="12" t="inlineStr">
        <is>
          <t>Energy: Honeywell</t>
        </is>
      </c>
      <c r="B21" s="47" t="n">
        <v>34229.06</v>
      </c>
      <c r="C21" s="47" t="n">
        <v>8012.27</v>
      </c>
      <c r="D21" s="47" t="n">
        <v>6696.17</v>
      </c>
      <c r="E21" s="47" t="n">
        <v>5534.64</v>
      </c>
      <c r="F21" s="47" t="n">
        <v>633.65</v>
      </c>
      <c r="G21" s="47" t="n">
        <v>179.74</v>
      </c>
      <c r="H21" s="47" t="n">
        <v>136752.99</v>
      </c>
      <c r="I21" s="47">
        <f>F21*G21</f>
        <v/>
      </c>
      <c r="J21" s="47">
        <f>IFERROR(I21/B21, "N/A")</f>
        <v/>
      </c>
      <c r="K21" s="47">
        <f>IFERROR(H21/B21, "N/A")</f>
        <v/>
      </c>
      <c r="L21" s="47">
        <f>IFERROR(H21/C21, "N/A")</f>
        <v/>
      </c>
      <c r="M21" s="47">
        <f>IFERROR(I21/E21, "N/A")</f>
        <v/>
      </c>
      <c r="N21" s="30" t="n"/>
      <c r="O21" s="30" t="n"/>
      <c r="P21" s="30" t="n"/>
      <c r="Q21" s="30" t="n"/>
      <c r="R21" s="30" t="n"/>
      <c r="S21" s="30" t="n"/>
      <c r="T21" s="3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</row>
    <row r="22">
      <c r="A22" s="12" t="inlineStr">
        <is>
          <t>Energy: Trane</t>
        </is>
      </c>
      <c r="B22" s="47" t="n">
        <v>18892.71</v>
      </c>
      <c r="C22" s="47" t="n">
        <v>3818.35</v>
      </c>
      <c r="D22" s="47" t="n">
        <v>3488.82</v>
      </c>
      <c r="E22" s="47" t="n">
        <v>2500.63</v>
      </c>
      <c r="F22" s="47" t="n">
        <v>221.33</v>
      </c>
      <c r="G22" s="47" t="n">
        <v>409.72</v>
      </c>
      <c r="H22" s="47" t="n">
        <v>94178.23</v>
      </c>
      <c r="I22" s="47">
        <f>F22*G22</f>
        <v/>
      </c>
      <c r="J22" s="47">
        <f>IFERROR(I22/B22, "N/A")</f>
        <v/>
      </c>
      <c r="K22" s="47">
        <f>IFERROR(H22/B22, "N/A")</f>
        <v/>
      </c>
      <c r="L22" s="47">
        <f>IFERROR(H22/C22, "N/A")</f>
        <v/>
      </c>
      <c r="M22" s="47">
        <f>IFERROR(I22/E22, "N/A")</f>
        <v/>
      </c>
      <c r="N22" s="30" t="n"/>
      <c r="O22" s="30" t="n"/>
      <c r="P22" s="30" t="n"/>
      <c r="Q22" s="30" t="n"/>
      <c r="R22" s="30" t="n"/>
      <c r="S22" s="30" t="n"/>
      <c r="T22" s="30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</row>
    <row r="23">
      <c r="A23" s="12" t="inlineStr">
        <is>
          <t>Energy: Carrier</t>
        </is>
      </c>
      <c r="B23" s="47" t="n">
        <v>19269.38</v>
      </c>
      <c r="C23" s="47" t="n">
        <v>3046.31</v>
      </c>
      <c r="D23" s="47" t="n">
        <v>1917.46</v>
      </c>
      <c r="E23" s="47" t="n">
        <v>1676.83</v>
      </c>
      <c r="F23" s="47" t="n">
        <v>835.4299999999999</v>
      </c>
      <c r="G23" s="47" t="n">
        <v>52.77</v>
      </c>
      <c r="H23" s="47" t="n">
        <v>52627.68</v>
      </c>
      <c r="I23" s="47">
        <f>F23*G23</f>
        <v/>
      </c>
      <c r="J23" s="47">
        <f>IFERROR(I23/B23, "N/A")</f>
        <v/>
      </c>
      <c r="K23" s="47">
        <f>IFERROR(H23/B23, "N/A")</f>
        <v/>
      </c>
      <c r="L23" s="47">
        <f>IFERROR(H23/C23, "N/A")</f>
        <v/>
      </c>
      <c r="M23" s="47">
        <f>IFERROR(I23/E23, "N/A")</f>
        <v/>
      </c>
      <c r="N23" s="30" t="n"/>
      <c r="O23" s="30" t="n"/>
      <c r="P23" s="30" t="n"/>
      <c r="Q23" s="30" t="n"/>
      <c r="R23" s="30" t="n"/>
      <c r="S23" s="30" t="n"/>
      <c r="T23" s="30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</row>
    <row r="24">
      <c r="A24" s="12" t="inlineStr">
        <is>
          <t>Energy: Daikin</t>
        </is>
      </c>
      <c r="B24" s="47" t="n">
        <v>28580.85</v>
      </c>
      <c r="C24" s="47" t="n">
        <v>3893.91</v>
      </c>
      <c r="D24" s="47" t="n">
        <v>2314.91</v>
      </c>
      <c r="E24" s="47" t="n">
        <v>1913.45</v>
      </c>
      <c r="F24" s="47" t="n">
        <v>293.11</v>
      </c>
      <c r="G24" s="47" t="n">
        <v>116.72</v>
      </c>
      <c r="H24" s="47" t="n">
        <v>34520.01</v>
      </c>
      <c r="I24" s="47">
        <f>F24*G24</f>
        <v/>
      </c>
      <c r="J24" s="47">
        <f>IFERROR(I24/B24, "N/A")</f>
        <v/>
      </c>
      <c r="K24" s="47">
        <f>IFERROR(H24/B24, "N/A")</f>
        <v/>
      </c>
      <c r="L24" s="47">
        <f>IFERROR(H24/C24, "N/A")</f>
        <v/>
      </c>
      <c r="M24" s="47">
        <f>IFERROR(I24/E24, "N/A")</f>
        <v/>
      </c>
      <c r="N24" s="30" t="n"/>
      <c r="O24" s="30" t="n"/>
      <c r="P24" s="30" t="n"/>
      <c r="Q24" s="30" t="n"/>
      <c r="R24" s="30" t="n"/>
      <c r="S24" s="30" t="n"/>
      <c r="T24" s="30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</row>
    <row r="25">
      <c r="A25" s="12" t="inlineStr">
        <is>
          <t>Energy: Legrand</t>
        </is>
      </c>
      <c r="B25" s="47" t="n">
        <v>9480.6</v>
      </c>
      <c r="C25" s="47" t="n">
        <v>2434.5</v>
      </c>
      <c r="D25" s="47" t="n">
        <v>2025.4</v>
      </c>
      <c r="E25" s="47" t="n">
        <v>1626.82</v>
      </c>
      <c r="F25" s="47" t="n">
        <v>262.25</v>
      </c>
      <c r="G25" s="47" t="n">
        <v>149.45</v>
      </c>
      <c r="H25" s="47" t="n">
        <v>43305.65</v>
      </c>
      <c r="I25" s="47">
        <f>F25*G25</f>
        <v/>
      </c>
      <c r="J25" s="47">
        <f>IFERROR(I25/B25, "N/A")</f>
        <v/>
      </c>
      <c r="K25" s="47">
        <f>IFERROR(H25/B25, "N/A")</f>
        <v/>
      </c>
      <c r="L25" s="47">
        <f>IFERROR(H25/C25, "N/A")</f>
        <v/>
      </c>
      <c r="M25" s="47">
        <f>IFERROR(I25/E25, "N/A")</f>
        <v/>
      </c>
      <c r="N25" s="30" t="n"/>
      <c r="O25" s="30" t="n"/>
      <c r="P25" s="30" t="n"/>
      <c r="Q25" s="30" t="n"/>
      <c r="R25" s="30" t="n"/>
      <c r="S25" s="30" t="n"/>
      <c r="T25" s="30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</row>
    <row r="26">
      <c r="A26" s="12" t="inlineStr">
        <is>
          <t>Energy: Signify</t>
        </is>
      </c>
      <c r="B26" s="47" t="n">
        <v>5591</v>
      </c>
      <c r="C26" s="47" t="n">
        <v>660</v>
      </c>
      <c r="D26" s="47" t="n">
        <v>416</v>
      </c>
      <c r="E26" s="47" t="n">
        <v>329.72</v>
      </c>
      <c r="F26" s="47" t="n">
        <v>122.58</v>
      </c>
      <c r="G26" s="47" t="n">
        <v>20.94</v>
      </c>
      <c r="H26" s="47" t="n">
        <v>3773.04</v>
      </c>
      <c r="I26" s="47">
        <f>F26*G26</f>
        <v/>
      </c>
      <c r="J26" s="47">
        <f>IFERROR(I26/B26, "N/A")</f>
        <v/>
      </c>
      <c r="K26" s="47">
        <f>IFERROR(H26/B26, "N/A")</f>
        <v/>
      </c>
      <c r="L26" s="47">
        <f>IFERROR(H26/C26, "N/A")</f>
        <v/>
      </c>
      <c r="M26" s="47">
        <f>IFERROR(I26/E26, "N/A")</f>
        <v/>
      </c>
      <c r="N26" s="30" t="n"/>
      <c r="O26" s="30" t="n"/>
      <c r="P26" s="30" t="n"/>
      <c r="Q26" s="30" t="n"/>
      <c r="R26" s="30" t="n"/>
      <c r="S26" s="30" t="n"/>
      <c r="T26" s="30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</row>
    <row r="27">
      <c r="A27" s="12" t="inlineStr">
        <is>
          <t>Energy: Eaton</t>
        </is>
      </c>
      <c r="B27" s="47" t="n">
        <v>24320.87</v>
      </c>
      <c r="C27" s="47" t="n">
        <v>5506.04</v>
      </c>
      <c r="D27" s="47" t="n">
        <v>4614.66</v>
      </c>
      <c r="E27" s="47" t="n">
        <v>3340.57</v>
      </c>
      <c r="F27" s="47" t="n">
        <v>387.99</v>
      </c>
      <c r="G27" s="47" t="n">
        <v>351.09</v>
      </c>
      <c r="H27" s="47" t="n">
        <v>144182.96</v>
      </c>
      <c r="I27" s="47">
        <f>F27*G27</f>
        <v/>
      </c>
      <c r="J27" s="47">
        <f>IFERROR(I27/B27, "N/A")</f>
        <v/>
      </c>
      <c r="K27" s="47">
        <f>IFERROR(H27/B27, "N/A")</f>
        <v/>
      </c>
      <c r="L27" s="47">
        <f>IFERROR(H27/C27, "N/A")</f>
        <v/>
      </c>
      <c r="M27" s="47">
        <f>IFERROR(I27/E27, "N/A")</f>
        <v/>
      </c>
      <c r="N27" s="30" t="n"/>
      <c r="O27" s="30" t="n"/>
      <c r="P27" s="30" t="n"/>
      <c r="Q27" s="30" t="n"/>
      <c r="R27" s="30" t="n"/>
      <c r="S27" s="30" t="n"/>
      <c r="T27" s="30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</row>
    <row r="28">
      <c r="A28" s="12" t="inlineStr">
        <is>
          <t>Energy: Delta</t>
        </is>
      </c>
      <c r="B28" s="47" t="n">
        <v>15778.12</v>
      </c>
      <c r="C28" s="47" t="n">
        <v>3177.14</v>
      </c>
      <c r="D28" s="47" t="n">
        <v>2386.6</v>
      </c>
      <c r="E28" s="47" t="n">
        <v>2039.82</v>
      </c>
      <c r="F28" s="47" t="n">
        <v>2597.54</v>
      </c>
      <c r="G28" s="47" t="n">
        <v>58.61</v>
      </c>
      <c r="H28" s="47" t="n">
        <v>156222.98</v>
      </c>
      <c r="I28" s="47">
        <f>F28*G28</f>
        <v/>
      </c>
      <c r="J28" s="47">
        <f>IFERROR(I28/B28, "N/A")</f>
        <v/>
      </c>
      <c r="K28" s="47">
        <f>IFERROR(H28/B28, "N/A")</f>
        <v/>
      </c>
      <c r="L28" s="47">
        <f>IFERROR(H28/C28, "N/A")</f>
        <v/>
      </c>
      <c r="M28" s="47">
        <f>IFERROR(I28/E28, "N/A")</f>
        <v/>
      </c>
      <c r="N28" s="30" t="n"/>
      <c r="O28" s="30" t="n"/>
      <c r="P28" s="30" t="n"/>
      <c r="Q28" s="30" t="n"/>
      <c r="R28" s="30" t="n"/>
      <c r="S28" s="30" t="n"/>
      <c r="T28" s="30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</row>
    <row r="29">
      <c r="A29" s="12" t="inlineStr">
        <is>
          <t>Energy: Nibe</t>
        </is>
      </c>
      <c r="B29" s="47" t="n">
        <v>3689.83</v>
      </c>
      <c r="C29" s="47" t="n">
        <v>566.11</v>
      </c>
      <c r="D29" s="47" t="n">
        <v>372.32</v>
      </c>
      <c r="E29" s="47" t="n">
        <v>288.73</v>
      </c>
      <c r="F29" s="47" t="n">
        <v>1782.94</v>
      </c>
      <c r="G29" s="47" t="n">
        <v>3.77</v>
      </c>
      <c r="H29" s="47" t="n">
        <v>9008.59</v>
      </c>
      <c r="I29" s="47">
        <f>F29*G29</f>
        <v/>
      </c>
      <c r="J29" s="47">
        <f>IFERROR(I29/B29, "N/A")</f>
        <v/>
      </c>
      <c r="K29" s="47">
        <f>IFERROR(H29/B29, "N/A")</f>
        <v/>
      </c>
      <c r="L29" s="47">
        <f>IFERROR(H29/C29, "N/A")</f>
        <v/>
      </c>
      <c r="M29" s="47">
        <f>IFERROR(I29/E29, "N/A")</f>
        <v/>
      </c>
      <c r="N29" s="30" t="n"/>
      <c r="O29" s="30" t="n"/>
      <c r="P29" s="30" t="n"/>
      <c r="Q29" s="30" t="n"/>
      <c r="R29" s="30" t="n"/>
      <c r="S29" s="30" t="n"/>
      <c r="T29" s="30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</row>
    <row r="30">
      <c r="A30" s="12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30" t="n"/>
      <c r="O30" s="30" t="n"/>
      <c r="P30" s="30" t="n"/>
      <c r="Q30" s="30" t="n"/>
      <c r="R30" s="30" t="n"/>
      <c r="S30" s="30" t="n"/>
      <c r="T30" s="30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</row>
    <row r="31">
      <c r="A31" s="12" t="inlineStr">
        <is>
          <t>Ind: Siemens</t>
        </is>
      </c>
      <c r="B31" s="47" t="n">
        <v>79700</v>
      </c>
      <c r="C31" s="47" t="n">
        <v>12830</v>
      </c>
      <c r="D31" s="47" t="n">
        <v>9358</v>
      </c>
      <c r="E31" s="47" t="n">
        <v>8546.01</v>
      </c>
      <c r="F31" s="47" t="n">
        <v>782</v>
      </c>
      <c r="G31" s="47" t="n">
        <v>246.75</v>
      </c>
      <c r="H31" s="47" t="n">
        <v>237584.87</v>
      </c>
      <c r="I31" s="47">
        <f>F31*G31</f>
        <v/>
      </c>
      <c r="J31" s="47">
        <f>IFERROR(I31/B31, "N/A")</f>
        <v/>
      </c>
      <c r="K31" s="47">
        <f>IFERROR(H31/B31, "N/A")</f>
        <v/>
      </c>
      <c r="L31" s="47">
        <f>IFERROR(H31/C31, "N/A")</f>
        <v/>
      </c>
      <c r="M31" s="47">
        <f>IFERROR(I31/E31, "N/A")</f>
        <v/>
      </c>
      <c r="N31" s="30" t="n"/>
      <c r="O31" s="30" t="n"/>
      <c r="P31" s="30" t="n"/>
      <c r="Q31" s="30" t="n"/>
      <c r="R31" s="30" t="n"/>
      <c r="S31" s="30" t="n"/>
      <c r="T31" s="30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</row>
    <row r="32">
      <c r="A32" s="12" t="inlineStr">
        <is>
          <t>Ind: ABB</t>
        </is>
      </c>
      <c r="B32" s="47" t="n">
        <v>29290.84</v>
      </c>
      <c r="C32" s="47" t="n">
        <v>5606.17</v>
      </c>
      <c r="D32" s="47" t="n">
        <v>4885.79</v>
      </c>
      <c r="E32" s="47" t="n">
        <v>3658.55</v>
      </c>
      <c r="F32" s="47" t="n">
        <v>1823.15</v>
      </c>
      <c r="G32" s="47" t="n">
        <v>82.98999999999999</v>
      </c>
      <c r="H32" s="47" t="n">
        <v>151316.94</v>
      </c>
      <c r="I32" s="47">
        <f>F32*G32</f>
        <v/>
      </c>
      <c r="J32" s="47">
        <f>IFERROR(I32/B32, "N/A")</f>
        <v/>
      </c>
      <c r="K32" s="47">
        <f>IFERROR(H32/B32, "N/A")</f>
        <v/>
      </c>
      <c r="L32" s="47">
        <f>IFERROR(H32/C32, "N/A")</f>
        <v/>
      </c>
      <c r="M32" s="47">
        <f>IFERROR(I32/E32, "N/A")</f>
        <v/>
      </c>
      <c r="N32" s="30" t="n"/>
      <c r="O32" s="30" t="n"/>
      <c r="P32" s="30" t="n"/>
      <c r="Q32" s="30" t="n"/>
      <c r="R32" s="30" t="n"/>
      <c r="S32" s="30" t="n"/>
      <c r="T32" s="30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</row>
    <row r="33">
      <c r="A33" s="12" t="inlineStr">
        <is>
          <t>Ind: Schneider</t>
        </is>
      </c>
      <c r="B33" s="47" t="n">
        <v>40152</v>
      </c>
      <c r="C33" s="47" t="n">
        <v>8699</v>
      </c>
      <c r="D33" s="47" t="n">
        <v>7047</v>
      </c>
      <c r="E33" s="47" t="n">
        <v>5661.31</v>
      </c>
      <c r="F33" s="47" t="n">
        <v>577.12</v>
      </c>
      <c r="G33" s="47" t="n">
        <v>271.55</v>
      </c>
      <c r="H33" s="47" t="n">
        <v>167583.01</v>
      </c>
      <c r="I33" s="47">
        <f>F33*G33</f>
        <v/>
      </c>
      <c r="J33" s="47">
        <f>IFERROR(I33/B33, "N/A")</f>
        <v/>
      </c>
      <c r="K33" s="47">
        <f>IFERROR(H33/B33, "N/A")</f>
        <v/>
      </c>
      <c r="L33" s="47">
        <f>IFERROR(H33/C33, "N/A")</f>
        <v/>
      </c>
      <c r="M33" s="47">
        <f>IFERROR(I33/E33, "N/A")</f>
        <v/>
      </c>
      <c r="N33" s="30" t="n"/>
      <c r="O33" s="30" t="n"/>
      <c r="P33" s="30" t="n"/>
      <c r="Q33" s="30" t="n"/>
      <c r="R33" s="30" t="n"/>
      <c r="S33" s="30" t="n"/>
      <c r="T33" s="30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</row>
    <row r="34">
      <c r="A34" s="12" t="inlineStr">
        <is>
          <t>Ind: Rockwell</t>
        </is>
      </c>
      <c r="B34" s="47" t="n">
        <v>7590.08</v>
      </c>
      <c r="C34" s="47" t="n">
        <v>1666.7</v>
      </c>
      <c r="D34" s="47" t="n">
        <v>1378.73</v>
      </c>
      <c r="E34" s="47" t="n">
        <v>1252.48</v>
      </c>
      <c r="F34" s="47" t="n">
        <v>112.36</v>
      </c>
      <c r="G34" s="47" t="n">
        <v>342.05</v>
      </c>
      <c r="H34" s="47" t="n">
        <v>41575.86</v>
      </c>
      <c r="I34" s="47">
        <f>F34*G34</f>
        <v/>
      </c>
      <c r="J34" s="47">
        <f>IFERROR(I34/B34, "N/A")</f>
        <v/>
      </c>
      <c r="K34" s="47">
        <f>IFERROR(H34/B34, "N/A")</f>
        <v/>
      </c>
      <c r="L34" s="47">
        <f>IFERROR(H34/C34, "N/A")</f>
        <v/>
      </c>
      <c r="M34" s="47">
        <f>IFERROR(I34/E34, "N/A")</f>
        <v/>
      </c>
      <c r="N34" s="30" t="n"/>
      <c r="O34" s="30" t="n"/>
      <c r="P34" s="30" t="n"/>
      <c r="Q34" s="30" t="n"/>
      <c r="R34" s="30" t="n"/>
      <c r="S34" s="30" t="n"/>
      <c r="T34" s="30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</row>
    <row r="35">
      <c r="A35" s="12" t="inlineStr">
        <is>
          <t>Ind: Emerson</t>
        </is>
      </c>
      <c r="B35" s="47" t="n">
        <v>16110.54</v>
      </c>
      <c r="C35" s="47" t="n">
        <v>4526.05</v>
      </c>
      <c r="D35" s="47" t="n">
        <v>3202.26</v>
      </c>
      <c r="E35" s="47" t="n">
        <v>2664.92</v>
      </c>
      <c r="F35" s="47" t="n">
        <v>562.3</v>
      </c>
      <c r="G35" s="47" t="n">
        <v>116.72</v>
      </c>
      <c r="H35" s="47" t="n">
        <v>75903.06</v>
      </c>
      <c r="I35" s="47">
        <f>F35*G35</f>
        <v/>
      </c>
      <c r="J35" s="47">
        <f>IFERROR(I35/B35, "N/A")</f>
        <v/>
      </c>
      <c r="K35" s="47">
        <f>IFERROR(H35/B35, "N/A")</f>
        <v/>
      </c>
      <c r="L35" s="47">
        <f>IFERROR(H35/C35, "N/A")</f>
        <v/>
      </c>
      <c r="M35" s="47">
        <f>IFERROR(I35/E35, "N/A")</f>
        <v/>
      </c>
      <c r="N35" s="30" t="n"/>
      <c r="O35" s="30" t="n"/>
      <c r="P35" s="30" t="n"/>
      <c r="Q35" s="30" t="n"/>
      <c r="R35" s="30" t="n"/>
      <c r="S35" s="30" t="n"/>
      <c r="T35" s="30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</row>
    <row r="36">
      <c r="A36" s="12" t="inlineStr">
        <is>
          <t>Ind: Honeywell</t>
        </is>
      </c>
      <c r="B36" s="47" t="n">
        <v>34229.06</v>
      </c>
      <c r="C36" s="47" t="n">
        <v>8012.27</v>
      </c>
      <c r="D36" s="47" t="n">
        <v>6696.17</v>
      </c>
      <c r="E36" s="47" t="n">
        <v>5534.64</v>
      </c>
      <c r="F36" s="47" t="n">
        <v>633.65</v>
      </c>
      <c r="G36" s="47" t="n">
        <v>179.74</v>
      </c>
      <c r="H36" s="47" t="n">
        <v>136752.99</v>
      </c>
      <c r="I36" s="47">
        <f>F36*G36</f>
        <v/>
      </c>
      <c r="J36" s="47">
        <f>IFERROR(I36/B36, "N/A")</f>
        <v/>
      </c>
      <c r="K36" s="47">
        <f>IFERROR(H36/B36, "N/A")</f>
        <v/>
      </c>
      <c r="L36" s="47">
        <f>IFERROR(H36/C36, "N/A")</f>
        <v/>
      </c>
      <c r="M36" s="47">
        <f>IFERROR(I36/E36, "N/A")</f>
        <v/>
      </c>
      <c r="N36" s="30" t="n"/>
      <c r="O36" s="30" t="n"/>
      <c r="P36" s="30" t="n"/>
      <c r="Q36" s="30" t="n"/>
      <c r="R36" s="30" t="n"/>
      <c r="S36" s="30" t="n"/>
      <c r="T36" s="30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</row>
    <row r="37">
      <c r="A37" s="12" t="inlineStr">
        <is>
          <t>Ind: Mitsubishi</t>
        </is>
      </c>
      <c r="B37" s="47" t="n">
        <v>33626.79</v>
      </c>
      <c r="C37" s="47" t="n">
        <v>3974.62</v>
      </c>
      <c r="D37" s="47" t="n">
        <v>2614.21</v>
      </c>
      <c r="E37" s="47" t="n">
        <v>2020.39</v>
      </c>
      <c r="F37" s="47" t="n">
        <v>2113.2</v>
      </c>
      <c r="G37" s="47" t="n">
        <v>32.44</v>
      </c>
      <c r="H37" s="47" t="n">
        <v>64394.37</v>
      </c>
      <c r="I37" s="47">
        <f>F37*G37</f>
        <v/>
      </c>
      <c r="J37" s="47">
        <f>IFERROR(I37/B37, "N/A")</f>
        <v/>
      </c>
      <c r="K37" s="47">
        <f>IFERROR(H37/B37, "N/A")</f>
        <v/>
      </c>
      <c r="L37" s="47">
        <f>IFERROR(H37/C37, "N/A")</f>
        <v/>
      </c>
      <c r="M37" s="47">
        <f>IFERROR(I37/E37, "N/A")</f>
        <v/>
      </c>
      <c r="N37" s="30" t="n"/>
      <c r="O37" s="30" t="n"/>
      <c r="P37" s="30" t="n"/>
      <c r="Q37" s="30" t="n"/>
      <c r="R37" s="30" t="n"/>
      <c r="S37" s="30" t="n"/>
      <c r="T37" s="30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</row>
    <row r="38">
      <c r="A38" s="12" t="inlineStr">
        <is>
          <t>Ind: Yokogawa</t>
        </is>
      </c>
      <c r="B38" s="47" t="n">
        <v>3481.7</v>
      </c>
      <c r="C38" s="47" t="n">
        <v>652.29</v>
      </c>
      <c r="D38" s="47" t="n">
        <v>506.6</v>
      </c>
      <c r="E38" s="47" t="n">
        <v>432.5</v>
      </c>
      <c r="F38" s="47" t="n">
        <v>257.2</v>
      </c>
      <c r="G38" s="47" t="n">
        <v>29.09</v>
      </c>
      <c r="H38" s="47" t="n">
        <v>6629.12</v>
      </c>
      <c r="I38" s="47">
        <f>F38*G38</f>
        <v/>
      </c>
      <c r="J38" s="47">
        <f>IFERROR(I38/B38, "N/A")</f>
        <v/>
      </c>
      <c r="K38" s="47">
        <f>IFERROR(H38/B38, "N/A")</f>
        <v/>
      </c>
      <c r="L38" s="47">
        <f>IFERROR(H38/C38, "N/A")</f>
        <v/>
      </c>
      <c r="M38" s="47">
        <f>IFERROR(I38/E38, "N/A")</f>
        <v/>
      </c>
      <c r="N38" s="30" t="n"/>
      <c r="O38" s="30" t="n"/>
      <c r="P38" s="30" t="n"/>
      <c r="Q38" s="30" t="n"/>
      <c r="R38" s="30" t="n"/>
      <c r="S38" s="30" t="n"/>
      <c r="T38" s="30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</row>
    <row r="39">
      <c r="A39" s="12" t="inlineStr">
        <is>
          <t>Ind: Fanuc</t>
        </is>
      </c>
      <c r="B39" s="47" t="n">
        <v>4948.19</v>
      </c>
      <c r="C39" s="47" t="n">
        <v>1319.81</v>
      </c>
      <c r="D39" s="47" t="n">
        <v>1042.76</v>
      </c>
      <c r="E39" s="47" t="n">
        <v>755.28</v>
      </c>
      <c r="F39" s="47" t="n">
        <v>982.38</v>
      </c>
      <c r="G39" s="47" t="n">
        <v>37.16</v>
      </c>
      <c r="H39" s="47" t="n">
        <v>30621.44</v>
      </c>
      <c r="I39" s="47">
        <f>F39*G39</f>
        <v/>
      </c>
      <c r="J39" s="47">
        <f>IFERROR(I39/B39, "N/A")</f>
        <v/>
      </c>
      <c r="K39" s="47">
        <f>IFERROR(H39/B39, "N/A")</f>
        <v/>
      </c>
      <c r="L39" s="47">
        <f>IFERROR(H39/C39, "N/A")</f>
        <v/>
      </c>
      <c r="M39" s="47">
        <f>IFERROR(I39/E39, "N/A")</f>
        <v/>
      </c>
      <c r="N39" s="30" t="n"/>
      <c r="O39" s="30" t="n"/>
      <c r="P39" s="30" t="n"/>
      <c r="Q39" s="30" t="n"/>
      <c r="R39" s="30" t="n"/>
      <c r="S39" s="30" t="n"/>
      <c r="T39" s="30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</row>
    <row r="40">
      <c r="A40" s="12" t="inlineStr">
        <is>
          <t>Ind: Keyence</t>
        </is>
      </c>
      <c r="B40" s="47" t="n">
        <v>6625.18</v>
      </c>
      <c r="C40" s="47" t="n">
        <v>3461.82</v>
      </c>
      <c r="D40" s="47" t="n">
        <v>3370.89</v>
      </c>
      <c r="E40" s="47" t="n">
        <v>3167</v>
      </c>
      <c r="F40" s="47" t="n">
        <v>243.21</v>
      </c>
      <c r="G40" s="47" t="n">
        <v>393.95</v>
      </c>
      <c r="H40" s="47" t="n">
        <v>87615.75999999999</v>
      </c>
      <c r="I40" s="47">
        <f>F40*G40</f>
        <v/>
      </c>
      <c r="J40" s="47">
        <f>IFERROR(I40/B40, "N/A")</f>
        <v/>
      </c>
      <c r="K40" s="47">
        <f>IFERROR(H40/B40, "N/A")</f>
        <v/>
      </c>
      <c r="L40" s="47">
        <f>IFERROR(H40/C40, "N/A")</f>
        <v/>
      </c>
      <c r="M40" s="47">
        <f>IFERROR(I40/E40, "N/A")</f>
        <v/>
      </c>
      <c r="N40" s="30" t="n"/>
      <c r="O40" s="30" t="n"/>
      <c r="P40" s="30" t="n"/>
      <c r="Q40" s="30" t="n"/>
      <c r="R40" s="30" t="n"/>
      <c r="S40" s="30" t="n"/>
      <c r="T40" s="30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</row>
    <row r="41">
      <c r="A41" s="12" t="inlineStr">
        <is>
          <t>Ind: Parker</t>
        </is>
      </c>
      <c r="B41" s="47" t="n">
        <v>18130.2</v>
      </c>
      <c r="C41" s="47" t="n">
        <v>4688.49</v>
      </c>
      <c r="D41" s="47" t="n">
        <v>3875.25</v>
      </c>
      <c r="E41" s="47" t="n">
        <v>3602.52</v>
      </c>
      <c r="F41" s="47" t="n">
        <v>126.22</v>
      </c>
      <c r="G41" s="47" t="n">
        <v>809.83</v>
      </c>
      <c r="H41" s="47" t="n">
        <v>112344.7</v>
      </c>
      <c r="I41" s="47">
        <f>F41*G41</f>
        <v/>
      </c>
      <c r="J41" s="47">
        <f>IFERROR(I41/B41, "N/A")</f>
        <v/>
      </c>
      <c r="K41" s="47">
        <f>IFERROR(H41/B41, "N/A")</f>
        <v/>
      </c>
      <c r="L41" s="47">
        <f>IFERROR(H41/C41, "N/A")</f>
        <v/>
      </c>
      <c r="M41" s="47">
        <f>IFERROR(I41/E41, "N/A")</f>
        <v/>
      </c>
      <c r="N41" s="30" t="n"/>
      <c r="O41" s="30" t="n"/>
      <c r="P41" s="30" t="n"/>
      <c r="Q41" s="30" t="n"/>
      <c r="R41" s="30" t="n"/>
      <c r="S41" s="30" t="n"/>
      <c r="T41" s="30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</row>
    <row r="42">
      <c r="A42" s="1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</row>
    <row r="43">
      <c r="A43" s="1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</row>
    <row r="44">
      <c r="A44" s="1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</row>
    <row r="45">
      <c r="A45" s="3" t="inlineStr">
        <is>
          <t>Segment Stats (for Cleaning)</t>
        </is>
      </c>
      <c r="B45" s="31" t="inlineStr">
        <is>
          <t>Segment</t>
        </is>
      </c>
      <c r="C45" s="31" t="inlineStr">
        <is>
          <t>P/S Avg</t>
        </is>
      </c>
      <c r="D45" s="31" t="inlineStr">
        <is>
          <t>P/S StdDev</t>
        </is>
      </c>
      <c r="E45" s="31" t="inlineStr">
        <is>
          <t>EV/S Avg</t>
        </is>
      </c>
      <c r="F45" s="31" t="inlineStr">
        <is>
          <t>EV/S StdDev</t>
        </is>
      </c>
      <c r="G45" s="31" t="inlineStr">
        <is>
          <t>EV/EBITDA Avg</t>
        </is>
      </c>
      <c r="H45" s="31" t="inlineStr">
        <is>
          <t>EV/EBITDA StdDev</t>
        </is>
      </c>
      <c r="I45" s="31" t="inlineStr">
        <is>
          <t>P/E Avg</t>
        </is>
      </c>
      <c r="J45" s="30" t="inlineStr">
        <is>
          <t>P/E StdDev</t>
        </is>
      </c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30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</row>
    <row r="46">
      <c r="A46" s="1" t="inlineStr">
        <is>
          <t>Mobility</t>
        </is>
      </c>
      <c r="B46" s="6">
        <f>AVERAGEIF(J2:J9, "&gt;0")</f>
        <v/>
      </c>
      <c r="C46" s="6">
        <f>AVERAGEIF(J2:J9, "&gt;0")</f>
        <v/>
      </c>
      <c r="D46" s="6">
        <f>STDEVP(J2:J9)</f>
        <v/>
      </c>
      <c r="E46" s="6">
        <f>AVERAGEIF(K2:K9, "&gt;0")</f>
        <v/>
      </c>
      <c r="F46" s="6">
        <f>STDEVP(K2:K9)</f>
        <v/>
      </c>
      <c r="G46" s="6">
        <f>AVERAGEIF(L2:L9, "&gt;0")</f>
        <v/>
      </c>
      <c r="H46" s="6">
        <f>STDEVP(L2:L9)</f>
        <v/>
      </c>
      <c r="I46" s="6">
        <f>AVERAGEIF(M2:M9, "&gt;0")</f>
        <v/>
      </c>
      <c r="J46" s="30">
        <f>STDEVP(M2:M9)</f>
        <v/>
      </c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</row>
    <row r="47">
      <c r="A47" s="1" t="inlineStr">
        <is>
          <t>Consumer</t>
        </is>
      </c>
      <c r="B47" s="6">
        <f>AVERAGEIF(J11:J18, "&gt;0")</f>
        <v/>
      </c>
      <c r="C47" s="6">
        <f>AVERAGEIF(J11:J18, "&gt;0")</f>
        <v/>
      </c>
      <c r="D47" s="6">
        <f>STDEVP(J11:J18)</f>
        <v/>
      </c>
      <c r="E47" s="6">
        <f>AVERAGEIF(K11:K18, "&gt;0")</f>
        <v/>
      </c>
      <c r="F47" s="6">
        <f>STDEVP(K11:K18)</f>
        <v/>
      </c>
      <c r="G47" s="6">
        <f>AVERAGEIF(L11:L18, "&gt;0")</f>
        <v/>
      </c>
      <c r="H47" s="6">
        <f>STDEVP(L11:L18)</f>
        <v/>
      </c>
      <c r="I47" s="6">
        <f>AVERAGEIF(M11:M18, "&gt;0")</f>
        <v/>
      </c>
      <c r="J47" s="30">
        <f>STDEVP(M11:M18)</f>
        <v/>
      </c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</row>
    <row r="48">
      <c r="A48" s="1" t="inlineStr">
        <is>
          <t>Energy</t>
        </is>
      </c>
      <c r="B48" s="6">
        <f>AVERAGEIF(J20:J29, "&gt;0")</f>
        <v/>
      </c>
      <c r="C48" s="6">
        <f>AVERAGEIF(J20:J29, "&gt;0")</f>
        <v/>
      </c>
      <c r="D48" s="6">
        <f>STDEVP(J20:J29)</f>
        <v/>
      </c>
      <c r="E48" s="6">
        <f>AVERAGEIF(K20:K29, "&gt;0")</f>
        <v/>
      </c>
      <c r="F48" s="6">
        <f>STDEVP(K20:K29)</f>
        <v/>
      </c>
      <c r="G48" s="6">
        <f>AVERAGEIF(L20:L29, "&gt;0")</f>
        <v/>
      </c>
      <c r="H48" s="6">
        <f>STDEVP(L20:L29)</f>
        <v/>
      </c>
      <c r="I48" s="6">
        <f>AVERAGEIF(M20:M29, "&gt;0")</f>
        <v/>
      </c>
      <c r="J48" s="30">
        <f>STDEVP(M20:M29)</f>
        <v/>
      </c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</row>
    <row r="49">
      <c r="A49" s="1" t="inlineStr">
        <is>
          <t>Industrial</t>
        </is>
      </c>
      <c r="B49" s="6">
        <f>'model_Assumptions'!$B$5</f>
        <v/>
      </c>
      <c r="C49" s="6">
        <f>AVERAGEIF(J31:J41, "&gt;0")</f>
        <v/>
      </c>
      <c r="D49" s="6">
        <f>STDEVP(J31:J41)</f>
        <v/>
      </c>
      <c r="E49" s="6">
        <f>AVERAGEIF(K31:K41, "&gt;0")</f>
        <v/>
      </c>
      <c r="F49" s="6">
        <f>STDEVP(K31:K41)</f>
        <v/>
      </c>
      <c r="G49" s="6">
        <f>AVERAGEIF(L31:L41, "&gt;0")</f>
        <v/>
      </c>
      <c r="H49" s="6">
        <f>STDEVP(L31:L41)</f>
        <v/>
      </c>
      <c r="I49" s="6">
        <f>AVERAGEIF(M31:M41, "&gt;0")</f>
        <v/>
      </c>
      <c r="J49" s="30">
        <f>STDEVP(M31:M41)</f>
        <v/>
      </c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</row>
    <row r="50">
      <c r="A50" s="1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</row>
    <row r="51">
      <c r="A51" s="1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</row>
    <row r="52">
      <c r="A52" s="1" t="inlineStr">
        <is>
          <t>Bosch Valuation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</row>
    <row r="53">
      <c r="A53" s="19" t="inlineStr">
        <is>
          <t>Metric</t>
        </is>
      </c>
      <c r="B53" s="33" t="inlineStr">
        <is>
          <t>25th Pct</t>
        </is>
      </c>
      <c r="C53" s="33" t="inlineStr">
        <is>
          <t>Median</t>
        </is>
      </c>
      <c r="D53" s="33" t="inlineStr">
        <is>
          <t>Average</t>
        </is>
      </c>
      <c r="E53" s="33" t="inlineStr">
        <is>
          <t>75th Pct</t>
        </is>
      </c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</row>
    <row r="54">
      <c r="A54" s="1" t="inlineStr">
        <is>
          <t>P/S</t>
        </is>
      </c>
      <c r="B54" s="48">
        <f>T7</f>
        <v/>
      </c>
      <c r="C54" s="48">
        <f>T8</f>
        <v/>
      </c>
      <c r="D54" s="48">
        <f>T9</f>
        <v/>
      </c>
      <c r="E54" s="48">
        <f>T10</f>
        <v/>
      </c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</row>
    <row r="55">
      <c r="A55" s="1" t="inlineStr">
        <is>
          <t>EV/S</t>
        </is>
      </c>
      <c r="B55" s="48">
        <f>U7</f>
        <v/>
      </c>
      <c r="C55" s="48">
        <f>U8</f>
        <v/>
      </c>
      <c r="D55" s="48">
        <f>U9</f>
        <v/>
      </c>
      <c r="E55" s="48">
        <f>U10</f>
        <v/>
      </c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</row>
    <row r="56">
      <c r="A56" s="1" t="inlineStr">
        <is>
          <t>EV/EBITDA</t>
        </is>
      </c>
      <c r="B56" s="48">
        <f>V7</f>
        <v/>
      </c>
      <c r="C56" s="48">
        <f>V8</f>
        <v/>
      </c>
      <c r="D56" s="48">
        <f>V9</f>
        <v/>
      </c>
      <c r="E56" s="48">
        <f>V10</f>
        <v/>
      </c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</row>
    <row r="57">
      <c r="A57" s="1" t="inlineStr">
        <is>
          <t>P/E</t>
        </is>
      </c>
      <c r="B57" s="48">
        <f>W7</f>
        <v/>
      </c>
      <c r="C57" s="48">
        <f>W8</f>
        <v/>
      </c>
      <c r="D57" s="48">
        <f>W9</f>
        <v/>
      </c>
      <c r="E57" s="48">
        <f>W10</f>
        <v/>
      </c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</row>
    <row r="58">
      <c r="A58" s="1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</row>
    <row r="59">
      <c r="A59" s="1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</row>
    <row r="60">
      <c r="A60" s="1" t="inlineStr">
        <is>
          <t>Bosch Total Sales [€m]</t>
        </is>
      </c>
      <c r="B60" s="50">
        <f>SUM('model_Assumptions'!B2:B5)</f>
        <v/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</row>
    <row r="61">
      <c r="A61" s="1" t="inlineStr">
        <is>
          <t>Bosch Total EBITDA [€m]</t>
        </is>
      </c>
      <c r="B61" s="50">
        <f>('model_Assumptions'!B2*'model_Assumptions'!B9) + ('model_Assumptions'!B3*'model_Assumptions'!B10) + ('model_Assumptions'!B4*'model_Assumptions'!B11) + ('model_Assumptions'!B5*'model_Assumptions'!B12)</f>
        <v/>
      </c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0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</row>
    <row r="62">
      <c r="A62" s="1" t="inlineStr">
        <is>
          <t>Bosch Total Net Income [€m]</t>
        </is>
      </c>
      <c r="B62" s="50">
        <f>('model_Assumptions'!B2*'model_Assumptions'!D9) + ('model_Assumptions'!B3*'model_Assumptions'!D10) + ('model_Assumptions'!B4*'model_Assumptions'!D11) + ('model_Assumptions'!B5*'model_Assumptions'!D12)</f>
        <v/>
      </c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</row>
    <row r="63">
      <c r="A63" s="1" t="inlineStr">
        <is>
          <t>Bosch Net Debt [€m]</t>
        </is>
      </c>
      <c r="B63" s="50">
        <f>'model_Assumptions'!B6</f>
        <v/>
      </c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7" customWidth="1" min="2" max="2"/>
    <col width="10" customWidth="1" min="3" max="3"/>
  </cols>
  <sheetData>
    <row r="1">
      <c r="A1" s="20" t="inlineStr">
        <is>
          <t>Question</t>
        </is>
      </c>
      <c r="B1" s="39" t="inlineStr">
        <is>
          <t>Implied Equity Value [€m]</t>
        </is>
      </c>
      <c r="C1" s="20" t="inlineStr">
        <is>
          <t>Unit</t>
        </is>
      </c>
    </row>
    <row r="2">
      <c r="A2" s="1" t="inlineStr">
        <is>
          <t>What is the implied equity value using the 75th Percentile of Price/Sales?</t>
        </is>
      </c>
      <c r="B2" s="44">
        <f>'model_Workings'!B60 * 'model_Workings'!E54</f>
        <v/>
      </c>
      <c r="C2" s="1" t="inlineStr">
        <is>
          <t>€m</t>
        </is>
      </c>
    </row>
    <row r="3">
      <c r="A3" s="1" t="inlineStr">
        <is>
          <t>What is the implied equity value using the 75th Percentile of EV/Sales?</t>
        </is>
      </c>
      <c r="B3" s="44">
        <f>('model_Workings'!B60 * 'model_Workings'!E55) - 'model_Workings'!B63</f>
        <v/>
      </c>
      <c r="C3" s="1" t="inlineStr">
        <is>
          <t>€m</t>
        </is>
      </c>
    </row>
    <row r="4">
      <c r="A4" s="1" t="inlineStr">
        <is>
          <t>What is the implied equity value using the 75th Percentile of EV/EBITDA?</t>
        </is>
      </c>
      <c r="B4" s="44">
        <f>('model_Workings'!B61 * 'model_Workings'!E56) - 'model_Workings'!B63</f>
        <v/>
      </c>
      <c r="C4" s="1" t="inlineStr">
        <is>
          <t>€m</t>
        </is>
      </c>
    </row>
    <row r="5">
      <c r="A5" s="1" t="inlineStr">
        <is>
          <t>What is the implied equity value using the 75th Percentile of P/E?</t>
        </is>
      </c>
      <c r="B5" s="44">
        <f>'model_Workings'!B62 * 'model_Workings'!E57</f>
        <v/>
      </c>
      <c r="C5" s="1" t="inlineStr">
        <is>
          <t>€m</t>
        </is>
      </c>
    </row>
    <row r="6">
      <c r="A6" s="1" t="inlineStr">
        <is>
          <t>What is the implied equity value using the Average of Price/Sales?</t>
        </is>
      </c>
      <c r="B6" s="44">
        <f>'model_Workings'!B60 * 'model_Workings'!D54</f>
        <v/>
      </c>
      <c r="C6" s="1" t="inlineStr">
        <is>
          <t>€m</t>
        </is>
      </c>
    </row>
    <row r="7">
      <c r="A7" s="1" t="inlineStr">
        <is>
          <t>What is the implied equity value using the Average of EV/Sales?</t>
        </is>
      </c>
      <c r="B7" s="44">
        <f>('model_Workings'!B60 * 'model_Workings'!D55) - 'model_Workings'!B63</f>
        <v/>
      </c>
      <c r="C7" s="1" t="inlineStr">
        <is>
          <t>€m</t>
        </is>
      </c>
    </row>
    <row r="8">
      <c r="A8" s="1" t="inlineStr">
        <is>
          <t>What is the implied equity value using the Average of EV/EBITDA?</t>
        </is>
      </c>
      <c r="B8" s="44">
        <f>('model_Workings'!B61 * 'model_Workings'!D56) - 'model_Workings'!B63</f>
        <v/>
      </c>
      <c r="C8" s="1" t="inlineStr">
        <is>
          <t>€m</t>
        </is>
      </c>
    </row>
    <row r="9">
      <c r="A9" s="1" t="inlineStr">
        <is>
          <t>What is the implied equity value using the Average of P/E?</t>
        </is>
      </c>
      <c r="B9" s="44">
        <f>'model_Workings'!B62 * 'model_Workings'!D57</f>
        <v/>
      </c>
      <c r="C9" s="1" t="inlineStr">
        <is>
          <t>€m</t>
        </is>
      </c>
    </row>
    <row r="10">
      <c r="A10" s="1" t="inlineStr">
        <is>
          <t>What is the implied equity value using the Median of Price/Sales?</t>
        </is>
      </c>
      <c r="B10" s="44">
        <f>'model_Workings'!B60 * 'model_Workings'!C54</f>
        <v/>
      </c>
      <c r="C10" s="1" t="inlineStr">
        <is>
          <t>€m</t>
        </is>
      </c>
    </row>
    <row r="11">
      <c r="A11" s="1" t="inlineStr">
        <is>
          <t>What is the implied equity value using the Median of EV/Sales?</t>
        </is>
      </c>
      <c r="B11" s="44">
        <f>('model_Workings'!B60 * 'model_Workings'!C55) - 'model_Workings'!B63</f>
        <v/>
      </c>
      <c r="C11" s="1" t="inlineStr">
        <is>
          <t>€m</t>
        </is>
      </c>
    </row>
    <row r="12">
      <c r="A12" s="1" t="inlineStr">
        <is>
          <t>What is the implied equity value using the Median of EV/EBITDA?</t>
        </is>
      </c>
      <c r="B12" s="44">
        <f>('model_Workings'!B61 * 'model_Workings'!C56) - 'model_Workings'!B63</f>
        <v/>
      </c>
      <c r="C12" s="1" t="inlineStr">
        <is>
          <t>€m</t>
        </is>
      </c>
    </row>
    <row r="13">
      <c r="A13" s="1" t="inlineStr">
        <is>
          <t>What is the implied equity value using the Median of P/E?</t>
        </is>
      </c>
      <c r="B13" s="44">
        <f>'model_Workings'!B62 * 'model_Workings'!C57</f>
        <v/>
      </c>
      <c r="C13" s="1" t="inlineStr">
        <is>
          <t>€m</t>
        </is>
      </c>
    </row>
    <row r="14">
      <c r="A14" s="1" t="inlineStr">
        <is>
          <t>What is the implied equity value using the 25th Percentile of Price/Sales?</t>
        </is>
      </c>
      <c r="B14" s="44">
        <f>'model_Workings'!B60 * 'model_Workings'!B54</f>
        <v/>
      </c>
      <c r="C14" s="1" t="inlineStr">
        <is>
          <t>€m</t>
        </is>
      </c>
    </row>
    <row r="15">
      <c r="A15" s="1" t="inlineStr">
        <is>
          <t>What is the implied equity value using the 25th Percentile of EV/Sales?</t>
        </is>
      </c>
      <c r="B15" s="44">
        <f>('model_Workings'!B60 * 'model_Workings'!B55) - 'model_Workings'!B63</f>
        <v/>
      </c>
      <c r="C15" s="1" t="inlineStr">
        <is>
          <t>€m</t>
        </is>
      </c>
    </row>
    <row r="16">
      <c r="A16" s="1" t="inlineStr">
        <is>
          <t>What is the implied equity value using the 25th Percentile of EV/EBITDA?</t>
        </is>
      </c>
      <c r="B16" s="44">
        <f>('model_Workings'!B61 * 'model_Workings'!B56) - 'model_Workings'!B63</f>
        <v/>
      </c>
      <c r="C16" s="1" t="inlineStr">
        <is>
          <t>€m</t>
        </is>
      </c>
    </row>
    <row r="17">
      <c r="A17" s="1" t="inlineStr">
        <is>
          <t>What is the implied equity value using the 25th Percentile of P/E?</t>
        </is>
      </c>
      <c r="B17" s="44">
        <f>'model_Workings'!B62 * 'model_Workings'!B57</f>
        <v/>
      </c>
      <c r="C17" s="1" t="inlineStr">
        <is>
          <t>€m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2026-08-19T05:02:24Z</dcterms:created>
  <dcterms:modified xsi:type="dcterms:W3CDTF">2026-08-19T10:13:47Z</dcterms:modified>
</cp:coreProperties>
</file>