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\Sum-of-the-Parts Valuation\Bosch\starting_files\"/>
    </mc:Choice>
  </mc:AlternateContent>
  <xr:revisionPtr revIDLastSave="0" documentId="13_ncr:1_{5BDED203-51F6-430B-B3F9-AF21565C7A9D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s" sheetId="24" r:id="rId2"/>
    <sheet name="Bosch BS" sheetId="26" r:id="rId3"/>
    <sheet name="Comp - Mobility Solutions" sheetId="20" r:id="rId4"/>
    <sheet name="Comp - Consumer Goods" sheetId="21" r:id="rId5"/>
    <sheet name="Comp - Energy &amp; Building Techno" sheetId="22" r:id="rId6"/>
    <sheet name="Comp - Industrial Technology" sheetId="23" r:id="rId7"/>
    <sheet name="Questions" sheetId="6" r:id="rId8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4" l="1"/>
</calcChain>
</file>

<file path=xl/sharedStrings.xml><?xml version="1.0" encoding="utf-8"?>
<sst xmlns="http://schemas.openxmlformats.org/spreadsheetml/2006/main" count="429" uniqueCount="264">
  <si>
    <t>Answers</t>
  </si>
  <si>
    <t>End Sheet</t>
  </si>
  <si>
    <t xml:space="preserve"> </t>
  </si>
  <si>
    <t>Answer the questions using your calculated ratios.</t>
  </si>
  <si>
    <t>EBIT</t>
  </si>
  <si>
    <t>Net Income</t>
  </si>
  <si>
    <t>EBITDA</t>
  </si>
  <si>
    <t>Valuation Task</t>
  </si>
  <si>
    <t>Company</t>
  </si>
  <si>
    <t>Fiscal</t>
  </si>
  <si>
    <t>Name</t>
  </si>
  <si>
    <t>Ticker</t>
  </si>
  <si>
    <t>Period</t>
  </si>
  <si>
    <t>03/31/2026</t>
  </si>
  <si>
    <t>12/2025</t>
  </si>
  <si>
    <t>Price</t>
  </si>
  <si>
    <t>Enterprise</t>
  </si>
  <si>
    <t>Target</t>
  </si>
  <si>
    <t>Value</t>
  </si>
  <si>
    <t>Shares Out</t>
  </si>
  <si>
    <t>(M)</t>
  </si>
  <si>
    <t>EV (M)</t>
  </si>
  <si>
    <t>FY</t>
  </si>
  <si>
    <t>- EV/Sales</t>
  </si>
  <si>
    <t>- EV/EBITDA</t>
  </si>
  <si>
    <t>- P/E</t>
  </si>
  <si>
    <t>Sales</t>
  </si>
  <si>
    <t>Unit</t>
  </si>
  <si>
    <t>(€m)</t>
  </si>
  <si>
    <t>(€)</t>
  </si>
  <si>
    <t>Market Data</t>
  </si>
  <si>
    <r>
      <t>[</t>
    </r>
    <r>
      <rPr>
        <b/>
        <sz val="10"/>
        <color rgb="FF0000FF"/>
        <rFont val="Aptos Narrow"/>
        <family val="2"/>
      </rPr>
      <t>€</t>
    </r>
    <r>
      <rPr>
        <b/>
        <sz val="8"/>
        <color rgb="FF0000FF"/>
        <rFont val="Aptos Narrow"/>
        <family val="2"/>
      </rPr>
      <t>m]</t>
    </r>
  </si>
  <si>
    <t>Net Debt</t>
  </si>
  <si>
    <t>Answer the questions with the help of your valuation model.</t>
  </si>
  <si>
    <t>You do not have to judge the selection and no adjustments are needed (use provided financials without modification, unless specifically stated).</t>
  </si>
  <si>
    <t>- Price/Sales (Market Cap/Sales)</t>
  </si>
  <si>
    <t>Sum of the Parts Valuation - Bosch</t>
  </si>
  <si>
    <t>Magna International</t>
  </si>
  <si>
    <t>DENSO</t>
  </si>
  <si>
    <t>Continental</t>
  </si>
  <si>
    <t>Aisin</t>
  </si>
  <si>
    <t>Valeo</t>
  </si>
  <si>
    <t>Hyundai Mobis</t>
  </si>
  <si>
    <t>Forvia</t>
  </si>
  <si>
    <t>Lear</t>
  </si>
  <si>
    <t>MG-CA</t>
  </si>
  <si>
    <t>6902-JP</t>
  </si>
  <si>
    <t>CON-DE</t>
  </si>
  <si>
    <t>7259-JP</t>
  </si>
  <si>
    <t>FR-FR</t>
  </si>
  <si>
    <t>012330-KR</t>
  </si>
  <si>
    <t>FRVIA-FR</t>
  </si>
  <si>
    <t>LEA-US</t>
  </si>
  <si>
    <t>12/31/2025</t>
  </si>
  <si>
    <t>Whirlpool</t>
  </si>
  <si>
    <t>Electrolux B</t>
  </si>
  <si>
    <t>LG Electronics</t>
  </si>
  <si>
    <t>Midea Group A</t>
  </si>
  <si>
    <t>Hisense Home Appliances Group A</t>
  </si>
  <si>
    <t>Arcelik</t>
  </si>
  <si>
    <t>Sharp</t>
  </si>
  <si>
    <t>Vestel Elektronik Sanayi</t>
  </si>
  <si>
    <t>WHR-US</t>
  </si>
  <si>
    <t>ELUX.B-SE</t>
  </si>
  <si>
    <t>066570-KR</t>
  </si>
  <si>
    <t>000333-CN</t>
  </si>
  <si>
    <t>000921-CN</t>
  </si>
  <si>
    <t>ARCLK.E-TR</t>
  </si>
  <si>
    <t>6753-JP</t>
  </si>
  <si>
    <t>VESTL.E-TR</t>
  </si>
  <si>
    <t>Schneider Electric</t>
  </si>
  <si>
    <t>Honeywell International</t>
  </si>
  <si>
    <t>Trane Technologies</t>
  </si>
  <si>
    <t>Carrier Global</t>
  </si>
  <si>
    <t>DAIKIN INDUSTRIES</t>
  </si>
  <si>
    <t>Legrand</t>
  </si>
  <si>
    <t>Signify</t>
  </si>
  <si>
    <t>Eaton</t>
  </si>
  <si>
    <t>Delta Electronics</t>
  </si>
  <si>
    <t>NIBE Industrier B</t>
  </si>
  <si>
    <t>SU-FR</t>
  </si>
  <si>
    <t>HON-US</t>
  </si>
  <si>
    <t>TT-US</t>
  </si>
  <si>
    <t>CARR-US</t>
  </si>
  <si>
    <t>6367-JP</t>
  </si>
  <si>
    <t>LR-FR</t>
  </si>
  <si>
    <t>LIGHT-NL</t>
  </si>
  <si>
    <t>ETN-US</t>
  </si>
  <si>
    <t>2308-TW</t>
  </si>
  <si>
    <t>NIBE.B-SE</t>
  </si>
  <si>
    <t>Siemens</t>
  </si>
  <si>
    <t>ABB</t>
  </si>
  <si>
    <t>Rockwell Automation</t>
  </si>
  <si>
    <t>Emerson Electric</t>
  </si>
  <si>
    <t>Mitsubishi Electric</t>
  </si>
  <si>
    <t>Yokogawa Electric</t>
  </si>
  <si>
    <t>FANUC</t>
  </si>
  <si>
    <t>Keyence</t>
  </si>
  <si>
    <t>Parker-Hannifin</t>
  </si>
  <si>
    <t>12/20/2025</t>
  </si>
  <si>
    <t>SIE-DE</t>
  </si>
  <si>
    <t>ABBN-CH</t>
  </si>
  <si>
    <t>ROK-US</t>
  </si>
  <si>
    <t>EMR-US</t>
  </si>
  <si>
    <t>6503-JP</t>
  </si>
  <si>
    <t>6841-JP</t>
  </si>
  <si>
    <t>6954-JP</t>
  </si>
  <si>
    <t>6861-JP</t>
  </si>
  <si>
    <t>PH-US</t>
  </si>
  <si>
    <t>Assumptions sheet may be also in the text on the Instructions tab - please use the assumptions on this sheet for your model</t>
  </si>
  <si>
    <t>Target Company</t>
  </si>
  <si>
    <t>You have been provided with data about comparables of the company Robert Bosch GmbH.</t>
  </si>
  <si>
    <t>Robert Bosch GmbH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</si>
  <si>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</si>
  <si>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</si>
  <si>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</si>
  <si>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</si>
  <si>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</si>
  <si>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</si>
  <si>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</si>
  <si>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</si>
  <si>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</si>
  <si>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</si>
  <si>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</si>
  <si>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DEC '13</t>
  </si>
  <si>
    <t>DEC '12</t>
  </si>
  <si>
    <t>DEC '11</t>
  </si>
  <si>
    <t>DEC '10</t>
  </si>
  <si>
    <t>GAAP/IFRS Balance Sheet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</si>
  <si>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</si>
  <si>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</si>
  <si>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</si>
  <si>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</si>
  <si>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</si>
  <si>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</si>
  <si>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</si>
  <si>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</si>
  <si>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</si>
  <si>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</si>
  <si>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</si>
  <si>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Work in Progress</t>
  </si>
  <si>
    <t>Raw Materials</t>
  </si>
  <si>
    <t>Progress Payments &amp; Other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</si>
  <si>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</si>
  <si>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</si>
  <si>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</si>
  <si>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</si>
  <si>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</si>
  <si>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</si>
  <si>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</si>
  <si>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Machinery &amp; Equipment</t>
  </si>
  <si>
    <t>Construction in Progress</t>
  </si>
  <si>
    <t>Leased Property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</si>
  <si>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</si>
  <si>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</si>
  <si>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</si>
  <si>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</si>
  <si>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</si>
  <si>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</si>
  <si>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Long-Term Note Receivable</t>
  </si>
  <si>
    <t>Intangible Assets</t>
  </si>
  <si>
    <t>Goodwill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</si>
  <si>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</si>
  <si>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</si>
  <si>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</si>
  <si>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</si>
  <si>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</si>
  <si>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</si>
  <si>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</si>
  <si>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</si>
  <si>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</si>
  <si>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</si>
  <si>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</si>
  <si>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</si>
  <si>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</si>
  <si>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</si>
  <si>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</si>
  <si>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</si>
  <si>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</si>
  <si>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</si>
  <si>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</si>
  <si>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</si>
  <si>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</si>
  <si>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</si>
  <si>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</si>
  <si>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</si>
  <si>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</si>
  <si>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</si>
  <si>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</si>
  <si>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</si>
  <si>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</si>
  <si>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</si>
  <si>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</si>
  <si>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Treasury Stock</t>
  </si>
  <si>
    <t>Total Shareholders' Equity</t>
  </si>
  <si>
    <t>Accumulated Minority Interest</t>
  </si>
  <si>
    <t>Total Equity</t>
  </si>
  <si>
    <t>Total Liabilities &amp; Shareholders' Equity</t>
  </si>
  <si>
    <t>Per Share</t>
  </si>
  <si>
    <t>Book Value per Share</t>
  </si>
  <si>
    <t>Tangible Book Value per Share</t>
  </si>
  <si>
    <t>Supplemental</t>
  </si>
  <si>
    <t>Working Capital</t>
  </si>
  <si>
    <t>Total Capital</t>
  </si>
  <si>
    <t>Total Debt</t>
  </si>
  <si>
    <t>Efficiency</t>
  </si>
  <si>
    <t>Days of Inventory on Hand</t>
  </si>
  <si>
    <t>Days of Sales Outstanding</t>
  </si>
  <si>
    <t>Days of Payables Outstanding</t>
  </si>
  <si>
    <t>Comprehensive Income</t>
  </si>
  <si>
    <t>Comprehensive Income - Pension Liability</t>
  </si>
  <si>
    <t>Non-Qualified Option/Warrant Awards</t>
  </si>
  <si>
    <t>Operating Lease Commitments</t>
  </si>
  <si>
    <t>Year 1</t>
  </si>
  <si>
    <t>In 2-5 Years</t>
  </si>
  <si>
    <t>Year 2</t>
  </si>
  <si>
    <t>Year 3</t>
  </si>
  <si>
    <t>Year 4</t>
  </si>
  <si>
    <t>Year 5</t>
  </si>
  <si>
    <t>Over 5 Years</t>
  </si>
  <si>
    <t>Long Term Debt Maturities</t>
  </si>
  <si>
    <t>DEC '25</t>
  </si>
  <si>
    <t>DEC '9</t>
  </si>
  <si>
    <t>DEC '8</t>
  </si>
  <si>
    <t>DEC '7</t>
  </si>
  <si>
    <t>DEC '6</t>
  </si>
  <si>
    <t>All figures in billions of Euro except per share items.</t>
  </si>
  <si>
    <t>Robert Bosch GmbH - Subsidiary</t>
  </si>
  <si>
    <t>Bosch Sales</t>
  </si>
  <si>
    <t>Total</t>
  </si>
  <si>
    <t>Mobility Solutions</t>
  </si>
  <si>
    <t>Consumer Goods</t>
  </si>
  <si>
    <t>Energy &amp; Building Technology</t>
  </si>
  <si>
    <t>Industrial Technology</t>
  </si>
  <si>
    <t>Bosch Margins</t>
  </si>
  <si>
    <t>EBITDA margin</t>
  </si>
  <si>
    <t>EBIT margin</t>
  </si>
  <si>
    <t>Net margin</t>
  </si>
  <si>
    <t>[%]</t>
  </si>
  <si>
    <r>
      <t>[</t>
    </r>
    <r>
      <rPr>
        <sz val="10"/>
        <color rgb="FF0000FF"/>
        <rFont val="Aptos Narrow"/>
        <family val="2"/>
      </rPr>
      <t>€</t>
    </r>
    <r>
      <rPr>
        <sz val="8"/>
        <color rgb="FF0000FF"/>
        <rFont val="Aptos Narrow"/>
        <family val="2"/>
      </rPr>
      <t>m]</t>
    </r>
  </si>
  <si>
    <t>What is the implied equity value using the 25th Percentile of EV/EBITDA?</t>
  </si>
  <si>
    <t>What is the implied equity value using the 75th Percentile of Price/Sales?</t>
  </si>
  <si>
    <t>What is the implied equity value using the 75th Percentile of EV/Sales?</t>
  </si>
  <si>
    <t>What is the implied equity value using the 75th Percentile of EV/EBITDA?</t>
  </si>
  <si>
    <t>What is the implied equity value using the 75th Percentile of P/E?</t>
  </si>
  <si>
    <t>What is the implied equity value using the Average of Price/Sales?</t>
  </si>
  <si>
    <t>What is the implied equity value using the Average of EV/Sales?</t>
  </si>
  <si>
    <t>What is the implied equity value using the Average of EV/EBITDA?</t>
  </si>
  <si>
    <t>What is the implied equity value using the Average of P/E?</t>
  </si>
  <si>
    <t>What is the implied equity value using the Median of Price/Sales?</t>
  </si>
  <si>
    <t>What is the implied equity value using the Median of EV/Sales?</t>
  </si>
  <si>
    <t>What is the implied equity value using the Median of EV/EBITDA?</t>
  </si>
  <si>
    <t>What is the implied equity value using the Median of P/E?</t>
  </si>
  <si>
    <t>What is the implied equity value using the 25th Percentile of Price/Sales?</t>
  </si>
  <si>
    <t>What is the implied equity value using the 25th Percentile of EV/Sales?</t>
  </si>
  <si>
    <t>What is the implied equity value using the 25th Percentile of P/E?</t>
  </si>
  <si>
    <t>Robert Bosch has four different business lines.</t>
  </si>
  <si>
    <t>Calculate the following metrics based on the data for every business line:</t>
  </si>
  <si>
    <t>Value Robert Bosch as a whole based on the 75th Percentile, Average, Median and 25th Percentile of all selected measures separately.</t>
  </si>
  <si>
    <t>Capital Obligations</t>
  </si>
  <si>
    <t>Questions (please round your final answers to two decimal places)</t>
  </si>
  <si>
    <t>Calculate the Maximum, 75th Percentile, Average, Median, 25th Percentile and Minimum for the selected metrics.</t>
  </si>
  <si>
    <t>Exclude any negative multiples and any multiples resulting from division errors (e.g., when EBITDA or Net Income is zero or negative) from the statistical calculations for the affected metric.</t>
  </si>
  <si>
    <t>After that also exclude any multiples from the calculations that are strictly more than one (population) standard deviation away from the average (i.e., multiples falling exactly at avg ± 1σ are retained) regarding the respective metric (the average should exclude negative or undefined multiple).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</si>
</sst>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FF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FF0000"/>
      <name val="Arial"/>
      <family val="2"/>
    </font>
    <font>
      <b/>
      <sz val="10"/>
      <color rgb="FF0000FF"/>
      <name val="Aptos Narrow"/>
      <family val="2"/>
    </font>
    <font>
      <b/>
      <sz val="8"/>
      <color rgb="FF0000FF"/>
      <name val="Aptos Narrow"/>
      <family val="2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  <font>
      <sz val="10"/>
      <color rgb="FF0000FF"/>
      <name val="Aptos Narrow"/>
      <family val="2"/>
      <scheme val="minor"/>
    </font>
    <font>
      <sz val="10"/>
      <color rgb="FF0000FF"/>
      <name val="Aptos Narrow"/>
      <family val="2"/>
    </font>
    <font>
      <sz val="8"/>
      <color rgb="FF0000FF"/>
      <name val="Aptos Narrow"/>
      <family val="2"/>
    </font>
  </fonts>
  <fills count="9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10" fillId="0" borderId="0"/>
    <xf numFmtId="9" fontId="1" fillId="0" borderId="0" applyFont="0" applyFill="0" applyBorder="0" applyAlignment="0" applyProtection="0"/>
    <xf numFmtId="0" fontId="16" fillId="0" borderId="0"/>
  </cellStyleXfs>
  <cellXfs count="59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2" fillId="0" borderId="0" xfId="1" quotePrefix="1" applyFont="1"/>
    <xf numFmtId="0" fontId="8" fillId="6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11" fillId="7" borderId="0" xfId="0" applyNumberFormat="1" applyFont="1" applyFill="1" applyAlignment="1">
      <alignment horizontal="right"/>
    </xf>
    <xf numFmtId="4" fontId="0" fillId="7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4" fontId="9" fillId="0" borderId="0" xfId="0" applyNumberFormat="1" applyFont="1"/>
    <xf numFmtId="14" fontId="14" fillId="8" borderId="5" xfId="0" applyNumberFormat="1" applyFont="1" applyFill="1" applyBorder="1"/>
    <xf numFmtId="164" fontId="0" fillId="0" borderId="0" xfId="0" applyNumberFormat="1"/>
    <xf numFmtId="0" fontId="15" fillId="0" borderId="0" xfId="0" applyFont="1"/>
    <xf numFmtId="4" fontId="15" fillId="5" borderId="2" xfId="3" applyFont="1" applyFill="1">
      <alignment horizontal="left"/>
    </xf>
    <xf numFmtId="0" fontId="8" fillId="0" borderId="0" xfId="6" applyFont="1"/>
    <xf numFmtId="0" fontId="16" fillId="0" borderId="0" xfId="6"/>
    <xf numFmtId="0" fontId="16" fillId="0" borderId="6" xfId="6" applyBorder="1"/>
    <xf numFmtId="0" fontId="16" fillId="0" borderId="7" xfId="6" applyBorder="1"/>
    <xf numFmtId="0" fontId="8" fillId="6" borderId="0" xfId="6" applyFont="1" applyFill="1" applyAlignment="1">
      <alignment horizontal="left"/>
    </xf>
    <xf numFmtId="0" fontId="16" fillId="0" borderId="0" xfId="6" applyAlignment="1">
      <alignment horizontal="left"/>
    </xf>
    <xf numFmtId="0" fontId="17" fillId="7" borderId="0" xfId="6" applyFont="1" applyFill="1" applyAlignment="1">
      <alignment horizontal="left"/>
    </xf>
    <xf numFmtId="0" fontId="17" fillId="0" borderId="0" xfId="6" applyFont="1" applyAlignment="1">
      <alignment horizontal="left" indent="3"/>
    </xf>
    <xf numFmtId="4" fontId="17" fillId="0" borderId="0" xfId="6" applyNumberFormat="1" applyFont="1" applyAlignment="1">
      <alignment horizontal="right"/>
    </xf>
    <xf numFmtId="0" fontId="16" fillId="7" borderId="0" xfId="6" applyFill="1" applyAlignment="1">
      <alignment horizontal="left" indent="4"/>
    </xf>
    <xf numFmtId="4" fontId="16" fillId="7" borderId="0" xfId="6" applyNumberFormat="1" applyFill="1" applyAlignment="1">
      <alignment horizontal="right"/>
    </xf>
    <xf numFmtId="0" fontId="16" fillId="0" borderId="0" xfId="6" applyAlignment="1">
      <alignment horizontal="left" indent="4"/>
    </xf>
    <xf numFmtId="4" fontId="16" fillId="0" borderId="0" xfId="6" applyNumberFormat="1" applyAlignment="1">
      <alignment horizontal="right"/>
    </xf>
    <xf numFmtId="0" fontId="17" fillId="7" borderId="0" xfId="6" applyFont="1" applyFill="1" applyAlignment="1">
      <alignment horizontal="left" indent="3"/>
    </xf>
    <xf numFmtId="4" fontId="17" fillId="7" borderId="0" xfId="6" applyNumberFormat="1" applyFont="1" applyFill="1" applyAlignment="1">
      <alignment horizontal="right"/>
    </xf>
    <xf numFmtId="0" fontId="17" fillId="0" borderId="0" xfId="6" applyFont="1" applyAlignment="1">
      <alignment horizontal="left" indent="6"/>
    </xf>
    <xf numFmtId="0" fontId="16" fillId="7" borderId="0" xfId="6" applyFill="1" applyAlignment="1">
      <alignment horizontal="left" indent="7"/>
    </xf>
    <xf numFmtId="0" fontId="16" fillId="0" borderId="0" xfId="6" applyAlignment="1">
      <alignment horizontal="left" indent="7"/>
    </xf>
    <xf numFmtId="4" fontId="11" fillId="0" borderId="0" xfId="6" applyNumberFormat="1" applyFont="1" applyAlignment="1">
      <alignment horizontal="right"/>
    </xf>
    <xf numFmtId="0" fontId="16" fillId="0" borderId="0" xfId="6" applyAlignment="1">
      <alignment horizontal="left" indent="1"/>
    </xf>
    <xf numFmtId="0" fontId="17" fillId="7" borderId="0" xfId="6" applyFont="1" applyFill="1" applyAlignment="1">
      <alignment horizontal="left" indent="6"/>
    </xf>
    <xf numFmtId="0" fontId="16" fillId="7" borderId="0" xfId="6" applyFill="1" applyAlignment="1">
      <alignment horizontal="left"/>
    </xf>
    <xf numFmtId="0" fontId="17" fillId="0" borderId="0" xfId="6" applyFont="1" applyAlignment="1">
      <alignment horizontal="left"/>
    </xf>
    <xf numFmtId="4" fontId="11" fillId="7" borderId="0" xfId="6" applyNumberFormat="1" applyFont="1" applyFill="1" applyAlignment="1">
      <alignment horizontal="right"/>
    </xf>
    <xf numFmtId="164" fontId="16" fillId="0" borderId="0" xfId="6" applyNumberFormat="1" applyAlignment="1">
      <alignment horizontal="right"/>
    </xf>
    <xf numFmtId="0" fontId="16" fillId="7" borderId="0" xfId="6" applyFill="1" applyAlignment="1">
      <alignment horizontal="left" indent="1"/>
    </xf>
    <xf numFmtId="164" fontId="16" fillId="7" borderId="0" xfId="6" applyNumberFormat="1" applyFill="1" applyAlignment="1">
      <alignment horizontal="right"/>
    </xf>
    <xf numFmtId="0" fontId="18" fillId="0" borderId="0" xfId="6" applyFont="1" applyAlignment="1">
      <alignment horizontal="left"/>
    </xf>
    <xf numFmtId="3" fontId="14" fillId="8" borderId="5" xfId="0" applyNumberFormat="1" applyFont="1" applyFill="1" applyBorder="1"/>
    <xf numFmtId="10" fontId="14" fillId="8" borderId="5" xfId="5" applyNumberFormat="1" applyFont="1" applyFill="1" applyBorder="1"/>
    <xf numFmtId="4" fontId="19" fillId="0" borderId="0" xfId="0" applyNumberFormat="1" applyFont="1"/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  <cellStyle name="Normal 5" xfId="6" xr:uid="{A1910DB6-57CA-488D-B93A-5642C2A22A41}"/>
    <cellStyle name="Percent" xfId="5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7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54" t="s">
        <v>7</v>
      </c>
      <c r="C2" s="55"/>
      <c r="D2" s="55"/>
      <c r="E2" s="55"/>
      <c r="F2" s="55"/>
      <c r="G2" s="55"/>
      <c r="H2" s="55"/>
      <c r="I2" s="55"/>
      <c r="J2" s="55"/>
      <c r="K2" s="56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57" t="s">
        <v>36</v>
      </c>
      <c r="C4" s="58"/>
      <c r="D4" s="58"/>
      <c r="E4" s="58"/>
      <c r="F4" s="58"/>
      <c r="G4" s="58"/>
      <c r="H4" s="58"/>
      <c r="I4" s="58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111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34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256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257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9" t="s">
        <v>35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9" t="s">
        <v>23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9" t="s">
        <v>24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9" t="s">
        <v>25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262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 t="s">
        <v>263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" t="s">
        <v>261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" t="s">
        <v>258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" t="s">
        <v>33</v>
      </c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11" ht="15" customHeight="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 ht="1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ht="15" customHeight="1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2:11" ht="15" customHeight="1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2:11">
      <c r="B37" s="3" t="s">
        <v>3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B7D-EE5D-485D-BE1B-0559BB18F6DA}">
  <sheetPr>
    <tabColor theme="8" tint="0.39997558519241921"/>
  </sheetPr>
  <dimension ref="A1:G25"/>
  <sheetViews>
    <sheetView showGridLines="0" zoomScale="84" workbookViewId="0"/>
  </sheetViews>
  <sheetFormatPr defaultRowHeight="14.4"/>
  <cols>
    <col min="1" max="1" width="4.77734375" style="21" customWidth="1"/>
    <col min="2" max="2" width="5.33203125" style="21" customWidth="1"/>
    <col min="3" max="3" width="47.21875" bestFit="1" customWidth="1"/>
    <col min="4" max="4" width="9.33203125" style="21" customWidth="1"/>
    <col min="5" max="5" width="17.44140625" bestFit="1" customWidth="1"/>
    <col min="6" max="6" width="10.5546875" bestFit="1" customWidth="1"/>
    <col min="7" max="7" width="9.88671875" customWidth="1"/>
    <col min="8" max="8" width="9" customWidth="1"/>
    <col min="10" max="10" width="9.109375" bestFit="1" customWidth="1"/>
    <col min="12" max="25" width="10.109375" bestFit="1" customWidth="1"/>
  </cols>
  <sheetData>
    <row r="1" spans="1:5">
      <c r="A1" s="21" t="str">
        <f>Instructions!B2&amp;": "&amp;Instructions!B4</f>
        <v>Valuation Task: Sum of the Parts Valuation - Bosch</v>
      </c>
    </row>
    <row r="2" spans="1:5">
      <c r="A2" s="21" t="s">
        <v>109</v>
      </c>
    </row>
    <row r="4" spans="1:5" s="22" customFormat="1" ht="14.4" customHeight="1">
      <c r="B4" s="22" t="s">
        <v>17</v>
      </c>
    </row>
    <row r="6" spans="1:5">
      <c r="C6" t="s">
        <v>110</v>
      </c>
      <c r="E6" s="19" t="s">
        <v>112</v>
      </c>
    </row>
    <row r="8" spans="1:5" s="22" customFormat="1" ht="14.4" customHeight="1">
      <c r="B8" s="22" t="s">
        <v>228</v>
      </c>
    </row>
    <row r="10" spans="1:5">
      <c r="C10" t="s">
        <v>229</v>
      </c>
      <c r="D10" s="18" t="s">
        <v>31</v>
      </c>
      <c r="E10" s="51">
        <v>89985</v>
      </c>
    </row>
    <row r="11" spans="1:5">
      <c r="C11" t="s">
        <v>230</v>
      </c>
      <c r="D11" s="18" t="s">
        <v>31</v>
      </c>
      <c r="E11" s="51">
        <v>55793</v>
      </c>
    </row>
    <row r="12" spans="1:5">
      <c r="C12" t="s">
        <v>231</v>
      </c>
      <c r="D12" s="18" t="s">
        <v>31</v>
      </c>
      <c r="E12" s="51">
        <v>20264</v>
      </c>
    </row>
    <row r="13" spans="1:5">
      <c r="C13" t="s">
        <v>232</v>
      </c>
      <c r="D13" s="18" t="s">
        <v>31</v>
      </c>
      <c r="E13" s="51">
        <v>7478</v>
      </c>
    </row>
    <row r="14" spans="1:5">
      <c r="C14" t="s">
        <v>233</v>
      </c>
      <c r="D14" s="18" t="s">
        <v>31</v>
      </c>
      <c r="E14" s="51">
        <v>6450</v>
      </c>
    </row>
    <row r="16" spans="1:5" s="22" customFormat="1" ht="14.4" customHeight="1">
      <c r="B16" s="22" t="s">
        <v>234</v>
      </c>
    </row>
    <row r="18" spans="2:7">
      <c r="E18" t="s">
        <v>235</v>
      </c>
      <c r="F18" t="s">
        <v>236</v>
      </c>
      <c r="G18" t="s">
        <v>237</v>
      </c>
    </row>
    <row r="19" spans="2:7">
      <c r="C19" t="s">
        <v>229</v>
      </c>
      <c r="D19" s="18" t="s">
        <v>238</v>
      </c>
      <c r="E19" s="52">
        <v>5.4899999999999997E-2</v>
      </c>
      <c r="F19" s="52">
        <v>3.2800000000000003E-2</v>
      </c>
      <c r="G19" s="52">
        <v>1.37E-2</v>
      </c>
    </row>
    <row r="20" spans="2:7">
      <c r="C20" t="s">
        <v>230</v>
      </c>
      <c r="D20" s="18" t="s">
        <v>238</v>
      </c>
      <c r="E20" s="52">
        <v>4.9299999999999997E-2</v>
      </c>
      <c r="F20" s="52">
        <v>2.5700000000000001E-2</v>
      </c>
      <c r="G20" s="52">
        <v>1.0800000000000001E-2</v>
      </c>
    </row>
    <row r="21" spans="2:7">
      <c r="C21" t="s">
        <v>231</v>
      </c>
      <c r="D21" s="18" t="s">
        <v>238</v>
      </c>
      <c r="E21" s="52">
        <v>5.8099999999999999E-2</v>
      </c>
      <c r="F21" s="52">
        <v>3.44E-2</v>
      </c>
      <c r="G21" s="52">
        <v>1.4999999999999999E-2</v>
      </c>
    </row>
    <row r="22" spans="2:7">
      <c r="C22" t="s">
        <v>232</v>
      </c>
      <c r="D22" s="18" t="s">
        <v>238</v>
      </c>
      <c r="E22" s="52">
        <v>0.06</v>
      </c>
      <c r="F22" s="52">
        <v>5.0700000000000002E-2</v>
      </c>
      <c r="G22" s="52">
        <v>1.9599999999999999E-2</v>
      </c>
    </row>
    <row r="23" spans="2:7">
      <c r="C23" t="s">
        <v>233</v>
      </c>
      <c r="D23" s="18" t="s">
        <v>238</v>
      </c>
      <c r="E23" s="52">
        <v>8.7800000000000003E-2</v>
      </c>
      <c r="F23" s="52">
        <v>6.9000000000000006E-2</v>
      </c>
      <c r="G23" s="52">
        <v>2.7699999999999999E-2</v>
      </c>
    </row>
    <row r="25" spans="2:7" s="22" customFormat="1" ht="14.4" customHeight="1">
      <c r="B25" s="2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E3AF-CFAF-4D64-A78A-74A69260D906}">
  <sheetPr>
    <tabColor theme="8" tint="0.39997558519241921"/>
    <outlinePr summaryBelow="0" summaryRight="0"/>
  </sheetPr>
  <dimension ref="A1:U108"/>
  <sheetViews>
    <sheetView workbookViewId="0"/>
  </sheetViews>
  <sheetFormatPr defaultColWidth="9.109375" defaultRowHeight="15" customHeight="1" outlineLevelRow="3"/>
  <cols>
    <col min="1" max="1" width="65.88671875" style="24" customWidth="1"/>
    <col min="2" max="21" width="8" style="24" customWidth="1"/>
    <col min="22" max="16384" width="9.109375" style="24"/>
  </cols>
  <sheetData>
    <row r="1" spans="1:21" ht="15" customHeight="1">
      <c r="A1" s="23" t="s">
        <v>227</v>
      </c>
    </row>
    <row r="2" spans="1:21" ht="15" customHeight="1">
      <c r="A2" s="25"/>
    </row>
    <row r="3" spans="1:21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5" spans="1:21" ht="16.2" customHeight="1">
      <c r="A5" s="27" t="s">
        <v>112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ht="15" customHeight="1">
      <c r="A6" s="27"/>
      <c r="B6" s="27" t="s">
        <v>221</v>
      </c>
      <c r="C6" s="27" t="s">
        <v>113</v>
      </c>
      <c r="D6" s="27" t="s">
        <v>114</v>
      </c>
      <c r="E6" s="27" t="s">
        <v>115</v>
      </c>
      <c r="F6" s="27" t="s">
        <v>116</v>
      </c>
      <c r="G6" s="27" t="s">
        <v>117</v>
      </c>
      <c r="H6" s="27" t="s">
        <v>118</v>
      </c>
      <c r="I6" s="27" t="s">
        <v>119</v>
      </c>
      <c r="J6" s="27" t="s">
        <v>120</v>
      </c>
      <c r="K6" s="27" t="s">
        <v>121</v>
      </c>
      <c r="L6" s="27" t="s">
        <v>122</v>
      </c>
      <c r="M6" s="27" t="s">
        <v>123</v>
      </c>
      <c r="N6" s="27" t="s">
        <v>124</v>
      </c>
      <c r="O6" s="27" t="s">
        <v>125</v>
      </c>
      <c r="P6" s="27" t="s">
        <v>126</v>
      </c>
      <c r="Q6" s="27" t="s">
        <v>127</v>
      </c>
      <c r="R6" s="27" t="s">
        <v>222</v>
      </c>
      <c r="S6" s="27" t="s">
        <v>223</v>
      </c>
      <c r="T6" s="27" t="s">
        <v>224</v>
      </c>
      <c r="U6" s="27" t="s">
        <v>225</v>
      </c>
    </row>
    <row r="7" spans="1:21" ht="15" customHeight="1">
      <c r="A7" s="28" t="s">
        <v>128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15" customHeight="1">
      <c r="A8" s="29" t="s">
        <v>129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ht="15" customHeight="1" outlineLevel="1">
      <c r="A9" s="30" t="s">
        <v>130</v>
      </c>
      <c r="B9" s="31">
        <v>14.891</v>
      </c>
      <c r="C9" s="31">
        <v>14.603</v>
      </c>
      <c r="D9" s="31">
        <v>9.4600000000000009</v>
      </c>
      <c r="E9" s="31">
        <v>13.538</v>
      </c>
      <c r="F9" s="31">
        <v>13.334</v>
      </c>
      <c r="G9" s="31">
        <v>6.3970000000000002</v>
      </c>
      <c r="H9" s="31">
        <v>6.1879999999999997</v>
      </c>
      <c r="I9" s="31">
        <v>5.66</v>
      </c>
      <c r="J9" s="31">
        <v>6.3550000000000004</v>
      </c>
      <c r="K9" s="31">
        <v>4.67</v>
      </c>
      <c r="L9" s="31">
        <v>6.944</v>
      </c>
      <c r="M9" s="31">
        <v>4.5720000000000001</v>
      </c>
      <c r="N9" s="31">
        <v>4.6070000000000002</v>
      </c>
      <c r="O9" s="31">
        <v>4.2329999999999997</v>
      </c>
      <c r="P9" s="31">
        <v>5.0759999999999996</v>
      </c>
      <c r="Q9" s="31">
        <v>3.7709999999999999</v>
      </c>
      <c r="R9" s="31">
        <v>3.0289999999999999</v>
      </c>
      <c r="S9" s="31">
        <v>3.96</v>
      </c>
      <c r="T9" s="31">
        <v>3.5219999999999998</v>
      </c>
      <c r="U9" s="31">
        <v>3.9350000000000001</v>
      </c>
    </row>
    <row r="10" spans="1:21" ht="15" customHeight="1" outlineLevel="2">
      <c r="A10" s="32" t="s">
        <v>131</v>
      </c>
      <c r="B10" s="33">
        <v>8.2230000000000008</v>
      </c>
      <c r="C10" s="33">
        <v>7.4429999999999996</v>
      </c>
      <c r="D10" s="33">
        <v>6.4589999999999996</v>
      </c>
      <c r="E10" s="33">
        <v>6.1959999999999997</v>
      </c>
      <c r="F10" s="33">
        <v>8.9550000000000001</v>
      </c>
      <c r="G10" s="33">
        <v>4.5449999999999999</v>
      </c>
      <c r="H10" s="33">
        <v>4.702</v>
      </c>
      <c r="I10" s="33">
        <v>4.5430000000000001</v>
      </c>
      <c r="J10" s="33">
        <v>4.7530000000000001</v>
      </c>
      <c r="K10" s="33">
        <v>3.7069999999999999</v>
      </c>
      <c r="L10" s="33">
        <v>5.5129999999999999</v>
      </c>
      <c r="M10" s="33">
        <v>0</v>
      </c>
      <c r="N10" s="33">
        <v>3.5870000000000002</v>
      </c>
      <c r="O10" s="33">
        <v>3.3279999999999998</v>
      </c>
      <c r="P10" s="33">
        <v>3.8210000000000002</v>
      </c>
      <c r="Q10" s="33">
        <v>2.9369999999999998</v>
      </c>
      <c r="R10" s="33">
        <v>2.2669999999999999</v>
      </c>
      <c r="S10" s="33">
        <v>3.3220000000000001</v>
      </c>
      <c r="T10" s="33">
        <v>2.7160000000000002</v>
      </c>
      <c r="U10" s="33">
        <v>2.9359999999999999</v>
      </c>
    </row>
    <row r="11" spans="1:21" ht="15" customHeight="1" outlineLevel="2">
      <c r="A11" s="34" t="s">
        <v>132</v>
      </c>
      <c r="B11" s="35">
        <v>6.6680000000000001</v>
      </c>
      <c r="C11" s="35">
        <v>7.16</v>
      </c>
      <c r="D11" s="35">
        <v>3.0009999999999999</v>
      </c>
      <c r="E11" s="35">
        <v>7.3419999999999996</v>
      </c>
      <c r="F11" s="35">
        <v>4.3789999999999996</v>
      </c>
      <c r="G11" s="35">
        <v>1.8520000000000001</v>
      </c>
      <c r="H11" s="35">
        <v>1.486</v>
      </c>
      <c r="I11" s="35">
        <v>1.117</v>
      </c>
      <c r="J11" s="35">
        <v>1.6020000000000001</v>
      </c>
      <c r="K11" s="35">
        <v>0.96299999999999997</v>
      </c>
      <c r="L11" s="35">
        <v>1.431</v>
      </c>
      <c r="M11" s="35">
        <v>0.77300000000000002</v>
      </c>
      <c r="N11" s="35">
        <v>1.02</v>
      </c>
      <c r="O11" s="35">
        <v>0.90500000000000003</v>
      </c>
      <c r="P11" s="35">
        <v>1.2549999999999999</v>
      </c>
      <c r="Q11" s="35">
        <v>0.83399999999999996</v>
      </c>
      <c r="R11" s="35">
        <v>0.76200000000000001</v>
      </c>
      <c r="S11" s="35">
        <v>0.63800000000000001</v>
      </c>
      <c r="T11" s="35">
        <v>0.80600000000000005</v>
      </c>
      <c r="U11" s="35">
        <v>0.999</v>
      </c>
    </row>
    <row r="12" spans="1:21" ht="15" customHeight="1" outlineLevel="1">
      <c r="A12" s="36" t="s">
        <v>133</v>
      </c>
      <c r="B12" s="37">
        <v>21.021999999999998</v>
      </c>
      <c r="C12" s="37">
        <v>20.565000000000001</v>
      </c>
      <c r="D12" s="37">
        <v>19.649999999999999</v>
      </c>
      <c r="E12" s="37">
        <v>17.018999999999998</v>
      </c>
      <c r="F12" s="37">
        <v>16.356999999999999</v>
      </c>
      <c r="G12" s="37">
        <v>17.135999999999999</v>
      </c>
      <c r="H12" s="37">
        <v>17.893000000000001</v>
      </c>
      <c r="I12" s="37">
        <v>17.431999999999999</v>
      </c>
      <c r="J12" s="37">
        <v>17.097000000000001</v>
      </c>
      <c r="K12" s="37">
        <v>15.728</v>
      </c>
      <c r="L12" s="37">
        <v>10.968999999999999</v>
      </c>
      <c r="M12" s="37">
        <v>9.7479999999999993</v>
      </c>
      <c r="N12" s="37">
        <v>11.208</v>
      </c>
      <c r="O12" s="37">
        <v>10.920999999999999</v>
      </c>
      <c r="P12" s="37">
        <v>9.56</v>
      </c>
      <c r="Q12" s="37">
        <v>8.3350000000000009</v>
      </c>
      <c r="R12" s="37">
        <v>8.3010000000000002</v>
      </c>
      <c r="S12" s="37">
        <v>9.5180000000000007</v>
      </c>
      <c r="T12" s="37">
        <v>8.923</v>
      </c>
      <c r="U12" s="37">
        <v>8.4139999999999997</v>
      </c>
    </row>
    <row r="13" spans="1:21" ht="15" customHeight="1" outlineLevel="2">
      <c r="A13" s="38" t="s">
        <v>134</v>
      </c>
      <c r="B13" s="31">
        <v>18.702999999999999</v>
      </c>
      <c r="C13" s="31">
        <v>18.257000000000001</v>
      </c>
      <c r="D13" s="31">
        <v>17.533999999999999</v>
      </c>
      <c r="E13" s="31">
        <v>14.989000000000001</v>
      </c>
      <c r="F13" s="31">
        <v>14.561</v>
      </c>
      <c r="G13" s="31">
        <v>15.026</v>
      </c>
      <c r="H13" s="31">
        <v>15.760999999999999</v>
      </c>
      <c r="I13" s="31">
        <v>14.97</v>
      </c>
      <c r="J13" s="31">
        <v>14.356999999999999</v>
      </c>
      <c r="K13" s="31">
        <v>13.233000000000001</v>
      </c>
      <c r="L13" s="31">
        <v>8.7850000000000001</v>
      </c>
      <c r="M13" s="31">
        <v>7.8780000000000001</v>
      </c>
      <c r="N13" s="31">
        <v>9.1690000000000005</v>
      </c>
      <c r="O13" s="31">
        <v>9.1560000000000006</v>
      </c>
      <c r="P13" s="31">
        <v>8.0169999999999995</v>
      </c>
      <c r="Q13" s="31">
        <v>6.84</v>
      </c>
      <c r="R13" s="31">
        <v>6.9710000000000001</v>
      </c>
      <c r="S13" s="31">
        <v>7.8440000000000003</v>
      </c>
      <c r="T13" s="31">
        <v>7.7240000000000002</v>
      </c>
      <c r="U13" s="31">
        <v>7.3079999999999998</v>
      </c>
    </row>
    <row r="14" spans="1:21" ht="15" customHeight="1" outlineLevel="3">
      <c r="A14" s="39" t="s">
        <v>135</v>
      </c>
      <c r="B14" s="33">
        <v>19.007000000000001</v>
      </c>
      <c r="C14" s="33">
        <v>18.516999999999999</v>
      </c>
      <c r="D14" s="33">
        <v>17.824000000000002</v>
      </c>
      <c r="E14" s="33">
        <v>15.239000000000001</v>
      </c>
      <c r="F14" s="33">
        <v>14.821999999999999</v>
      </c>
      <c r="G14" s="33">
        <v>15.327</v>
      </c>
      <c r="H14" s="33">
        <v>16.056999999999999</v>
      </c>
      <c r="I14" s="33">
        <v>14.97</v>
      </c>
      <c r="J14" s="33">
        <v>14.356999999999999</v>
      </c>
      <c r="K14" s="33">
        <v>13.233000000000001</v>
      </c>
      <c r="L14" s="33">
        <v>8.7850000000000001</v>
      </c>
      <c r="M14" s="33">
        <v>7.8780000000000001</v>
      </c>
      <c r="N14" s="33">
        <v>9.6820000000000004</v>
      </c>
      <c r="O14" s="33">
        <v>9.6639999999999997</v>
      </c>
      <c r="P14" s="33">
        <v>8.4610000000000003</v>
      </c>
      <c r="Q14" s="33">
        <v>7.282</v>
      </c>
      <c r="R14" s="33">
        <v>7.3609999999999998</v>
      </c>
      <c r="S14" s="33">
        <v>8.1980000000000004</v>
      </c>
      <c r="T14" s="33">
        <v>8.1389999999999993</v>
      </c>
      <c r="U14" s="33">
        <v>7.7530000000000001</v>
      </c>
    </row>
    <row r="15" spans="1:21" ht="15" customHeight="1" outlineLevel="3">
      <c r="A15" s="40" t="s">
        <v>136</v>
      </c>
      <c r="B15" s="41">
        <v>-0.30399999999999999</v>
      </c>
      <c r="C15" s="41">
        <v>-0.26</v>
      </c>
      <c r="D15" s="41">
        <v>-0.28999999999999998</v>
      </c>
      <c r="E15" s="41">
        <v>-0.25</v>
      </c>
      <c r="F15" s="41">
        <v>-0.26100000000000001</v>
      </c>
      <c r="G15" s="41">
        <v>-0.30099999999999999</v>
      </c>
      <c r="H15" s="41">
        <v>-0.29599999999999999</v>
      </c>
      <c r="I15" s="28"/>
      <c r="J15" s="28"/>
      <c r="K15" s="28"/>
      <c r="L15" s="28"/>
      <c r="M15" s="28"/>
      <c r="N15" s="41">
        <v>-0.51300000000000001</v>
      </c>
      <c r="O15" s="41">
        <v>-0.50800000000000001</v>
      </c>
      <c r="P15" s="41">
        <v>-0.44400000000000001</v>
      </c>
      <c r="Q15" s="41">
        <v>-0.442</v>
      </c>
      <c r="R15" s="41">
        <v>-0.39</v>
      </c>
      <c r="S15" s="41">
        <v>-0.35399999999999998</v>
      </c>
      <c r="T15" s="41">
        <v>-0.41499999999999998</v>
      </c>
      <c r="U15" s="41">
        <v>-0.44500000000000001</v>
      </c>
    </row>
    <row r="16" spans="1:21" ht="15" customHeight="1" outlineLevel="2">
      <c r="A16" s="32" t="s">
        <v>137</v>
      </c>
      <c r="B16" s="33">
        <v>2.319</v>
      </c>
      <c r="C16" s="33">
        <v>2.3079999999999998</v>
      </c>
      <c r="D16" s="33">
        <v>2.1160000000000001</v>
      </c>
      <c r="E16" s="33">
        <v>2.0299999999999998</v>
      </c>
      <c r="F16" s="33">
        <v>1.796</v>
      </c>
      <c r="G16" s="33">
        <v>2.11</v>
      </c>
      <c r="H16" s="33">
        <v>2.1320000000000001</v>
      </c>
      <c r="I16" s="33">
        <v>2.4620000000000002</v>
      </c>
      <c r="J16" s="33">
        <v>2.74</v>
      </c>
      <c r="K16" s="33">
        <v>2.4950000000000001</v>
      </c>
      <c r="L16" s="33">
        <v>2.1840000000000002</v>
      </c>
      <c r="M16" s="33">
        <v>1.87</v>
      </c>
      <c r="N16" s="33">
        <v>2.0390000000000001</v>
      </c>
      <c r="O16" s="33">
        <v>1.7649999999999999</v>
      </c>
      <c r="P16" s="33">
        <v>1.5429999999999999</v>
      </c>
      <c r="Q16" s="33">
        <v>1.4950000000000001</v>
      </c>
      <c r="R16" s="33">
        <v>1.33</v>
      </c>
      <c r="S16" s="33">
        <v>1.6739999999999999</v>
      </c>
      <c r="T16" s="33">
        <v>1.1990000000000001</v>
      </c>
      <c r="U16" s="33">
        <v>1.1060000000000001</v>
      </c>
    </row>
    <row r="17" spans="1:21" ht="15" customHeight="1" outlineLevel="1">
      <c r="A17" s="30" t="s">
        <v>138</v>
      </c>
      <c r="B17" s="31">
        <v>15.673999999999999</v>
      </c>
      <c r="C17" s="31">
        <v>15.183999999999999</v>
      </c>
      <c r="D17" s="31">
        <v>16.527999999999999</v>
      </c>
      <c r="E17" s="31">
        <v>13.651999999999999</v>
      </c>
      <c r="F17" s="31">
        <v>10.538</v>
      </c>
      <c r="G17" s="31">
        <v>10.983000000000001</v>
      </c>
      <c r="H17" s="31">
        <v>11.015000000000001</v>
      </c>
      <c r="I17" s="31">
        <v>10.119</v>
      </c>
      <c r="J17" s="31">
        <v>9.8949999999999996</v>
      </c>
      <c r="K17" s="31">
        <v>9.6509999999999998</v>
      </c>
      <c r="L17" s="31">
        <v>7.194</v>
      </c>
      <c r="M17" s="31">
        <v>6.5190000000000001</v>
      </c>
      <c r="N17" s="31">
        <v>7.1680000000000001</v>
      </c>
      <c r="O17" s="31">
        <v>7.6589999999999998</v>
      </c>
      <c r="P17" s="31">
        <v>6.78</v>
      </c>
      <c r="Q17" s="31">
        <v>5.4320000000000004</v>
      </c>
      <c r="R17" s="31">
        <v>6.8259999999999996</v>
      </c>
      <c r="S17" s="31">
        <v>6.258</v>
      </c>
      <c r="T17" s="31">
        <v>5.7149999999999999</v>
      </c>
      <c r="U17" s="31">
        <v>5.4820000000000002</v>
      </c>
    </row>
    <row r="18" spans="1:21" ht="15" customHeight="1" outlineLevel="2">
      <c r="A18" s="32" t="s">
        <v>139</v>
      </c>
      <c r="B18" s="33">
        <v>5.8330000000000002</v>
      </c>
      <c r="C18" s="33">
        <v>5.8419999999999996</v>
      </c>
      <c r="D18" s="33">
        <v>6.3780000000000001</v>
      </c>
      <c r="E18" s="33">
        <v>5.5910000000000002</v>
      </c>
      <c r="F18" s="33">
        <v>4.5979999999999999</v>
      </c>
      <c r="G18" s="33">
        <v>4.7350000000000003</v>
      </c>
      <c r="H18" s="33">
        <v>4.9249999999999998</v>
      </c>
      <c r="I18" s="33">
        <v>5.1989999999999998</v>
      </c>
      <c r="J18" s="33">
        <v>5.0830000000000002</v>
      </c>
      <c r="K18" s="33">
        <v>4.9690000000000003</v>
      </c>
      <c r="L18" s="33">
        <v>3.33</v>
      </c>
      <c r="M18" s="33">
        <v>3.008</v>
      </c>
      <c r="N18" s="33">
        <v>3.3559999999999999</v>
      </c>
      <c r="O18" s="33">
        <v>3.59</v>
      </c>
      <c r="P18" s="33">
        <v>3.2</v>
      </c>
      <c r="Q18" s="33">
        <v>2.5430000000000001</v>
      </c>
      <c r="R18" s="33">
        <v>3.2770000000000001</v>
      </c>
      <c r="S18" s="33">
        <v>3.0249999999999999</v>
      </c>
      <c r="T18" s="33">
        <v>2.7770000000000001</v>
      </c>
      <c r="U18" s="33">
        <v>2.7559999999999998</v>
      </c>
    </row>
    <row r="19" spans="1:21" ht="15" customHeight="1" outlineLevel="2">
      <c r="A19" s="34" t="s">
        <v>140</v>
      </c>
      <c r="B19" s="35">
        <v>3.7269999999999999</v>
      </c>
      <c r="C19" s="35">
        <v>3.3769999999999998</v>
      </c>
      <c r="D19" s="35">
        <v>3.6349999999999998</v>
      </c>
      <c r="E19" s="35">
        <v>2.8460000000000001</v>
      </c>
      <c r="F19" s="35">
        <v>2.331</v>
      </c>
      <c r="G19" s="35">
        <v>2.472</v>
      </c>
      <c r="H19" s="35">
        <v>2.2770000000000001</v>
      </c>
      <c r="I19" s="35">
        <v>1.554</v>
      </c>
      <c r="J19" s="35">
        <v>1.5369999999999999</v>
      </c>
      <c r="K19" s="35">
        <v>1.51</v>
      </c>
      <c r="L19" s="35">
        <v>1.3640000000000001</v>
      </c>
      <c r="M19" s="35">
        <v>1.236</v>
      </c>
      <c r="N19" s="35">
        <v>1.3180000000000001</v>
      </c>
      <c r="O19" s="35">
        <v>1.28</v>
      </c>
      <c r="P19" s="35">
        <v>1.177</v>
      </c>
      <c r="Q19" s="35">
        <v>0.93600000000000005</v>
      </c>
      <c r="R19" s="35">
        <v>1.208</v>
      </c>
      <c r="S19" s="35">
        <v>1.1499999999999999</v>
      </c>
      <c r="T19" s="35">
        <v>1.0269999999999999</v>
      </c>
      <c r="U19" s="35">
        <v>0.95399999999999996</v>
      </c>
    </row>
    <row r="20" spans="1:21" ht="15" customHeight="1" outlineLevel="2">
      <c r="A20" s="32" t="s">
        <v>141</v>
      </c>
      <c r="B20" s="33">
        <v>6.0279999999999996</v>
      </c>
      <c r="C20" s="33">
        <v>5.8789999999999996</v>
      </c>
      <c r="D20" s="33">
        <v>6.39</v>
      </c>
      <c r="E20" s="33">
        <v>5.1210000000000004</v>
      </c>
      <c r="F20" s="33">
        <v>3.5590000000000002</v>
      </c>
      <c r="G20" s="33">
        <v>3.7290000000000001</v>
      </c>
      <c r="H20" s="33">
        <v>3.7309999999999999</v>
      </c>
      <c r="I20" s="33">
        <v>3.2810000000000001</v>
      </c>
      <c r="J20" s="33">
        <v>3.1230000000000002</v>
      </c>
      <c r="K20" s="33">
        <v>2.9460000000000002</v>
      </c>
      <c r="L20" s="33">
        <v>2.266</v>
      </c>
      <c r="M20" s="33">
        <v>2.0699999999999998</v>
      </c>
      <c r="N20" s="33">
        <v>2.2240000000000002</v>
      </c>
      <c r="O20" s="33">
        <v>2.504</v>
      </c>
      <c r="P20" s="33">
        <v>2.1360000000000001</v>
      </c>
      <c r="Q20" s="33">
        <v>1.742</v>
      </c>
      <c r="R20" s="33">
        <v>2.1480000000000001</v>
      </c>
      <c r="S20" s="33">
        <v>2.0110000000000001</v>
      </c>
      <c r="T20" s="33">
        <v>1.845</v>
      </c>
      <c r="U20" s="33">
        <v>1.712</v>
      </c>
    </row>
    <row r="21" spans="1:21" ht="15" customHeight="1" outlineLevel="2">
      <c r="A21" s="34" t="s">
        <v>142</v>
      </c>
      <c r="B21" s="35">
        <v>8.5999999999999993E-2</v>
      </c>
      <c r="C21" s="35">
        <v>8.5999999999999993E-2</v>
      </c>
      <c r="D21" s="35">
        <v>0.125</v>
      </c>
      <c r="E21" s="35">
        <v>9.4E-2</v>
      </c>
      <c r="F21" s="35">
        <v>0.05</v>
      </c>
      <c r="G21" s="35">
        <v>4.7E-2</v>
      </c>
      <c r="H21" s="35">
        <v>8.2000000000000003E-2</v>
      </c>
      <c r="I21" s="35">
        <v>8.5000000000000006E-2</v>
      </c>
      <c r="J21" s="35">
        <v>0.152</v>
      </c>
      <c r="K21" s="35">
        <v>0.22600000000000001</v>
      </c>
      <c r="L21" s="35">
        <v>0.23400000000000001</v>
      </c>
      <c r="M21" s="35">
        <v>0.20499999999999999</v>
      </c>
      <c r="N21" s="35">
        <v>0.27</v>
      </c>
      <c r="O21" s="35">
        <v>0.28499999999999998</v>
      </c>
      <c r="P21" s="35">
        <v>0.26700000000000002</v>
      </c>
      <c r="Q21" s="35">
        <v>0.21099999999999999</v>
      </c>
      <c r="R21" s="35">
        <v>0.193</v>
      </c>
      <c r="S21" s="35">
        <v>7.1999999999999995E-2</v>
      </c>
      <c r="T21" s="35">
        <v>6.6000000000000003E-2</v>
      </c>
      <c r="U21" s="35">
        <v>0.06</v>
      </c>
    </row>
    <row r="22" spans="1:21" ht="15" customHeight="1" outlineLevel="1">
      <c r="A22" s="36" t="s">
        <v>143</v>
      </c>
      <c r="B22" s="37">
        <v>1.6379999999999999</v>
      </c>
      <c r="C22" s="37">
        <v>1.2529999999999999</v>
      </c>
      <c r="D22" s="37">
        <v>1.2629999999999999</v>
      </c>
      <c r="E22" s="37">
        <v>1.018</v>
      </c>
      <c r="F22" s="37">
        <v>1.054</v>
      </c>
      <c r="G22" s="37">
        <v>1.867</v>
      </c>
      <c r="H22" s="37">
        <v>1.069</v>
      </c>
      <c r="I22" s="37">
        <v>0.96</v>
      </c>
      <c r="J22" s="37">
        <v>0.20799999999999999</v>
      </c>
      <c r="K22" s="37">
        <v>0.17899999999999999</v>
      </c>
      <c r="L22" s="37">
        <v>0.192</v>
      </c>
      <c r="M22" s="37">
        <v>0.151</v>
      </c>
      <c r="N22" s="37">
        <v>0.16700000000000001</v>
      </c>
      <c r="O22" s="37">
        <v>0.14199999999999999</v>
      </c>
      <c r="P22" s="37">
        <v>0.13400000000000001</v>
      </c>
      <c r="Q22" s="37">
        <v>9.1999999999999998E-2</v>
      </c>
      <c r="R22" s="37">
        <v>0.129</v>
      </c>
      <c r="S22" s="37">
        <v>0.115</v>
      </c>
      <c r="T22" s="37">
        <v>7.5999999999999998E-2</v>
      </c>
      <c r="U22" s="37">
        <v>5.2999999999999999E-2</v>
      </c>
    </row>
    <row r="23" spans="1:21" ht="15" customHeight="1" outlineLevel="2">
      <c r="A23" s="34" t="s">
        <v>144</v>
      </c>
      <c r="B23" s="35">
        <v>0.26600000000000001</v>
      </c>
      <c r="C23" s="35">
        <v>0.27900000000000003</v>
      </c>
      <c r="D23" s="35">
        <v>0.25700000000000001</v>
      </c>
      <c r="E23" s="35">
        <v>0.22500000000000001</v>
      </c>
      <c r="F23" s="35">
        <v>0.186</v>
      </c>
      <c r="G23" s="35">
        <v>0.22900000000000001</v>
      </c>
      <c r="H23" s="35">
        <v>0.23699999999999999</v>
      </c>
      <c r="I23" s="35">
        <v>0.20399999999999999</v>
      </c>
      <c r="J23" s="35">
        <v>0.20799999999999999</v>
      </c>
      <c r="K23" s="35">
        <v>0.17899999999999999</v>
      </c>
      <c r="L23" s="35">
        <v>0.192</v>
      </c>
      <c r="M23" s="35">
        <v>0.151</v>
      </c>
      <c r="N23" s="35">
        <v>0.16700000000000001</v>
      </c>
      <c r="O23" s="35">
        <v>0.14199999999999999</v>
      </c>
      <c r="P23" s="35">
        <v>0.13400000000000001</v>
      </c>
      <c r="Q23" s="35">
        <v>9.1999999999999998E-2</v>
      </c>
      <c r="R23" s="35">
        <v>0.129</v>
      </c>
      <c r="S23" s="35">
        <v>0.115</v>
      </c>
      <c r="T23" s="35">
        <v>7.5999999999999998E-2</v>
      </c>
      <c r="U23" s="35">
        <v>5.2999999999999999E-2</v>
      </c>
    </row>
    <row r="24" spans="1:21" ht="15" customHeight="1" outlineLevel="2">
      <c r="A24" s="32" t="s">
        <v>145</v>
      </c>
      <c r="B24" s="33">
        <v>1.3720000000000001</v>
      </c>
      <c r="C24" s="33">
        <v>0.97399999999999998</v>
      </c>
      <c r="D24" s="33">
        <v>1.006</v>
      </c>
      <c r="E24" s="33">
        <v>0.79300000000000004</v>
      </c>
      <c r="F24" s="33">
        <v>0.86799999999999999</v>
      </c>
      <c r="G24" s="33">
        <v>1.6379999999999999</v>
      </c>
      <c r="H24" s="33">
        <v>0.83199999999999996</v>
      </c>
      <c r="I24" s="33">
        <v>0.75600000000000001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</row>
    <row r="25" spans="1:21" ht="15" customHeight="1" outlineLevel="1">
      <c r="A25" s="42" t="s">
        <v>146</v>
      </c>
      <c r="B25" s="35">
        <v>53.225000000000001</v>
      </c>
      <c r="C25" s="35">
        <v>51.604999999999997</v>
      </c>
      <c r="D25" s="35">
        <v>46.901000000000003</v>
      </c>
      <c r="E25" s="35">
        <v>45.226999999999997</v>
      </c>
      <c r="F25" s="35">
        <v>41.283000000000001</v>
      </c>
      <c r="G25" s="35">
        <v>36.383000000000003</v>
      </c>
      <c r="H25" s="35">
        <v>36.164999999999999</v>
      </c>
      <c r="I25" s="35">
        <v>34.170999999999999</v>
      </c>
      <c r="J25" s="35">
        <v>33.555</v>
      </c>
      <c r="K25" s="35">
        <v>30.228000000000002</v>
      </c>
      <c r="L25" s="35">
        <v>25.298999999999999</v>
      </c>
      <c r="M25" s="35">
        <v>20.99</v>
      </c>
      <c r="N25" s="35">
        <v>23.15</v>
      </c>
      <c r="O25" s="35">
        <v>22.954999999999998</v>
      </c>
      <c r="P25" s="35">
        <v>21.55</v>
      </c>
      <c r="Q25" s="35">
        <v>17.63</v>
      </c>
      <c r="R25" s="35">
        <v>18.285</v>
      </c>
      <c r="S25" s="35">
        <v>19.850999999999999</v>
      </c>
      <c r="T25" s="35">
        <v>18.236000000000001</v>
      </c>
      <c r="U25" s="35">
        <v>17.884</v>
      </c>
    </row>
    <row r="26" spans="1:21" ht="15" customHeight="1" outlineLevel="1">
      <c r="A26" s="36" t="s">
        <v>147</v>
      </c>
      <c r="B26" s="37">
        <v>28.628</v>
      </c>
      <c r="C26" s="37">
        <v>26.870999999999999</v>
      </c>
      <c r="D26" s="37">
        <v>25.064</v>
      </c>
      <c r="E26" s="37">
        <v>23.384</v>
      </c>
      <c r="F26" s="37">
        <v>22.707000000000001</v>
      </c>
      <c r="G26" s="37">
        <v>23.952000000000002</v>
      </c>
      <c r="H26" s="37">
        <v>20.437999999999999</v>
      </c>
      <c r="I26" s="37">
        <v>19.074000000000002</v>
      </c>
      <c r="J26" s="37">
        <v>19.038</v>
      </c>
      <c r="K26" s="37">
        <v>18.087</v>
      </c>
      <c r="L26" s="37">
        <v>13.180999999999999</v>
      </c>
      <c r="M26" s="37">
        <v>12.167</v>
      </c>
      <c r="N26" s="37">
        <v>13.49</v>
      </c>
      <c r="O26" s="37">
        <v>13.685</v>
      </c>
      <c r="P26" s="37">
        <v>12.913</v>
      </c>
      <c r="Q26" s="37">
        <v>12.475</v>
      </c>
      <c r="R26" s="37">
        <v>12.823</v>
      </c>
      <c r="S26" s="37">
        <v>11.752000000000001</v>
      </c>
      <c r="T26" s="37">
        <v>11.602</v>
      </c>
      <c r="U26" s="37">
        <v>11.736000000000001</v>
      </c>
    </row>
    <row r="27" spans="1:21" ht="15" customHeight="1" outlineLevel="2">
      <c r="A27" s="38" t="s">
        <v>148</v>
      </c>
      <c r="B27" s="31">
        <v>70.081000000000003</v>
      </c>
      <c r="C27" s="31">
        <v>65.679000000000002</v>
      </c>
      <c r="D27" s="31">
        <v>63.052999999999997</v>
      </c>
      <c r="E27" s="31">
        <v>58.694000000000003</v>
      </c>
      <c r="F27" s="31">
        <v>56.21</v>
      </c>
      <c r="G27" s="31">
        <v>57.149000000000001</v>
      </c>
      <c r="H27" s="31">
        <v>51.91</v>
      </c>
      <c r="I27" s="31">
        <v>48.932000000000002</v>
      </c>
      <c r="J27" s="31">
        <v>48.518999999999998</v>
      </c>
      <c r="K27" s="31">
        <v>45.981999999999999</v>
      </c>
      <c r="L27" s="31">
        <v>34.838999999999999</v>
      </c>
      <c r="M27" s="31">
        <v>33.469000000000001</v>
      </c>
      <c r="N27" s="31">
        <v>36.866</v>
      </c>
      <c r="O27" s="31">
        <v>36.603999999999999</v>
      </c>
      <c r="P27" s="31">
        <v>34.92</v>
      </c>
      <c r="Q27" s="31">
        <v>32.688000000000002</v>
      </c>
      <c r="R27" s="31">
        <v>32.587000000000003</v>
      </c>
      <c r="S27" s="31">
        <v>30.027000000000001</v>
      </c>
      <c r="T27" s="31">
        <v>28.411000000000001</v>
      </c>
      <c r="U27" s="31">
        <v>27.827000000000002</v>
      </c>
    </row>
    <row r="28" spans="1:21" ht="15" customHeight="1" outlineLevel="3">
      <c r="A28" s="39" t="s">
        <v>149</v>
      </c>
      <c r="B28" s="33">
        <v>14.532999999999999</v>
      </c>
      <c r="C28" s="33">
        <v>13.465</v>
      </c>
      <c r="D28" s="33">
        <v>13.403</v>
      </c>
      <c r="E28" s="33">
        <v>12.500999999999999</v>
      </c>
      <c r="F28" s="33">
        <v>11.786</v>
      </c>
      <c r="G28" s="33">
        <v>11.752000000000001</v>
      </c>
      <c r="H28" s="33">
        <v>11.074</v>
      </c>
      <c r="I28" s="33">
        <v>10.465</v>
      </c>
      <c r="J28" s="33">
        <v>10.494</v>
      </c>
      <c r="K28" s="33">
        <v>10.121</v>
      </c>
      <c r="L28" s="33">
        <v>7.7880000000000003</v>
      </c>
      <c r="M28" s="33">
        <v>7.4509999999999996</v>
      </c>
      <c r="N28" s="33">
        <v>8.1059999999999999</v>
      </c>
      <c r="O28" s="33">
        <v>8.1549999999999994</v>
      </c>
      <c r="P28" s="33">
        <v>7.7380000000000004</v>
      </c>
      <c r="Q28" s="33">
        <v>7.04</v>
      </c>
      <c r="R28" s="33">
        <v>6.4550000000000001</v>
      </c>
      <c r="S28" s="33">
        <v>5.9429999999999996</v>
      </c>
      <c r="T28" s="33">
        <v>5.6740000000000004</v>
      </c>
      <c r="U28" s="33">
        <v>5.5330000000000004</v>
      </c>
    </row>
    <row r="29" spans="1:21" ht="15" customHeight="1" outlineLevel="3">
      <c r="A29" s="40" t="s">
        <v>150</v>
      </c>
      <c r="B29" s="35">
        <v>33.482999999999997</v>
      </c>
      <c r="C29" s="35">
        <v>31.286999999999999</v>
      </c>
      <c r="D29" s="35">
        <v>30.434000000000001</v>
      </c>
      <c r="E29" s="35">
        <v>28.378</v>
      </c>
      <c r="F29" s="35">
        <v>27.356000000000002</v>
      </c>
      <c r="G29" s="35">
        <v>27.602</v>
      </c>
      <c r="H29" s="35">
        <v>26.173999999999999</v>
      </c>
      <c r="I29" s="35">
        <v>24.954999999999998</v>
      </c>
      <c r="J29" s="35">
        <v>24.960999999999999</v>
      </c>
      <c r="K29" s="35">
        <v>23.693000000000001</v>
      </c>
      <c r="L29" s="35">
        <v>18.413</v>
      </c>
      <c r="M29" s="35">
        <v>17.783999999999999</v>
      </c>
      <c r="N29" s="35">
        <v>19.370999999999999</v>
      </c>
      <c r="O29" s="35">
        <v>19.428999999999998</v>
      </c>
      <c r="P29" s="35">
        <v>18.744</v>
      </c>
      <c r="Q29" s="35">
        <v>17.706</v>
      </c>
      <c r="R29" s="35">
        <v>17.463999999999999</v>
      </c>
      <c r="S29" s="35">
        <v>16.407</v>
      </c>
      <c r="T29" s="35">
        <v>15.468</v>
      </c>
      <c r="U29" s="35">
        <v>15.064</v>
      </c>
    </row>
    <row r="30" spans="1:21" ht="15" customHeight="1" outlineLevel="3">
      <c r="A30" s="39" t="s">
        <v>151</v>
      </c>
      <c r="B30" s="33">
        <v>4.3849999999999998</v>
      </c>
      <c r="C30" s="33">
        <v>4.351</v>
      </c>
      <c r="D30" s="33">
        <v>3.306</v>
      </c>
      <c r="E30" s="33">
        <v>2.673</v>
      </c>
      <c r="F30" s="33">
        <v>2.5910000000000002</v>
      </c>
      <c r="G30" s="33">
        <v>3.3069999999999999</v>
      </c>
      <c r="H30" s="33">
        <v>2.97</v>
      </c>
      <c r="I30" s="33">
        <v>2.5539999999999998</v>
      </c>
      <c r="J30" s="33">
        <v>2.286</v>
      </c>
      <c r="K30" s="33">
        <v>2.0350000000000001</v>
      </c>
      <c r="L30" s="33">
        <v>1.4490000000000001</v>
      </c>
      <c r="M30" s="33">
        <v>1.399</v>
      </c>
      <c r="N30" s="33">
        <v>1.617</v>
      </c>
      <c r="O30" s="33">
        <v>1.4430000000000001</v>
      </c>
      <c r="P30" s="33">
        <v>1.155</v>
      </c>
      <c r="Q30" s="33">
        <v>0.85399999999999998</v>
      </c>
      <c r="R30" s="33">
        <v>1.399</v>
      </c>
      <c r="S30" s="33">
        <v>0.95499999999999996</v>
      </c>
      <c r="T30" s="33">
        <v>0.83099999999999996</v>
      </c>
      <c r="U30" s="33">
        <v>0.95699999999999996</v>
      </c>
    </row>
    <row r="31" spans="1:21" ht="15" customHeight="1" outlineLevel="3">
      <c r="A31" s="40" t="s">
        <v>152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35">
        <v>0.17699999999999999</v>
      </c>
    </row>
    <row r="32" spans="1:21" ht="15" customHeight="1" outlineLevel="3">
      <c r="A32" s="39" t="s">
        <v>153</v>
      </c>
      <c r="B32" s="33">
        <v>14.97</v>
      </c>
      <c r="C32" s="33">
        <v>14.3</v>
      </c>
      <c r="D32" s="33">
        <v>13.842000000000001</v>
      </c>
      <c r="E32" s="33">
        <v>13.141999999999999</v>
      </c>
      <c r="F32" s="33">
        <v>12.5</v>
      </c>
      <c r="G32" s="33">
        <v>12.404999999999999</v>
      </c>
      <c r="H32" s="33">
        <v>11.692</v>
      </c>
      <c r="I32" s="33">
        <v>10.958</v>
      </c>
      <c r="J32" s="33">
        <v>10.778</v>
      </c>
      <c r="K32" s="33">
        <v>10.132999999999999</v>
      </c>
      <c r="L32" s="33">
        <v>7.1890000000000001</v>
      </c>
      <c r="M32" s="33">
        <v>6.835</v>
      </c>
      <c r="N32" s="33">
        <v>7.7720000000000002</v>
      </c>
      <c r="O32" s="33">
        <v>7.577</v>
      </c>
      <c r="P32" s="33">
        <v>7.2830000000000004</v>
      </c>
      <c r="Q32" s="33">
        <v>7.0880000000000001</v>
      </c>
      <c r="R32" s="33">
        <v>7.2690000000000001</v>
      </c>
      <c r="S32" s="33">
        <v>6.7220000000000004</v>
      </c>
      <c r="T32" s="33">
        <v>6.4379999999999997</v>
      </c>
      <c r="U32" s="33">
        <v>6.0960000000000001</v>
      </c>
    </row>
    <row r="33" spans="1:21" ht="15" customHeight="1" outlineLevel="3">
      <c r="A33" s="40" t="s">
        <v>154</v>
      </c>
      <c r="B33" s="35">
        <v>2.71</v>
      </c>
      <c r="C33" s="35">
        <v>2.2759999999999998</v>
      </c>
      <c r="D33" s="35">
        <v>2.0680000000000001</v>
      </c>
      <c r="E33" s="35">
        <v>2</v>
      </c>
      <c r="F33" s="35">
        <v>1.9770000000000001</v>
      </c>
      <c r="G33" s="35">
        <v>2.0830000000000002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1" ht="15" customHeight="1" outlineLevel="2">
      <c r="A34" s="43" t="s">
        <v>155</v>
      </c>
      <c r="B34" s="37">
        <v>41.453000000000003</v>
      </c>
      <c r="C34" s="37">
        <v>38.808</v>
      </c>
      <c r="D34" s="37">
        <v>37.988999999999997</v>
      </c>
      <c r="E34" s="37">
        <v>35.31</v>
      </c>
      <c r="F34" s="37">
        <v>33.503</v>
      </c>
      <c r="G34" s="37">
        <v>33.197000000000003</v>
      </c>
      <c r="H34" s="37">
        <v>31.472000000000001</v>
      </c>
      <c r="I34" s="37">
        <v>29.858000000000001</v>
      </c>
      <c r="J34" s="37">
        <v>29.481000000000002</v>
      </c>
      <c r="K34" s="37">
        <v>27.895</v>
      </c>
      <c r="L34" s="37">
        <v>21.658000000000001</v>
      </c>
      <c r="M34" s="37">
        <v>21.302</v>
      </c>
      <c r="N34" s="37">
        <v>23.376000000000001</v>
      </c>
      <c r="O34" s="37">
        <v>22.919</v>
      </c>
      <c r="P34" s="37">
        <v>22.007000000000001</v>
      </c>
      <c r="Q34" s="37">
        <v>20.213000000000001</v>
      </c>
      <c r="R34" s="37">
        <v>19.763999999999999</v>
      </c>
      <c r="S34" s="37">
        <v>18.274999999999999</v>
      </c>
      <c r="T34" s="37">
        <v>16.809000000000001</v>
      </c>
      <c r="U34" s="37">
        <v>16.091000000000001</v>
      </c>
    </row>
    <row r="35" spans="1:21" ht="15" customHeight="1" outlineLevel="3">
      <c r="A35" s="40" t="s">
        <v>149</v>
      </c>
      <c r="B35" s="35">
        <v>6.2679999999999998</v>
      </c>
      <c r="C35" s="35">
        <v>5.8129999999999997</v>
      </c>
      <c r="D35" s="35">
        <v>5.7329999999999997</v>
      </c>
      <c r="E35" s="35">
        <v>5.3319999999999999</v>
      </c>
      <c r="F35" s="35">
        <v>5.0259999999999998</v>
      </c>
      <c r="G35" s="35">
        <v>4.9720000000000004</v>
      </c>
      <c r="H35" s="35">
        <v>4.7530000000000001</v>
      </c>
      <c r="I35" s="35">
        <v>4.5309999999999997</v>
      </c>
      <c r="J35" s="35">
        <v>4.4240000000000004</v>
      </c>
      <c r="K35" s="35">
        <v>4.21</v>
      </c>
      <c r="L35" s="35">
        <v>3.262</v>
      </c>
      <c r="M35" s="35">
        <v>3.3079999999999998</v>
      </c>
      <c r="N35" s="35">
        <v>3.5550000000000002</v>
      </c>
      <c r="O35" s="35">
        <v>3.3940000000000001</v>
      </c>
      <c r="P35" s="35">
        <v>3.1970000000000001</v>
      </c>
      <c r="Q35" s="35">
        <v>2.8530000000000002</v>
      </c>
      <c r="R35" s="35">
        <v>2.69</v>
      </c>
      <c r="S35" s="35">
        <v>2.4350000000000001</v>
      </c>
      <c r="T35" s="35">
        <v>2.3090000000000002</v>
      </c>
      <c r="U35" s="35">
        <v>2.2519999999999998</v>
      </c>
    </row>
    <row r="36" spans="1:21" ht="15" customHeight="1" outlineLevel="3">
      <c r="A36" s="39" t="s">
        <v>150</v>
      </c>
      <c r="B36" s="33">
        <v>23.574999999999999</v>
      </c>
      <c r="C36" s="33">
        <v>21.981999999999999</v>
      </c>
      <c r="D36" s="33">
        <v>21.562999999999999</v>
      </c>
      <c r="E36" s="33">
        <v>19.864999999999998</v>
      </c>
      <c r="F36" s="33">
        <v>18.991</v>
      </c>
      <c r="G36" s="33">
        <v>18.922000000000001</v>
      </c>
      <c r="H36" s="33">
        <v>18.018000000000001</v>
      </c>
      <c r="I36" s="33">
        <v>17.225000000000001</v>
      </c>
      <c r="J36" s="33">
        <v>17.155000000000001</v>
      </c>
      <c r="K36" s="33">
        <v>16.233000000000001</v>
      </c>
      <c r="L36" s="33">
        <v>13.031000000000001</v>
      </c>
      <c r="M36" s="33">
        <v>12.86</v>
      </c>
      <c r="N36" s="33">
        <v>14.045999999999999</v>
      </c>
      <c r="O36" s="33">
        <v>13.907999999999999</v>
      </c>
      <c r="P36" s="33">
        <v>13.446</v>
      </c>
      <c r="Q36" s="33">
        <v>12.243</v>
      </c>
      <c r="R36" s="33">
        <v>11.868</v>
      </c>
      <c r="S36" s="33">
        <v>11.095000000000001</v>
      </c>
      <c r="T36" s="33">
        <v>10.065</v>
      </c>
      <c r="U36" s="33">
        <v>9.7059999999999995</v>
      </c>
    </row>
    <row r="37" spans="1:21" ht="15" customHeight="1" outlineLevel="3">
      <c r="A37" s="40" t="s">
        <v>151</v>
      </c>
      <c r="B37" s="35">
        <v>5.6000000000000001E-2</v>
      </c>
      <c r="C37" s="35">
        <v>2.5000000000000001E-2</v>
      </c>
      <c r="D37" s="35">
        <v>1.6E-2</v>
      </c>
      <c r="E37" s="35">
        <v>0.03</v>
      </c>
      <c r="F37" s="35">
        <v>3.2000000000000001E-2</v>
      </c>
      <c r="G37" s="35">
        <v>3.1E-2</v>
      </c>
      <c r="H37" s="35">
        <v>1.2E-2</v>
      </c>
      <c r="I37" s="35">
        <v>3.0000000000000001E-3</v>
      </c>
      <c r="J37" s="35">
        <v>0.01</v>
      </c>
      <c r="K37" s="28"/>
      <c r="L37" s="28"/>
      <c r="M37" s="28"/>
      <c r="N37" s="28"/>
      <c r="O37" s="28"/>
      <c r="P37" s="28"/>
      <c r="Q37" s="35">
        <v>1.0999999999999999E-2</v>
      </c>
      <c r="R37" s="35">
        <v>1.4E-2</v>
      </c>
      <c r="S37" s="35">
        <v>8.0000000000000002E-3</v>
      </c>
      <c r="T37" s="35">
        <v>2.7E-2</v>
      </c>
      <c r="U37" s="35">
        <v>3.0000000000000001E-3</v>
      </c>
    </row>
    <row r="38" spans="1:21" ht="15" customHeight="1" outlineLevel="3">
      <c r="A38" s="39" t="s">
        <v>152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33">
        <v>6.3E-2</v>
      </c>
    </row>
    <row r="39" spans="1:21" ht="15" customHeight="1" outlineLevel="3">
      <c r="A39" s="40" t="s">
        <v>153</v>
      </c>
      <c r="B39" s="35">
        <v>11.554</v>
      </c>
      <c r="C39" s="35">
        <v>10.988</v>
      </c>
      <c r="D39" s="35">
        <v>10.677</v>
      </c>
      <c r="E39" s="35">
        <v>10.083</v>
      </c>
      <c r="F39" s="35">
        <v>9.4540000000000006</v>
      </c>
      <c r="G39" s="35">
        <v>9.2720000000000002</v>
      </c>
      <c r="H39" s="35">
        <v>8.6890000000000001</v>
      </c>
      <c r="I39" s="35">
        <v>8.0990000000000002</v>
      </c>
      <c r="J39" s="35">
        <v>7.8920000000000003</v>
      </c>
      <c r="K39" s="35">
        <v>7.452</v>
      </c>
      <c r="L39" s="35">
        <v>5.3650000000000002</v>
      </c>
      <c r="M39" s="35">
        <v>5.1340000000000003</v>
      </c>
      <c r="N39" s="35">
        <v>5.7750000000000004</v>
      </c>
      <c r="O39" s="35">
        <v>5.617</v>
      </c>
      <c r="P39" s="35">
        <v>5.3639999999999999</v>
      </c>
      <c r="Q39" s="35">
        <v>5.1059999999999999</v>
      </c>
      <c r="R39" s="35">
        <v>5.1920000000000002</v>
      </c>
      <c r="S39" s="35">
        <v>4.7370000000000001</v>
      </c>
      <c r="T39" s="35">
        <v>4.4080000000000004</v>
      </c>
      <c r="U39" s="35">
        <v>4.0670000000000002</v>
      </c>
    </row>
    <row r="40" spans="1:21" ht="15" customHeight="1" outlineLevel="1">
      <c r="A40" s="36" t="s">
        <v>156</v>
      </c>
      <c r="B40" s="37">
        <v>15.807</v>
      </c>
      <c r="C40" s="37">
        <v>15.307</v>
      </c>
      <c r="D40" s="37">
        <v>14.672000000000001</v>
      </c>
      <c r="E40" s="37">
        <v>16.341999999999999</v>
      </c>
      <c r="F40" s="37">
        <v>15.762</v>
      </c>
      <c r="G40" s="37">
        <v>15.537000000000001</v>
      </c>
      <c r="H40" s="37">
        <v>13.194000000000001</v>
      </c>
      <c r="I40" s="37">
        <v>12.72</v>
      </c>
      <c r="J40" s="37">
        <v>12.372999999999999</v>
      </c>
      <c r="K40" s="37">
        <v>11.829000000000001</v>
      </c>
      <c r="L40" s="37">
        <v>12.231999999999999</v>
      </c>
      <c r="M40" s="37">
        <v>10.683</v>
      </c>
      <c r="N40" s="37">
        <v>10.061999999999999</v>
      </c>
      <c r="O40" s="37">
        <v>10.186</v>
      </c>
      <c r="P40" s="37">
        <v>10.076000000000001</v>
      </c>
      <c r="Q40" s="37">
        <v>9.4440000000000008</v>
      </c>
      <c r="R40" s="37">
        <v>7.4050000000000002</v>
      </c>
      <c r="S40" s="37">
        <v>10.74</v>
      </c>
      <c r="T40" s="37">
        <v>10.419</v>
      </c>
      <c r="U40" s="37">
        <v>9.5489999999999995</v>
      </c>
    </row>
    <row r="41" spans="1:21" ht="15" customHeight="1" outlineLevel="2">
      <c r="A41" s="34" t="s">
        <v>157</v>
      </c>
      <c r="B41" s="35">
        <v>7.5999999999999998E-2</v>
      </c>
      <c r="C41" s="35">
        <v>5.2999999999999999E-2</v>
      </c>
      <c r="D41" s="35">
        <v>6.6000000000000003E-2</v>
      </c>
      <c r="E41" s="35">
        <v>2.4E-2</v>
      </c>
      <c r="F41" s="35">
        <v>0</v>
      </c>
      <c r="G41" s="35">
        <v>4.0000000000000001E-3</v>
      </c>
      <c r="H41" s="35">
        <v>1.9E-2</v>
      </c>
      <c r="I41" s="35">
        <v>0.14299999999999999</v>
      </c>
      <c r="J41" s="35">
        <v>9.2999999999999999E-2</v>
      </c>
      <c r="K41" s="35">
        <v>0.152</v>
      </c>
      <c r="L41" s="35">
        <v>1.6659999999999999</v>
      </c>
      <c r="M41" s="35">
        <v>0</v>
      </c>
      <c r="N41" s="28"/>
      <c r="O41" s="28"/>
      <c r="P41" s="28"/>
      <c r="Q41" s="28"/>
      <c r="R41" s="28"/>
      <c r="S41" s="28"/>
      <c r="T41" s="28"/>
      <c r="U41" s="28"/>
    </row>
    <row r="42" spans="1:21" ht="15" customHeight="1" outlineLevel="2">
      <c r="A42" s="32" t="s">
        <v>158</v>
      </c>
      <c r="B42" s="33">
        <v>14.750999999999999</v>
      </c>
      <c r="C42" s="33">
        <v>14.398999999999999</v>
      </c>
      <c r="D42" s="33">
        <v>13.878</v>
      </c>
      <c r="E42" s="33">
        <v>15.726000000000001</v>
      </c>
      <c r="F42" s="33">
        <v>15.106999999999999</v>
      </c>
      <c r="G42" s="33">
        <v>14.693</v>
      </c>
      <c r="H42" s="33">
        <v>12.423</v>
      </c>
      <c r="I42" s="33">
        <v>12.371</v>
      </c>
      <c r="J42" s="33">
        <v>11.83</v>
      </c>
      <c r="K42" s="33">
        <v>11.266</v>
      </c>
      <c r="L42" s="33">
        <v>10.038</v>
      </c>
      <c r="M42" s="33">
        <v>10.009</v>
      </c>
      <c r="N42" s="33">
        <v>9.2509999999999994</v>
      </c>
      <c r="O42" s="33">
        <v>9.5259999999999998</v>
      </c>
      <c r="P42" s="33">
        <v>9.4559999999999995</v>
      </c>
      <c r="Q42" s="33">
        <v>8.7769999999999992</v>
      </c>
      <c r="R42" s="33">
        <v>7.3959999999999999</v>
      </c>
      <c r="S42" s="33">
        <v>10.007999999999999</v>
      </c>
      <c r="T42" s="33">
        <v>10.411</v>
      </c>
      <c r="U42" s="33">
        <v>9.5489999999999995</v>
      </c>
    </row>
    <row r="43" spans="1:21" ht="15" customHeight="1" outlineLevel="2">
      <c r="A43" s="34" t="s">
        <v>159</v>
      </c>
      <c r="B43" s="35">
        <v>0.98</v>
      </c>
      <c r="C43" s="35">
        <v>0.85499999999999998</v>
      </c>
      <c r="D43" s="35">
        <v>0.72799999999999998</v>
      </c>
      <c r="E43" s="35">
        <v>0.59199999999999997</v>
      </c>
      <c r="F43" s="35">
        <v>0.65500000000000003</v>
      </c>
      <c r="G43" s="35">
        <v>0.84</v>
      </c>
      <c r="H43" s="35">
        <v>0.752</v>
      </c>
      <c r="I43" s="35">
        <v>0.20599999999999999</v>
      </c>
      <c r="J43" s="35">
        <v>0.45</v>
      </c>
      <c r="K43" s="35">
        <v>0.41099999999999998</v>
      </c>
      <c r="L43" s="35">
        <v>0.52800000000000002</v>
      </c>
      <c r="M43" s="35">
        <v>0.67400000000000004</v>
      </c>
      <c r="N43" s="35">
        <v>0.81100000000000005</v>
      </c>
      <c r="O43" s="35">
        <v>0.66</v>
      </c>
      <c r="P43" s="35">
        <v>0.62</v>
      </c>
      <c r="Q43" s="35">
        <v>0.66700000000000004</v>
      </c>
      <c r="R43" s="35">
        <v>8.9999999999999993E-3</v>
      </c>
      <c r="S43" s="35">
        <v>0.73199999999999998</v>
      </c>
      <c r="T43" s="35">
        <v>8.0000000000000002E-3</v>
      </c>
      <c r="U43" s="28"/>
    </row>
    <row r="44" spans="1:21" ht="15" customHeight="1" outlineLevel="1">
      <c r="A44" s="36" t="s">
        <v>160</v>
      </c>
      <c r="B44" s="37">
        <v>10.552</v>
      </c>
      <c r="C44" s="37">
        <v>11.055</v>
      </c>
      <c r="D44" s="37">
        <v>10.254</v>
      </c>
      <c r="E44" s="37">
        <v>9.15</v>
      </c>
      <c r="F44" s="37">
        <v>9.2880000000000003</v>
      </c>
      <c r="G44" s="37">
        <v>10.097</v>
      </c>
      <c r="H44" s="37">
        <v>10.879</v>
      </c>
      <c r="I44" s="37">
        <v>11.663</v>
      </c>
      <c r="J44" s="37">
        <v>12.173999999999999</v>
      </c>
      <c r="K44" s="37">
        <v>12.49</v>
      </c>
      <c r="L44" s="37">
        <v>7.3380000000000001</v>
      </c>
      <c r="M44" s="37">
        <v>7.1779999999999999</v>
      </c>
      <c r="N44" s="37">
        <v>6.798</v>
      </c>
      <c r="O44" s="37">
        <v>5.6539999999999999</v>
      </c>
      <c r="P44" s="37">
        <v>6.2670000000000003</v>
      </c>
      <c r="Q44" s="37">
        <v>6.2050000000000001</v>
      </c>
      <c r="R44" s="37">
        <v>6.492</v>
      </c>
      <c r="S44" s="37">
        <v>4.4359999999999999</v>
      </c>
      <c r="T44" s="37">
        <v>4.3250000000000002</v>
      </c>
      <c r="U44" s="37">
        <v>4.0140000000000002</v>
      </c>
    </row>
    <row r="45" spans="1:21" ht="15" customHeight="1" outlineLevel="2">
      <c r="A45" s="34" t="s">
        <v>161</v>
      </c>
      <c r="B45" s="35">
        <v>6.4989999999999997</v>
      </c>
      <c r="C45" s="35">
        <v>6.617</v>
      </c>
      <c r="D45" s="35">
        <v>5.952</v>
      </c>
      <c r="E45" s="35">
        <v>8.4700000000000006</v>
      </c>
      <c r="F45" s="35">
        <v>8.65</v>
      </c>
      <c r="G45" s="35">
        <v>9.4</v>
      </c>
      <c r="H45" s="35">
        <v>9.9209999999999994</v>
      </c>
      <c r="I45" s="35">
        <v>10.521000000000001</v>
      </c>
      <c r="J45" s="35">
        <v>5.117</v>
      </c>
      <c r="K45" s="35">
        <v>5.0890000000000004</v>
      </c>
      <c r="L45" s="35">
        <v>4.72</v>
      </c>
      <c r="M45" s="35">
        <v>4.6509999999999998</v>
      </c>
      <c r="N45" s="35">
        <v>4.6820000000000004</v>
      </c>
      <c r="O45" s="35">
        <v>4.1210000000000004</v>
      </c>
      <c r="P45" s="35">
        <v>4.5810000000000004</v>
      </c>
      <c r="Q45" s="35">
        <v>4.4489999999999998</v>
      </c>
      <c r="R45" s="35">
        <v>4.4109999999999996</v>
      </c>
      <c r="S45" s="35">
        <v>3.35</v>
      </c>
      <c r="T45" s="35">
        <v>3.2530000000000001</v>
      </c>
      <c r="U45" s="35">
        <v>3.0840000000000001</v>
      </c>
    </row>
    <row r="46" spans="1:21" ht="15" customHeight="1" outlineLevel="2">
      <c r="A46" s="32" t="s">
        <v>162</v>
      </c>
      <c r="B46" s="33">
        <v>4.0529999999999999</v>
      </c>
      <c r="C46" s="33">
        <v>4.4379999999999997</v>
      </c>
      <c r="D46" s="33">
        <v>4.3019999999999996</v>
      </c>
      <c r="E46" s="33">
        <v>0.68</v>
      </c>
      <c r="F46" s="33">
        <v>0.63800000000000001</v>
      </c>
      <c r="G46" s="33">
        <v>0.69699999999999995</v>
      </c>
      <c r="H46" s="33">
        <v>0.95799999999999996</v>
      </c>
      <c r="I46" s="33">
        <v>1.1419999999999999</v>
      </c>
      <c r="J46" s="33">
        <v>7.0570000000000004</v>
      </c>
      <c r="K46" s="33">
        <v>7.4009999999999998</v>
      </c>
      <c r="L46" s="33">
        <v>2.6179999999999999</v>
      </c>
      <c r="M46" s="33">
        <v>2.5270000000000001</v>
      </c>
      <c r="N46" s="33">
        <v>2.1160000000000001</v>
      </c>
      <c r="O46" s="33">
        <v>1.5329999999999999</v>
      </c>
      <c r="P46" s="33">
        <v>1.6859999999999999</v>
      </c>
      <c r="Q46" s="33">
        <v>1.756</v>
      </c>
      <c r="R46" s="33">
        <v>2.081</v>
      </c>
      <c r="S46" s="33">
        <v>1.0860000000000001</v>
      </c>
      <c r="T46" s="33">
        <v>1.0720000000000001</v>
      </c>
      <c r="U46" s="33">
        <v>0.93</v>
      </c>
    </row>
    <row r="47" spans="1:21" ht="15" customHeight="1" outlineLevel="1">
      <c r="A47" s="42" t="s">
        <v>163</v>
      </c>
      <c r="B47" s="35">
        <v>5.3209999999999997</v>
      </c>
      <c r="C47" s="35">
        <v>5.0739999999999998</v>
      </c>
      <c r="D47" s="35">
        <v>4.8630000000000004</v>
      </c>
      <c r="E47" s="35">
        <v>4.532</v>
      </c>
      <c r="F47" s="35">
        <v>4.1109999999999998</v>
      </c>
      <c r="G47" s="35">
        <v>4.2939999999999996</v>
      </c>
      <c r="H47" s="35">
        <v>3.8849999999999998</v>
      </c>
      <c r="I47" s="35">
        <v>3.899</v>
      </c>
      <c r="J47" s="35">
        <v>5.5540000000000003</v>
      </c>
      <c r="K47" s="35">
        <v>5.4029999999999996</v>
      </c>
      <c r="L47" s="35">
        <v>4.3579999999999997</v>
      </c>
      <c r="M47" s="35">
        <v>3.0379999999999998</v>
      </c>
      <c r="N47" s="35">
        <v>2.8260000000000001</v>
      </c>
      <c r="O47" s="35">
        <v>2.1360000000000001</v>
      </c>
      <c r="P47" s="35">
        <v>1.877</v>
      </c>
      <c r="Q47" s="35">
        <v>1.7549999999999999</v>
      </c>
      <c r="R47" s="35">
        <v>1.756</v>
      </c>
      <c r="S47" s="35">
        <v>1.7889999999999999</v>
      </c>
      <c r="T47" s="35">
        <v>2.3580000000000001</v>
      </c>
      <c r="U47" s="35">
        <v>2.371</v>
      </c>
    </row>
    <row r="48" spans="1:21" ht="15" customHeight="1" outlineLevel="1">
      <c r="A48" s="36" t="s">
        <v>164</v>
      </c>
      <c r="B48" s="37">
        <v>2.3650000000000002</v>
      </c>
      <c r="C48" s="37">
        <v>1.4750000000000001</v>
      </c>
      <c r="D48" s="37">
        <v>1.353</v>
      </c>
      <c r="E48" s="37">
        <v>1.8640000000000001</v>
      </c>
      <c r="F48" s="37">
        <v>0.999</v>
      </c>
      <c r="G48" s="37">
        <v>0.52200000000000002</v>
      </c>
      <c r="H48" s="37">
        <v>0.377</v>
      </c>
      <c r="I48" s="37">
        <v>0.34300000000000003</v>
      </c>
      <c r="J48" s="37">
        <v>0.20699999999999999</v>
      </c>
      <c r="K48" s="37">
        <v>0.161</v>
      </c>
      <c r="L48" s="37">
        <v>0.16900000000000001</v>
      </c>
      <c r="M48" s="37">
        <v>1.669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</row>
    <row r="49" spans="1:21" ht="15" customHeight="1" outlineLevel="2">
      <c r="A49" s="34" t="s">
        <v>165</v>
      </c>
      <c r="B49" s="35">
        <v>0.48899999999999999</v>
      </c>
      <c r="C49" s="35">
        <v>0.54</v>
      </c>
      <c r="D49" s="35">
        <v>0.112</v>
      </c>
      <c r="E49" s="35">
        <v>0.105</v>
      </c>
      <c r="F49" s="35">
        <v>0.115</v>
      </c>
      <c r="G49" s="28"/>
      <c r="H49" s="28"/>
      <c r="I49" s="28"/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</row>
    <row r="50" spans="1:21" ht="15" customHeight="1" outlineLevel="2">
      <c r="A50" s="32" t="s">
        <v>166</v>
      </c>
      <c r="B50" s="33">
        <v>1.8759999999999999</v>
      </c>
      <c r="C50" s="33">
        <v>0.93500000000000005</v>
      </c>
      <c r="D50" s="33">
        <v>1.2410000000000001</v>
      </c>
      <c r="E50" s="33">
        <v>1.7589999999999999</v>
      </c>
      <c r="F50" s="33">
        <v>0.88400000000000001</v>
      </c>
      <c r="G50" s="33">
        <v>0.52200000000000002</v>
      </c>
      <c r="H50" s="33">
        <v>0.377</v>
      </c>
      <c r="I50" s="33">
        <v>0.34300000000000003</v>
      </c>
      <c r="J50" s="33">
        <v>0.20699999999999999</v>
      </c>
      <c r="K50" s="33">
        <v>0.161</v>
      </c>
      <c r="L50" s="33">
        <v>0.16900000000000001</v>
      </c>
      <c r="M50" s="33">
        <v>1.669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</row>
    <row r="51" spans="1:21" ht="15" customHeight="1" outlineLevel="1">
      <c r="A51" s="42" t="s">
        <v>167</v>
      </c>
      <c r="B51" s="35">
        <v>115.898</v>
      </c>
      <c r="C51" s="35">
        <v>111.387</v>
      </c>
      <c r="D51" s="35">
        <v>103.107</v>
      </c>
      <c r="E51" s="35">
        <v>100.499</v>
      </c>
      <c r="F51" s="35">
        <v>94.15</v>
      </c>
      <c r="G51" s="35">
        <v>90.784999999999997</v>
      </c>
      <c r="H51" s="35">
        <v>84.938000000000002</v>
      </c>
      <c r="I51" s="35">
        <v>81.87</v>
      </c>
      <c r="J51" s="35">
        <v>82.900999999999996</v>
      </c>
      <c r="K51" s="35">
        <v>78.197999999999993</v>
      </c>
      <c r="L51" s="35">
        <v>62.576999999999998</v>
      </c>
      <c r="M51" s="35">
        <v>55.725000000000001</v>
      </c>
      <c r="N51" s="35">
        <v>56.326000000000001</v>
      </c>
      <c r="O51" s="35">
        <v>54.616</v>
      </c>
      <c r="P51" s="35">
        <v>52.683</v>
      </c>
      <c r="Q51" s="35">
        <v>47.509</v>
      </c>
      <c r="R51" s="35">
        <v>46.761000000000003</v>
      </c>
      <c r="S51" s="35">
        <v>48.567999999999998</v>
      </c>
      <c r="T51" s="35">
        <v>46.94</v>
      </c>
      <c r="U51" s="35">
        <v>45.554000000000002</v>
      </c>
    </row>
    <row r="52" spans="1:21" ht="15" customHeight="1">
      <c r="A52" s="29" t="s">
        <v>168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spans="1:21" ht="15" customHeight="1" outlineLevel="1">
      <c r="A53" s="30" t="s">
        <v>169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</row>
    <row r="54" spans="1:21" ht="15" customHeight="1" outlineLevel="2">
      <c r="A54" s="32" t="s">
        <v>170</v>
      </c>
      <c r="B54" s="33">
        <v>2.016</v>
      </c>
      <c r="C54" s="33">
        <v>2.16</v>
      </c>
      <c r="D54" s="33">
        <v>1.79</v>
      </c>
      <c r="E54" s="33">
        <v>0.98699999999999999</v>
      </c>
      <c r="F54" s="33">
        <v>1.32</v>
      </c>
      <c r="G54" s="33">
        <v>1.218</v>
      </c>
      <c r="H54" s="33">
        <v>0.80100000000000005</v>
      </c>
      <c r="I54" s="33">
        <v>0.76300000000000001</v>
      </c>
      <c r="J54" s="33">
        <v>1.528</v>
      </c>
      <c r="K54" s="33">
        <v>2.1949999999999998</v>
      </c>
      <c r="L54" s="33">
        <v>0.27200000000000002</v>
      </c>
      <c r="M54" s="33">
        <v>0.68500000000000005</v>
      </c>
      <c r="N54" s="33">
        <v>1.4710000000000001</v>
      </c>
      <c r="O54" s="33">
        <v>0.54900000000000004</v>
      </c>
      <c r="P54" s="33">
        <v>0.36199999999999999</v>
      </c>
      <c r="Q54" s="33">
        <v>0.83699999999999997</v>
      </c>
      <c r="R54" s="33">
        <v>0.71299999999999997</v>
      </c>
      <c r="S54" s="33">
        <v>0.505</v>
      </c>
      <c r="T54" s="33">
        <v>0.47299999999999998</v>
      </c>
      <c r="U54" s="33">
        <v>2.105</v>
      </c>
    </row>
    <row r="55" spans="1:21" ht="15" customHeight="1" outlineLevel="2">
      <c r="A55" s="34" t="s">
        <v>171</v>
      </c>
      <c r="B55" s="35">
        <v>13.198</v>
      </c>
      <c r="C55" s="35">
        <v>12.205</v>
      </c>
      <c r="D55" s="35">
        <v>10.760999999999999</v>
      </c>
      <c r="E55" s="35">
        <v>9.9480000000000004</v>
      </c>
      <c r="F55" s="35">
        <v>8.3350000000000009</v>
      </c>
      <c r="G55" s="35">
        <v>7.673</v>
      </c>
      <c r="H55" s="35">
        <v>7.6269999999999998</v>
      </c>
      <c r="I55" s="35">
        <v>7.4210000000000003</v>
      </c>
      <c r="J55" s="35">
        <v>6.8849999999999998</v>
      </c>
      <c r="K55" s="35">
        <v>6.1840000000000002</v>
      </c>
      <c r="L55" s="35">
        <v>3.5990000000000002</v>
      </c>
      <c r="M55" s="35">
        <v>3.2349999999999999</v>
      </c>
      <c r="N55" s="35">
        <v>4.0339999999999998</v>
      </c>
      <c r="O55" s="35">
        <v>4.2409999999999997</v>
      </c>
      <c r="P55" s="35">
        <v>3.895</v>
      </c>
      <c r="Q55" s="35">
        <v>2.9159999999999999</v>
      </c>
      <c r="R55" s="35">
        <v>3.2250000000000001</v>
      </c>
      <c r="S55" s="35">
        <v>3.6560000000000001</v>
      </c>
      <c r="T55" s="35">
        <v>3.2450000000000001</v>
      </c>
      <c r="U55" s="35">
        <v>3.1469999999999998</v>
      </c>
    </row>
    <row r="56" spans="1:21" ht="15" customHeight="1" outlineLevel="2">
      <c r="A56" s="32" t="s">
        <v>172</v>
      </c>
      <c r="B56" s="33">
        <v>0.69699999999999995</v>
      </c>
      <c r="C56" s="33">
        <v>0.67500000000000004</v>
      </c>
      <c r="D56" s="33">
        <v>0.73799999999999999</v>
      </c>
      <c r="E56" s="33">
        <v>0.72799999999999998</v>
      </c>
      <c r="F56" s="33">
        <v>0.66700000000000004</v>
      </c>
      <c r="G56" s="33">
        <v>0.36</v>
      </c>
      <c r="H56" s="33">
        <v>0.45500000000000002</v>
      </c>
      <c r="I56" s="33">
        <v>0.32900000000000001</v>
      </c>
      <c r="J56" s="33">
        <v>0.34799999999999998</v>
      </c>
      <c r="K56" s="33">
        <v>0.34200000000000003</v>
      </c>
      <c r="L56" s="33">
        <v>0.438</v>
      </c>
      <c r="M56" s="33">
        <v>0.69099999999999995</v>
      </c>
      <c r="N56" s="33">
        <v>0.53800000000000003</v>
      </c>
      <c r="O56" s="33">
        <v>0.58899999999999997</v>
      </c>
      <c r="P56" s="33">
        <v>0.63800000000000001</v>
      </c>
      <c r="Q56" s="33">
        <v>0.30299999999999999</v>
      </c>
      <c r="R56" s="33">
        <v>0.32900000000000001</v>
      </c>
      <c r="S56" s="33">
        <v>0.69299999999999995</v>
      </c>
      <c r="T56" s="33">
        <v>0.433</v>
      </c>
      <c r="U56" s="33">
        <v>0.38500000000000001</v>
      </c>
    </row>
    <row r="57" spans="1:21" ht="15" customHeight="1" outlineLevel="2">
      <c r="A57" s="38" t="s">
        <v>173</v>
      </c>
      <c r="B57" s="31">
        <v>16.896999999999998</v>
      </c>
      <c r="C57" s="31">
        <v>16.579000000000001</v>
      </c>
      <c r="D57" s="31">
        <v>15.952</v>
      </c>
      <c r="E57" s="31">
        <v>16.574999999999999</v>
      </c>
      <c r="F57" s="31">
        <v>14.439</v>
      </c>
      <c r="G57" s="31">
        <v>12.925000000000001</v>
      </c>
      <c r="H57" s="31">
        <v>12.68</v>
      </c>
      <c r="I57" s="31">
        <v>11.315</v>
      </c>
      <c r="J57" s="31">
        <v>11.294</v>
      </c>
      <c r="K57" s="31">
        <v>9.157</v>
      </c>
      <c r="L57" s="31">
        <v>7.7670000000000003</v>
      </c>
      <c r="M57" s="31">
        <v>6.984</v>
      </c>
      <c r="N57" s="31">
        <v>6.9050000000000002</v>
      </c>
      <c r="O57" s="31">
        <v>7.1420000000000003</v>
      </c>
      <c r="P57" s="31">
        <v>7.2690000000000001</v>
      </c>
      <c r="Q57" s="31">
        <v>6.7949999999999999</v>
      </c>
      <c r="R57" s="31">
        <v>6.9779999999999998</v>
      </c>
      <c r="S57" s="31">
        <v>6.8710000000000004</v>
      </c>
      <c r="T57" s="31">
        <v>6.6180000000000003</v>
      </c>
      <c r="U57" s="31">
        <v>6.3769999999999998</v>
      </c>
    </row>
    <row r="58" spans="1:21" ht="15" customHeight="1" outlineLevel="3">
      <c r="A58" s="39" t="s">
        <v>174</v>
      </c>
      <c r="B58" s="33">
        <v>4.6989999999999998</v>
      </c>
      <c r="C58" s="33">
        <v>4.133</v>
      </c>
      <c r="D58" s="33">
        <v>4.1980000000000004</v>
      </c>
      <c r="E58" s="33">
        <v>4.1619999999999999</v>
      </c>
      <c r="F58" s="33">
        <v>3.7170000000000001</v>
      </c>
      <c r="G58" s="33">
        <v>3.141</v>
      </c>
      <c r="H58" s="33">
        <v>3.355</v>
      </c>
      <c r="I58" s="33">
        <v>3.4569999999999999</v>
      </c>
      <c r="J58" s="33">
        <v>3.2080000000000002</v>
      </c>
      <c r="K58" s="33">
        <v>2.8809999999999998</v>
      </c>
      <c r="L58" s="33">
        <v>2.38</v>
      </c>
      <c r="M58" s="33">
        <v>1.4390000000000001</v>
      </c>
      <c r="N58" s="33">
        <v>1.3720000000000001</v>
      </c>
      <c r="O58" s="33">
        <v>1.532</v>
      </c>
      <c r="P58" s="33">
        <v>1.4359999999999999</v>
      </c>
      <c r="Q58" s="33">
        <v>0.94899999999999995</v>
      </c>
      <c r="R58" s="33">
        <v>1.2729999999999999</v>
      </c>
      <c r="S58" s="33">
        <v>1.5</v>
      </c>
      <c r="T58" s="33">
        <v>1.4019999999999999</v>
      </c>
      <c r="U58" s="33">
        <v>1.278</v>
      </c>
    </row>
    <row r="59" spans="1:21" ht="15" customHeight="1" outlineLevel="3">
      <c r="A59" s="40" t="s">
        <v>175</v>
      </c>
      <c r="B59" s="35">
        <v>12.198</v>
      </c>
      <c r="C59" s="35">
        <v>12.446</v>
      </c>
      <c r="D59" s="35">
        <v>11.754</v>
      </c>
      <c r="E59" s="35">
        <v>12.413</v>
      </c>
      <c r="F59" s="35">
        <v>10.722</v>
      </c>
      <c r="G59" s="35">
        <v>9.7840000000000007</v>
      </c>
      <c r="H59" s="35">
        <v>9.3249999999999993</v>
      </c>
      <c r="I59" s="35">
        <v>7.8579999999999997</v>
      </c>
      <c r="J59" s="35">
        <v>8.0860000000000003</v>
      </c>
      <c r="K59" s="35">
        <v>6.2759999999999998</v>
      </c>
      <c r="L59" s="35">
        <v>5.3869999999999996</v>
      </c>
      <c r="M59" s="35">
        <v>5.5449999999999999</v>
      </c>
      <c r="N59" s="35">
        <v>5.5330000000000004</v>
      </c>
      <c r="O59" s="35">
        <v>5.61</v>
      </c>
      <c r="P59" s="35">
        <v>5.8330000000000002</v>
      </c>
      <c r="Q59" s="35">
        <v>5.8460000000000001</v>
      </c>
      <c r="R59" s="35">
        <v>5.7050000000000001</v>
      </c>
      <c r="S59" s="35">
        <v>5.3710000000000004</v>
      </c>
      <c r="T59" s="35">
        <v>5.2160000000000002</v>
      </c>
      <c r="U59" s="35">
        <v>5.0990000000000002</v>
      </c>
    </row>
    <row r="60" spans="1:21" ht="15" customHeight="1" outlineLevel="2">
      <c r="A60" s="32" t="s">
        <v>176</v>
      </c>
      <c r="B60" s="33">
        <v>32.808</v>
      </c>
      <c r="C60" s="33">
        <v>31.619</v>
      </c>
      <c r="D60" s="33">
        <v>29.241</v>
      </c>
      <c r="E60" s="33">
        <v>28.238</v>
      </c>
      <c r="F60" s="33">
        <v>24.760999999999999</v>
      </c>
      <c r="G60" s="33">
        <v>22.175999999999998</v>
      </c>
      <c r="H60" s="33">
        <v>21.562999999999999</v>
      </c>
      <c r="I60" s="33">
        <v>19.827999999999999</v>
      </c>
      <c r="J60" s="33">
        <v>20.055</v>
      </c>
      <c r="K60" s="33">
        <v>17.878</v>
      </c>
      <c r="L60" s="33">
        <v>12.076000000000001</v>
      </c>
      <c r="M60" s="33">
        <v>11.595000000000001</v>
      </c>
      <c r="N60" s="33">
        <v>12.948</v>
      </c>
      <c r="O60" s="33">
        <v>12.521000000000001</v>
      </c>
      <c r="P60" s="33">
        <v>12.164</v>
      </c>
      <c r="Q60" s="33">
        <v>10.851000000000001</v>
      </c>
      <c r="R60" s="33">
        <v>11.244999999999999</v>
      </c>
      <c r="S60" s="33">
        <v>11.725</v>
      </c>
      <c r="T60" s="33">
        <v>10.769</v>
      </c>
      <c r="U60" s="33">
        <v>12.013999999999999</v>
      </c>
    </row>
    <row r="61" spans="1:21" ht="15" customHeight="1" outlineLevel="1">
      <c r="A61" s="30" t="s">
        <v>177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</row>
    <row r="62" spans="1:21" ht="15" customHeight="1" outlineLevel="2">
      <c r="A62" s="43" t="s">
        <v>178</v>
      </c>
      <c r="B62" s="37">
        <v>11.882</v>
      </c>
      <c r="C62" s="37">
        <v>11.945</v>
      </c>
      <c r="D62" s="37">
        <v>6.9489999999999998</v>
      </c>
      <c r="E62" s="37">
        <v>5.7939999999999996</v>
      </c>
      <c r="F62" s="37">
        <v>7.0839999999999996</v>
      </c>
      <c r="G62" s="37">
        <v>5.6449999999999996</v>
      </c>
      <c r="H62" s="37">
        <v>4.5609999999999999</v>
      </c>
      <c r="I62" s="37">
        <v>5.1070000000000002</v>
      </c>
      <c r="J62" s="37">
        <v>5.6260000000000003</v>
      </c>
      <c r="K62" s="37">
        <v>5.343</v>
      </c>
      <c r="L62" s="37">
        <v>5.0519999999999996</v>
      </c>
      <c r="M62" s="37">
        <v>4.032</v>
      </c>
      <c r="N62" s="37">
        <v>3.3540000000000001</v>
      </c>
      <c r="O62" s="37">
        <v>3.9380000000000002</v>
      </c>
      <c r="P62" s="37">
        <v>3.5150000000000001</v>
      </c>
      <c r="Q62" s="37">
        <v>3.5409999999999999</v>
      </c>
      <c r="R62" s="37">
        <v>2.1070000000000002</v>
      </c>
      <c r="S62" s="37">
        <v>2.0710000000000002</v>
      </c>
      <c r="T62" s="37">
        <v>2.173</v>
      </c>
      <c r="U62" s="37">
        <v>1.048</v>
      </c>
    </row>
    <row r="63" spans="1:21" ht="15" customHeight="1" outlineLevel="3">
      <c r="A63" s="40" t="s">
        <v>178</v>
      </c>
      <c r="B63" s="35">
        <v>9.7539999999999996</v>
      </c>
      <c r="C63" s="35">
        <v>10.147</v>
      </c>
      <c r="D63" s="35">
        <v>5.3140000000000001</v>
      </c>
      <c r="E63" s="35">
        <v>4.2380000000000004</v>
      </c>
      <c r="F63" s="35">
        <v>5.5430000000000001</v>
      </c>
      <c r="G63" s="35">
        <v>4.0369999999999999</v>
      </c>
      <c r="H63" s="35">
        <v>4.5430000000000001</v>
      </c>
      <c r="I63" s="35">
        <v>5.0890000000000004</v>
      </c>
      <c r="J63" s="35">
        <v>5.6040000000000001</v>
      </c>
      <c r="K63" s="35">
        <v>5.32</v>
      </c>
      <c r="L63" s="35">
        <v>5.0380000000000003</v>
      </c>
      <c r="M63" s="35">
        <v>4.0209999999999999</v>
      </c>
      <c r="N63" s="35">
        <v>3.3380000000000001</v>
      </c>
      <c r="O63" s="35">
        <v>3.9180000000000001</v>
      </c>
      <c r="P63" s="35">
        <v>3.4889999999999999</v>
      </c>
      <c r="Q63" s="35">
        <v>3.5150000000000001</v>
      </c>
      <c r="R63" s="35">
        <v>2.0720000000000001</v>
      </c>
      <c r="S63" s="35">
        <v>2.0310000000000001</v>
      </c>
      <c r="T63" s="35">
        <v>2.129</v>
      </c>
      <c r="U63" s="35">
        <v>0.995</v>
      </c>
    </row>
    <row r="64" spans="1:21" ht="15" customHeight="1" outlineLevel="3">
      <c r="A64" s="39" t="s">
        <v>259</v>
      </c>
      <c r="B64" s="33">
        <v>2.1280000000000001</v>
      </c>
      <c r="C64" s="33">
        <v>1.798</v>
      </c>
      <c r="D64" s="33">
        <v>1.635</v>
      </c>
      <c r="E64" s="33">
        <v>1.556</v>
      </c>
      <c r="F64" s="33">
        <v>1.5409999999999999</v>
      </c>
      <c r="G64" s="33">
        <v>1.6080000000000001</v>
      </c>
      <c r="H64" s="33">
        <v>1.7999999999999999E-2</v>
      </c>
      <c r="I64" s="33">
        <v>1.7999999999999999E-2</v>
      </c>
      <c r="J64" s="33">
        <v>2.1999999999999999E-2</v>
      </c>
      <c r="K64" s="33">
        <v>2.3E-2</v>
      </c>
      <c r="L64" s="33">
        <v>1.4E-2</v>
      </c>
      <c r="M64" s="33">
        <v>1.0999999999999999E-2</v>
      </c>
      <c r="N64" s="33">
        <v>1.6E-2</v>
      </c>
      <c r="O64" s="33">
        <v>0.02</v>
      </c>
      <c r="P64" s="33">
        <v>2.5999999999999999E-2</v>
      </c>
      <c r="Q64" s="33">
        <v>2.5999999999999999E-2</v>
      </c>
      <c r="R64" s="33">
        <v>3.5000000000000003E-2</v>
      </c>
      <c r="S64" s="33">
        <v>0.04</v>
      </c>
      <c r="T64" s="33">
        <v>4.3999999999999997E-2</v>
      </c>
      <c r="U64" s="33">
        <v>5.2999999999999999E-2</v>
      </c>
    </row>
    <row r="65" spans="1:21" ht="15" customHeight="1" outlineLevel="2">
      <c r="A65" s="34" t="s">
        <v>179</v>
      </c>
      <c r="B65" s="35">
        <v>15.837</v>
      </c>
      <c r="C65" s="35">
        <v>14.99</v>
      </c>
      <c r="D65" s="35">
        <v>15.7</v>
      </c>
      <c r="E65" s="35">
        <v>17.719000000000001</v>
      </c>
      <c r="F65" s="35">
        <v>18.195</v>
      </c>
      <c r="G65" s="35">
        <v>17.866</v>
      </c>
      <c r="H65" s="35">
        <v>16.091999999999999</v>
      </c>
      <c r="I65" s="35">
        <v>16.952999999999999</v>
      </c>
      <c r="J65" s="35">
        <v>16.777999999999999</v>
      </c>
      <c r="K65" s="35">
        <v>16.103000000000002</v>
      </c>
      <c r="L65" s="35">
        <v>13.36</v>
      </c>
      <c r="M65" s="35">
        <v>11.212999999999999</v>
      </c>
      <c r="N65" s="35">
        <v>11.914999999999999</v>
      </c>
      <c r="O65" s="35">
        <v>10.064</v>
      </c>
      <c r="P65" s="35">
        <v>9.5820000000000007</v>
      </c>
      <c r="Q65" s="35">
        <v>8.859</v>
      </c>
      <c r="R65" s="35">
        <v>8.9640000000000004</v>
      </c>
      <c r="S65" s="35">
        <v>8.9060000000000006</v>
      </c>
      <c r="T65" s="35">
        <v>10.288</v>
      </c>
      <c r="U65" s="35">
        <v>10.39</v>
      </c>
    </row>
    <row r="66" spans="1:21" ht="15" customHeight="1" outlineLevel="2">
      <c r="A66" s="32" t="s">
        <v>180</v>
      </c>
      <c r="B66" s="33">
        <v>3.7440000000000002</v>
      </c>
      <c r="C66" s="33">
        <v>3.6560000000000001</v>
      </c>
      <c r="D66" s="33">
        <v>3.4319999999999999</v>
      </c>
      <c r="E66" s="33">
        <v>3.4079999999999999</v>
      </c>
      <c r="F66" s="33">
        <v>3.323</v>
      </c>
      <c r="G66" s="33">
        <v>3.4470000000000001</v>
      </c>
      <c r="H66" s="33">
        <v>3.0750000000000002</v>
      </c>
      <c r="I66" s="33">
        <v>2.12</v>
      </c>
      <c r="J66" s="33">
        <v>3.218</v>
      </c>
      <c r="K66" s="33">
        <v>3.387</v>
      </c>
      <c r="L66" s="33">
        <v>1.7989999999999999</v>
      </c>
      <c r="M66" s="33">
        <v>1.042</v>
      </c>
      <c r="N66" s="33">
        <v>1.0029999999999999</v>
      </c>
      <c r="O66" s="33">
        <v>0.81</v>
      </c>
      <c r="P66" s="33">
        <v>0.85599999999999998</v>
      </c>
      <c r="Q66" s="33">
        <v>0.85599999999999998</v>
      </c>
      <c r="R66" s="33">
        <v>1.0049999999999999</v>
      </c>
      <c r="S66" s="33">
        <v>0.84</v>
      </c>
      <c r="T66" s="33">
        <v>1.042</v>
      </c>
      <c r="U66" s="33">
        <v>0.97399999999999998</v>
      </c>
    </row>
    <row r="67" spans="1:21" ht="15" customHeight="1" outlineLevel="2">
      <c r="A67" s="38" t="s">
        <v>181</v>
      </c>
      <c r="B67" s="31">
        <v>1.6339999999999999</v>
      </c>
      <c r="C67" s="31">
        <v>1.2829999999999999</v>
      </c>
      <c r="D67" s="31">
        <v>1.0580000000000001</v>
      </c>
      <c r="E67" s="31">
        <v>1.036</v>
      </c>
      <c r="F67" s="31">
        <v>0.621</v>
      </c>
      <c r="G67" s="31">
        <v>0.57199999999999995</v>
      </c>
      <c r="H67" s="31">
        <v>0.47099999999999997</v>
      </c>
      <c r="I67" s="31">
        <v>0.31</v>
      </c>
      <c r="J67" s="31">
        <v>1.1399999999999999</v>
      </c>
      <c r="K67" s="31">
        <v>1.0629999999999999</v>
      </c>
      <c r="L67" s="31">
        <v>0.749</v>
      </c>
      <c r="M67" s="31">
        <v>0.157</v>
      </c>
      <c r="N67" s="31">
        <v>0.222</v>
      </c>
      <c r="O67" s="31">
        <v>0.36599999999999999</v>
      </c>
      <c r="P67" s="31">
        <v>0.32300000000000001</v>
      </c>
      <c r="Q67" s="31">
        <v>0.33300000000000002</v>
      </c>
      <c r="R67" s="31">
        <v>0.43099999999999999</v>
      </c>
      <c r="S67" s="31">
        <v>0.20100000000000001</v>
      </c>
      <c r="T67" s="31">
        <v>0.186</v>
      </c>
      <c r="U67" s="31">
        <v>0.185</v>
      </c>
    </row>
    <row r="68" spans="1:21" ht="15" customHeight="1" outlineLevel="3">
      <c r="A68" s="39" t="s">
        <v>182</v>
      </c>
      <c r="B68" s="33">
        <v>0.61599999999999999</v>
      </c>
      <c r="C68" s="33">
        <v>0.42799999999999999</v>
      </c>
      <c r="D68" s="33">
        <v>0.23499999999999999</v>
      </c>
      <c r="E68" s="33">
        <v>0.41399999999999998</v>
      </c>
      <c r="F68" s="33">
        <v>0.16900000000000001</v>
      </c>
      <c r="G68" s="33">
        <v>0.18</v>
      </c>
      <c r="H68" s="33">
        <v>0.17699999999999999</v>
      </c>
      <c r="I68" s="33">
        <v>0.126</v>
      </c>
      <c r="J68" s="33">
        <v>0.93600000000000005</v>
      </c>
      <c r="K68" s="33">
        <v>0.91600000000000004</v>
      </c>
      <c r="L68" s="33">
        <v>0.72599999999999998</v>
      </c>
      <c r="M68" s="33">
        <v>0.13200000000000001</v>
      </c>
      <c r="N68" s="33">
        <v>0.14199999999999999</v>
      </c>
      <c r="O68" s="33">
        <v>0.26200000000000001</v>
      </c>
      <c r="P68" s="33">
        <v>0.218</v>
      </c>
      <c r="Q68" s="33">
        <v>0.217</v>
      </c>
      <c r="R68" s="33">
        <v>0.312</v>
      </c>
      <c r="S68" s="33">
        <v>8.1000000000000003E-2</v>
      </c>
      <c r="T68" s="33">
        <v>8.1000000000000003E-2</v>
      </c>
      <c r="U68" s="33">
        <v>0.185</v>
      </c>
    </row>
    <row r="69" spans="1:21" ht="15" customHeight="1" outlineLevel="3">
      <c r="A69" s="40" t="s">
        <v>183</v>
      </c>
      <c r="B69" s="35">
        <v>1.018</v>
      </c>
      <c r="C69" s="35">
        <v>0.85499999999999998</v>
      </c>
      <c r="D69" s="35">
        <v>0.82299999999999995</v>
      </c>
      <c r="E69" s="35">
        <v>0.622</v>
      </c>
      <c r="F69" s="35">
        <v>0.45200000000000001</v>
      </c>
      <c r="G69" s="35">
        <v>0.39200000000000002</v>
      </c>
      <c r="H69" s="35">
        <v>0.29399999999999998</v>
      </c>
      <c r="I69" s="35">
        <v>0.184</v>
      </c>
      <c r="J69" s="35">
        <v>0.20399999999999999</v>
      </c>
      <c r="K69" s="35">
        <v>0.14699999999999999</v>
      </c>
      <c r="L69" s="35">
        <v>2.3E-2</v>
      </c>
      <c r="M69" s="35">
        <v>2.5000000000000001E-2</v>
      </c>
      <c r="N69" s="35">
        <v>0.08</v>
      </c>
      <c r="O69" s="35">
        <v>0.104</v>
      </c>
      <c r="P69" s="35">
        <v>0.105</v>
      </c>
      <c r="Q69" s="35">
        <v>0.11600000000000001</v>
      </c>
      <c r="R69" s="35">
        <v>0.11899999999999999</v>
      </c>
      <c r="S69" s="35">
        <v>0.12</v>
      </c>
      <c r="T69" s="35">
        <v>0.105</v>
      </c>
      <c r="U69" s="28"/>
    </row>
    <row r="70" spans="1:21" ht="15" customHeight="1" outlineLevel="2">
      <c r="A70" s="32" t="s">
        <v>184</v>
      </c>
      <c r="B70" s="33">
        <v>65.905000000000001</v>
      </c>
      <c r="C70" s="33">
        <v>63.493000000000002</v>
      </c>
      <c r="D70" s="33">
        <v>56.38</v>
      </c>
      <c r="E70" s="33">
        <v>56.195</v>
      </c>
      <c r="F70" s="33">
        <v>53.984000000000002</v>
      </c>
      <c r="G70" s="33">
        <v>49.706000000000003</v>
      </c>
      <c r="H70" s="33">
        <v>45.762</v>
      </c>
      <c r="I70" s="33">
        <v>44.317999999999998</v>
      </c>
      <c r="J70" s="33">
        <v>46.817</v>
      </c>
      <c r="K70" s="33">
        <v>43.774000000000001</v>
      </c>
      <c r="L70" s="33">
        <v>33.036000000000001</v>
      </c>
      <c r="M70" s="33">
        <v>28.039000000000001</v>
      </c>
      <c r="N70" s="33">
        <v>29.442</v>
      </c>
      <c r="O70" s="33">
        <v>27.699000000000002</v>
      </c>
      <c r="P70" s="33">
        <v>26.44</v>
      </c>
      <c r="Q70" s="33">
        <v>24.44</v>
      </c>
      <c r="R70" s="33">
        <v>23.751999999999999</v>
      </c>
      <c r="S70" s="33">
        <v>23.742999999999999</v>
      </c>
      <c r="T70" s="33">
        <v>24.457999999999998</v>
      </c>
      <c r="U70" s="33">
        <v>24.611000000000001</v>
      </c>
    </row>
    <row r="71" spans="1:21" ht="15" customHeight="1" outlineLevel="1">
      <c r="A71" s="30" t="s">
        <v>185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</row>
    <row r="72" spans="1:21" ht="15" customHeight="1" outlineLevel="2">
      <c r="A72" s="43" t="s">
        <v>186</v>
      </c>
      <c r="B72" s="37">
        <v>47.268999999999998</v>
      </c>
      <c r="C72" s="37">
        <v>45.533000000000001</v>
      </c>
      <c r="D72" s="37">
        <v>44.24</v>
      </c>
      <c r="E72" s="37">
        <v>41.936999999999998</v>
      </c>
      <c r="F72" s="37">
        <v>38.228999999999999</v>
      </c>
      <c r="G72" s="37">
        <v>38.985999999999997</v>
      </c>
      <c r="H72" s="37">
        <v>37.198</v>
      </c>
      <c r="I72" s="37">
        <v>35.774999999999999</v>
      </c>
      <c r="J72" s="37">
        <v>34.435000000000002</v>
      </c>
      <c r="K72" s="37">
        <v>32.847000000000001</v>
      </c>
      <c r="L72" s="37">
        <v>28.318999999999999</v>
      </c>
      <c r="M72" s="37">
        <v>26.765999999999998</v>
      </c>
      <c r="N72" s="37">
        <v>26.381</v>
      </c>
      <c r="O72" s="37">
        <v>26.434000000000001</v>
      </c>
      <c r="P72" s="37">
        <v>25.725000000000001</v>
      </c>
      <c r="Q72" s="37">
        <v>22.686</v>
      </c>
      <c r="R72" s="37">
        <v>22.616</v>
      </c>
      <c r="S72" s="37">
        <v>24.074000000000002</v>
      </c>
      <c r="T72" s="37">
        <v>21.754999999999999</v>
      </c>
      <c r="U72" s="37">
        <v>20.215</v>
      </c>
    </row>
    <row r="73" spans="1:21" ht="15" customHeight="1" outlineLevel="3">
      <c r="A73" s="40" t="s">
        <v>187</v>
      </c>
      <c r="B73" s="35">
        <v>1.2</v>
      </c>
      <c r="C73" s="35">
        <v>1.2</v>
      </c>
      <c r="D73" s="35">
        <v>1.2</v>
      </c>
      <c r="E73" s="35">
        <v>1.2</v>
      </c>
      <c r="F73" s="35">
        <v>1.2</v>
      </c>
      <c r="G73" s="35">
        <v>1.2</v>
      </c>
      <c r="H73" s="35">
        <v>1.2</v>
      </c>
      <c r="I73" s="35">
        <v>1.2</v>
      </c>
      <c r="J73" s="35">
        <v>1.2</v>
      </c>
      <c r="K73" s="35">
        <v>1.2</v>
      </c>
      <c r="L73" s="35">
        <v>1.2</v>
      </c>
      <c r="M73" s="35">
        <v>1.2</v>
      </c>
      <c r="N73" s="35">
        <v>1.2</v>
      </c>
      <c r="O73" s="35">
        <v>1.2</v>
      </c>
      <c r="P73" s="35">
        <v>1.2</v>
      </c>
      <c r="Q73" s="35">
        <v>1.2</v>
      </c>
      <c r="R73" s="35">
        <v>1.2</v>
      </c>
      <c r="S73" s="35">
        <v>1.2</v>
      </c>
      <c r="T73" s="35">
        <v>1.2</v>
      </c>
      <c r="U73" s="35">
        <v>1.2</v>
      </c>
    </row>
    <row r="74" spans="1:21" ht="15" customHeight="1" outlineLevel="3">
      <c r="A74" s="39" t="s">
        <v>188</v>
      </c>
      <c r="B74" s="33">
        <v>4.5570000000000004</v>
      </c>
      <c r="C74" s="33">
        <v>4.5570000000000004</v>
      </c>
      <c r="D74" s="33">
        <v>4.5570000000000004</v>
      </c>
      <c r="E74" s="33">
        <v>4.5570000000000004</v>
      </c>
      <c r="F74" s="33">
        <v>4.5570000000000004</v>
      </c>
      <c r="G74" s="33">
        <v>4.5570000000000004</v>
      </c>
      <c r="H74" s="33">
        <v>4.5570000000000004</v>
      </c>
      <c r="I74" s="33">
        <v>4.5570000000000004</v>
      </c>
      <c r="J74" s="33">
        <v>4.5570000000000004</v>
      </c>
      <c r="K74" s="33">
        <v>4.5570000000000004</v>
      </c>
      <c r="L74" s="33">
        <v>4.5570000000000004</v>
      </c>
      <c r="M74" s="33">
        <v>4.5570000000000004</v>
      </c>
      <c r="N74" s="33">
        <v>4.5570000000000004</v>
      </c>
      <c r="O74" s="33">
        <v>4.5570000000000004</v>
      </c>
      <c r="P74" s="33">
        <v>4.5570000000000004</v>
      </c>
      <c r="Q74" s="33">
        <v>4.5570000000000004</v>
      </c>
      <c r="R74" s="33">
        <v>4.5570000000000004</v>
      </c>
      <c r="S74" s="33">
        <v>4.5570000000000004</v>
      </c>
      <c r="T74" s="33">
        <v>4.5570000000000004</v>
      </c>
      <c r="U74" s="33">
        <v>4.5570000000000004</v>
      </c>
    </row>
    <row r="75" spans="1:21" ht="15" customHeight="1" outlineLevel="3">
      <c r="A75" s="40" t="s">
        <v>189</v>
      </c>
      <c r="B75" s="35">
        <v>44.545999999999999</v>
      </c>
      <c r="C75" s="35">
        <v>43.642000000000003</v>
      </c>
      <c r="D75" s="35">
        <v>41.591999999999999</v>
      </c>
      <c r="E75" s="35">
        <v>39.828000000000003</v>
      </c>
      <c r="F75" s="35">
        <v>37.631999999999998</v>
      </c>
      <c r="G75" s="35">
        <v>37.716999999999999</v>
      </c>
      <c r="H75" s="35">
        <v>36.368000000000002</v>
      </c>
      <c r="I75" s="35">
        <v>32.982999999999997</v>
      </c>
      <c r="J75" s="35">
        <v>30.23</v>
      </c>
      <c r="K75" s="35">
        <v>28.419</v>
      </c>
      <c r="L75" s="35">
        <v>25.47</v>
      </c>
      <c r="M75" s="35">
        <v>23.148</v>
      </c>
      <c r="N75" s="35">
        <v>22.099</v>
      </c>
      <c r="O75" s="35">
        <v>19.925999999999998</v>
      </c>
      <c r="P75" s="35">
        <v>18.262</v>
      </c>
      <c r="Q75" s="35">
        <v>15.952</v>
      </c>
      <c r="R75" s="35">
        <v>17.286999999999999</v>
      </c>
      <c r="S75" s="35">
        <v>17.015000000000001</v>
      </c>
      <c r="T75" s="35">
        <v>14.311999999999999</v>
      </c>
      <c r="U75" s="35">
        <v>12.321999999999999</v>
      </c>
    </row>
    <row r="76" spans="1:21" ht="15" customHeight="1" outlineLevel="3">
      <c r="A76" s="39" t="s">
        <v>190</v>
      </c>
      <c r="B76" s="46">
        <v>-0.82099999999999995</v>
      </c>
      <c r="C76" s="46">
        <v>-1.7549999999999999</v>
      </c>
      <c r="D76" s="46">
        <v>-0.98299999999999998</v>
      </c>
      <c r="E76" s="46">
        <v>-1.333</v>
      </c>
      <c r="F76" s="46">
        <v>-1.9370000000000001</v>
      </c>
      <c r="G76" s="46">
        <v>-0.46800000000000003</v>
      </c>
      <c r="H76" s="46">
        <v>-0.623</v>
      </c>
      <c r="I76" s="46">
        <v>-0.55500000000000005</v>
      </c>
      <c r="J76" s="33">
        <v>1.2749999999999999</v>
      </c>
      <c r="K76" s="33">
        <v>1.276</v>
      </c>
      <c r="L76" s="33">
        <v>0.41799999999999998</v>
      </c>
      <c r="M76" s="46">
        <v>-0.60599999999999998</v>
      </c>
      <c r="N76" s="33">
        <v>0.30599999999999999</v>
      </c>
      <c r="O76" s="33">
        <v>0.54900000000000004</v>
      </c>
      <c r="P76" s="33">
        <v>0.55400000000000005</v>
      </c>
      <c r="Q76" s="46">
        <v>-0.28299999999999997</v>
      </c>
      <c r="R76" s="46">
        <v>-0.47899999999999998</v>
      </c>
      <c r="S76" s="46">
        <v>-0.16300000000000001</v>
      </c>
      <c r="T76" s="33">
        <v>3.9E-2</v>
      </c>
      <c r="U76" s="33">
        <v>0.371</v>
      </c>
    </row>
    <row r="77" spans="1:21" ht="15" customHeight="1" outlineLevel="3">
      <c r="A77" s="40" t="s">
        <v>191</v>
      </c>
      <c r="B77" s="35">
        <v>0.57899999999999996</v>
      </c>
      <c r="C77" s="35">
        <v>0.627</v>
      </c>
      <c r="D77" s="35">
        <v>0.374</v>
      </c>
      <c r="E77" s="35">
        <v>2.2469999999999999</v>
      </c>
      <c r="F77" s="35">
        <v>2.141</v>
      </c>
      <c r="G77" s="35">
        <v>1.3420000000000001</v>
      </c>
      <c r="H77" s="35">
        <v>0.61599999999999999</v>
      </c>
      <c r="I77" s="35">
        <v>1.2689999999999999</v>
      </c>
      <c r="J77" s="35">
        <v>0.94599999999999995</v>
      </c>
      <c r="K77" s="35">
        <v>0.60599999999999998</v>
      </c>
      <c r="L77" s="35">
        <v>0.72899999999999998</v>
      </c>
      <c r="M77" s="35">
        <v>0.52700000000000002</v>
      </c>
      <c r="N77" s="35">
        <v>0.51700000000000002</v>
      </c>
      <c r="O77" s="35">
        <v>1.278</v>
      </c>
      <c r="P77" s="35">
        <v>1.804</v>
      </c>
      <c r="Q77" s="35">
        <v>1.3919999999999999</v>
      </c>
      <c r="R77" s="35">
        <v>0.23100000000000001</v>
      </c>
      <c r="S77" s="35">
        <v>1.5249999999999999</v>
      </c>
      <c r="T77" s="35">
        <v>1.978</v>
      </c>
      <c r="U77" s="35">
        <v>2.2570000000000001</v>
      </c>
    </row>
    <row r="78" spans="1:21" ht="15" customHeight="1" outlineLevel="3">
      <c r="A78" s="39" t="s">
        <v>192</v>
      </c>
      <c r="B78" s="46">
        <v>-2.73</v>
      </c>
      <c r="C78" s="46">
        <v>-2.6760000000000002</v>
      </c>
      <c r="D78" s="46">
        <v>-2.4380000000000002</v>
      </c>
      <c r="E78" s="46">
        <v>-4.5</v>
      </c>
      <c r="F78" s="46">
        <v>-5.3019999999999996</v>
      </c>
      <c r="G78" s="46">
        <v>-5.3</v>
      </c>
      <c r="H78" s="46">
        <v>-4.8579999999999997</v>
      </c>
      <c r="I78" s="46">
        <v>-3.617</v>
      </c>
      <c r="J78" s="46">
        <v>-3.7109999999999999</v>
      </c>
      <c r="K78" s="46">
        <v>-3.149</v>
      </c>
      <c r="L78" s="46">
        <v>-3.9929999999999999</v>
      </c>
      <c r="M78" s="46">
        <v>-1.998</v>
      </c>
      <c r="N78" s="46">
        <v>-2.2360000000000002</v>
      </c>
      <c r="O78" s="46">
        <v>-1.014</v>
      </c>
      <c r="P78" s="46">
        <v>-0.59</v>
      </c>
      <c r="Q78" s="46">
        <v>-7.0000000000000007E-2</v>
      </c>
      <c r="R78" s="46">
        <v>-0.11799999999999999</v>
      </c>
      <c r="S78" s="33">
        <v>2E-3</v>
      </c>
      <c r="T78" s="46">
        <v>-0.26900000000000002</v>
      </c>
      <c r="U78" s="46">
        <v>-0.49199999999999999</v>
      </c>
    </row>
    <row r="79" spans="1:21" ht="15" customHeight="1" outlineLevel="3">
      <c r="A79" s="40" t="s">
        <v>193</v>
      </c>
      <c r="B79" s="41">
        <v>-6.2E-2</v>
      </c>
      <c r="C79" s="41">
        <v>-6.2E-2</v>
      </c>
      <c r="D79" s="41">
        <v>-6.2E-2</v>
      </c>
      <c r="E79" s="41">
        <v>-6.2E-2</v>
      </c>
      <c r="F79" s="41">
        <v>-6.2E-2</v>
      </c>
      <c r="G79" s="41">
        <v>-6.2E-2</v>
      </c>
      <c r="H79" s="41">
        <v>-6.2E-2</v>
      </c>
      <c r="I79" s="41">
        <v>-6.2E-2</v>
      </c>
      <c r="J79" s="41">
        <v>-6.2E-2</v>
      </c>
      <c r="K79" s="41">
        <v>-6.2E-2</v>
      </c>
      <c r="L79" s="41">
        <v>-6.2E-2</v>
      </c>
      <c r="M79" s="41">
        <v>-6.2E-2</v>
      </c>
      <c r="N79" s="41">
        <v>-6.2E-2</v>
      </c>
      <c r="O79" s="41">
        <v>-6.2E-2</v>
      </c>
      <c r="P79" s="41">
        <v>-6.2E-2</v>
      </c>
      <c r="Q79" s="41">
        <v>-6.2E-2</v>
      </c>
      <c r="R79" s="41">
        <v>-6.2E-2</v>
      </c>
      <c r="S79" s="41">
        <v>-6.2E-2</v>
      </c>
      <c r="T79" s="41">
        <v>-6.2E-2</v>
      </c>
      <c r="U79" s="35">
        <v>0</v>
      </c>
    </row>
    <row r="80" spans="1:21" ht="15" customHeight="1" outlineLevel="2">
      <c r="A80" s="32" t="s">
        <v>194</v>
      </c>
      <c r="B80" s="33">
        <v>47.268999999999998</v>
      </c>
      <c r="C80" s="33">
        <v>45.533000000000001</v>
      </c>
      <c r="D80" s="33">
        <v>44.24</v>
      </c>
      <c r="E80" s="33">
        <v>41.936999999999998</v>
      </c>
      <c r="F80" s="33">
        <v>38.228999999999999</v>
      </c>
      <c r="G80" s="33">
        <v>38.985999999999997</v>
      </c>
      <c r="H80" s="33">
        <v>37.198</v>
      </c>
      <c r="I80" s="33">
        <v>35.774999999999999</v>
      </c>
      <c r="J80" s="33">
        <v>34.435000000000002</v>
      </c>
      <c r="K80" s="33">
        <v>32.847000000000001</v>
      </c>
      <c r="L80" s="33">
        <v>28.318999999999999</v>
      </c>
      <c r="M80" s="33">
        <v>26.765999999999998</v>
      </c>
      <c r="N80" s="33">
        <v>26.381</v>
      </c>
      <c r="O80" s="33">
        <v>26.434000000000001</v>
      </c>
      <c r="P80" s="33">
        <v>25.725000000000001</v>
      </c>
      <c r="Q80" s="33">
        <v>22.686</v>
      </c>
      <c r="R80" s="33">
        <v>22.616</v>
      </c>
      <c r="S80" s="33">
        <v>24.074000000000002</v>
      </c>
      <c r="T80" s="33">
        <v>21.754999999999999</v>
      </c>
      <c r="U80" s="33">
        <v>20.215</v>
      </c>
    </row>
    <row r="81" spans="1:21" ht="15" customHeight="1" outlineLevel="2">
      <c r="A81" s="34" t="s">
        <v>195</v>
      </c>
      <c r="B81" s="35">
        <v>2.7240000000000002</v>
      </c>
      <c r="C81" s="35">
        <v>2.3610000000000002</v>
      </c>
      <c r="D81" s="35">
        <v>2.4870000000000001</v>
      </c>
      <c r="E81" s="35">
        <v>2.367</v>
      </c>
      <c r="F81" s="35">
        <v>1.9370000000000001</v>
      </c>
      <c r="G81" s="35">
        <v>2.093</v>
      </c>
      <c r="H81" s="35">
        <v>1.978</v>
      </c>
      <c r="I81" s="35">
        <v>1.7769999999999999</v>
      </c>
      <c r="J81" s="35">
        <v>1.649</v>
      </c>
      <c r="K81" s="35">
        <v>1.577</v>
      </c>
      <c r="L81" s="35">
        <v>1.222</v>
      </c>
      <c r="M81" s="35">
        <v>0.92</v>
      </c>
      <c r="N81" s="35">
        <v>0.503</v>
      </c>
      <c r="O81" s="35">
        <v>0.48299999999999998</v>
      </c>
      <c r="P81" s="35">
        <v>0.51800000000000002</v>
      </c>
      <c r="Q81" s="35">
        <v>0.38300000000000001</v>
      </c>
      <c r="R81" s="35">
        <v>0.39300000000000002</v>
      </c>
      <c r="S81" s="35">
        <v>0.751</v>
      </c>
      <c r="T81" s="35">
        <v>0.72699999999999998</v>
      </c>
      <c r="U81" s="35">
        <v>0.72799999999999998</v>
      </c>
    </row>
    <row r="82" spans="1:21" ht="15" customHeight="1" outlineLevel="2">
      <c r="A82" s="32" t="s">
        <v>196</v>
      </c>
      <c r="B82" s="33">
        <v>49.993000000000002</v>
      </c>
      <c r="C82" s="33">
        <v>47.893999999999998</v>
      </c>
      <c r="D82" s="33">
        <v>46.726999999999997</v>
      </c>
      <c r="E82" s="33">
        <v>44.304000000000002</v>
      </c>
      <c r="F82" s="33">
        <v>40.165999999999997</v>
      </c>
      <c r="G82" s="33">
        <v>41.079000000000001</v>
      </c>
      <c r="H82" s="33">
        <v>39.176000000000002</v>
      </c>
      <c r="I82" s="33">
        <v>37.552</v>
      </c>
      <c r="J82" s="33">
        <v>36.084000000000003</v>
      </c>
      <c r="K82" s="33">
        <v>34.423999999999999</v>
      </c>
      <c r="L82" s="33">
        <v>29.541</v>
      </c>
      <c r="M82" s="33">
        <v>27.686</v>
      </c>
      <c r="N82" s="33">
        <v>26.884</v>
      </c>
      <c r="O82" s="33">
        <v>26.917000000000002</v>
      </c>
      <c r="P82" s="33">
        <v>26.242999999999999</v>
      </c>
      <c r="Q82" s="33">
        <v>23.068999999999999</v>
      </c>
      <c r="R82" s="33">
        <v>23.009</v>
      </c>
      <c r="S82" s="33">
        <v>24.824999999999999</v>
      </c>
      <c r="T82" s="33">
        <v>22.481999999999999</v>
      </c>
      <c r="U82" s="33">
        <v>20.943000000000001</v>
      </c>
    </row>
    <row r="83" spans="1:21" ht="15" customHeight="1" outlineLevel="1">
      <c r="A83" s="42" t="s">
        <v>197</v>
      </c>
      <c r="B83" s="35">
        <v>115.898</v>
      </c>
      <c r="C83" s="35">
        <v>111.387</v>
      </c>
      <c r="D83" s="35">
        <v>103.107</v>
      </c>
      <c r="E83" s="35">
        <v>100.499</v>
      </c>
      <c r="F83" s="35">
        <v>94.15</v>
      </c>
      <c r="G83" s="35">
        <v>90.784999999999997</v>
      </c>
      <c r="H83" s="35">
        <v>84.938000000000002</v>
      </c>
      <c r="I83" s="35">
        <v>81.87</v>
      </c>
      <c r="J83" s="35">
        <v>82.900999999999996</v>
      </c>
      <c r="K83" s="35">
        <v>78.197999999999993</v>
      </c>
      <c r="L83" s="35">
        <v>62.576999999999998</v>
      </c>
      <c r="M83" s="35">
        <v>55.725000000000001</v>
      </c>
      <c r="N83" s="35">
        <v>56.326000000000001</v>
      </c>
      <c r="O83" s="35">
        <v>54.616</v>
      </c>
      <c r="P83" s="35">
        <v>52.683</v>
      </c>
      <c r="Q83" s="35">
        <v>47.509</v>
      </c>
      <c r="R83" s="35">
        <v>46.761000000000003</v>
      </c>
      <c r="S83" s="35">
        <v>48.567999999999998</v>
      </c>
      <c r="T83" s="35">
        <v>46.94</v>
      </c>
      <c r="U83" s="35">
        <v>45.554000000000002</v>
      </c>
    </row>
    <row r="84" spans="1:21" ht="15" customHeight="1">
      <c r="A84" s="29" t="s">
        <v>198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spans="1:21" ht="15" customHeight="1" outlineLevel="1">
      <c r="A85" s="42" t="s">
        <v>199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47">
        <v>603.19470000000001</v>
      </c>
      <c r="M85" s="47">
        <v>570.11580000000004</v>
      </c>
      <c r="N85" s="47">
        <v>561.9153</v>
      </c>
      <c r="O85" s="47">
        <v>563.04420000000005</v>
      </c>
      <c r="P85" s="47">
        <v>547.9425</v>
      </c>
      <c r="Q85" s="47">
        <v>483.21179999999998</v>
      </c>
      <c r="R85" s="47">
        <v>481.7208</v>
      </c>
      <c r="S85" s="47">
        <v>512.77620000000002</v>
      </c>
      <c r="T85" s="47">
        <v>463.38150000000002</v>
      </c>
      <c r="U85" s="47">
        <v>430.5795</v>
      </c>
    </row>
    <row r="86" spans="1:21" ht="15" customHeight="1" outlineLevel="1">
      <c r="A86" s="48" t="s">
        <v>200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9">
        <v>446.89529800000003</v>
      </c>
      <c r="M86" s="49">
        <v>417.22439800000001</v>
      </c>
      <c r="N86" s="49">
        <v>417.11789800000003</v>
      </c>
      <c r="O86" s="49">
        <v>442.61399799999998</v>
      </c>
      <c r="P86" s="49">
        <v>414.455398</v>
      </c>
      <c r="Q86" s="49">
        <v>351.045299</v>
      </c>
      <c r="R86" s="49">
        <v>343.44119899999998</v>
      </c>
      <c r="S86" s="49">
        <v>418.28939800000001</v>
      </c>
      <c r="T86" s="49">
        <v>371.25899800000002</v>
      </c>
      <c r="U86" s="49">
        <v>345.081299</v>
      </c>
    </row>
    <row r="87" spans="1:21" ht="15" customHeight="1">
      <c r="A87" s="28" t="s">
        <v>201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</row>
    <row r="88" spans="1:21" ht="15" customHeight="1">
      <c r="A88" s="44" t="s">
        <v>202</v>
      </c>
      <c r="B88" s="33">
        <v>20.417000000000002</v>
      </c>
      <c r="C88" s="33">
        <v>19.986000000000001</v>
      </c>
      <c r="D88" s="33">
        <v>17.66</v>
      </c>
      <c r="E88" s="33">
        <v>16.989000000000001</v>
      </c>
      <c r="F88" s="33">
        <v>16.521999999999998</v>
      </c>
      <c r="G88" s="33">
        <v>14.207000000000001</v>
      </c>
      <c r="H88" s="33">
        <v>14.602</v>
      </c>
      <c r="I88" s="33">
        <v>14.343</v>
      </c>
      <c r="J88" s="33">
        <v>13.5</v>
      </c>
      <c r="K88" s="33">
        <v>12.35</v>
      </c>
      <c r="L88" s="33">
        <v>13.223000000000001</v>
      </c>
      <c r="M88" s="33">
        <v>9.3949999999999996</v>
      </c>
      <c r="N88" s="33">
        <v>10.202</v>
      </c>
      <c r="O88" s="33">
        <v>10.433999999999999</v>
      </c>
      <c r="P88" s="33">
        <v>9.3859999999999992</v>
      </c>
      <c r="Q88" s="33">
        <v>6.7789999999999999</v>
      </c>
      <c r="R88" s="33">
        <v>7.04</v>
      </c>
      <c r="S88" s="33">
        <v>8.1259999999999994</v>
      </c>
      <c r="T88" s="33">
        <v>7.4669999999999996</v>
      </c>
      <c r="U88" s="33">
        <v>5.87</v>
      </c>
    </row>
    <row r="89" spans="1:21" ht="15" customHeight="1">
      <c r="A89" s="28" t="s">
        <v>203</v>
      </c>
      <c r="B89" s="35">
        <v>61.167000000000002</v>
      </c>
      <c r="C89" s="35">
        <v>59.637999999999998</v>
      </c>
      <c r="D89" s="35">
        <v>52.978999999999999</v>
      </c>
      <c r="E89" s="35">
        <v>48.718000000000004</v>
      </c>
      <c r="F89" s="35">
        <v>46.633000000000003</v>
      </c>
      <c r="G89" s="35">
        <v>45.848999999999997</v>
      </c>
      <c r="H89" s="35">
        <v>42.56</v>
      </c>
      <c r="I89" s="35">
        <v>41.645000000000003</v>
      </c>
      <c r="J89" s="35">
        <v>41.588999999999999</v>
      </c>
      <c r="K89" s="35">
        <v>40.384999999999998</v>
      </c>
      <c r="L89" s="35">
        <v>33.643000000000001</v>
      </c>
      <c r="M89" s="35">
        <v>31.483000000000001</v>
      </c>
      <c r="N89" s="35">
        <v>31.206</v>
      </c>
      <c r="O89" s="35">
        <v>30.920999999999999</v>
      </c>
      <c r="P89" s="35">
        <v>29.602</v>
      </c>
      <c r="Q89" s="35">
        <v>27.064</v>
      </c>
      <c r="R89" s="35">
        <v>25.436</v>
      </c>
      <c r="S89" s="35">
        <v>26.65</v>
      </c>
      <c r="T89" s="35">
        <v>24.401</v>
      </c>
      <c r="U89" s="35">
        <v>23.367999999999999</v>
      </c>
    </row>
    <row r="90" spans="1:21" ht="15" customHeight="1">
      <c r="A90" s="44" t="s">
        <v>204</v>
      </c>
      <c r="B90" s="33">
        <v>13.898</v>
      </c>
      <c r="C90" s="33">
        <v>14.105</v>
      </c>
      <c r="D90" s="33">
        <v>8.7390000000000008</v>
      </c>
      <c r="E90" s="33">
        <v>6.7809999999999997</v>
      </c>
      <c r="F90" s="33">
        <v>8.4039999999999999</v>
      </c>
      <c r="G90" s="33">
        <v>6.8630000000000004</v>
      </c>
      <c r="H90" s="33">
        <v>5.3620000000000001</v>
      </c>
      <c r="I90" s="33">
        <v>5.87</v>
      </c>
      <c r="J90" s="33">
        <v>7.1539999999999999</v>
      </c>
      <c r="K90" s="33">
        <v>7.5380000000000003</v>
      </c>
      <c r="L90" s="33">
        <v>5.3239999999999998</v>
      </c>
      <c r="M90" s="33">
        <v>4.7169999999999996</v>
      </c>
      <c r="N90" s="33">
        <v>4.8250000000000002</v>
      </c>
      <c r="O90" s="33">
        <v>4.4870000000000001</v>
      </c>
      <c r="P90" s="33">
        <v>3.8769999999999998</v>
      </c>
      <c r="Q90" s="33">
        <v>4.3780000000000001</v>
      </c>
      <c r="R90" s="33">
        <v>2.82</v>
      </c>
      <c r="S90" s="33">
        <v>2.5760000000000001</v>
      </c>
      <c r="T90" s="33">
        <v>2.6459999999999999</v>
      </c>
      <c r="U90" s="33">
        <v>3.153</v>
      </c>
    </row>
    <row r="91" spans="1:21" ht="15" customHeight="1">
      <c r="A91" s="28" t="s">
        <v>32</v>
      </c>
      <c r="B91" s="41">
        <v>-0.99299999999999999</v>
      </c>
      <c r="C91" s="41">
        <v>-0.498</v>
      </c>
      <c r="D91" s="41">
        <v>-0.72099999999999997</v>
      </c>
      <c r="E91" s="41">
        <v>-6.7569999999999997</v>
      </c>
      <c r="F91" s="41">
        <v>-4.93</v>
      </c>
      <c r="G91" s="35">
        <v>0.46600000000000003</v>
      </c>
      <c r="H91" s="41">
        <v>-0.82599999999999996</v>
      </c>
      <c r="I91" s="35">
        <v>0.21</v>
      </c>
      <c r="J91" s="35">
        <v>0.79900000000000004</v>
      </c>
      <c r="K91" s="35">
        <v>2.8679999999999999</v>
      </c>
      <c r="L91" s="41">
        <v>-1.62</v>
      </c>
      <c r="M91" s="35">
        <v>0.14499999999999999</v>
      </c>
      <c r="N91" s="35">
        <v>0.218</v>
      </c>
      <c r="O91" s="35">
        <v>0.254</v>
      </c>
      <c r="P91" s="41">
        <v>-1.1990000000000001</v>
      </c>
      <c r="Q91" s="35">
        <v>0.60699999999999998</v>
      </c>
      <c r="R91" s="41">
        <v>-0.20899999999999999</v>
      </c>
      <c r="S91" s="41">
        <v>-1.3839999999999999</v>
      </c>
      <c r="T91" s="41">
        <v>-0.876</v>
      </c>
      <c r="U91" s="41">
        <v>-0.78200000000000003</v>
      </c>
    </row>
    <row r="92" spans="1:21" ht="15" customHeight="1">
      <c r="A92" s="29" t="s">
        <v>205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spans="1:21" ht="15" customHeight="1" outlineLevel="1">
      <c r="A93" s="42" t="s">
        <v>206</v>
      </c>
      <c r="B93" s="35">
        <v>90.210725999999994</v>
      </c>
      <c r="C93" s="35">
        <v>91.942935000000006</v>
      </c>
      <c r="D93" s="35">
        <v>92.323745000000002</v>
      </c>
      <c r="E93" s="35">
        <v>83.562207999999998</v>
      </c>
      <c r="F93" s="35">
        <v>80.343305999999998</v>
      </c>
      <c r="G93" s="35">
        <v>75.412032999999994</v>
      </c>
      <c r="H93" s="35">
        <v>74.608384000000001</v>
      </c>
      <c r="I93" s="35">
        <v>72.471328999999997</v>
      </c>
      <c r="J93" s="35">
        <v>51.476182000000001</v>
      </c>
      <c r="K93" s="35">
        <v>45.853656000000001</v>
      </c>
      <c r="L93" s="35">
        <v>52.922992999999998</v>
      </c>
      <c r="M93" s="35">
        <v>82.005171000000004</v>
      </c>
      <c r="N93" s="35">
        <v>74.553725999999997</v>
      </c>
      <c r="O93" s="35">
        <v>76.276304999999994</v>
      </c>
      <c r="P93" s="35">
        <v>71.745107000000004</v>
      </c>
      <c r="Q93" s="35">
        <v>81.295333999999997</v>
      </c>
      <c r="R93" s="35">
        <v>75.676798000000005</v>
      </c>
      <c r="S93" s="35">
        <v>70.092786000000004</v>
      </c>
      <c r="T93" s="35">
        <v>67.605785999999995</v>
      </c>
      <c r="U93" s="35">
        <v>62.440952000000003</v>
      </c>
    </row>
    <row r="94" spans="1:21" ht="15" customHeight="1" outlineLevel="1">
      <c r="A94" s="48" t="s">
        <v>207</v>
      </c>
      <c r="B94" s="33">
        <v>84.007166999999995</v>
      </c>
      <c r="C94" s="33">
        <v>80.126178999999993</v>
      </c>
      <c r="D94" s="33">
        <v>75.873204000000001</v>
      </c>
      <c r="E94" s="33">
        <v>77.349519999999998</v>
      </c>
      <c r="F94" s="33">
        <v>85.496300000000005</v>
      </c>
      <c r="G94" s="33">
        <v>82.253090999999998</v>
      </c>
      <c r="H94" s="33">
        <v>82.161632999999995</v>
      </c>
      <c r="I94" s="33">
        <v>80.720703999999998</v>
      </c>
      <c r="J94" s="33">
        <v>81.917741000000007</v>
      </c>
      <c r="K94" s="33">
        <v>69.004525000000001</v>
      </c>
      <c r="L94" s="33">
        <v>77.237493000000001</v>
      </c>
      <c r="M94" s="33">
        <v>83.017930000000007</v>
      </c>
      <c r="N94" s="33">
        <v>76.977404000000007</v>
      </c>
      <c r="O94" s="33">
        <v>72.586758000000003</v>
      </c>
      <c r="P94" s="33">
        <v>69.105091000000002</v>
      </c>
      <c r="Q94" s="33">
        <v>79.532404</v>
      </c>
      <c r="R94" s="33">
        <v>72.062567999999999</v>
      </c>
      <c r="S94" s="33">
        <v>72.657222000000004</v>
      </c>
      <c r="T94" s="33">
        <v>72.429321999999999</v>
      </c>
      <c r="U94" s="33">
        <v>66.422059000000004</v>
      </c>
    </row>
    <row r="95" spans="1:21" ht="15" customHeight="1" outlineLevel="1">
      <c r="A95" s="42" t="s">
        <v>208</v>
      </c>
      <c r="B95" s="35">
        <v>73.685272999999995</v>
      </c>
      <c r="C95" s="35">
        <v>68.038623999999999</v>
      </c>
      <c r="D95" s="35">
        <v>60.437468000000003</v>
      </c>
      <c r="E95" s="35">
        <v>59.641497000000001</v>
      </c>
      <c r="F95" s="35">
        <v>60.310640999999997</v>
      </c>
      <c r="G95" s="35">
        <v>52.481738999999997</v>
      </c>
      <c r="H95" s="35">
        <v>52.218201000000001</v>
      </c>
      <c r="I95" s="35">
        <v>51.573340000000002</v>
      </c>
      <c r="J95" s="35">
        <v>34.297742</v>
      </c>
      <c r="K95" s="35">
        <v>25.688848</v>
      </c>
      <c r="L95" s="35">
        <v>26.003447999999999</v>
      </c>
      <c r="M95" s="35">
        <v>44.500256</v>
      </c>
      <c r="N95" s="35">
        <v>42.179465</v>
      </c>
      <c r="O95" s="35">
        <v>41.913072999999997</v>
      </c>
      <c r="P95" s="35">
        <v>38.350406999999997</v>
      </c>
      <c r="Q95" s="35">
        <v>42.900295</v>
      </c>
      <c r="R95" s="35">
        <v>39.095554</v>
      </c>
      <c r="S95" s="35">
        <v>39.708441999999998</v>
      </c>
      <c r="T95" s="35">
        <v>38.298496999999998</v>
      </c>
      <c r="U95" s="35">
        <v>36.224691999999997</v>
      </c>
    </row>
    <row r="96" spans="1:21" ht="15" customHeight="1">
      <c r="A96" s="29" t="s">
        <v>209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spans="1:21" ht="15" customHeight="1" outlineLevel="1">
      <c r="A97" s="42" t="s">
        <v>210</v>
      </c>
      <c r="B97" s="41">
        <v>-2.73</v>
      </c>
      <c r="C97" s="41">
        <v>-2.6760000000000002</v>
      </c>
      <c r="D97" s="41">
        <v>-2.4380000000000002</v>
      </c>
      <c r="E97" s="41">
        <v>-4.5</v>
      </c>
      <c r="F97" s="41">
        <v>-5.3019999999999996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 spans="1:21" ht="15" customHeight="1">
      <c r="A98" s="44" t="s">
        <v>211</v>
      </c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spans="1:21" ht="15" customHeight="1">
      <c r="A99" s="45" t="s">
        <v>212</v>
      </c>
      <c r="B99" s="31">
        <v>3.234</v>
      </c>
      <c r="C99" s="31">
        <v>2.754</v>
      </c>
      <c r="D99" s="31">
        <v>2.472</v>
      </c>
      <c r="E99" s="31">
        <v>1.7450000000000001</v>
      </c>
      <c r="F99" s="31">
        <v>2.2970000000000002</v>
      </c>
      <c r="G99" s="31">
        <v>2.302</v>
      </c>
      <c r="H99" s="31">
        <v>2.0249999999999999</v>
      </c>
      <c r="I99" s="31">
        <v>1.706</v>
      </c>
      <c r="J99" s="31">
        <v>0.217</v>
      </c>
      <c r="K99" s="31">
        <v>0.216</v>
      </c>
      <c r="L99" s="31">
        <v>0.217</v>
      </c>
      <c r="M99" s="31">
        <v>0.183</v>
      </c>
      <c r="N99" s="31">
        <v>0.189</v>
      </c>
      <c r="O99" s="31">
        <v>0.20799999999999999</v>
      </c>
      <c r="P99" s="31">
        <v>0.215</v>
      </c>
      <c r="Q99" s="31">
        <v>0.17699999999999999</v>
      </c>
      <c r="R99" s="31">
        <v>0.17399999999999999</v>
      </c>
      <c r="S99" s="31">
        <v>0.16800000000000001</v>
      </c>
      <c r="T99" s="31">
        <v>0.13800000000000001</v>
      </c>
      <c r="U99" s="31">
        <v>0.14199999999999999</v>
      </c>
    </row>
    <row r="100" spans="1:21" ht="15" customHeight="1" outlineLevel="1">
      <c r="A100" s="48" t="s">
        <v>213</v>
      </c>
      <c r="B100" s="33">
        <v>0.75700000000000001</v>
      </c>
      <c r="C100" s="33">
        <v>0.63200000000000001</v>
      </c>
      <c r="D100" s="33">
        <v>0.58299999999999996</v>
      </c>
      <c r="E100" s="33">
        <v>0.44600000000000001</v>
      </c>
      <c r="F100" s="33">
        <v>0.55200000000000005</v>
      </c>
      <c r="G100" s="33">
        <v>0.54800000000000004</v>
      </c>
      <c r="H100" s="33">
        <v>0.53400000000000003</v>
      </c>
      <c r="I100" s="33">
        <v>0.51200000000000001</v>
      </c>
      <c r="J100" s="33">
        <v>4.3999999999999997E-2</v>
      </c>
      <c r="K100" s="33">
        <v>4.3999999999999997E-2</v>
      </c>
      <c r="L100" s="33">
        <v>4.9000000000000002E-2</v>
      </c>
      <c r="M100" s="33">
        <v>3.6999999999999998E-2</v>
      </c>
      <c r="N100" s="33">
        <v>3.5999999999999997E-2</v>
      </c>
      <c r="O100" s="33">
        <v>0.04</v>
      </c>
      <c r="P100" s="33">
        <v>3.9E-2</v>
      </c>
      <c r="Q100" s="33">
        <v>0.03</v>
      </c>
      <c r="R100" s="33">
        <v>2.9000000000000001E-2</v>
      </c>
      <c r="S100" s="33">
        <v>2.8000000000000001E-2</v>
      </c>
      <c r="T100" s="33">
        <v>2.1000000000000001E-2</v>
      </c>
      <c r="U100" s="33">
        <v>2.3E-2</v>
      </c>
    </row>
    <row r="101" spans="1:21" ht="15" customHeight="1" outlineLevel="1">
      <c r="A101" s="42" t="s">
        <v>214</v>
      </c>
      <c r="B101" s="28"/>
      <c r="C101" s="28"/>
      <c r="D101" s="28"/>
      <c r="E101" s="28"/>
      <c r="F101" s="28"/>
      <c r="G101" s="28"/>
      <c r="H101" s="35">
        <v>1.083</v>
      </c>
      <c r="I101" s="35">
        <v>0.90900000000000003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</row>
    <row r="102" spans="1:21" ht="15" customHeight="1" outlineLevel="1">
      <c r="A102" s="48" t="s">
        <v>215</v>
      </c>
      <c r="B102" s="33">
        <v>0.64200000000000002</v>
      </c>
      <c r="C102" s="33">
        <v>0.53600000000000003</v>
      </c>
      <c r="D102" s="33">
        <v>0.48199999999999998</v>
      </c>
      <c r="E102" s="33">
        <v>0.30499999999999999</v>
      </c>
      <c r="F102" s="33">
        <v>0.44600000000000001</v>
      </c>
      <c r="G102" s="33">
        <v>0.45500000000000002</v>
      </c>
      <c r="H102" s="44"/>
      <c r="I102" s="44"/>
      <c r="J102" s="33">
        <v>0.121</v>
      </c>
      <c r="K102" s="33">
        <v>0.125</v>
      </c>
      <c r="L102" s="33">
        <v>0.125</v>
      </c>
      <c r="M102" s="33">
        <v>0.10299999999999999</v>
      </c>
      <c r="N102" s="33">
        <v>0.108</v>
      </c>
      <c r="O102" s="33">
        <v>0.11899999999999999</v>
      </c>
      <c r="P102" s="33">
        <v>0.121</v>
      </c>
      <c r="Q102" s="33">
        <v>9.9000000000000005E-2</v>
      </c>
      <c r="R102" s="33">
        <v>9.2999999999999999E-2</v>
      </c>
      <c r="S102" s="33">
        <v>8.7999999999999995E-2</v>
      </c>
      <c r="T102" s="33">
        <v>7.0999999999999994E-2</v>
      </c>
      <c r="U102" s="33">
        <v>7.3999999999999996E-2</v>
      </c>
    </row>
    <row r="103" spans="1:21" ht="15" customHeight="1" outlineLevel="1">
      <c r="A103" s="42" t="s">
        <v>216</v>
      </c>
      <c r="B103" s="35">
        <v>0.495</v>
      </c>
      <c r="C103" s="35">
        <v>0.39700000000000002</v>
      </c>
      <c r="D103" s="35">
        <v>0.34200000000000003</v>
      </c>
      <c r="E103" s="35">
        <v>0.22800000000000001</v>
      </c>
      <c r="F103" s="35">
        <v>0.30499999999999999</v>
      </c>
      <c r="G103" s="35">
        <v>0.309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</row>
    <row r="104" spans="1:21" ht="15" customHeight="1" outlineLevel="1">
      <c r="A104" s="48" t="s">
        <v>217</v>
      </c>
      <c r="B104" s="33">
        <v>0.36</v>
      </c>
      <c r="C104" s="33">
        <v>0.307</v>
      </c>
      <c r="D104" s="33">
        <v>0.26</v>
      </c>
      <c r="E104" s="33">
        <v>0.191</v>
      </c>
      <c r="F104" s="33">
        <v>0.22800000000000001</v>
      </c>
      <c r="G104" s="33">
        <v>0.22900000000000001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spans="1:21" ht="15" customHeight="1" outlineLevel="1">
      <c r="A105" s="42" t="s">
        <v>218</v>
      </c>
      <c r="B105" s="35">
        <v>0.309</v>
      </c>
      <c r="C105" s="35">
        <v>0.21199999999999999</v>
      </c>
      <c r="D105" s="35">
        <v>0.20599999999999999</v>
      </c>
      <c r="E105" s="35">
        <v>0.57499999999999996</v>
      </c>
      <c r="F105" s="35">
        <v>0.191</v>
      </c>
      <c r="G105" s="35">
        <v>0.17699999999999999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 spans="1:21" ht="15" customHeight="1" outlineLevel="1">
      <c r="A106" s="48" t="s">
        <v>219</v>
      </c>
      <c r="B106" s="33">
        <v>0.67100000000000004</v>
      </c>
      <c r="C106" s="33">
        <v>0.67</v>
      </c>
      <c r="D106" s="33">
        <v>0.59899999999999998</v>
      </c>
      <c r="E106" s="44"/>
      <c r="F106" s="33">
        <v>0.57499999999999996</v>
      </c>
      <c r="G106" s="33">
        <v>0.58399999999999996</v>
      </c>
      <c r="H106" s="33">
        <v>0.40799999999999997</v>
      </c>
      <c r="I106" s="33">
        <v>0.28499999999999998</v>
      </c>
      <c r="J106" s="33">
        <v>5.1999999999999998E-2</v>
      </c>
      <c r="K106" s="33">
        <v>4.7E-2</v>
      </c>
      <c r="L106" s="33">
        <v>4.2999999999999997E-2</v>
      </c>
      <c r="M106" s="33">
        <v>4.2999999999999997E-2</v>
      </c>
      <c r="N106" s="33">
        <v>4.4999999999999998E-2</v>
      </c>
      <c r="O106" s="33">
        <v>4.9000000000000002E-2</v>
      </c>
      <c r="P106" s="33">
        <v>5.5E-2</v>
      </c>
      <c r="Q106" s="33">
        <v>4.8000000000000001E-2</v>
      </c>
      <c r="R106" s="33">
        <v>5.1999999999999998E-2</v>
      </c>
      <c r="S106" s="33">
        <v>5.1999999999999998E-2</v>
      </c>
      <c r="T106" s="33">
        <v>4.5999999999999999E-2</v>
      </c>
      <c r="U106" s="33">
        <v>4.4999999999999998E-2</v>
      </c>
    </row>
    <row r="107" spans="1:21" ht="15" customHeight="1">
      <c r="A107" s="28" t="s">
        <v>220</v>
      </c>
      <c r="B107" s="35">
        <v>0.65600000000000003</v>
      </c>
      <c r="C107" s="35">
        <v>0.55300000000000005</v>
      </c>
      <c r="D107" s="35">
        <v>0.53200000000000003</v>
      </c>
      <c r="E107" s="35">
        <v>0.51</v>
      </c>
      <c r="F107" s="35">
        <v>0.49099999999999999</v>
      </c>
      <c r="G107" s="35">
        <v>0.503</v>
      </c>
      <c r="H107" s="35">
        <v>7.0000000000000001E-3</v>
      </c>
      <c r="I107" s="35">
        <v>0</v>
      </c>
      <c r="J107" s="35">
        <v>6.0000000000000001E-3</v>
      </c>
      <c r="K107" s="35">
        <v>0.85799999999999998</v>
      </c>
      <c r="L107" s="35">
        <v>0.27200000000000002</v>
      </c>
      <c r="M107" s="35">
        <v>0.54300000000000004</v>
      </c>
      <c r="N107" s="35">
        <v>1.3720000000000001</v>
      </c>
      <c r="O107" s="35">
        <v>0.44700000000000001</v>
      </c>
      <c r="P107" s="35">
        <v>0.26400000000000001</v>
      </c>
      <c r="Q107" s="35">
        <v>0.76</v>
      </c>
      <c r="R107" s="28"/>
      <c r="S107" s="28"/>
      <c r="T107" s="28"/>
      <c r="U107" s="28"/>
    </row>
    <row r="108" spans="1:21" ht="15" customHeight="1">
      <c r="A108" s="50" t="s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A989-530C-4648-AD36-DDF2474C28DC}">
  <sheetPr>
    <tabColor theme="8" tint="0.39997558519241921"/>
  </sheetPr>
  <dimension ref="A1:K12"/>
  <sheetViews>
    <sheetView workbookViewId="0"/>
  </sheetViews>
  <sheetFormatPr defaultRowHeight="14.4"/>
  <sheetData>
    <row r="1" spans="1:11">
      <c r="A1" s="10"/>
      <c r="B1" s="10"/>
      <c r="C1" s="10"/>
      <c r="D1" s="10" t="s">
        <v>26</v>
      </c>
      <c r="E1" s="10" t="s">
        <v>6</v>
      </c>
      <c r="F1" s="10" t="s">
        <v>4</v>
      </c>
      <c r="G1" s="10" t="s">
        <v>5</v>
      </c>
      <c r="H1" s="10"/>
      <c r="I1" s="10" t="s">
        <v>30</v>
      </c>
      <c r="J1" s="10"/>
      <c r="K1" s="10"/>
    </row>
    <row r="2" spans="1:11">
      <c r="A2" s="10" t="s">
        <v>8</v>
      </c>
      <c r="B2" s="10"/>
      <c r="C2" s="10" t="s">
        <v>9</v>
      </c>
      <c r="D2" s="10"/>
      <c r="E2" s="10"/>
      <c r="F2" s="10"/>
      <c r="G2" s="10"/>
      <c r="H2" s="10" t="s">
        <v>16</v>
      </c>
      <c r="I2" s="10"/>
      <c r="J2" s="10" t="s">
        <v>19</v>
      </c>
      <c r="K2" s="10"/>
    </row>
    <row r="3" spans="1:11">
      <c r="A3" s="10" t="s">
        <v>10</v>
      </c>
      <c r="B3" s="10" t="s">
        <v>11</v>
      </c>
      <c r="C3" s="10" t="s">
        <v>12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18</v>
      </c>
      <c r="I3" s="10" t="s">
        <v>15</v>
      </c>
      <c r="J3" s="10"/>
      <c r="K3" s="10" t="s">
        <v>21</v>
      </c>
    </row>
    <row r="4" spans="1:11">
      <c r="A4" s="10" t="s">
        <v>27</v>
      </c>
      <c r="B4" s="10"/>
      <c r="C4" s="10"/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29</v>
      </c>
      <c r="J4" s="10" t="s">
        <v>20</v>
      </c>
      <c r="K4" s="10" t="s">
        <v>28</v>
      </c>
    </row>
    <row r="5" spans="1:11">
      <c r="A5" s="13" t="s">
        <v>37</v>
      </c>
      <c r="B5" s="13" t="s">
        <v>45</v>
      </c>
      <c r="C5" s="13" t="s">
        <v>14</v>
      </c>
      <c r="D5" s="14">
        <v>37262.823315000001</v>
      </c>
      <c r="E5" s="14">
        <v>3647.0675999999999</v>
      </c>
      <c r="F5" s="14">
        <v>1941.38122</v>
      </c>
      <c r="G5" s="14">
        <v>1680.2335499999999</v>
      </c>
      <c r="H5" s="14">
        <v>17541.811992999999</v>
      </c>
      <c r="I5" s="17">
        <v>52.851734</v>
      </c>
      <c r="J5" s="14">
        <v>278.79547100000002</v>
      </c>
      <c r="K5" s="14">
        <v>17541.811992999999</v>
      </c>
    </row>
    <row r="6" spans="1:11">
      <c r="A6" s="11" t="s">
        <v>38</v>
      </c>
      <c r="B6" s="11" t="s">
        <v>46</v>
      </c>
      <c r="C6" s="11" t="s">
        <v>53</v>
      </c>
      <c r="D6" s="12">
        <v>43645.391219999998</v>
      </c>
      <c r="E6" s="12">
        <v>5435.3874999999998</v>
      </c>
      <c r="F6" s="12">
        <v>3270.1437700000001</v>
      </c>
      <c r="G6" s="12">
        <v>3094.1089400000001</v>
      </c>
      <c r="H6" s="12">
        <v>26549.755246000001</v>
      </c>
      <c r="I6" s="16">
        <v>9.8566970000000005</v>
      </c>
      <c r="J6" s="12">
        <v>2910.9797359999998</v>
      </c>
      <c r="K6" s="12">
        <v>26549.755246000001</v>
      </c>
    </row>
    <row r="7" spans="1:11">
      <c r="A7" s="13" t="s">
        <v>39</v>
      </c>
      <c r="B7" s="13" t="s">
        <v>47</v>
      </c>
      <c r="C7" s="13" t="s">
        <v>14</v>
      </c>
      <c r="D7" s="14">
        <v>19676</v>
      </c>
      <c r="E7" s="14">
        <v>2856</v>
      </c>
      <c r="F7" s="14">
        <v>1784</v>
      </c>
      <c r="G7" s="14">
        <v>1682.9145799999999</v>
      </c>
      <c r="H7" s="14">
        <v>18162.379983999999</v>
      </c>
      <c r="I7" s="17">
        <v>63.5</v>
      </c>
      <c r="J7" s="14">
        <v>200.00598099999999</v>
      </c>
      <c r="K7" s="14">
        <v>18162.379983999999</v>
      </c>
    </row>
    <row r="8" spans="1:11">
      <c r="A8" s="11" t="s">
        <v>40</v>
      </c>
      <c r="B8" s="11" t="s">
        <v>48</v>
      </c>
      <c r="C8" s="11" t="s">
        <v>53</v>
      </c>
      <c r="D8" s="12">
        <v>29988.448340999999</v>
      </c>
      <c r="E8" s="12">
        <v>2863.76469</v>
      </c>
      <c r="F8" s="12">
        <v>1348.1960200000001</v>
      </c>
      <c r="G8" s="12">
        <v>987.79137000000003</v>
      </c>
      <c r="H8" s="12">
        <v>11733.140441</v>
      </c>
      <c r="I8" s="16">
        <v>12.30419</v>
      </c>
      <c r="J8" s="12">
        <v>759.02392599999996</v>
      </c>
      <c r="K8" s="12">
        <v>11733.140441</v>
      </c>
    </row>
    <row r="9" spans="1:11">
      <c r="A9" s="13" t="s">
        <v>41</v>
      </c>
      <c r="B9" s="13" t="s">
        <v>49</v>
      </c>
      <c r="C9" s="13" t="s">
        <v>14</v>
      </c>
      <c r="D9" s="14">
        <v>20903</v>
      </c>
      <c r="E9" s="14">
        <v>2928</v>
      </c>
      <c r="F9" s="14">
        <v>840</v>
      </c>
      <c r="G9" s="14">
        <v>603.42912000000001</v>
      </c>
      <c r="H9" s="14">
        <v>7364.5309740000002</v>
      </c>
      <c r="I9" s="17">
        <v>10.48</v>
      </c>
      <c r="J9" s="14">
        <v>245.60762</v>
      </c>
      <c r="K9" s="14">
        <v>7364.5309740000002</v>
      </c>
    </row>
    <row r="10" spans="1:11">
      <c r="A10" s="11" t="s">
        <v>42</v>
      </c>
      <c r="B10" s="11" t="s">
        <v>50</v>
      </c>
      <c r="C10" s="11" t="s">
        <v>14</v>
      </c>
      <c r="D10" s="12">
        <v>38104.589202000003</v>
      </c>
      <c r="E10" s="12">
        <v>2820.8653199999999</v>
      </c>
      <c r="F10" s="12">
        <v>2093.6519899999998</v>
      </c>
      <c r="G10" s="12">
        <v>1841.51919</v>
      </c>
      <c r="H10" s="12">
        <v>3086.8885049999999</v>
      </c>
      <c r="I10" s="16">
        <v>253.797134</v>
      </c>
      <c r="J10" s="12">
        <v>90.732581999999994</v>
      </c>
      <c r="K10" s="12">
        <v>3086.8885049999999</v>
      </c>
    </row>
    <row r="11" spans="1:11">
      <c r="A11" s="13" t="s">
        <v>43</v>
      </c>
      <c r="B11" s="13" t="s">
        <v>51</v>
      </c>
      <c r="C11" s="13" t="s">
        <v>14</v>
      </c>
      <c r="D11" s="14">
        <v>21346.799999999999</v>
      </c>
      <c r="E11" s="14">
        <v>2252.6</v>
      </c>
      <c r="F11" s="14">
        <v>1098.4000000000001</v>
      </c>
      <c r="G11" s="14">
        <v>1006.37875</v>
      </c>
      <c r="H11" s="14">
        <v>9303.3696550000004</v>
      </c>
      <c r="I11" s="17">
        <v>9.76</v>
      </c>
      <c r="J11" s="14">
        <v>197.08933999999999</v>
      </c>
      <c r="K11" s="14">
        <v>9303.3696550000004</v>
      </c>
    </row>
    <row r="12" spans="1:11">
      <c r="A12" s="11" t="s">
        <v>44</v>
      </c>
      <c r="B12" s="11" t="s">
        <v>52</v>
      </c>
      <c r="C12" s="11" t="s">
        <v>14</v>
      </c>
      <c r="D12" s="12">
        <v>20608.501593000001</v>
      </c>
      <c r="E12" s="12">
        <v>1441.4600600000001</v>
      </c>
      <c r="F12" s="12">
        <v>906.18466000000001</v>
      </c>
      <c r="G12" s="12">
        <v>656.92956000000004</v>
      </c>
      <c r="H12" s="12">
        <v>7257.1151319999999</v>
      </c>
      <c r="I12" s="16">
        <v>105.846153</v>
      </c>
      <c r="J12" s="12">
        <v>50.626961000000001</v>
      </c>
      <c r="K12" s="12">
        <v>7257.1151319999999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6626-B53A-4B77-B600-A07CA0401562}">
  <sheetPr>
    <tabColor theme="8" tint="0.39997558519241921"/>
  </sheetPr>
  <dimension ref="A1:K12"/>
  <sheetViews>
    <sheetView workbookViewId="0"/>
  </sheetViews>
  <sheetFormatPr defaultRowHeight="14.4"/>
  <sheetData>
    <row r="1" spans="1:11">
      <c r="A1" s="10"/>
      <c r="B1" s="10"/>
      <c r="C1" s="10"/>
      <c r="D1" s="10" t="s">
        <v>26</v>
      </c>
      <c r="E1" s="10" t="s">
        <v>6</v>
      </c>
      <c r="F1" s="10" t="s">
        <v>4</v>
      </c>
      <c r="G1" s="10" t="s">
        <v>5</v>
      </c>
      <c r="H1" s="10"/>
      <c r="I1" s="10" t="s">
        <v>30</v>
      </c>
      <c r="J1" s="10"/>
      <c r="K1" s="10"/>
    </row>
    <row r="2" spans="1:11">
      <c r="A2" s="10" t="s">
        <v>8</v>
      </c>
      <c r="B2" s="10"/>
      <c r="C2" s="10" t="s">
        <v>9</v>
      </c>
      <c r="D2" s="10"/>
      <c r="E2" s="10"/>
      <c r="F2" s="10"/>
      <c r="G2" s="10"/>
      <c r="H2" s="10" t="s">
        <v>16</v>
      </c>
      <c r="I2" s="10"/>
      <c r="J2" s="10" t="s">
        <v>19</v>
      </c>
      <c r="K2" s="10"/>
    </row>
    <row r="3" spans="1:11">
      <c r="A3" s="10" t="s">
        <v>10</v>
      </c>
      <c r="B3" s="10" t="s">
        <v>11</v>
      </c>
      <c r="C3" s="10" t="s">
        <v>12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18</v>
      </c>
      <c r="I3" s="10" t="s">
        <v>15</v>
      </c>
      <c r="J3" s="10"/>
      <c r="K3" s="10" t="s">
        <v>21</v>
      </c>
    </row>
    <row r="4" spans="1:11">
      <c r="A4" s="10" t="s">
        <v>27</v>
      </c>
      <c r="B4" s="10"/>
      <c r="C4" s="10"/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29</v>
      </c>
      <c r="J4" s="10" t="s">
        <v>20</v>
      </c>
      <c r="K4" s="10" t="s">
        <v>28</v>
      </c>
    </row>
    <row r="5" spans="1:11">
      <c r="A5" s="13" t="s">
        <v>54</v>
      </c>
      <c r="B5" s="13" t="s">
        <v>62</v>
      </c>
      <c r="C5" s="13" t="s">
        <v>14</v>
      </c>
      <c r="D5" s="14">
        <v>13754.477766</v>
      </c>
      <c r="E5" s="14">
        <v>949.86794999999995</v>
      </c>
      <c r="F5" s="14">
        <v>650.37599999999998</v>
      </c>
      <c r="G5" s="14">
        <v>486.84088000000003</v>
      </c>
      <c r="H5" s="14">
        <v>7422.2358690000001</v>
      </c>
      <c r="I5" s="17">
        <v>46.700854999999997</v>
      </c>
      <c r="J5" s="14">
        <v>64.873481999999996</v>
      </c>
      <c r="K5" s="14">
        <v>7422.2358690000001</v>
      </c>
    </row>
    <row r="6" spans="1:11">
      <c r="A6" s="11" t="s">
        <v>55</v>
      </c>
      <c r="B6" s="11" t="s">
        <v>63</v>
      </c>
      <c r="C6" s="11" t="s">
        <v>13</v>
      </c>
      <c r="D6" s="12">
        <v>11730.305781999999</v>
      </c>
      <c r="E6" s="12">
        <v>658.54862000000003</v>
      </c>
      <c r="F6" s="12">
        <v>146.16121000000001</v>
      </c>
      <c r="G6" s="12">
        <v>123.62638</v>
      </c>
      <c r="H6" s="12">
        <v>4003.9452769999998</v>
      </c>
      <c r="I6" s="16">
        <v>4.637912</v>
      </c>
      <c r="J6" s="12">
        <v>274.88558999999998</v>
      </c>
      <c r="K6" s="12">
        <v>4003.9452769999998</v>
      </c>
    </row>
    <row r="7" spans="1:11">
      <c r="A7" s="13" t="s">
        <v>56</v>
      </c>
      <c r="B7" s="13" t="s">
        <v>64</v>
      </c>
      <c r="C7" s="13" t="s">
        <v>14</v>
      </c>
      <c r="D7" s="14">
        <v>55613.009295999997</v>
      </c>
      <c r="E7" s="14">
        <v>3792.0309299999999</v>
      </c>
      <c r="F7" s="14">
        <v>1545.1734799999999</v>
      </c>
      <c r="G7" s="14">
        <v>1189.2650000000001</v>
      </c>
      <c r="H7" s="14">
        <v>16761.136746</v>
      </c>
      <c r="I7" s="17">
        <v>78.509452999999993</v>
      </c>
      <c r="J7" s="14">
        <v>162.886383</v>
      </c>
      <c r="K7" s="14">
        <v>16761.136746</v>
      </c>
    </row>
    <row r="8" spans="1:11">
      <c r="A8" s="11" t="s">
        <v>57</v>
      </c>
      <c r="B8" s="11" t="s">
        <v>65</v>
      </c>
      <c r="C8" s="11" t="s">
        <v>14</v>
      </c>
      <c r="D8" s="12">
        <v>56352.538337999998</v>
      </c>
      <c r="E8" s="12">
        <v>6511.0038400000003</v>
      </c>
      <c r="F8" s="12">
        <v>5359.7634699999999</v>
      </c>
      <c r="G8" s="12">
        <v>4556.2743200000004</v>
      </c>
      <c r="H8" s="12">
        <v>58933.559754000002</v>
      </c>
      <c r="I8" s="16">
        <v>10.170230999999999</v>
      </c>
      <c r="J8" s="12">
        <v>6852.0805659999996</v>
      </c>
      <c r="K8" s="12">
        <v>58933.559754000002</v>
      </c>
    </row>
    <row r="9" spans="1:11">
      <c r="A9" s="13" t="s">
        <v>58</v>
      </c>
      <c r="B9" s="13" t="s">
        <v>66</v>
      </c>
      <c r="C9" s="13" t="s">
        <v>14</v>
      </c>
      <c r="D9" s="14">
        <v>10808.823899000001</v>
      </c>
      <c r="E9" s="14">
        <v>664.12927999999999</v>
      </c>
      <c r="F9" s="14">
        <v>501.41797000000003</v>
      </c>
      <c r="G9" s="14">
        <v>432.22492</v>
      </c>
      <c r="H9" s="14">
        <v>2907.0669800000001</v>
      </c>
      <c r="I9" s="17">
        <v>2.9431250000000002</v>
      </c>
      <c r="J9" s="14">
        <v>925.27136199999995</v>
      </c>
      <c r="K9" s="14">
        <v>2907.0669800000001</v>
      </c>
    </row>
    <row r="10" spans="1:11">
      <c r="A10" s="11" t="s">
        <v>59</v>
      </c>
      <c r="B10" s="11" t="s">
        <v>67</v>
      </c>
      <c r="C10" s="11" t="s">
        <v>13</v>
      </c>
      <c r="D10" s="12">
        <v>10862.309819</v>
      </c>
      <c r="E10" s="12">
        <v>581.85099000000002</v>
      </c>
      <c r="F10" s="12">
        <v>77.953639999999993</v>
      </c>
      <c r="G10" s="12">
        <v>67.748699999999999</v>
      </c>
      <c r="H10" s="12">
        <v>4741.2274939999998</v>
      </c>
      <c r="I10" s="16">
        <v>2.1296409999999999</v>
      </c>
      <c r="J10" s="12">
        <v>675.72820999999999</v>
      </c>
      <c r="K10" s="12">
        <v>4741.2274939999998</v>
      </c>
    </row>
    <row r="11" spans="1:11">
      <c r="A11" s="13" t="s">
        <v>60</v>
      </c>
      <c r="B11" s="13" t="s">
        <v>68</v>
      </c>
      <c r="C11" s="13" t="s">
        <v>53</v>
      </c>
      <c r="D11" s="14">
        <v>11371.387981</v>
      </c>
      <c r="E11" s="14">
        <v>508.71647999999999</v>
      </c>
      <c r="F11" s="14">
        <v>283.92266000000001</v>
      </c>
      <c r="G11" s="14">
        <v>218.60108</v>
      </c>
      <c r="H11" s="14">
        <v>3415.5221799999999</v>
      </c>
      <c r="I11" s="17">
        <v>3.0218660000000002</v>
      </c>
      <c r="J11" s="14">
        <v>650.41461200000003</v>
      </c>
      <c r="K11" s="14">
        <v>3415.5221799999999</v>
      </c>
    </row>
    <row r="12" spans="1:11">
      <c r="A12" s="11" t="s">
        <v>61</v>
      </c>
      <c r="B12" s="11" t="s">
        <v>69</v>
      </c>
      <c r="C12" s="11" t="s">
        <v>14</v>
      </c>
      <c r="D12" s="12">
        <v>3095.6687350000002</v>
      </c>
      <c r="E12" s="15">
        <v>-101.465</v>
      </c>
      <c r="F12" s="15">
        <v>-291.56171000000001</v>
      </c>
      <c r="G12" s="12">
        <v>-209.66108</v>
      </c>
      <c r="H12" s="12">
        <v>2040.380431</v>
      </c>
      <c r="I12" s="16">
        <v>0.52757399999999999</v>
      </c>
      <c r="J12" s="12">
        <v>335.456299</v>
      </c>
      <c r="K12" s="12">
        <v>2040.380431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45D4-2AD5-40FC-9DFB-C72C976E60E4}">
  <sheetPr>
    <tabColor theme="8" tint="0.39997558519241921"/>
  </sheetPr>
  <dimension ref="A1:K14"/>
  <sheetViews>
    <sheetView workbookViewId="0"/>
  </sheetViews>
  <sheetFormatPr defaultRowHeight="14.4"/>
  <sheetData>
    <row r="1" spans="1:11">
      <c r="A1" s="10"/>
      <c r="B1" s="10"/>
      <c r="C1" s="10"/>
      <c r="D1" s="10" t="s">
        <v>26</v>
      </c>
      <c r="E1" s="10" t="s">
        <v>6</v>
      </c>
      <c r="F1" s="10" t="s">
        <v>4</v>
      </c>
      <c r="G1" s="10" t="s">
        <v>5</v>
      </c>
      <c r="H1" s="10"/>
      <c r="I1" s="10" t="s">
        <v>30</v>
      </c>
      <c r="J1" s="10"/>
      <c r="K1" s="10"/>
    </row>
    <row r="2" spans="1:11">
      <c r="A2" s="10" t="s">
        <v>8</v>
      </c>
      <c r="B2" s="10"/>
      <c r="C2" s="10" t="s">
        <v>9</v>
      </c>
      <c r="D2" s="10"/>
      <c r="E2" s="10"/>
      <c r="F2" s="10"/>
      <c r="G2" s="10"/>
      <c r="H2" s="10" t="s">
        <v>16</v>
      </c>
      <c r="I2" s="10"/>
      <c r="J2" s="10" t="s">
        <v>19</v>
      </c>
      <c r="K2" s="10"/>
    </row>
    <row r="3" spans="1:11">
      <c r="A3" s="10" t="s">
        <v>10</v>
      </c>
      <c r="B3" s="10" t="s">
        <v>11</v>
      </c>
      <c r="C3" s="10" t="s">
        <v>12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18</v>
      </c>
      <c r="I3" s="10" t="s">
        <v>15</v>
      </c>
      <c r="J3" s="10"/>
      <c r="K3" s="10" t="s">
        <v>21</v>
      </c>
    </row>
    <row r="4" spans="1:11">
      <c r="A4" s="10" t="s">
        <v>27</v>
      </c>
      <c r="B4" s="10"/>
      <c r="C4" s="10"/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29</v>
      </c>
      <c r="J4" s="10" t="s">
        <v>20</v>
      </c>
      <c r="K4" s="10" t="s">
        <v>28</v>
      </c>
    </row>
    <row r="5" spans="1:11">
      <c r="A5" s="13" t="s">
        <v>70</v>
      </c>
      <c r="B5" s="13" t="s">
        <v>80</v>
      </c>
      <c r="C5" s="13" t="s">
        <v>14</v>
      </c>
      <c r="D5" s="14">
        <v>40152</v>
      </c>
      <c r="E5" s="14">
        <v>8699</v>
      </c>
      <c r="F5" s="14">
        <v>7047</v>
      </c>
      <c r="G5" s="14">
        <v>5661.3136999999997</v>
      </c>
      <c r="H5" s="14">
        <v>167583.00939799999</v>
      </c>
      <c r="I5" s="17">
        <v>271.54998799999998</v>
      </c>
      <c r="J5" s="14">
        <v>577.12249799999995</v>
      </c>
      <c r="K5" s="14">
        <v>167583.00939799999</v>
      </c>
    </row>
    <row r="6" spans="1:11">
      <c r="A6" s="11" t="s">
        <v>71</v>
      </c>
      <c r="B6" s="11" t="s">
        <v>81</v>
      </c>
      <c r="C6" s="11" t="s">
        <v>13</v>
      </c>
      <c r="D6" s="12">
        <v>34229.063891999998</v>
      </c>
      <c r="E6" s="12">
        <v>8012.2694000000001</v>
      </c>
      <c r="F6" s="12">
        <v>6696.1652599999998</v>
      </c>
      <c r="G6" s="12">
        <v>5534.6408000000001</v>
      </c>
      <c r="H6" s="12">
        <v>136752.98759800001</v>
      </c>
      <c r="I6" s="16">
        <v>179.74359100000001</v>
      </c>
      <c r="J6" s="12">
        <v>633.65313700000002</v>
      </c>
      <c r="K6" s="12">
        <v>136752.98759800001</v>
      </c>
    </row>
    <row r="7" spans="1:11">
      <c r="A7" s="13" t="s">
        <v>72</v>
      </c>
      <c r="B7" s="13" t="s">
        <v>82</v>
      </c>
      <c r="C7" s="13" t="s">
        <v>14</v>
      </c>
      <c r="D7" s="14">
        <v>18892.714004000001</v>
      </c>
      <c r="E7" s="14">
        <v>3818.3451100000002</v>
      </c>
      <c r="F7" s="14">
        <v>3488.8153600000001</v>
      </c>
      <c r="G7" s="14">
        <v>2500.6306599999998</v>
      </c>
      <c r="H7" s="14">
        <v>94178.230530000001</v>
      </c>
      <c r="I7" s="17">
        <v>409.71795700000001</v>
      </c>
      <c r="J7" s="14">
        <v>221.331909</v>
      </c>
      <c r="K7" s="14">
        <v>94178.230530000001</v>
      </c>
    </row>
    <row r="8" spans="1:11">
      <c r="A8" s="11" t="s">
        <v>73</v>
      </c>
      <c r="B8" s="11" t="s">
        <v>83</v>
      </c>
      <c r="C8" s="11" t="s">
        <v>14</v>
      </c>
      <c r="D8" s="12">
        <v>19269.382721000002</v>
      </c>
      <c r="E8" s="12">
        <v>3046.3115699999998</v>
      </c>
      <c r="F8" s="12">
        <v>1917.45731</v>
      </c>
      <c r="G8" s="12">
        <v>1676.8348100000001</v>
      </c>
      <c r="H8" s="12">
        <v>52627.683654</v>
      </c>
      <c r="I8" s="16">
        <v>52.769233999999997</v>
      </c>
      <c r="J8" s="12">
        <v>835.43335000000002</v>
      </c>
      <c r="K8" s="12">
        <v>52627.683654</v>
      </c>
    </row>
    <row r="9" spans="1:11">
      <c r="A9" s="13" t="s">
        <v>74</v>
      </c>
      <c r="B9" s="13" t="s">
        <v>84</v>
      </c>
      <c r="C9" s="13" t="s">
        <v>53</v>
      </c>
      <c r="D9" s="14">
        <v>28580.852717000002</v>
      </c>
      <c r="E9" s="14">
        <v>3893.9149200000002</v>
      </c>
      <c r="F9" s="14">
        <v>2314.9149699999998</v>
      </c>
      <c r="G9" s="14">
        <v>1913.4547299999999</v>
      </c>
      <c r="H9" s="14">
        <v>34520.005925999998</v>
      </c>
      <c r="I9" s="17">
        <v>116.71631600000001</v>
      </c>
      <c r="J9" s="14">
        <v>293.11398300000002</v>
      </c>
      <c r="K9" s="14">
        <v>34520.005925999998</v>
      </c>
    </row>
    <row r="10" spans="1:11">
      <c r="A10" s="11" t="s">
        <v>75</v>
      </c>
      <c r="B10" s="11" t="s">
        <v>85</v>
      </c>
      <c r="C10" s="11" t="s">
        <v>14</v>
      </c>
      <c r="D10" s="12">
        <v>9480.6</v>
      </c>
      <c r="E10" s="12">
        <v>2434.5</v>
      </c>
      <c r="F10" s="12">
        <v>2025.4</v>
      </c>
      <c r="G10" s="12">
        <v>1626.8224</v>
      </c>
      <c r="H10" s="12">
        <v>43305.651053000001</v>
      </c>
      <c r="I10" s="16">
        <v>149.449997</v>
      </c>
      <c r="J10" s="12">
        <v>262.24572799999999</v>
      </c>
      <c r="K10" s="12">
        <v>43305.651053000001</v>
      </c>
    </row>
    <row r="11" spans="1:11">
      <c r="A11" s="13" t="s">
        <v>76</v>
      </c>
      <c r="B11" s="13" t="s">
        <v>86</v>
      </c>
      <c r="C11" s="13" t="s">
        <v>13</v>
      </c>
      <c r="D11" s="14">
        <v>5591</v>
      </c>
      <c r="E11" s="14">
        <v>660</v>
      </c>
      <c r="F11" s="14">
        <v>416</v>
      </c>
      <c r="G11" s="14">
        <v>329.72196000000002</v>
      </c>
      <c r="H11" s="14">
        <v>3773.0420089999998</v>
      </c>
      <c r="I11" s="17">
        <v>20.940000999999999</v>
      </c>
      <c r="J11" s="14">
        <v>122.58110000000001</v>
      </c>
      <c r="K11" s="14">
        <v>3773.0420089999998</v>
      </c>
    </row>
    <row r="12" spans="1:11">
      <c r="A12" s="11" t="s">
        <v>77</v>
      </c>
      <c r="B12" s="11" t="s">
        <v>87</v>
      </c>
      <c r="C12" s="11" t="s">
        <v>14</v>
      </c>
      <c r="D12" s="12">
        <v>24320.872621999999</v>
      </c>
      <c r="E12" s="12">
        <v>5506.0442400000002</v>
      </c>
      <c r="F12" s="12">
        <v>4614.65697</v>
      </c>
      <c r="G12" s="12">
        <v>3340.5680200000002</v>
      </c>
      <c r="H12" s="12">
        <v>144182.961163</v>
      </c>
      <c r="I12" s="16">
        <v>351.08544899999998</v>
      </c>
      <c r="J12" s="12">
        <v>387.98535199999998</v>
      </c>
      <c r="K12" s="12">
        <v>144182.961163</v>
      </c>
    </row>
    <row r="13" spans="1:11">
      <c r="A13" s="13" t="s">
        <v>78</v>
      </c>
      <c r="B13" s="13" t="s">
        <v>88</v>
      </c>
      <c r="C13" s="13" t="s">
        <v>14</v>
      </c>
      <c r="D13" s="14">
        <v>15778.121115</v>
      </c>
      <c r="E13" s="14">
        <v>3177.1388400000001</v>
      </c>
      <c r="F13" s="14">
        <v>2386.60268</v>
      </c>
      <c r="G13" s="14">
        <v>2039.81655</v>
      </c>
      <c r="H13" s="14">
        <v>156222.97747000001</v>
      </c>
      <c r="I13" s="17">
        <v>58.609760000000001</v>
      </c>
      <c r="J13" s="14">
        <v>2597.5434570000002</v>
      </c>
      <c r="K13" s="14">
        <v>156222.97747000001</v>
      </c>
    </row>
    <row r="14" spans="1:11">
      <c r="A14" s="11" t="s">
        <v>79</v>
      </c>
      <c r="B14" s="11" t="s">
        <v>89</v>
      </c>
      <c r="C14" s="11" t="s">
        <v>14</v>
      </c>
      <c r="D14" s="12">
        <v>3689.8280289999998</v>
      </c>
      <c r="E14" s="12">
        <v>566.10911999999996</v>
      </c>
      <c r="F14" s="12">
        <v>372.31657999999999</v>
      </c>
      <c r="G14" s="12">
        <v>288.7303</v>
      </c>
      <c r="H14" s="12">
        <v>9008.5854909999998</v>
      </c>
      <c r="I14" s="16">
        <v>3.7747449999999998</v>
      </c>
      <c r="J14" s="12">
        <v>1782.9361570000001</v>
      </c>
      <c r="K14" s="12">
        <v>9008.5854909999998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FE18-85BB-45AB-B48C-871426613D15}">
  <sheetPr>
    <tabColor theme="8" tint="0.39997558519241921"/>
  </sheetPr>
  <dimension ref="A1:K15"/>
  <sheetViews>
    <sheetView workbookViewId="0"/>
  </sheetViews>
  <sheetFormatPr defaultRowHeight="14.4"/>
  <sheetData>
    <row r="1" spans="1:11">
      <c r="A1" s="10"/>
      <c r="B1" s="10"/>
      <c r="C1" s="10"/>
      <c r="D1" s="10" t="s">
        <v>26</v>
      </c>
      <c r="E1" s="10" t="s">
        <v>6</v>
      </c>
      <c r="F1" s="10" t="s">
        <v>4</v>
      </c>
      <c r="G1" s="10" t="s">
        <v>5</v>
      </c>
      <c r="H1" s="10"/>
      <c r="I1" s="10" t="s">
        <v>30</v>
      </c>
      <c r="J1" s="10"/>
      <c r="K1" s="10"/>
    </row>
    <row r="2" spans="1:11">
      <c r="A2" s="10" t="s">
        <v>8</v>
      </c>
      <c r="B2" s="10"/>
      <c r="C2" s="10" t="s">
        <v>9</v>
      </c>
      <c r="D2" s="10"/>
      <c r="E2" s="10"/>
      <c r="F2" s="10"/>
      <c r="G2" s="10"/>
      <c r="H2" s="10" t="s">
        <v>16</v>
      </c>
      <c r="I2" s="10"/>
      <c r="J2" s="10" t="s">
        <v>19</v>
      </c>
      <c r="K2" s="10"/>
    </row>
    <row r="3" spans="1:11">
      <c r="A3" s="10" t="s">
        <v>10</v>
      </c>
      <c r="B3" s="10" t="s">
        <v>11</v>
      </c>
      <c r="C3" s="10" t="s">
        <v>12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18</v>
      </c>
      <c r="I3" s="10" t="s">
        <v>15</v>
      </c>
      <c r="J3" s="10"/>
      <c r="K3" s="10" t="s">
        <v>21</v>
      </c>
    </row>
    <row r="4" spans="1:11">
      <c r="A4" s="10" t="s">
        <v>27</v>
      </c>
      <c r="B4" s="10"/>
      <c r="C4" s="10"/>
      <c r="D4" s="10" t="s">
        <v>28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29</v>
      </c>
      <c r="J4" s="10" t="s">
        <v>20</v>
      </c>
      <c r="K4" s="10" t="s">
        <v>28</v>
      </c>
    </row>
    <row r="5" spans="1:11">
      <c r="A5" s="13" t="s">
        <v>90</v>
      </c>
      <c r="B5" s="13" t="s">
        <v>100</v>
      </c>
      <c r="C5" s="13" t="s">
        <v>53</v>
      </c>
      <c r="D5" s="14">
        <v>79700</v>
      </c>
      <c r="E5" s="14">
        <v>12830</v>
      </c>
      <c r="F5" s="14">
        <v>9358</v>
      </c>
      <c r="G5" s="14">
        <v>8546.0093899999993</v>
      </c>
      <c r="H5" s="14">
        <v>237584.86796</v>
      </c>
      <c r="I5" s="17">
        <v>246.75</v>
      </c>
      <c r="J5" s="14">
        <v>782</v>
      </c>
      <c r="K5" s="14">
        <v>237584.86796</v>
      </c>
    </row>
    <row r="6" spans="1:11">
      <c r="A6" s="11" t="s">
        <v>91</v>
      </c>
      <c r="B6" s="11" t="s">
        <v>101</v>
      </c>
      <c r="C6" s="11" t="s">
        <v>14</v>
      </c>
      <c r="D6" s="12">
        <v>29290.843412999999</v>
      </c>
      <c r="E6" s="12">
        <v>5606.1701300000004</v>
      </c>
      <c r="F6" s="12">
        <v>4885.7945499999996</v>
      </c>
      <c r="G6" s="12">
        <v>3658.5548899999999</v>
      </c>
      <c r="H6" s="12">
        <v>151316.939801</v>
      </c>
      <c r="I6" s="16">
        <v>82.986343000000005</v>
      </c>
      <c r="J6" s="12">
        <v>1823.154419</v>
      </c>
      <c r="K6" s="12">
        <v>151316.939801</v>
      </c>
    </row>
    <row r="7" spans="1:11">
      <c r="A7" s="13" t="s">
        <v>70</v>
      </c>
      <c r="B7" s="13" t="s">
        <v>80</v>
      </c>
      <c r="C7" s="13" t="s">
        <v>14</v>
      </c>
      <c r="D7" s="14">
        <v>40152</v>
      </c>
      <c r="E7" s="14">
        <v>8699</v>
      </c>
      <c r="F7" s="14">
        <v>7047</v>
      </c>
      <c r="G7" s="14">
        <v>5661.3136999999997</v>
      </c>
      <c r="H7" s="14">
        <v>167583.00939799999</v>
      </c>
      <c r="I7" s="17">
        <v>271.54998799999998</v>
      </c>
      <c r="J7" s="14">
        <v>577.12249799999995</v>
      </c>
      <c r="K7" s="14">
        <v>167583.00939799999</v>
      </c>
    </row>
    <row r="8" spans="1:11">
      <c r="A8" s="11" t="s">
        <v>92</v>
      </c>
      <c r="B8" s="11" t="s">
        <v>102</v>
      </c>
      <c r="C8" s="11" t="s">
        <v>53</v>
      </c>
      <c r="D8" s="12">
        <v>7590.0828799999999</v>
      </c>
      <c r="E8" s="12">
        <v>1666.6992700000001</v>
      </c>
      <c r="F8" s="12">
        <v>1378.72624</v>
      </c>
      <c r="G8" s="12">
        <v>1252.4804899999999</v>
      </c>
      <c r="H8" s="12">
        <v>41575.856045</v>
      </c>
      <c r="I8" s="16">
        <v>342.05130000000003</v>
      </c>
      <c r="J8" s="12">
        <v>112.35791</v>
      </c>
      <c r="K8" s="12">
        <v>41575.856045</v>
      </c>
    </row>
    <row r="9" spans="1:11">
      <c r="A9" s="13" t="s">
        <v>93</v>
      </c>
      <c r="B9" s="13" t="s">
        <v>103</v>
      </c>
      <c r="C9" s="13" t="s">
        <v>53</v>
      </c>
      <c r="D9" s="14">
        <v>16110.540149</v>
      </c>
      <c r="E9" s="14">
        <v>4526.0498900000002</v>
      </c>
      <c r="F9" s="14">
        <v>3202.2600400000001</v>
      </c>
      <c r="G9" s="14">
        <v>2664.9192400000002</v>
      </c>
      <c r="H9" s="14">
        <v>75903.064419999995</v>
      </c>
      <c r="I9" s="17">
        <v>116.717949</v>
      </c>
      <c r="J9" s="14">
        <v>562.30206299999998</v>
      </c>
      <c r="K9" s="14">
        <v>75903.064419999995</v>
      </c>
    </row>
    <row r="10" spans="1:11">
      <c r="A10" s="11" t="s">
        <v>71</v>
      </c>
      <c r="B10" s="11" t="s">
        <v>81</v>
      </c>
      <c r="C10" s="11" t="s">
        <v>13</v>
      </c>
      <c r="D10" s="12">
        <v>34229.063891999998</v>
      </c>
      <c r="E10" s="12">
        <v>8012.2694000000001</v>
      </c>
      <c r="F10" s="12">
        <v>6696.1652599999998</v>
      </c>
      <c r="G10" s="12">
        <v>5534.6408000000001</v>
      </c>
      <c r="H10" s="12">
        <v>136752.98759800001</v>
      </c>
      <c r="I10" s="16">
        <v>179.74359100000001</v>
      </c>
      <c r="J10" s="12">
        <v>633.65313700000002</v>
      </c>
      <c r="K10" s="12">
        <v>136752.98759800001</v>
      </c>
    </row>
    <row r="11" spans="1:11">
      <c r="A11" s="13" t="s">
        <v>94</v>
      </c>
      <c r="B11" s="13" t="s">
        <v>104</v>
      </c>
      <c r="C11" s="13" t="s">
        <v>53</v>
      </c>
      <c r="D11" s="14">
        <v>33626.793782000001</v>
      </c>
      <c r="E11" s="14">
        <v>3974.6151599999998</v>
      </c>
      <c r="F11" s="14">
        <v>2614.21362</v>
      </c>
      <c r="G11" s="14">
        <v>2020.3947800000001</v>
      </c>
      <c r="H11" s="14">
        <v>64394.368986000001</v>
      </c>
      <c r="I11" s="17">
        <v>32.444629999999997</v>
      </c>
      <c r="J11" s="14">
        <v>2113.2016600000002</v>
      </c>
      <c r="K11" s="14">
        <v>64394.368986000001</v>
      </c>
    </row>
    <row r="12" spans="1:11">
      <c r="A12" s="11" t="s">
        <v>95</v>
      </c>
      <c r="B12" s="11" t="s">
        <v>105</v>
      </c>
      <c r="C12" s="11" t="s">
        <v>53</v>
      </c>
      <c r="D12" s="12">
        <v>3481.7011120000002</v>
      </c>
      <c r="E12" s="12">
        <v>652.29476999999997</v>
      </c>
      <c r="F12" s="12">
        <v>506.59606000000002</v>
      </c>
      <c r="G12" s="12">
        <v>432.49905999999999</v>
      </c>
      <c r="H12" s="12">
        <v>6629.118082</v>
      </c>
      <c r="I12" s="16">
        <v>29.092337000000001</v>
      </c>
      <c r="J12" s="12">
        <v>257.20120200000002</v>
      </c>
      <c r="K12" s="12">
        <v>6629.118082</v>
      </c>
    </row>
    <row r="13" spans="1:11">
      <c r="A13" s="13" t="s">
        <v>96</v>
      </c>
      <c r="B13" s="13" t="s">
        <v>106</v>
      </c>
      <c r="C13" s="13" t="s">
        <v>53</v>
      </c>
      <c r="D13" s="14">
        <v>4948.1945779999996</v>
      </c>
      <c r="E13" s="14">
        <v>1319.8115399999999</v>
      </c>
      <c r="F13" s="14">
        <v>1042.7595100000001</v>
      </c>
      <c r="G13" s="14">
        <v>755.27581999999995</v>
      </c>
      <c r="H13" s="14">
        <v>30621.435401999999</v>
      </c>
      <c r="I13" s="17">
        <v>37.158118999999999</v>
      </c>
      <c r="J13" s="14">
        <v>982.38348399999995</v>
      </c>
      <c r="K13" s="14">
        <v>30621.435401999999</v>
      </c>
    </row>
    <row r="14" spans="1:11">
      <c r="A14" s="11" t="s">
        <v>97</v>
      </c>
      <c r="B14" s="11" t="s">
        <v>107</v>
      </c>
      <c r="C14" s="11" t="s">
        <v>99</v>
      </c>
      <c r="D14" s="12">
        <v>6625.1779349999997</v>
      </c>
      <c r="E14" s="12">
        <v>3461.8177599999999</v>
      </c>
      <c r="F14" s="12">
        <v>3370.88859</v>
      </c>
      <c r="G14" s="12">
        <v>3167.0005900000001</v>
      </c>
      <c r="H14" s="12">
        <v>87615.764337000001</v>
      </c>
      <c r="I14" s="16">
        <v>393.94760100000002</v>
      </c>
      <c r="J14" s="12">
        <v>243.20768699999999</v>
      </c>
      <c r="K14" s="12">
        <v>87615.764337000001</v>
      </c>
    </row>
    <row r="15" spans="1:11">
      <c r="A15" s="13" t="s">
        <v>98</v>
      </c>
      <c r="B15" s="13" t="s">
        <v>108</v>
      </c>
      <c r="C15" s="13" t="s">
        <v>53</v>
      </c>
      <c r="D15" s="14">
        <v>18130.204849999998</v>
      </c>
      <c r="E15" s="14">
        <v>4688.4870600000004</v>
      </c>
      <c r="F15" s="14">
        <v>3875.2547800000002</v>
      </c>
      <c r="G15" s="20">
        <v>3602.5166899999999</v>
      </c>
      <c r="H15" s="14">
        <v>112344.7023</v>
      </c>
      <c r="I15" s="17">
        <v>809.82904099999996</v>
      </c>
      <c r="J15" s="14">
        <v>126.21653000000001</v>
      </c>
      <c r="K15" s="14">
        <v>112344.7023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17"/>
  <sheetViews>
    <sheetView zoomScale="80" zoomScaleNormal="80" workbookViewId="0"/>
  </sheetViews>
  <sheetFormatPr defaultRowHeight="15.6"/>
  <cols>
    <col min="1" max="1" width="76.33203125" style="7" bestFit="1" customWidth="1"/>
    <col min="2" max="2" width="16.33203125" style="7" customWidth="1"/>
    <col min="3" max="3" width="8.88671875" style="6"/>
    <col min="4" max="16384" width="8.88671875" style="7"/>
  </cols>
  <sheetData>
    <row r="1" spans="1:4">
      <c r="A1" s="6" t="s">
        <v>260</v>
      </c>
      <c r="B1" s="6" t="s">
        <v>0</v>
      </c>
      <c r="C1" s="6" t="s">
        <v>27</v>
      </c>
    </row>
    <row r="2" spans="1:4">
      <c r="A2" s="3" t="s">
        <v>241</v>
      </c>
      <c r="B2" s="8"/>
      <c r="C2" s="53" t="s">
        <v>239</v>
      </c>
    </row>
    <row r="3" spans="1:4">
      <c r="A3" s="3" t="s">
        <v>242</v>
      </c>
      <c r="B3" s="8"/>
      <c r="C3" s="53" t="s">
        <v>239</v>
      </c>
    </row>
    <row r="4" spans="1:4">
      <c r="A4" s="3" t="s">
        <v>243</v>
      </c>
      <c r="B4" s="8"/>
      <c r="C4" s="53" t="s">
        <v>239</v>
      </c>
    </row>
    <row r="5" spans="1:4">
      <c r="A5" s="3" t="s">
        <v>244</v>
      </c>
      <c r="B5" s="8"/>
      <c r="C5" s="53" t="s">
        <v>239</v>
      </c>
    </row>
    <row r="6" spans="1:4">
      <c r="A6" s="3" t="s">
        <v>245</v>
      </c>
      <c r="B6" s="8"/>
      <c r="C6" s="53" t="s">
        <v>239</v>
      </c>
    </row>
    <row r="7" spans="1:4">
      <c r="A7" s="3" t="s">
        <v>246</v>
      </c>
      <c r="B7" s="8"/>
      <c r="C7" s="53" t="s">
        <v>239</v>
      </c>
    </row>
    <row r="8" spans="1:4">
      <c r="A8" s="3" t="s">
        <v>247</v>
      </c>
      <c r="B8" s="8"/>
      <c r="C8" s="53" t="s">
        <v>239</v>
      </c>
    </row>
    <row r="9" spans="1:4">
      <c r="A9" s="3" t="s">
        <v>248</v>
      </c>
      <c r="B9" s="8"/>
      <c r="C9" s="53" t="s">
        <v>239</v>
      </c>
    </row>
    <row r="10" spans="1:4">
      <c r="A10" s="3" t="s">
        <v>249</v>
      </c>
      <c r="B10" s="8"/>
      <c r="C10" s="53" t="s">
        <v>239</v>
      </c>
    </row>
    <row r="11" spans="1:4">
      <c r="A11" s="3" t="s">
        <v>250</v>
      </c>
      <c r="B11" s="8"/>
      <c r="C11" s="53" t="s">
        <v>239</v>
      </c>
    </row>
    <row r="12" spans="1:4">
      <c r="A12" s="3" t="s">
        <v>251</v>
      </c>
      <c r="B12" s="8"/>
      <c r="C12" s="53" t="s">
        <v>239</v>
      </c>
      <c r="D12" s="7" t="s">
        <v>2</v>
      </c>
    </row>
    <row r="13" spans="1:4">
      <c r="A13" s="3" t="s">
        <v>252</v>
      </c>
      <c r="B13" s="8"/>
      <c r="C13" s="53" t="s">
        <v>239</v>
      </c>
    </row>
    <row r="14" spans="1:4">
      <c r="A14" s="7" t="s">
        <v>253</v>
      </c>
      <c r="B14" s="8"/>
      <c r="C14" s="53" t="s">
        <v>239</v>
      </c>
    </row>
    <row r="15" spans="1:4">
      <c r="A15" s="7" t="s">
        <v>254</v>
      </c>
      <c r="B15" s="8"/>
      <c r="C15" s="53" t="s">
        <v>239</v>
      </c>
    </row>
    <row r="16" spans="1:4">
      <c r="A16" s="7" t="s">
        <v>240</v>
      </c>
      <c r="B16" s="8"/>
      <c r="C16" s="53" t="s">
        <v>239</v>
      </c>
    </row>
    <row r="17" spans="1:3">
      <c r="A17" s="7" t="s">
        <v>255</v>
      </c>
      <c r="B17" s="8"/>
      <c r="C17" s="53" t="s">
        <v>239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Assumptions</vt:lpstr>
      <vt:lpstr>Bosch BS</vt:lpstr>
      <vt:lpstr>Comp - Mobility Solutions</vt:lpstr>
      <vt:lpstr>Comp - Consumer Goods</vt:lpstr>
      <vt:lpstr>Comp - Energy &amp; Building Techno</vt:lpstr>
      <vt:lpstr>Comp - Industrial Technology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2026-04-30T22:22:46Z</dcterms:modified>
</cp:coreProperties>
</file>