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" sheetId="4" state="visible" r:id="rId4"/>
    <sheet name="answers_Q3" sheetId="5" state="visible" r:id="rId5"/>
    <sheet name="answers_Q4" sheetId="6" state="visible" r:id="rId6"/>
    <sheet name="answers_Q5" sheetId="7" state="visible" r:id="rId7"/>
    <sheet name="answers_Q6" sheetId="8" state="visible" r:id="rId8"/>
    <sheet name="answers_Q7" sheetId="9" state="visible" r:id="rId9"/>
    <sheet name="answers_Q8" sheetId="10" state="visible" r:id="rId10"/>
    <sheet name="answers_Q9" sheetId="11" state="visible" r:id="rId11"/>
    <sheet name="answers_Q10" sheetId="12" state="visible" r:id="rId12"/>
    <sheet name="answers_Q11" sheetId="13" state="visible" r:id="rId13"/>
    <sheet name="answers_Q12" sheetId="14" state="visible" r:id="rId14"/>
    <sheet name="answers_Q13" sheetId="15" state="visible" r:id="rId15"/>
    <sheet name="answers_Q14" sheetId="16" state="visible" r:id="rId16"/>
    <sheet name="answers_Q15" sheetId="17" state="visible" r:id="rId17"/>
    <sheet name="answers_Q1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_);($#,##0)"/>
  </numFmts>
  <fonts count="6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FFFFFF"/>
      <sz val="12"/>
    </font>
    <font>
      <name val="Calibri"/>
      <b val="1"/>
      <color theme="1"/>
      <sz val="14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2">
    <border>
      <left/>
      <right/>
      <top/>
      <bottom/>
      <diagonal/>
    </border>
    <border>
      <left/>
      <right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right"/>
    </xf>
    <xf numFmtId="2" fontId="1" fillId="0" borderId="0" applyAlignment="1" pivotButton="0" quotePrefix="0" xfId="0">
      <alignment horizontal="right"/>
    </xf>
    <xf numFmtId="2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center"/>
    </xf>
    <xf numFmtId="2" fontId="2" fillId="2" borderId="0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5" fontId="1" fillId="0" borderId="0" pivotButton="0" quotePrefix="0" xfId="0"/>
    <xf numFmtId="165" fontId="2" fillId="2" borderId="0" applyAlignment="1" pivotButton="0" quotePrefix="0" xfId="0">
      <alignment horizontal="center"/>
    </xf>
    <xf numFmtId="0" fontId="1" fillId="0" borderId="1" pivotButton="0" quotePrefix="0" xfId="0"/>
    <xf numFmtId="165" fontId="1" fillId="0" borderId="1" applyAlignment="1" pivotButton="0" quotePrefix="0" xfId="0">
      <alignment horizontal="right"/>
    </xf>
    <xf numFmtId="165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</cols>
  <sheetData>
    <row r="1">
      <c r="A1" s="18" t="inlineStr">
        <is>
          <t>Target Company</t>
        </is>
      </c>
      <c r="B1" s="18" t="inlineStr">
        <is>
          <t>Robert Bosch GmbH</t>
        </is>
      </c>
      <c r="C1" s="2" t="n"/>
    </row>
    <row r="2">
      <c r="A2" s="1" t="inlineStr">
        <is>
          <t>Bosch Sales [€m]</t>
        </is>
      </c>
      <c r="B2" s="1" t="n"/>
      <c r="C2" s="1" t="n"/>
    </row>
    <row r="3">
      <c r="A3" s="1" t="inlineStr">
        <is>
          <t>Total Sales [€m]</t>
        </is>
      </c>
      <c r="B3" s="11" t="n">
        <v>89985</v>
      </c>
      <c r="C3" s="1" t="n"/>
    </row>
    <row r="4">
      <c r="A4" s="1" t="inlineStr">
        <is>
          <t>Mobility Solutions Sales [€m]</t>
        </is>
      </c>
      <c r="B4" s="11" t="n">
        <v>55793</v>
      </c>
      <c r="C4" s="1" t="n"/>
    </row>
    <row r="5">
      <c r="A5" s="1" t="inlineStr">
        <is>
          <t>Consumer Goods Sales [€m]</t>
        </is>
      </c>
      <c r="B5" s="11" t="n">
        <v>20264</v>
      </c>
      <c r="C5" s="1" t="n"/>
    </row>
    <row r="6">
      <c r="A6" s="1" t="inlineStr">
        <is>
          <t>Energy &amp; Building Tech Sales [€m]</t>
        </is>
      </c>
      <c r="B6" s="11" t="n">
        <v>7478</v>
      </c>
      <c r="C6" s="1" t="n"/>
    </row>
    <row r="7">
      <c r="A7" s="1" t="inlineStr">
        <is>
          <t>Industrial Technology Sales [€m]</t>
        </is>
      </c>
      <c r="B7" s="11" t="n">
        <v>6450</v>
      </c>
      <c r="C7" s="1" t="n"/>
    </row>
    <row r="8">
      <c r="A8" s="1" t="n"/>
      <c r="B8" s="1" t="n"/>
      <c r="C8" s="1" t="n"/>
    </row>
    <row r="9">
      <c r="A9" s="1" t="inlineStr">
        <is>
          <t>Margins [%]</t>
        </is>
      </c>
      <c r="B9" s="1" t="n"/>
      <c r="C9" s="1" t="n"/>
    </row>
    <row r="10">
      <c r="A10" s="1" t="inlineStr">
        <is>
          <t>Segment</t>
        </is>
      </c>
      <c r="B10" s="1" t="inlineStr">
        <is>
          <t>EBITDA Margin</t>
        </is>
      </c>
      <c r="C10" s="1" t="inlineStr">
        <is>
          <t>Net Margin</t>
        </is>
      </c>
    </row>
    <row r="11">
      <c r="A11" s="1" t="inlineStr">
        <is>
          <t>Mobility Solutions</t>
        </is>
      </c>
      <c r="B11" s="4" t="n">
        <v>0.0493</v>
      </c>
      <c r="C11" s="4" t="n">
        <v>0.0108</v>
      </c>
    </row>
    <row r="12">
      <c r="A12" s="1" t="inlineStr">
        <is>
          <t>Consumer Goods</t>
        </is>
      </c>
      <c r="B12" s="4" t="n">
        <v>0.0581</v>
      </c>
      <c r="C12" s="4" t="n">
        <v>0.015</v>
      </c>
    </row>
    <row r="13">
      <c r="A13" s="1" t="inlineStr">
        <is>
          <t>Energy &amp; Building Tech</t>
        </is>
      </c>
      <c r="B13" s="4" t="n">
        <v>0.06</v>
      </c>
      <c r="C13" s="4" t="n">
        <v>0.0196</v>
      </c>
    </row>
    <row r="14">
      <c r="A14" s="1" t="inlineStr">
        <is>
          <t>Industrial Technology</t>
        </is>
      </c>
      <c r="B14" s="4" t="n">
        <v>0.0878</v>
      </c>
      <c r="C14" s="4" t="n">
        <v>0.0277</v>
      </c>
    </row>
    <row r="15">
      <c r="A15" s="1" t="n"/>
      <c r="B15" s="1" t="n"/>
      <c r="C15" s="1" t="n"/>
    </row>
    <row r="16">
      <c r="A16" s="1" t="inlineStr">
        <is>
          <t>Net Debt [€m]</t>
        </is>
      </c>
      <c r="B16" s="11" t="n">
        <v>-993</v>
      </c>
      <c r="C1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5" customWidth="1" min="5" max="5"/>
    <col width="16" customWidth="1" min="6" max="6"/>
    <col width="13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1" customWidth="1" min="19" max="19"/>
    <col width="12" customWidth="1" min="20" max="20"/>
    <col width="11" customWidth="1" min="21" max="21"/>
    <col width="10" customWidth="1" min="22" max="22"/>
    <col width="13" customWidth="1" min="23" max="23"/>
    <col width="12" customWidth="1" min="24" max="24"/>
    <col width="11" customWidth="1" min="25" max="25"/>
    <col width="14" customWidth="1" min="26" max="26"/>
    <col width="12" customWidth="1" min="27" max="27"/>
  </cols>
  <sheetData>
    <row r="1">
      <c r="A1" s="19" t="inlineStr">
        <is>
          <t>Bosch Segment Financials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8" t="inlineStr">
        <is>
          <t>Segment</t>
        </is>
      </c>
      <c r="B2" s="18" t="inlineStr">
        <is>
          <t>Sales [€m]</t>
        </is>
      </c>
      <c r="C2" s="18" t="inlineStr">
        <is>
          <t>EBITDA [€m]</t>
        </is>
      </c>
      <c r="D2" s="18" t="inlineStr">
        <is>
          <t>Net Income [€m]</t>
        </is>
      </c>
      <c r="E2" s="18" t="n"/>
      <c r="F2" s="18" t="n"/>
      <c r="G2" s="18" t="n"/>
      <c r="H2" s="18" t="n"/>
      <c r="I2" s="18" t="n"/>
      <c r="J2" s="18" t="n"/>
      <c r="K2" s="18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1" t="inlineStr">
        <is>
          <t>Mobility Solutions</t>
        </is>
      </c>
      <c r="B3" s="12">
        <f>'model_Assumptions'!B4</f>
        <v/>
      </c>
      <c r="C3" s="12">
        <f>B3*'model_Assumptions'!B11</f>
        <v/>
      </c>
      <c r="D3" s="12">
        <f>B3*'model_Assumptions'!C11</f>
        <v/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inlineStr">
        <is>
          <t>Consumer Goods</t>
        </is>
      </c>
      <c r="B4" s="12">
        <f>'model_Assumptions'!B5</f>
        <v/>
      </c>
      <c r="C4" s="12">
        <f>B4*'model_Assumptions'!B12</f>
        <v/>
      </c>
      <c r="D4" s="12">
        <f>B4*'model_Assumptions'!C12</f>
        <v/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1" t="inlineStr">
        <is>
          <t>Energy &amp; Building Tech</t>
        </is>
      </c>
      <c r="B5" s="12">
        <f>'model_Assumptions'!B6</f>
        <v/>
      </c>
      <c r="C5" s="12">
        <f>B5*'model_Assumptions'!B13</f>
        <v/>
      </c>
      <c r="D5" s="12">
        <f>B5*'model_Assumptions'!C13</f>
        <v/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1" t="inlineStr">
        <is>
          <t>Industrial Technology</t>
        </is>
      </c>
      <c r="B6" s="12">
        <f>'model_Assumptions'!B7</f>
        <v/>
      </c>
      <c r="C6" s="12">
        <f>B6*'model_Assumptions'!B14</f>
        <v/>
      </c>
      <c r="D6" s="12">
        <f>B6*'model_Assumptions'!C14</f>
        <v/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15" t="inlineStr">
        <is>
          <t>Total</t>
        </is>
      </c>
      <c r="B7" s="16">
        <f>SUM(B3:B6)</f>
        <v/>
      </c>
      <c r="C7" s="16">
        <f>SUM(C3:C6)</f>
        <v/>
      </c>
      <c r="D7" s="16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1" t="inlineStr">
        <is>
          <t>Mobility Solutions Comparables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18" t="inlineStr">
        <is>
          <t>Company</t>
        </is>
      </c>
      <c r="B11" s="18" t="inlineStr">
        <is>
          <t>Sales [€m]</t>
        </is>
      </c>
      <c r="C11" s="18" t="inlineStr">
        <is>
          <t>EBITDA [€m]</t>
        </is>
      </c>
      <c r="D11" s="18" t="inlineStr">
        <is>
          <t>Net Income [€m]</t>
        </is>
      </c>
      <c r="E11" s="18" t="inlineStr">
        <is>
          <t>Price [€]</t>
        </is>
      </c>
      <c r="F11" s="18" t="inlineStr">
        <is>
          <t>Shares Out [M]</t>
        </is>
      </c>
      <c r="G11" s="18" t="inlineStr">
        <is>
          <t>EV [€m]</t>
        </is>
      </c>
      <c r="H11" s="18" t="inlineStr">
        <is>
          <t>P/S</t>
        </is>
      </c>
      <c r="I11" s="18" t="inlineStr">
        <is>
          <t>EV/S</t>
        </is>
      </c>
      <c r="J11" s="18" t="inlineStr">
        <is>
          <t>EV/EBITDA</t>
        </is>
      </c>
      <c r="K11" s="18" t="inlineStr">
        <is>
          <t>P/E</t>
        </is>
      </c>
      <c r="L11" s="1" t="inlineStr">
        <is>
          <t>PS Pos</t>
        </is>
      </c>
      <c r="M11" s="1" t="inlineStr">
        <is>
          <t>PS Clean</t>
        </is>
      </c>
      <c r="N11" s="1" t="inlineStr">
        <is>
          <t>EV/S Pos</t>
        </is>
      </c>
      <c r="O11" s="1" t="inlineStr">
        <is>
          <t>EV/S Clean</t>
        </is>
      </c>
      <c r="P11" s="1" t="inlineStr">
        <is>
          <t>EV/EBITDA Pos</t>
        </is>
      </c>
      <c r="Q11" s="1" t="inlineStr">
        <is>
          <t>EV/EBITDA Clean</t>
        </is>
      </c>
      <c r="R11" s="1" t="inlineStr">
        <is>
          <t>P/E Pos</t>
        </is>
      </c>
      <c r="S11" s="1" t="inlineStr">
        <is>
          <t>P/E Clean</t>
        </is>
      </c>
      <c r="T11" s="1" t="inlineStr">
        <is>
          <t>Segment</t>
        </is>
      </c>
      <c r="U11" s="1" t="inlineStr">
        <is>
          <t>Metric</t>
        </is>
      </c>
      <c r="V11" s="1" t="inlineStr">
        <is>
          <t>Avg(Pos)</t>
        </is>
      </c>
      <c r="W11" s="1" t="inlineStr">
        <is>
          <t>StdDev(Pos)</t>
        </is>
      </c>
      <c r="X11" s="1" t="inlineStr">
        <is>
          <t>75th Clean</t>
        </is>
      </c>
      <c r="Y11" s="1" t="inlineStr">
        <is>
          <t>Avg Clean</t>
        </is>
      </c>
      <c r="Z11" s="1" t="inlineStr">
        <is>
          <t>Median Clean</t>
        </is>
      </c>
      <c r="AA11" s="1" t="inlineStr">
        <is>
          <t>25th Clean</t>
        </is>
      </c>
    </row>
    <row r="12">
      <c r="A12" s="1" t="inlineStr">
        <is>
          <t>Magna International</t>
        </is>
      </c>
      <c r="B12" s="11" t="n">
        <v>37262.82</v>
      </c>
      <c r="C12" s="11" t="n">
        <v>3647.07</v>
      </c>
      <c r="D12" s="11" t="n">
        <v>1680.23</v>
      </c>
      <c r="E12" s="11" t="n">
        <v>52.85</v>
      </c>
      <c r="F12" s="11" t="n">
        <v>278.8</v>
      </c>
      <c r="G12" s="11" t="n">
        <v>17541.81</v>
      </c>
      <c r="H12" s="7">
        <f>IFERROR((E12*F12)/B12, "N/A")</f>
        <v/>
      </c>
      <c r="I12" s="7">
        <f>IFERROR(G12/B12, "N/A")</f>
        <v/>
      </c>
      <c r="J12" s="7">
        <f>IFERROR(G12/C12, "N/A")</f>
        <v/>
      </c>
      <c r="K12" s="7">
        <f>IFERROR((E12*F12)/D12, "N/A")</f>
        <v/>
      </c>
      <c r="L12" s="1">
        <f>IF(H12&gt;0, H12, "")</f>
        <v/>
      </c>
      <c r="M12" s="1">
        <f>IF(AND(L12&lt;&gt;"", L12&gt;=$L$20-$L$21, L12&lt;=$L$20+$L$21), L12, "")</f>
        <v/>
      </c>
      <c r="N12" s="1">
        <f>IF(I12&gt;0, I12, "")</f>
        <v/>
      </c>
      <c r="O12" s="1">
        <f>IF(AND(N12&lt;&gt;"", N12&gt;=$N$20-$N$21, N12&lt;=$N$20+$N$21), N12, "")</f>
        <v/>
      </c>
      <c r="P12" s="1">
        <f>IF(J12&gt;0, J12, "")</f>
        <v/>
      </c>
      <c r="Q12" s="1" t="n"/>
      <c r="R12" s="1">
        <f>IF(K12&gt;0, K12, "")</f>
        <v/>
      </c>
      <c r="S12" s="1" t="n"/>
      <c r="T12" s="1" t="inlineStr">
        <is>
          <t>Mobility</t>
        </is>
      </c>
      <c r="U12" s="1" t="inlineStr">
        <is>
          <t>P/S</t>
        </is>
      </c>
      <c r="V12" s="1" t="n"/>
      <c r="W12" s="1" t="n"/>
      <c r="X12" s="1" t="n"/>
      <c r="Y12" s="1" t="n"/>
      <c r="Z12" s="1" t="n"/>
      <c r="AA12" s="1" t="n"/>
    </row>
    <row r="13">
      <c r="A13" s="1" t="inlineStr">
        <is>
          <t>DENSO</t>
        </is>
      </c>
      <c r="B13" s="11" t="n">
        <v>43645.39</v>
      </c>
      <c r="C13" s="11" t="n">
        <v>5435.39</v>
      </c>
      <c r="D13" s="11" t="n">
        <v>3094.11</v>
      </c>
      <c r="E13" s="11" t="n">
        <v>9.859999999999999</v>
      </c>
      <c r="F13" s="11" t="n">
        <v>2910.98</v>
      </c>
      <c r="G13" s="11" t="n">
        <v>26549.76</v>
      </c>
      <c r="H13" s="7">
        <f>IFERROR((E13*F13)/B13, "N/A")</f>
        <v/>
      </c>
      <c r="I13" s="7">
        <f>IFERROR(G13/B13, "N/A")</f>
        <v/>
      </c>
      <c r="J13" s="7">
        <f>IFERROR(G13/C13, "N/A")</f>
        <v/>
      </c>
      <c r="K13" s="7">
        <f>IFERROR((E13*F13)/D13, "N/A")</f>
        <v/>
      </c>
      <c r="L13" s="1">
        <f>IF(H13&gt;0, H13, "")</f>
        <v/>
      </c>
      <c r="M13" s="1">
        <f>IF(AND(L13&lt;&gt;"", L13&gt;=$L$20-$L$21, L13&lt;=$L$20+$L$21), L13, "")</f>
        <v/>
      </c>
      <c r="N13" s="1">
        <f>IF(I13&gt;0, I13, "")</f>
        <v/>
      </c>
      <c r="O13" s="1">
        <f>IF(AND(N13&lt;&gt;"", N13&gt;=$N$20-$N$21, N13&lt;=$N$20+$N$21), N13, "")</f>
        <v/>
      </c>
      <c r="P13" s="1">
        <f>IF(J13&gt;0, J13, "")</f>
        <v/>
      </c>
      <c r="Q13" s="1" t="n"/>
      <c r="R13" s="1">
        <f>IF(K13&gt;0, K13, "")</f>
        <v/>
      </c>
      <c r="S13" s="1" t="n"/>
      <c r="T13" s="1" t="inlineStr">
        <is>
          <t>Mobility</t>
        </is>
      </c>
      <c r="U13" s="1" t="inlineStr">
        <is>
          <t>EV/S</t>
        </is>
      </c>
      <c r="V13" s="1" t="n"/>
      <c r="W13" s="1" t="n"/>
      <c r="X13" s="1" t="n"/>
      <c r="Y13" s="1" t="n"/>
      <c r="Z13" s="1" t="n"/>
      <c r="AA13" s="1" t="n"/>
    </row>
    <row r="14">
      <c r="A14" s="1" t="inlineStr">
        <is>
          <t>Continental</t>
        </is>
      </c>
      <c r="B14" s="11" t="n">
        <v>19676</v>
      </c>
      <c r="C14" s="11" t="n">
        <v>2856</v>
      </c>
      <c r="D14" s="11" t="n">
        <v>1682.91</v>
      </c>
      <c r="E14" s="11" t="n">
        <v>63.5</v>
      </c>
      <c r="F14" s="11" t="n">
        <v>200.01</v>
      </c>
      <c r="G14" s="11" t="n">
        <v>18162.38</v>
      </c>
      <c r="H14" s="7">
        <f>IFERROR((E14*F14)/B14, "N/A")</f>
        <v/>
      </c>
      <c r="I14" s="7">
        <f>IFERROR(G14/B14, "N/A")</f>
        <v/>
      </c>
      <c r="J14" s="7">
        <f>IFERROR(G14/C14, "N/A")</f>
        <v/>
      </c>
      <c r="K14" s="7">
        <f>IFERROR((E14*F14)/D14, "N/A")</f>
        <v/>
      </c>
      <c r="L14" s="1">
        <f>IF(H14&gt;0, H14, "")</f>
        <v/>
      </c>
      <c r="M14" s="1">
        <f>IF(AND(L14&lt;&gt;"", L14&gt;=$L$20-$L$21, L14&lt;=$L$20+$L$21), L14, "")</f>
        <v/>
      </c>
      <c r="N14" s="1">
        <f>IF(I14&gt;0, I14, "")</f>
        <v/>
      </c>
      <c r="O14" s="1">
        <f>IF(AND(N14&lt;&gt;"", N14&gt;=$N$20-$N$21, N14&lt;=$N$20+$N$21), N14, "")</f>
        <v/>
      </c>
      <c r="P14" s="1">
        <f>IF(J14&gt;0, J14, "")</f>
        <v/>
      </c>
      <c r="Q14" s="1" t="n"/>
      <c r="R14" s="1">
        <f>IF(K14&gt;0, K14, "")</f>
        <v/>
      </c>
      <c r="S14" s="1" t="n"/>
      <c r="T14" s="1" t="inlineStr">
        <is>
          <t>Mobility</t>
        </is>
      </c>
      <c r="U14" s="1" t="inlineStr">
        <is>
          <t>EV/EBITDA</t>
        </is>
      </c>
      <c r="V14" s="1" t="n"/>
      <c r="W14" s="1" t="n"/>
      <c r="X14" s="1" t="n"/>
      <c r="Y14" s="1" t="n"/>
      <c r="Z14" s="1" t="n"/>
      <c r="AA14" s="1" t="n"/>
    </row>
    <row r="15">
      <c r="A15" s="1" t="inlineStr">
        <is>
          <t>Aisin</t>
        </is>
      </c>
      <c r="B15" s="11" t="n">
        <v>29988.45</v>
      </c>
      <c r="C15" s="11" t="n">
        <v>2863.76</v>
      </c>
      <c r="D15" s="11" t="n">
        <v>987.79</v>
      </c>
      <c r="E15" s="11" t="n">
        <v>12.3</v>
      </c>
      <c r="F15" s="11" t="n">
        <v>759.02</v>
      </c>
      <c r="G15" s="11" t="n">
        <v>11733.14</v>
      </c>
      <c r="H15" s="7">
        <f>IFERROR((E15*F15)/B15, "N/A")</f>
        <v/>
      </c>
      <c r="I15" s="7">
        <f>IFERROR(G15/B15, "N/A")</f>
        <v/>
      </c>
      <c r="J15" s="7">
        <f>IFERROR(G15/C15, "N/A")</f>
        <v/>
      </c>
      <c r="K15" s="7">
        <f>IFERROR((E15*F15)/D15, "N/A")</f>
        <v/>
      </c>
      <c r="L15" s="1">
        <f>IF(H15&gt;0, H15, "")</f>
        <v/>
      </c>
      <c r="M15" s="1">
        <f>IF(AND(L15&lt;&gt;"", L15&gt;=$L$20-$L$21, L15&lt;=$L$20+$L$21), L15, "")</f>
        <v/>
      </c>
      <c r="N15" s="1">
        <f>IF(I15&gt;0, I15, "")</f>
        <v/>
      </c>
      <c r="O15" s="1">
        <f>IF(AND(N15&lt;&gt;"", N15&gt;=$N$20-$N$21, N15&lt;=$N$20+$N$21), N15, "")</f>
        <v/>
      </c>
      <c r="P15" s="1">
        <f>IF(J15&gt;0, J15, "")</f>
        <v/>
      </c>
      <c r="Q15" s="1" t="n"/>
      <c r="R15" s="1">
        <f>IF(K15&gt;0, K15, "")</f>
        <v/>
      </c>
      <c r="S15" s="1" t="n"/>
      <c r="T15" s="1" t="inlineStr">
        <is>
          <t>Mobility</t>
        </is>
      </c>
      <c r="U15" s="1" t="inlineStr">
        <is>
          <t>P/E</t>
        </is>
      </c>
      <c r="V15" s="1" t="n"/>
      <c r="W15" s="1" t="n"/>
      <c r="X15" s="1" t="n"/>
      <c r="Y15" s="1" t="n"/>
      <c r="Z15" s="1" t="n"/>
      <c r="AA15" s="1" t="n"/>
    </row>
    <row r="16">
      <c r="A16" s="1" t="inlineStr">
        <is>
          <t>Valeo</t>
        </is>
      </c>
      <c r="B16" s="11" t="n">
        <v>20903</v>
      </c>
      <c r="C16" s="11" t="n">
        <v>2928</v>
      </c>
      <c r="D16" s="11" t="n">
        <v>603.4299999999999</v>
      </c>
      <c r="E16" s="11" t="n">
        <v>10.48</v>
      </c>
      <c r="F16" s="11" t="n">
        <v>245.61</v>
      </c>
      <c r="G16" s="11" t="n">
        <v>7364.53</v>
      </c>
      <c r="H16" s="7">
        <f>IFERROR((E16*F16)/B16, "N/A")</f>
        <v/>
      </c>
      <c r="I16" s="7">
        <f>IFERROR(G16/B16, "N/A")</f>
        <v/>
      </c>
      <c r="J16" s="7">
        <f>IFERROR(G16/C16, "N/A")</f>
        <v/>
      </c>
      <c r="K16" s="7">
        <f>IFERROR((E16*F16)/D16, "N/A")</f>
        <v/>
      </c>
      <c r="L16" s="1">
        <f>IF(H16&gt;0, H16, "")</f>
        <v/>
      </c>
      <c r="M16" s="1">
        <f>IF(AND(L16&lt;&gt;"", L16&gt;=$L$20-$L$21, L16&lt;=$L$20+$L$21), L16, "")</f>
        <v/>
      </c>
      <c r="N16" s="1">
        <f>IF(I16&gt;0, I16, "")</f>
        <v/>
      </c>
      <c r="O16" s="1">
        <f>IF(AND(N16&lt;&gt;"", N16&gt;=$N$20-$N$21, N16&lt;=$N$20+$N$21), N16, "")</f>
        <v/>
      </c>
      <c r="P16" s="1">
        <f>IF(J16&gt;0, J16, "")</f>
        <v/>
      </c>
      <c r="Q16" s="1" t="n"/>
      <c r="R16" s="1">
        <f>IF(K16&gt;0, K16, "")</f>
        <v/>
      </c>
      <c r="S16" s="1" t="n"/>
      <c r="T16" s="1" t="inlineStr">
        <is>
          <t>Consumer</t>
        </is>
      </c>
      <c r="U16" s="1" t="inlineStr">
        <is>
          <t>P/S</t>
        </is>
      </c>
      <c r="V16" s="1" t="n"/>
      <c r="W16" s="1" t="n"/>
      <c r="X16" s="1" t="n"/>
      <c r="Y16" s="1" t="n"/>
      <c r="Z16" s="1" t="n"/>
      <c r="AA16" s="1" t="n"/>
    </row>
    <row r="17">
      <c r="A17" s="1" t="inlineStr">
        <is>
          <t>Hyundai Mobis</t>
        </is>
      </c>
      <c r="B17" s="11" t="n">
        <v>38104.59</v>
      </c>
      <c r="C17" s="11" t="n">
        <v>2820.87</v>
      </c>
      <c r="D17" s="11" t="n">
        <v>1841.52</v>
      </c>
      <c r="E17" s="11" t="n">
        <v>253.8</v>
      </c>
      <c r="F17" s="11" t="n">
        <v>90.73</v>
      </c>
      <c r="G17" s="11" t="n">
        <v>3086.89</v>
      </c>
      <c r="H17" s="7">
        <f>IFERROR((E17*F17)/B17, "N/A")</f>
        <v/>
      </c>
      <c r="I17" s="7">
        <f>IFERROR(G17/B17, "N/A")</f>
        <v/>
      </c>
      <c r="J17" s="7">
        <f>IFERROR(G17/C17, "N/A")</f>
        <v/>
      </c>
      <c r="K17" s="7">
        <f>IFERROR((E17*F17)/D17, "N/A")</f>
        <v/>
      </c>
      <c r="L17" s="1">
        <f>IF(H17&gt;0, H17, "")</f>
        <v/>
      </c>
      <c r="M17" s="1">
        <f>IF(AND(L17&lt;&gt;"", L17&gt;=$L$20-$L$21, L17&lt;=$L$20+$L$21), L17, "")</f>
        <v/>
      </c>
      <c r="N17" s="1">
        <f>IF(I17&gt;0, I17, "")</f>
        <v/>
      </c>
      <c r="O17" s="1">
        <f>IF(AND(N17&lt;&gt;"", N17&gt;=$N$20-$N$21, N17&lt;=$N$20+$N$21), N17, "")</f>
        <v/>
      </c>
      <c r="P17" s="1">
        <f>IF(J17&gt;0, J17, "")</f>
        <v/>
      </c>
      <c r="Q17" s="1" t="n"/>
      <c r="R17" s="1">
        <f>IF(K17&gt;0, K17, "")</f>
        <v/>
      </c>
      <c r="S17" s="1" t="n"/>
      <c r="T17" s="1" t="inlineStr">
        <is>
          <t>Consumer</t>
        </is>
      </c>
      <c r="U17" s="1" t="inlineStr">
        <is>
          <t>EV/S</t>
        </is>
      </c>
      <c r="V17" s="1" t="n"/>
      <c r="W17" s="1" t="n"/>
      <c r="X17" s="1" t="n"/>
      <c r="Y17" s="1" t="n"/>
      <c r="Z17" s="1" t="n"/>
      <c r="AA17" s="1" t="n"/>
    </row>
    <row r="18">
      <c r="A18" s="1" t="inlineStr">
        <is>
          <t>Forvia</t>
        </is>
      </c>
      <c r="B18" s="11" t="n">
        <v>21346.8</v>
      </c>
      <c r="C18" s="11" t="n">
        <v>2252.6</v>
      </c>
      <c r="D18" s="11" t="n">
        <v>1006.38</v>
      </c>
      <c r="E18" s="11" t="n">
        <v>9.76</v>
      </c>
      <c r="F18" s="11" t="n">
        <v>197.09</v>
      </c>
      <c r="G18" s="11" t="n">
        <v>9303.370000000001</v>
      </c>
      <c r="H18" s="7">
        <f>IFERROR((E18*F18)/B18, "N/A")</f>
        <v/>
      </c>
      <c r="I18" s="7">
        <f>IFERROR(G18/B18, "N/A")</f>
        <v/>
      </c>
      <c r="J18" s="7">
        <f>IFERROR(G18/C18, "N/A")</f>
        <v/>
      </c>
      <c r="K18" s="7">
        <f>IFERROR((E18*F18)/D18, "N/A")</f>
        <v/>
      </c>
      <c r="L18" s="1">
        <f>IF(H18&gt;0, H18, "")</f>
        <v/>
      </c>
      <c r="M18" s="1">
        <f>IF(AND(L18&lt;&gt;"", L18&gt;=$L$20-$L$21, L18&lt;=$L$20+$L$21), L18, "")</f>
        <v/>
      </c>
      <c r="N18" s="1">
        <f>IF(I18&gt;0, I18, "")</f>
        <v/>
      </c>
      <c r="O18" s="1">
        <f>IF(AND(N18&lt;&gt;"", N18&gt;=$N$20-$N$21, N18&lt;=$N$20+$N$21), N18, "")</f>
        <v/>
      </c>
      <c r="P18" s="1">
        <f>IF(J18&gt;0, J18, "")</f>
        <v/>
      </c>
      <c r="Q18" s="1" t="n"/>
      <c r="R18" s="1">
        <f>IF(K18&gt;0, K18, "")</f>
        <v/>
      </c>
      <c r="S18" s="1" t="n"/>
      <c r="T18" s="1" t="inlineStr">
        <is>
          <t>Consumer</t>
        </is>
      </c>
      <c r="U18" s="1" t="inlineStr">
        <is>
          <t>EV/EBITDA</t>
        </is>
      </c>
      <c r="V18" s="1" t="n"/>
      <c r="W18" s="1" t="n"/>
      <c r="X18" s="1" t="n"/>
      <c r="Y18" s="1" t="n"/>
      <c r="Z18" s="1" t="n"/>
      <c r="AA18" s="1" t="n"/>
    </row>
    <row r="19">
      <c r="A19" s="1" t="inlineStr">
        <is>
          <t>Lear</t>
        </is>
      </c>
      <c r="B19" s="11" t="n">
        <v>20608.5</v>
      </c>
      <c r="C19" s="11" t="n">
        <v>1441.46</v>
      </c>
      <c r="D19" s="11" t="n">
        <v>656.9299999999999</v>
      </c>
      <c r="E19" s="11" t="n">
        <v>105.85</v>
      </c>
      <c r="F19" s="11" t="n">
        <v>50.63</v>
      </c>
      <c r="G19" s="11" t="n">
        <v>7257.12</v>
      </c>
      <c r="H19" s="7">
        <f>IFERROR((E19*F19)/B19, "N/A")</f>
        <v/>
      </c>
      <c r="I19" s="7">
        <f>IFERROR(G19/B19, "N/A")</f>
        <v/>
      </c>
      <c r="J19" s="7">
        <f>IFERROR(G19/C19, "N/A")</f>
        <v/>
      </c>
      <c r="K19" s="7">
        <f>IFERROR((E19*F19)/D19, "N/A")</f>
        <v/>
      </c>
      <c r="L19" s="1">
        <f>IF(H19&gt;0, H19, "")</f>
        <v/>
      </c>
      <c r="M19" s="1">
        <f>IF(AND(L19&lt;&gt;"", L19&gt;=$L$20-$L$21, L19&lt;=$L$20+$L$21), L19, "")</f>
        <v/>
      </c>
      <c r="N19" s="1">
        <f>IF(I19&gt;0, I19, "")</f>
        <v/>
      </c>
      <c r="O19" s="1">
        <f>IF(AND(N19&lt;&gt;"", N19&gt;=$N$20-$N$21, N19&lt;=$N$20+$N$21), N19, "")</f>
        <v/>
      </c>
      <c r="P19" s="1">
        <f>IF(J19&gt;0, J19, "")</f>
        <v/>
      </c>
      <c r="Q19" s="1" t="n"/>
      <c r="R19" s="1">
        <f>IF(K19&gt;0, K19, "")</f>
        <v/>
      </c>
      <c r="S19" s="1" t="n"/>
      <c r="T19" s="1" t="inlineStr">
        <is>
          <t>Consumer</t>
        </is>
      </c>
      <c r="U19" s="1" t="inlineStr">
        <is>
          <t>P/E</t>
        </is>
      </c>
      <c r="V19" s="1" t="n"/>
      <c r="W19" s="1" t="n"/>
      <c r="X19" s="1" t="n"/>
      <c r="Y19" s="1" t="n"/>
      <c r="Z19" s="1" t="n"/>
      <c r="AA19" s="1" t="n"/>
    </row>
    <row r="20">
      <c r="A20" s="1" t="n"/>
      <c r="B20" s="12" t="n"/>
      <c r="C20" s="12" t="n"/>
      <c r="D20" s="12" t="n"/>
      <c r="E20" s="12" t="n"/>
      <c r="F20" s="12" t="n"/>
      <c r="G20" s="12" t="n"/>
      <c r="H20" s="7" t="n"/>
      <c r="I20" s="7" t="n"/>
      <c r="J20" s="7" t="n"/>
      <c r="K20" s="7" t="n"/>
      <c r="L20" s="1">
        <f>AVERAGE(L12:L19)</f>
        <v/>
      </c>
      <c r="M20" s="1" t="n"/>
      <c r="N20" s="1">
        <f>AVERAGE(N12:N19)</f>
        <v/>
      </c>
      <c r="O20" s="1" t="n"/>
      <c r="P20" s="1">
        <f>AVERAGE(P12:P19)</f>
        <v/>
      </c>
      <c r="Q20" s="1" t="n"/>
      <c r="R20" s="1">
        <f>AVERAGE(R12:R19)</f>
        <v/>
      </c>
      <c r="S20" s="1" t="n"/>
      <c r="T20" s="1" t="inlineStr">
        <is>
          <t>Energy</t>
        </is>
      </c>
      <c r="U20" s="1" t="inlineStr">
        <is>
          <t>P/S</t>
        </is>
      </c>
      <c r="V20" s="1" t="n"/>
      <c r="W20" s="1" t="n"/>
      <c r="X20" s="1" t="n"/>
      <c r="Y20" s="1" t="n"/>
      <c r="Z20" s="1" t="n"/>
      <c r="AA20" s="1" t="n"/>
    </row>
    <row r="21">
      <c r="A21" s="1" t="inlineStr">
        <is>
          <t>Consumer Goods Comparables</t>
        </is>
      </c>
      <c r="B21" s="13" t="n"/>
      <c r="C21" s="13" t="n"/>
      <c r="D21" s="13" t="n"/>
      <c r="E21" s="13" t="n"/>
      <c r="F21" s="13" t="n"/>
      <c r="G21" s="13" t="n"/>
      <c r="H21" s="1" t="n"/>
      <c r="I21" s="1" t="n"/>
      <c r="J21" s="1" t="n"/>
      <c r="K21" s="1" t="n"/>
      <c r="L21" s="1" t="inlineStr">
        <is>
          <t>STDEV P/S</t>
        </is>
      </c>
      <c r="M21" s="1" t="n"/>
      <c r="N21" s="1" t="inlineStr">
        <is>
          <t>STDEV EV/S</t>
        </is>
      </c>
      <c r="O21" s="1" t="n"/>
      <c r="P21" s="1" t="inlineStr">
        <is>
          <t>STDEV EV/EBITDA</t>
        </is>
      </c>
      <c r="Q21" s="1" t="n"/>
      <c r="R21" s="1" t="inlineStr">
        <is>
          <t>STDEV P/E</t>
        </is>
      </c>
      <c r="S21" s="1" t="n"/>
      <c r="T21" s="1" t="inlineStr">
        <is>
          <t>Energy</t>
        </is>
      </c>
      <c r="U21" s="1" t="inlineStr">
        <is>
          <t>EV/S</t>
        </is>
      </c>
      <c r="V21" s="1" t="n"/>
      <c r="W21" s="1" t="n"/>
      <c r="X21" s="1" t="n"/>
      <c r="Y21" s="1" t="n"/>
      <c r="Z21" s="1" t="n"/>
      <c r="AA21" s="1" t="n"/>
    </row>
    <row r="22">
      <c r="A22" s="18" t="inlineStr">
        <is>
          <t>Company</t>
        </is>
      </c>
      <c r="B22" s="20" t="inlineStr">
        <is>
          <t>Sales [€m]</t>
        </is>
      </c>
      <c r="C22" s="20" t="inlineStr">
        <is>
          <t>EBITDA [€m]</t>
        </is>
      </c>
      <c r="D22" s="20" t="inlineStr">
        <is>
          <t>Net Income [€m]</t>
        </is>
      </c>
      <c r="E22" s="20" t="inlineStr">
        <is>
          <t>Price [€]</t>
        </is>
      </c>
      <c r="F22" s="20" t="inlineStr">
        <is>
          <t>Shares Out [M]</t>
        </is>
      </c>
      <c r="G22" s="20" t="inlineStr">
        <is>
          <t>EV [€m]</t>
        </is>
      </c>
      <c r="H22" s="21" t="n"/>
      <c r="I22" s="21" t="n"/>
      <c r="J22" s="21" t="n"/>
      <c r="K22" s="2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inlineStr">
        <is>
          <t>Energy</t>
        </is>
      </c>
      <c r="U22" s="1" t="inlineStr">
        <is>
          <t>EV/EBITDA</t>
        </is>
      </c>
      <c r="V22" s="1" t="n"/>
      <c r="W22" s="1" t="n"/>
      <c r="X22" s="1" t="n"/>
      <c r="Y22" s="1" t="n"/>
      <c r="Z22" s="1" t="n"/>
      <c r="AA22" s="1" t="n"/>
    </row>
    <row r="23">
      <c r="A23" s="1" t="inlineStr">
        <is>
          <t>Whirlpool</t>
        </is>
      </c>
      <c r="B23" s="11" t="n">
        <v>13754.48</v>
      </c>
      <c r="C23" s="11" t="n">
        <v>949.87</v>
      </c>
      <c r="D23" s="11" t="n">
        <v>486.84</v>
      </c>
      <c r="E23" s="11" t="n">
        <v>46.7</v>
      </c>
      <c r="F23" s="11" t="n">
        <v>64.87</v>
      </c>
      <c r="G23" s="11" t="n">
        <v>7422.24</v>
      </c>
      <c r="H23" s="7">
        <f>IFERROR((E23*F23)/B23, "N/A")</f>
        <v/>
      </c>
      <c r="I23" s="7">
        <f>IFERROR(G23/B23, "N/A")</f>
        <v/>
      </c>
      <c r="J23" s="7">
        <f>IFERROR(G23/C23, "N/A")</f>
        <v/>
      </c>
      <c r="K23" s="7">
        <f>IFERROR((E23*F23)/D23, "N/A")</f>
        <v/>
      </c>
      <c r="L23" s="1">
        <f>IF(H23&gt;0, H23, "")</f>
        <v/>
      </c>
      <c r="M23" s="1" t="n"/>
      <c r="N23" s="1">
        <f>IF(I23&gt;0, I23, "")</f>
        <v/>
      </c>
      <c r="O23" s="1" t="n"/>
      <c r="P23" s="1">
        <f>IF(J23&gt;0, J23, "")</f>
        <v/>
      </c>
      <c r="Q23" s="1" t="n"/>
      <c r="R23" s="1">
        <f>IF(K23&gt;0, K23, "")</f>
        <v/>
      </c>
      <c r="S23" s="1" t="n"/>
      <c r="T23" s="1" t="inlineStr">
        <is>
          <t>Energy</t>
        </is>
      </c>
      <c r="U23" s="1" t="inlineStr">
        <is>
          <t>P/E</t>
        </is>
      </c>
      <c r="V23" s="1" t="n"/>
      <c r="W23" s="1" t="n"/>
      <c r="X23" s="1" t="n"/>
      <c r="Y23" s="1" t="n"/>
      <c r="Z23" s="1" t="n"/>
      <c r="AA23" s="1" t="n"/>
    </row>
    <row r="24">
      <c r="A24" s="1" t="inlineStr">
        <is>
          <t>Electrolux B</t>
        </is>
      </c>
      <c r="B24" s="11" t="n">
        <v>11730.31</v>
      </c>
      <c r="C24" s="11" t="n">
        <v>658.55</v>
      </c>
      <c r="D24" s="11" t="n">
        <v>123.63</v>
      </c>
      <c r="E24" s="11" t="n">
        <v>4.64</v>
      </c>
      <c r="F24" s="11" t="n">
        <v>274.89</v>
      </c>
      <c r="G24" s="11" t="n">
        <v>4003.95</v>
      </c>
      <c r="H24" s="7">
        <f>IFERROR((E24*F24)/B24, "N/A")</f>
        <v/>
      </c>
      <c r="I24" s="7">
        <f>IFERROR(G24/B24, "N/A")</f>
        <v/>
      </c>
      <c r="J24" s="7">
        <f>IFERROR(G24/C24, "N/A")</f>
        <v/>
      </c>
      <c r="K24" s="7">
        <f>IFERROR((E24*F24)/D24, "N/A")</f>
        <v/>
      </c>
      <c r="L24" s="1">
        <f>IF(H24&gt;0, H24, "")</f>
        <v/>
      </c>
      <c r="M24" s="1" t="n"/>
      <c r="N24" s="1">
        <f>IF(I24&gt;0, I24, "")</f>
        <v/>
      </c>
      <c r="O24" s="1" t="n"/>
      <c r="P24" s="1">
        <f>IF(J24&gt;0, J24, "")</f>
        <v/>
      </c>
      <c r="Q24" s="1" t="n"/>
      <c r="R24" s="1">
        <f>IF(K24&gt;0, K24, "")</f>
        <v/>
      </c>
      <c r="S24" s="1" t="n"/>
      <c r="T24" s="1" t="inlineStr">
        <is>
          <t>Industrial</t>
        </is>
      </c>
      <c r="U24" s="1" t="inlineStr">
        <is>
          <t>P/S</t>
        </is>
      </c>
      <c r="V24" s="1" t="n"/>
      <c r="W24" s="1" t="n"/>
      <c r="X24" s="1" t="n"/>
      <c r="Y24" s="1" t="n"/>
      <c r="Z24" s="1" t="n"/>
      <c r="AA24" s="1" t="n"/>
    </row>
    <row r="25">
      <c r="A25" s="1" t="inlineStr">
        <is>
          <t>LG Electronics</t>
        </is>
      </c>
      <c r="B25" s="11" t="n">
        <v>55613.01</v>
      </c>
      <c r="C25" s="11" t="n">
        <v>3792.03</v>
      </c>
      <c r="D25" s="11" t="n">
        <v>1189.27</v>
      </c>
      <c r="E25" s="11" t="n">
        <v>78.51000000000001</v>
      </c>
      <c r="F25" s="11" t="n">
        <v>162.89</v>
      </c>
      <c r="G25" s="11" t="n">
        <v>16761.14</v>
      </c>
      <c r="H25" s="7">
        <f>IFERROR((E25*F25)/B25, "N/A")</f>
        <v/>
      </c>
      <c r="I25" s="7">
        <f>IFERROR(G25/B25, "N/A")</f>
        <v/>
      </c>
      <c r="J25" s="7">
        <f>IFERROR(G25/C25, "N/A")</f>
        <v/>
      </c>
      <c r="K25" s="7">
        <f>IFERROR((E25*F25)/D25, "N/A")</f>
        <v/>
      </c>
      <c r="L25" s="1">
        <f>IF(H25&gt;0, H25, "")</f>
        <v/>
      </c>
      <c r="M25" s="1" t="n"/>
      <c r="N25" s="1">
        <f>IF(I25&gt;0, I25, "")</f>
        <v/>
      </c>
      <c r="O25" s="1" t="n"/>
      <c r="P25" s="1">
        <f>IF(J25&gt;0, J25, "")</f>
        <v/>
      </c>
      <c r="Q25" s="1" t="n"/>
      <c r="R25" s="1">
        <f>IF(K25&gt;0, K25, "")</f>
        <v/>
      </c>
      <c r="S25" s="1" t="n"/>
      <c r="T25" s="1" t="inlineStr">
        <is>
          <t>Industrial</t>
        </is>
      </c>
      <c r="U25" s="1" t="inlineStr">
        <is>
          <t>EV/S</t>
        </is>
      </c>
      <c r="V25" s="1" t="n"/>
      <c r="W25" s="1" t="n"/>
      <c r="X25" s="1" t="n"/>
      <c r="Y25" s="1" t="n"/>
      <c r="Z25" s="1" t="n"/>
      <c r="AA25" s="1" t="n"/>
    </row>
    <row r="26">
      <c r="A26" s="1" t="inlineStr">
        <is>
          <t>Midea Group A</t>
        </is>
      </c>
      <c r="B26" s="11" t="n">
        <v>56352.54</v>
      </c>
      <c r="C26" s="11" t="n">
        <v>6511</v>
      </c>
      <c r="D26" s="11" t="n">
        <v>4556.27</v>
      </c>
      <c r="E26" s="11" t="n">
        <v>10.17</v>
      </c>
      <c r="F26" s="11" t="n">
        <v>6852.08</v>
      </c>
      <c r="G26" s="11" t="n">
        <v>58933.56</v>
      </c>
      <c r="H26" s="7">
        <f>IFERROR((E26*F26)/B26, "N/A")</f>
        <v/>
      </c>
      <c r="I26" s="7">
        <f>IFERROR(G26/B26, "N/A")</f>
        <v/>
      </c>
      <c r="J26" s="7">
        <f>IFERROR(G26/C26, "N/A")</f>
        <v/>
      </c>
      <c r="K26" s="7">
        <f>IFERROR((E26*F26)/D26, "N/A")</f>
        <v/>
      </c>
      <c r="L26" s="1">
        <f>IF(H26&gt;0, H26, "")</f>
        <v/>
      </c>
      <c r="M26" s="1" t="n"/>
      <c r="N26" s="1">
        <f>IF(I26&gt;0, I26, "")</f>
        <v/>
      </c>
      <c r="O26" s="1" t="n"/>
      <c r="P26" s="1">
        <f>IF(J26&gt;0, J26, "")</f>
        <v/>
      </c>
      <c r="Q26" s="1" t="n"/>
      <c r="R26" s="1">
        <f>IF(K26&gt;0, K26, "")</f>
        <v/>
      </c>
      <c r="S26" s="1" t="n"/>
      <c r="T26" s="1" t="inlineStr">
        <is>
          <t>Industrial</t>
        </is>
      </c>
      <c r="U26" s="1" t="inlineStr">
        <is>
          <t>EV/EBITDA</t>
        </is>
      </c>
      <c r="V26" s="1" t="n"/>
      <c r="W26" s="1" t="n"/>
      <c r="X26" s="1" t="n"/>
      <c r="Y26" s="1" t="n"/>
      <c r="Z26" s="1" t="n"/>
      <c r="AA26" s="1" t="n"/>
    </row>
    <row r="27">
      <c r="A27" s="1" t="inlineStr">
        <is>
          <t>Hisense</t>
        </is>
      </c>
      <c r="B27" s="11" t="n">
        <v>10808.82</v>
      </c>
      <c r="C27" s="11" t="n">
        <v>664.13</v>
      </c>
      <c r="D27" s="11" t="n">
        <v>432.22</v>
      </c>
      <c r="E27" s="11" t="n">
        <v>2.94</v>
      </c>
      <c r="F27" s="11" t="n">
        <v>925.27</v>
      </c>
      <c r="G27" s="11" t="n">
        <v>2907.07</v>
      </c>
      <c r="H27" s="7">
        <f>IFERROR((E27*F27)/B27, "N/A")</f>
        <v/>
      </c>
      <c r="I27" s="7">
        <f>IFERROR(G27/B27, "N/A")</f>
        <v/>
      </c>
      <c r="J27" s="7">
        <f>IFERROR(G27/C27, "N/A")</f>
        <v/>
      </c>
      <c r="K27" s="7">
        <f>IFERROR((E27*F27)/D27, "N/A")</f>
        <v/>
      </c>
      <c r="L27" s="1">
        <f>IF(H27&gt;0, H27, "")</f>
        <v/>
      </c>
      <c r="M27" s="1" t="n"/>
      <c r="N27" s="1">
        <f>IF(I27&gt;0, I27, "")</f>
        <v/>
      </c>
      <c r="O27" s="1" t="n"/>
      <c r="P27" s="1">
        <f>IF(J27&gt;0, J27, "")</f>
        <v/>
      </c>
      <c r="Q27" s="1" t="n"/>
      <c r="R27" s="1">
        <f>IF(K27&gt;0, K27, "")</f>
        <v/>
      </c>
      <c r="S27" s="1" t="n"/>
      <c r="T27" s="1" t="inlineStr">
        <is>
          <t>Industrial</t>
        </is>
      </c>
      <c r="U27" s="1" t="inlineStr">
        <is>
          <t>P/E</t>
        </is>
      </c>
      <c r="V27" s="1" t="n"/>
      <c r="W27" s="1" t="n"/>
      <c r="X27" s="1" t="n"/>
      <c r="Y27" s="1" t="n"/>
      <c r="Z27" s="1" t="n"/>
      <c r="AA27" s="1" t="n"/>
    </row>
    <row r="28">
      <c r="A28" s="1" t="inlineStr">
        <is>
          <t>Arcelik</t>
        </is>
      </c>
      <c r="B28" s="11" t="n">
        <v>10862.31</v>
      </c>
      <c r="C28" s="11" t="n">
        <v>581.85</v>
      </c>
      <c r="D28" s="11" t="n">
        <v>67.75</v>
      </c>
      <c r="E28" s="11" t="n">
        <v>2.13</v>
      </c>
      <c r="F28" s="11" t="n">
        <v>675.73</v>
      </c>
      <c r="G28" s="11" t="n">
        <v>4741.23</v>
      </c>
      <c r="H28" s="7">
        <f>IFERROR((E28*F28)/B28, "N/A")</f>
        <v/>
      </c>
      <c r="I28" s="7">
        <f>IFERROR(G28/B28, "N/A")</f>
        <v/>
      </c>
      <c r="J28" s="7">
        <f>IFERROR(G28/C28, "N/A")</f>
        <v/>
      </c>
      <c r="K28" s="7">
        <f>IFERROR((E28*F28)/D28, "N/A")</f>
        <v/>
      </c>
      <c r="L28" s="1">
        <f>IF(H28&gt;0, H28, "")</f>
        <v/>
      </c>
      <c r="M28" s="1" t="n"/>
      <c r="N28" s="1">
        <f>IF(I28&gt;0, I28, "")</f>
        <v/>
      </c>
      <c r="O28" s="1" t="n"/>
      <c r="P28" s="1">
        <f>IF(J28&gt;0, J28, "")</f>
        <v/>
      </c>
      <c r="Q28" s="1" t="n"/>
      <c r="R28" s="1">
        <f>IF(K28&gt;0, K28, "")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inlineStr">
        <is>
          <t>Sharp</t>
        </is>
      </c>
      <c r="B29" s="11" t="n">
        <v>11371.39</v>
      </c>
      <c r="C29" s="11" t="n">
        <v>508.72</v>
      </c>
      <c r="D29" s="11" t="n">
        <v>218.6</v>
      </c>
      <c r="E29" s="11" t="n">
        <v>3.02</v>
      </c>
      <c r="F29" s="11" t="n">
        <v>650.41</v>
      </c>
      <c r="G29" s="11" t="n">
        <v>3415.52</v>
      </c>
      <c r="H29" s="7">
        <f>IFERROR((E29*F29)/B29, "N/A")</f>
        <v/>
      </c>
      <c r="I29" s="7">
        <f>IFERROR(G29/B29, "N/A")</f>
        <v/>
      </c>
      <c r="J29" s="7">
        <f>IFERROR(G29/C29, "N/A")</f>
        <v/>
      </c>
      <c r="K29" s="7">
        <f>IFERROR((E29*F29)/D29, "N/A")</f>
        <v/>
      </c>
      <c r="L29" s="1">
        <f>IF(H29&gt;0, H29, "")</f>
        <v/>
      </c>
      <c r="M29" s="1" t="n"/>
      <c r="N29" s="1">
        <f>IF(I29&gt;0, I29, "")</f>
        <v/>
      </c>
      <c r="O29" s="1" t="n"/>
      <c r="P29" s="1">
        <f>IF(J29&gt;0, J29, "")</f>
        <v/>
      </c>
      <c r="Q29" s="1" t="n"/>
      <c r="R29" s="1">
        <f>IF(K29&gt;0, K29, "")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inlineStr">
        <is>
          <t>Vestel</t>
        </is>
      </c>
      <c r="B30" s="11" t="n">
        <v>3095.67</v>
      </c>
      <c r="C30" s="11" t="n">
        <v>-101.47</v>
      </c>
      <c r="D30" s="11" t="n">
        <v>-209.66</v>
      </c>
      <c r="E30" s="11" t="n">
        <v>0.53</v>
      </c>
      <c r="F30" s="11" t="n">
        <v>335.46</v>
      </c>
      <c r="G30" s="11" t="n">
        <v>2040.38</v>
      </c>
      <c r="H30" s="7">
        <f>IFERROR((E30*F30)/B30, "N/A")</f>
        <v/>
      </c>
      <c r="I30" s="7">
        <f>IFERROR(G30/B30, "N/A")</f>
        <v/>
      </c>
      <c r="J30" s="7">
        <f>IFERROR(G30/C30, "N/A")</f>
        <v/>
      </c>
      <c r="K30" s="7">
        <f>IFERROR((E30*F30)/D30, "N/A")</f>
        <v/>
      </c>
      <c r="L30" s="1">
        <f>IF(H30&gt;0, H30, "")</f>
        <v/>
      </c>
      <c r="M30" s="1" t="n"/>
      <c r="N30" s="1">
        <f>IF(I30&gt;0, I30, "")</f>
        <v/>
      </c>
      <c r="O30" s="1" t="n"/>
      <c r="P30" s="1">
        <f>IF(J30&gt;0, J30, "")</f>
        <v/>
      </c>
      <c r="Q30" s="1" t="n"/>
      <c r="R30" s="1">
        <f>IF(K30&gt;0, K30, "")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>
      <c r="A31" s="1" t="n"/>
      <c r="B31" s="13" t="n"/>
      <c r="C31" s="13" t="n"/>
      <c r="D31" s="13" t="n"/>
      <c r="E31" s="13" t="n"/>
      <c r="F31" s="13" t="n"/>
      <c r="G31" s="13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inlineStr">
        <is>
          <t>Energy &amp; Building Tech Comparables</t>
        </is>
      </c>
      <c r="B32" s="13" t="n"/>
      <c r="C32" s="13" t="n"/>
      <c r="D32" s="13" t="n"/>
      <c r="E32" s="13" t="n"/>
      <c r="F32" s="13" t="n"/>
      <c r="G32" s="13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>
      <c r="A33" s="18" t="inlineStr">
        <is>
          <t>Company</t>
        </is>
      </c>
      <c r="B33" s="20" t="inlineStr">
        <is>
          <t>Sales [€m]</t>
        </is>
      </c>
      <c r="C33" s="20" t="inlineStr">
        <is>
          <t>EBITDA [€m]</t>
        </is>
      </c>
      <c r="D33" s="20" t="inlineStr">
        <is>
          <t>Net Income [€m]</t>
        </is>
      </c>
      <c r="E33" s="20" t="inlineStr">
        <is>
          <t>Price [€]</t>
        </is>
      </c>
      <c r="F33" s="20" t="inlineStr">
        <is>
          <t>Shares Out [M]</t>
        </is>
      </c>
      <c r="G33" s="20" t="inlineStr">
        <is>
          <t>EV [€m]</t>
        </is>
      </c>
      <c r="H33" s="18" t="n"/>
      <c r="I33" s="18" t="n"/>
      <c r="J33" s="18" t="n"/>
      <c r="K33" s="18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>
      <c r="A34" s="1" t="inlineStr">
        <is>
          <t>Schneider Electric</t>
        </is>
      </c>
      <c r="B34" s="17" t="n">
        <v>40152</v>
      </c>
      <c r="C34" s="17" t="n">
        <v>8699</v>
      </c>
      <c r="D34" s="17" t="n">
        <v>5661.31</v>
      </c>
      <c r="E34" s="17" t="n">
        <v>271.55</v>
      </c>
      <c r="F34" s="17" t="n">
        <v>577.12</v>
      </c>
      <c r="G34" s="17" t="n">
        <v>167583</v>
      </c>
      <c r="H34" s="1">
        <f>IFERROR((E34*F34)/B34, "N/A")</f>
        <v/>
      </c>
      <c r="I34" s="1">
        <f>IFERROR(G34/B34, "N/A")</f>
        <v/>
      </c>
      <c r="J34" s="1">
        <f>IFERROR(G34/C34, "N/A")</f>
        <v/>
      </c>
      <c r="K34" s="1">
        <f>IFERROR((E34*F34)/D34, "N/A")</f>
        <v/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inlineStr">
        <is>
          <t>Honeywell International</t>
        </is>
      </c>
      <c r="B35" s="17" t="n">
        <v>34229.06</v>
      </c>
      <c r="C35" s="17" t="n">
        <v>8012.27</v>
      </c>
      <c r="D35" s="17" t="n">
        <v>5534.64</v>
      </c>
      <c r="E35" s="17" t="n">
        <v>179.74</v>
      </c>
      <c r="F35" s="17" t="n">
        <v>633.65</v>
      </c>
      <c r="G35" s="17" t="n">
        <v>136752.99</v>
      </c>
      <c r="H35" s="1">
        <f>IFERROR((E35*F35)/B35, "N/A")</f>
        <v/>
      </c>
      <c r="I35" s="1">
        <f>IFERROR(G35/B35, "N/A")</f>
        <v/>
      </c>
      <c r="J35" s="1">
        <f>IFERROR(G35/C35, "N/A")</f>
        <v/>
      </c>
      <c r="K35" s="1">
        <f>IFERROR((E35*F35)/D35, "N/A")</f>
        <v/>
      </c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A36" s="1" t="inlineStr">
        <is>
          <t>Trane Technologies</t>
        </is>
      </c>
      <c r="B36" s="17" t="n">
        <v>18892.71</v>
      </c>
      <c r="C36" s="17" t="n">
        <v>3818.35</v>
      </c>
      <c r="D36" s="17" t="n">
        <v>2500.63</v>
      </c>
      <c r="E36" s="17" t="n">
        <v>409.72</v>
      </c>
      <c r="F36" s="17" t="n">
        <v>221.33</v>
      </c>
      <c r="G36" s="17" t="n">
        <v>94178.23</v>
      </c>
      <c r="H36" s="1">
        <f>IFERROR((E36*F36)/B36, "N/A")</f>
        <v/>
      </c>
      <c r="I36" s="1">
        <f>IFERROR(G36/B36, "N/A")</f>
        <v/>
      </c>
      <c r="J36" s="1">
        <f>IFERROR(G36/C36, "N/A")</f>
        <v/>
      </c>
      <c r="K36" s="1">
        <f>IFERROR((E36*F36)/D36, "N/A")</f>
        <v/>
      </c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inlineStr">
        <is>
          <t>Carrier Global</t>
        </is>
      </c>
      <c r="B37" s="17" t="n">
        <v>19269.38</v>
      </c>
      <c r="C37" s="17" t="n">
        <v>3046.31</v>
      </c>
      <c r="D37" s="17" t="n">
        <v>1676.83</v>
      </c>
      <c r="E37" s="17" t="n">
        <v>52.77</v>
      </c>
      <c r="F37" s="17" t="n">
        <v>835.4299999999999</v>
      </c>
      <c r="G37" s="17" t="n">
        <v>52627.68</v>
      </c>
      <c r="H37" s="1">
        <f>IFERROR((E37*F37)/B37, "N/A")</f>
        <v/>
      </c>
      <c r="I37" s="1">
        <f>IFERROR(G37/B37, "N/A")</f>
        <v/>
      </c>
      <c r="J37" s="1">
        <f>IFERROR(G37/C37, "N/A")</f>
        <v/>
      </c>
      <c r="K37" s="1">
        <f>IFERROR((E37*F37)/D37, "N/A")</f>
        <v/>
      </c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inlineStr">
        <is>
          <t>DAIKIN INDUSTRIES</t>
        </is>
      </c>
      <c r="B38" s="17" t="n">
        <v>28580.85</v>
      </c>
      <c r="C38" s="17" t="n">
        <v>3893.91</v>
      </c>
      <c r="D38" s="17" t="n">
        <v>1913.45</v>
      </c>
      <c r="E38" s="17" t="n">
        <v>116.72</v>
      </c>
      <c r="F38" s="17" t="n">
        <v>293.11</v>
      </c>
      <c r="G38" s="17" t="n">
        <v>34520</v>
      </c>
      <c r="H38" s="1">
        <f>IFERROR((E38*F38)/B38, "N/A")</f>
        <v/>
      </c>
      <c r="I38" s="1">
        <f>IFERROR(G38/B38, "N/A")</f>
        <v/>
      </c>
      <c r="J38" s="1">
        <f>IFERROR(G38/C38, "N/A")</f>
        <v/>
      </c>
      <c r="K38" s="1">
        <f>IFERROR((E38*F38)/D38, "N/A")</f>
        <v/>
      </c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inlineStr">
        <is>
          <t>Legrand</t>
        </is>
      </c>
      <c r="B39" s="17" t="n">
        <v>9480.6</v>
      </c>
      <c r="C39" s="17" t="n">
        <v>2434.5</v>
      </c>
      <c r="D39" s="17" t="n">
        <v>1626.82</v>
      </c>
      <c r="E39" s="17" t="n">
        <v>149.45</v>
      </c>
      <c r="F39" s="17" t="n">
        <v>262.25</v>
      </c>
      <c r="G39" s="17" t="n">
        <v>43305.65</v>
      </c>
      <c r="H39" s="1">
        <f>IFERROR((E39*F39)/B39, "N/A")</f>
        <v/>
      </c>
      <c r="I39" s="1">
        <f>IFERROR(G39/B39, "N/A")</f>
        <v/>
      </c>
      <c r="J39" s="1">
        <f>IFERROR(G39/C39, "N/A")</f>
        <v/>
      </c>
      <c r="K39" s="1">
        <f>IFERROR((E39*F39)/D39, "N/A")</f>
        <v/>
      </c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>
      <c r="A40" s="1" t="inlineStr">
        <is>
          <t>Signify</t>
        </is>
      </c>
      <c r="B40" s="17" t="n">
        <v>5591</v>
      </c>
      <c r="C40" s="17" t="n">
        <v>660</v>
      </c>
      <c r="D40" s="17" t="n">
        <v>329.72</v>
      </c>
      <c r="E40" s="17" t="n">
        <v>20.94</v>
      </c>
      <c r="F40" s="17" t="n">
        <v>122.58</v>
      </c>
      <c r="G40" s="17" t="n">
        <v>3773.04</v>
      </c>
      <c r="H40" s="1">
        <f>IFERROR((E40*F40)/B40, "N/A")</f>
        <v/>
      </c>
      <c r="I40" s="1">
        <f>IFERROR(G40/B40, "N/A")</f>
        <v/>
      </c>
      <c r="J40" s="1">
        <f>IFERROR(G40/C40, "N/A")</f>
        <v/>
      </c>
      <c r="K40" s="1">
        <f>IFERROR((E40*F40)/D40, "N/A")</f>
        <v/>
      </c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>
      <c r="A41" s="1" t="inlineStr">
        <is>
          <t>Eaton</t>
        </is>
      </c>
      <c r="B41" s="17" t="n">
        <v>24320.87</v>
      </c>
      <c r="C41" s="17" t="n">
        <v>5506.04</v>
      </c>
      <c r="D41" s="17" t="n">
        <v>3340.57</v>
      </c>
      <c r="E41" s="17" t="n">
        <v>351.09</v>
      </c>
      <c r="F41" s="17" t="n">
        <v>387.99</v>
      </c>
      <c r="G41" s="17" t="n">
        <v>144182.96</v>
      </c>
      <c r="H41" s="1">
        <f>IFERROR((E41*F41)/B41, "N/A")</f>
        <v/>
      </c>
      <c r="I41" s="1">
        <f>IFERROR(G41/B41, "N/A")</f>
        <v/>
      </c>
      <c r="J41" s="1">
        <f>IFERROR(G41/C41, "N/A")</f>
        <v/>
      </c>
      <c r="K41" s="1">
        <f>IFERROR((E41*F41)/D41, "N/A")</f>
        <v/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inlineStr">
        <is>
          <t>Delta Electronics</t>
        </is>
      </c>
      <c r="B42" s="17" t="n">
        <v>15778.12</v>
      </c>
      <c r="C42" s="17" t="n">
        <v>3177.14</v>
      </c>
      <c r="D42" s="17" t="n">
        <v>2039.82</v>
      </c>
      <c r="E42" s="17" t="n">
        <v>58.61</v>
      </c>
      <c r="F42" s="17" t="n">
        <v>2597.54</v>
      </c>
      <c r="G42" s="17" t="n">
        <v>156222.98</v>
      </c>
      <c r="H42" s="1">
        <f>IFERROR((E42*F42)/B42, "N/A")</f>
        <v/>
      </c>
      <c r="I42" s="1">
        <f>IFERROR(G42/B42, "N/A")</f>
        <v/>
      </c>
      <c r="J42" s="1">
        <f>IFERROR(G42/C42, "N/A")</f>
        <v/>
      </c>
      <c r="K42" s="1">
        <f>IFERROR((E42*F42)/D42, "N/A")</f>
        <v/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inlineStr">
        <is>
          <t>NIBE Industrier B</t>
        </is>
      </c>
      <c r="B43" s="17" t="n">
        <v>3689.83</v>
      </c>
      <c r="C43" s="17" t="n">
        <v>566.11</v>
      </c>
      <c r="D43" s="17" t="n">
        <v>288.73</v>
      </c>
      <c r="E43" s="17" t="n">
        <v>3.77</v>
      </c>
      <c r="F43" s="17" t="n">
        <v>1782.94</v>
      </c>
      <c r="G43" s="17" t="n">
        <v>9008.59</v>
      </c>
      <c r="H43" s="1">
        <f>IFERROR((E43*F43)/B43, "N/A")</f>
        <v/>
      </c>
      <c r="I43" s="1">
        <f>IFERROR(G43/B43, "N/A")</f>
        <v/>
      </c>
      <c r="J43" s="1">
        <f>IFERROR(G43/C43, "N/A")</f>
        <v/>
      </c>
      <c r="K43" s="1">
        <f>IFERROR((E43*F43)/D43, "N/A")</f>
        <v/>
      </c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3" t="n"/>
      <c r="C44" s="13" t="n"/>
      <c r="D44" s="13" t="n"/>
      <c r="E44" s="13" t="n"/>
      <c r="F44" s="13" t="n"/>
      <c r="G44" s="13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inlineStr">
        <is>
          <t>Industrial Technology Comparables</t>
        </is>
      </c>
      <c r="B45" s="13" t="n"/>
      <c r="C45" s="13" t="n"/>
      <c r="D45" s="13" t="n"/>
      <c r="E45" s="13" t="n"/>
      <c r="F45" s="13" t="n"/>
      <c r="G45" s="13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8" t="inlineStr">
        <is>
          <t>Company</t>
        </is>
      </c>
      <c r="B46" s="20" t="inlineStr">
        <is>
          <t>Sales [€m]</t>
        </is>
      </c>
      <c r="C46" s="20" t="inlineStr">
        <is>
          <t>EBITDA [€m]</t>
        </is>
      </c>
      <c r="D46" s="20" t="inlineStr">
        <is>
          <t>Net Income [€m]</t>
        </is>
      </c>
      <c r="E46" s="20" t="inlineStr">
        <is>
          <t>Price [€]</t>
        </is>
      </c>
      <c r="F46" s="20" t="inlineStr">
        <is>
          <t>Shares Out [M]</t>
        </is>
      </c>
      <c r="G46" s="20" t="inlineStr">
        <is>
          <t>EV [€m]</t>
        </is>
      </c>
      <c r="H46" s="18" t="n"/>
      <c r="I46" s="18" t="n"/>
      <c r="J46" s="18" t="n"/>
      <c r="K46" s="18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>
      <c r="A47" s="1" t="inlineStr">
        <is>
          <t>Siemens</t>
        </is>
      </c>
      <c r="B47" s="17" t="n">
        <v>79700</v>
      </c>
      <c r="C47" s="17" t="n">
        <v>12830</v>
      </c>
      <c r="D47" s="17" t="n">
        <v>8546.01</v>
      </c>
      <c r="E47" s="17" t="n">
        <v>246.75</v>
      </c>
      <c r="F47" s="17" t="n">
        <v>782</v>
      </c>
      <c r="G47" s="17" t="n">
        <v>237584.87</v>
      </c>
      <c r="H47" s="1">
        <f>IFERROR((E47*F47)/B47, "N/A")</f>
        <v/>
      </c>
      <c r="I47" s="1">
        <f>IFERROR(G47/B47, "N/A")</f>
        <v/>
      </c>
      <c r="J47" s="1">
        <f>IFERROR(G47/C47, "N/A")</f>
        <v/>
      </c>
      <c r="K47" s="1">
        <f>IFERROR((E47*F47)/D47, "N/A")</f>
        <v/>
      </c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inlineStr">
        <is>
          <t>ABB</t>
        </is>
      </c>
      <c r="B48" s="17" t="n">
        <v>29290.84</v>
      </c>
      <c r="C48" s="17" t="n">
        <v>5606.17</v>
      </c>
      <c r="D48" s="17" t="n">
        <v>3658.55</v>
      </c>
      <c r="E48" s="17" t="n">
        <v>82.98999999999999</v>
      </c>
      <c r="F48" s="17" t="n">
        <v>1823.15</v>
      </c>
      <c r="G48" s="17" t="n">
        <v>151316.94</v>
      </c>
      <c r="H48" s="1">
        <f>IFERROR((E48*F48)/B48, "N/A")</f>
        <v/>
      </c>
      <c r="I48" s="1">
        <f>IFERROR(G48/B48, "N/A")</f>
        <v/>
      </c>
      <c r="J48" s="1">
        <f>IFERROR(G48/C48, "N/A")</f>
        <v/>
      </c>
      <c r="K48" s="1">
        <f>IFERROR((E48*F48)/D48, "N/A")</f>
        <v/>
      </c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>
      <c r="A49" s="1" t="inlineStr">
        <is>
          <t>Schneider Electric</t>
        </is>
      </c>
      <c r="B49" s="17" t="n">
        <v>40152</v>
      </c>
      <c r="C49" s="17" t="n">
        <v>8699</v>
      </c>
      <c r="D49" s="17" t="n">
        <v>5661.31</v>
      </c>
      <c r="E49" s="17" t="n">
        <v>271.55</v>
      </c>
      <c r="F49" s="17" t="n">
        <v>577.12</v>
      </c>
      <c r="G49" s="17" t="n">
        <v>167583.01</v>
      </c>
      <c r="H49" s="1">
        <f>IFERROR((E49*F49)/B49, "N/A")</f>
        <v/>
      </c>
      <c r="I49" s="1">
        <f>IFERROR(G49/B49, "N/A")</f>
        <v/>
      </c>
      <c r="J49" s="1">
        <f>IFERROR(G49/C49, "N/A")</f>
        <v/>
      </c>
      <c r="K49" s="1">
        <f>IFERROR((E49*F49)/D49, "N/A")</f>
        <v/>
      </c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>
      <c r="A50" s="1" t="inlineStr">
        <is>
          <t>Rockwell Automation</t>
        </is>
      </c>
      <c r="B50" s="17" t="n">
        <v>7590.08</v>
      </c>
      <c r="C50" s="17" t="n">
        <v>1666.7</v>
      </c>
      <c r="D50" s="17" t="n">
        <v>1252.48</v>
      </c>
      <c r="E50" s="17" t="n">
        <v>342.05</v>
      </c>
      <c r="F50" s="17" t="n">
        <v>112.36</v>
      </c>
      <c r="G50" s="17" t="n">
        <v>41575.86</v>
      </c>
      <c r="H50" s="1">
        <f>IFERROR((E50*F50)/B50, "N/A")</f>
        <v/>
      </c>
      <c r="I50" s="1">
        <f>IFERROR(G50/B50, "N/A")</f>
        <v/>
      </c>
      <c r="J50" s="1">
        <f>IFERROR(G50/C50, "N/A")</f>
        <v/>
      </c>
      <c r="K50" s="1">
        <f>IFERROR((E50*F50)/D50, "N/A")</f>
        <v/>
      </c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inlineStr">
        <is>
          <t>Emerson Electric</t>
        </is>
      </c>
      <c r="B51" s="17" t="n">
        <v>16110.54</v>
      </c>
      <c r="C51" s="17" t="n">
        <v>4526.05</v>
      </c>
      <c r="D51" s="17" t="n">
        <v>2664.92</v>
      </c>
      <c r="E51" s="17" t="n">
        <v>116.72</v>
      </c>
      <c r="F51" s="17" t="n">
        <v>562.3</v>
      </c>
      <c r="G51" s="17" t="n">
        <v>75903.06</v>
      </c>
      <c r="H51" s="1">
        <f>IFERROR((E51*F51)/B51, "N/A")</f>
        <v/>
      </c>
      <c r="I51" s="1">
        <f>IFERROR(G51/B51, "N/A")</f>
        <v/>
      </c>
      <c r="J51" s="1">
        <f>IFERROR(G51/C51, "N/A")</f>
        <v/>
      </c>
      <c r="K51" s="1">
        <f>IFERROR((E51*F51)/D51, "N/A")</f>
        <v/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1" t="inlineStr">
        <is>
          <t>Honeywell International</t>
        </is>
      </c>
      <c r="B52" s="17" t="n">
        <v>34229.06</v>
      </c>
      <c r="C52" s="17" t="n">
        <v>8012.27</v>
      </c>
      <c r="D52" s="17" t="n">
        <v>5534.64</v>
      </c>
      <c r="E52" s="17" t="n">
        <v>179.74</v>
      </c>
      <c r="F52" s="17" t="n">
        <v>633.65</v>
      </c>
      <c r="G52" s="17" t="n">
        <v>136752.99</v>
      </c>
      <c r="H52" s="1">
        <f>IFERROR((E52*F52)/B52, "N/A")</f>
        <v/>
      </c>
      <c r="I52" s="1">
        <f>IFERROR(G52/B52, "N/A")</f>
        <v/>
      </c>
      <c r="J52" s="1">
        <f>IFERROR(G52/C52, "N/A")</f>
        <v/>
      </c>
      <c r="K52" s="1">
        <f>IFERROR((E52*F52)/D52, "N/A")</f>
        <v/>
      </c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inlineStr">
        <is>
          <t>Mitsubishi Electric</t>
        </is>
      </c>
      <c r="B53" s="17" t="n">
        <v>33626.79</v>
      </c>
      <c r="C53" s="17" t="n">
        <v>3974.62</v>
      </c>
      <c r="D53" s="17" t="n">
        <v>2020.39</v>
      </c>
      <c r="E53" s="17" t="n">
        <v>32.44</v>
      </c>
      <c r="F53" s="17" t="n">
        <v>2113.2</v>
      </c>
      <c r="G53" s="17" t="n">
        <v>64394.37</v>
      </c>
      <c r="H53" s="1">
        <f>IFERROR((E53*F53)/B53, "N/A")</f>
        <v/>
      </c>
      <c r="I53" s="1">
        <f>IFERROR(G53/B53, "N/A")</f>
        <v/>
      </c>
      <c r="J53" s="1">
        <f>IFERROR(G53/C53, "N/A")</f>
        <v/>
      </c>
      <c r="K53" s="1">
        <f>IFERROR((E53*F53)/D53, "N/A")</f>
        <v/>
      </c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inlineStr">
        <is>
          <t>Yokogawa Electric</t>
        </is>
      </c>
      <c r="B54" s="17" t="n">
        <v>3481.7</v>
      </c>
      <c r="C54" s="17" t="n">
        <v>652.29</v>
      </c>
      <c r="D54" s="17" t="n">
        <v>432.5</v>
      </c>
      <c r="E54" s="17" t="n">
        <v>29.09</v>
      </c>
      <c r="F54" s="17" t="n">
        <v>257.2</v>
      </c>
      <c r="G54" s="17" t="n">
        <v>6629.12</v>
      </c>
      <c r="H54" s="1">
        <f>IFERROR((E54*F54)/B54, "N/A")</f>
        <v/>
      </c>
      <c r="I54" s="1">
        <f>IFERROR(G54/B54, "N/A")</f>
        <v/>
      </c>
      <c r="J54" s="1">
        <f>IFERROR(G54/C54, "N/A")</f>
        <v/>
      </c>
      <c r="K54" s="1">
        <f>IFERROR((E54*F54)/D54, "N/A")</f>
        <v/>
      </c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inlineStr">
        <is>
          <t>FANUC</t>
        </is>
      </c>
      <c r="B55" s="17" t="n">
        <v>4948.19</v>
      </c>
      <c r="C55" s="17" t="n">
        <v>1319.81</v>
      </c>
      <c r="D55" s="17" t="n">
        <v>755.28</v>
      </c>
      <c r="E55" s="17" t="n">
        <v>37.16</v>
      </c>
      <c r="F55" s="17" t="n">
        <v>982.38</v>
      </c>
      <c r="G55" s="17" t="n">
        <v>30621.44</v>
      </c>
      <c r="H55" s="1">
        <f>IFERROR((E55*F55)/B55, "N/A")</f>
        <v/>
      </c>
      <c r="I55" s="1">
        <f>IFERROR(G55/B55, "N/A")</f>
        <v/>
      </c>
      <c r="J55" s="1">
        <f>IFERROR(G55/C55, "N/A")</f>
        <v/>
      </c>
      <c r="K55" s="1">
        <f>IFERROR((E55*F55)/D55, "N/A")</f>
        <v/>
      </c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A56" s="1" t="inlineStr">
        <is>
          <t>Keyence</t>
        </is>
      </c>
      <c r="B56" s="17" t="n">
        <v>6625.18</v>
      </c>
      <c r="C56" s="17" t="n">
        <v>3461.82</v>
      </c>
      <c r="D56" s="17" t="n">
        <v>3167</v>
      </c>
      <c r="E56" s="17" t="n">
        <v>393.95</v>
      </c>
      <c r="F56" s="17" t="n">
        <v>243.21</v>
      </c>
      <c r="G56" s="17" t="n">
        <v>87615.75999999999</v>
      </c>
      <c r="H56" s="1">
        <f>IFERROR((E56*F56)/B56, "N/A")</f>
        <v/>
      </c>
      <c r="I56" s="1">
        <f>IFERROR(G56/B56, "N/A")</f>
        <v/>
      </c>
      <c r="J56" s="1">
        <f>IFERROR(G56/C56, "N/A")</f>
        <v/>
      </c>
      <c r="K56" s="1">
        <f>IFERROR((E56*F56)/D56, "N/A")</f>
        <v/>
      </c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A57" s="1" t="inlineStr">
        <is>
          <t>Parker-Hannifin</t>
        </is>
      </c>
      <c r="B57" s="17" t="n">
        <v>18130.2</v>
      </c>
      <c r="C57" s="17" t="n">
        <v>4688.49</v>
      </c>
      <c r="D57" s="17" t="n">
        <v>3602.52</v>
      </c>
      <c r="E57" s="17" t="n">
        <v>809.83</v>
      </c>
      <c r="F57" s="17" t="n">
        <v>126.22</v>
      </c>
      <c r="G57" s="17" t="n">
        <v>112344.7</v>
      </c>
      <c r="H57" s="1">
        <f>IFERROR((E57*F57)/B57, "N/A")</f>
        <v/>
      </c>
      <c r="I57" s="1">
        <f>IFERROR(G57/B57, "N/A")</f>
        <v/>
      </c>
      <c r="J57" s="1">
        <f>IFERROR(G57/C57, "N/A")</f>
        <v/>
      </c>
      <c r="K57" s="1">
        <f>IFERROR((E57*F57)/D57, "N/A")</f>
        <v/>
      </c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A60" s="1" t="inlineStr">
        <is>
          <t>Segment/Metric</t>
        </is>
      </c>
      <c r="B60" s="1" t="inlineStr">
        <is>
          <t>Avg(Pos)</t>
        </is>
      </c>
      <c r="C60" s="1" t="inlineStr">
        <is>
          <t>StdDev(Pos)</t>
        </is>
      </c>
      <c r="D60" s="1" t="inlineStr">
        <is>
          <t>25th(Clean)</t>
        </is>
      </c>
      <c r="E60" s="1" t="inlineStr">
        <is>
          <t>Median(Clean)</t>
        </is>
      </c>
      <c r="F60" s="1" t="inlineStr">
        <is>
          <t>Avg(Clean)</t>
        </is>
      </c>
      <c r="G60" s="1" t="inlineStr">
        <is>
          <t>75th(Clean)</t>
        </is>
      </c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A61" s="1" t="inlineStr">
        <is>
          <t>Mobility P/S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A62" s="1" t="inlineStr">
        <is>
          <t>Mobility EV/S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A63" s="1" t="inlineStr">
        <is>
          <t>Mobility EV/EBITDA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A64" s="1" t="inlineStr">
        <is>
          <t>Mobility P/E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A65" s="1" t="inlineStr">
        <is>
          <t>Consumer P/S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A66" s="1" t="inlineStr">
        <is>
          <t>Consumer EV/S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A67" s="1" t="inlineStr">
        <is>
          <t>Consumer EV/EBITDA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A68" s="1" t="inlineStr">
        <is>
          <t>Consumer P/E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A69" s="1" t="inlineStr">
        <is>
          <t>Energy P/S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A70" s="1" t="inlineStr">
        <is>
          <t>Energy EV/S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A71" s="1" t="inlineStr">
        <is>
          <t>Energy EV/EBITDA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>
      <c r="A72" s="1" t="inlineStr">
        <is>
          <t>Energy P/E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>
      <c r="A73" s="1" t="inlineStr">
        <is>
          <t>Industrial P/S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>
      <c r="A74" s="1" t="inlineStr">
        <is>
          <t>Industrial EV/S</t>
        </is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>
      <c r="A75" s="1" t="inlineStr">
        <is>
          <t>Industrial EV/EBITDA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>
      <c r="A76" s="1" t="inlineStr">
        <is>
          <t>Industrial P/E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2026-08-17T06:39:01Z</dcterms:created>
  <dcterms:modified xsi:type="dcterms:W3CDTF">2026-08-17T09:31:21Z</dcterms:modified>
</cp:coreProperties>
</file>