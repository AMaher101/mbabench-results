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"/>
    <numFmt numFmtId="166" formatCode="$#,##0_);($#,##0)"/>
    <numFmt numFmtId="167" formatCode="$#,##0.00"/>
    <numFmt numFmtId="168" formatCode="$#,##0.00_);($#,##0.00)"/>
  </numFmts>
  <fonts count="6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rgb="000000FF"/>
      <sz val="11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b val="1"/>
      <color rgb="000000FF"/>
      <sz val="11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3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0" fontId="3" fillId="2" borderId="1" applyAlignment="1" pivotButton="0" quotePrefix="0" xfId="0">
      <alignment horizontal="center"/>
    </xf>
    <xf numFmtId="165" fontId="1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6" fontId="2" fillId="0" borderId="0" pivotButton="0" quotePrefix="0" xfId="0"/>
    <xf numFmtId="0" fontId="3" fillId="3" borderId="1" applyAlignment="1" pivotButton="0" quotePrefix="0" xfId="0">
      <alignment horizontal="center"/>
    </xf>
    <xf numFmtId="166" fontId="1" fillId="0" borderId="0" applyAlignment="1" pivotButton="0" quotePrefix="0" xfId="0">
      <alignment horizontal="right"/>
    </xf>
    <xf numFmtId="166" fontId="1" fillId="0" borderId="0" pivotButton="0" quotePrefix="0" xfId="0"/>
    <xf numFmtId="166" fontId="4" fillId="0" borderId="0" applyAlignment="1" pivotButton="0" quotePrefix="0" xfId="0">
      <alignment horizontal="right"/>
    </xf>
    <xf numFmtId="0" fontId="3" fillId="3" borderId="0" pivotButton="0" quotePrefix="0" xfId="0"/>
    <xf numFmtId="166" fontId="3" fillId="3" borderId="0" pivotButton="0" quotePrefix="0" xfId="0"/>
    <xf numFmtId="166" fontId="5" fillId="3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3" fillId="3" borderId="0" applyAlignment="1" pivotButton="0" quotePrefix="0" xfId="0">
      <alignment horizontal="center"/>
    </xf>
    <xf numFmtId="165" fontId="3" fillId="3" borderId="0" applyAlignment="1" pivotButton="0" quotePrefix="0" xfId="0">
      <alignment horizontal="center"/>
    </xf>
    <xf numFmtId="166" fontId="3" fillId="3" borderId="0" applyAlignment="1" pivotButton="0" quotePrefix="0" xfId="0">
      <alignment horizontal="center"/>
    </xf>
    <xf numFmtId="3" fontId="1" fillId="0" borderId="0" pivotButton="0" quotePrefix="0" xfId="0"/>
    <xf numFmtId="167" fontId="1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3" fillId="3" borderId="2" applyAlignment="1" pivotButton="0" quotePrefix="0" xfId="0">
      <alignment horizontal="center"/>
    </xf>
    <xf numFmtId="0" fontId="1" fillId="0" borderId="2" pivotButton="0" quotePrefix="0" xfId="0"/>
    <xf numFmtId="167" fontId="4" fillId="0" borderId="2" applyAlignment="1" pivotButton="0" quotePrefix="0" xfId="0">
      <alignment horizontal="right"/>
    </xf>
    <xf numFmtId="166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3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8" fontId="1" fillId="0" borderId="0" applyAlignment="1" pivotButton="0" quotePrefix="0" xfId="0">
      <alignment horizontal="right"/>
    </xf>
    <xf numFmtId="0" fontId="3" fillId="2" borderId="2" applyAlignment="1" pivotButton="0" quotePrefix="0" xfId="0">
      <alignment horizontal="center"/>
    </xf>
    <xf numFmtId="168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36" t="inlineStr">
        <is>
          <t>Loan Amount [$]</t>
        </is>
      </c>
      <c r="B1" s="37" t="n">
        <v>500000</v>
      </c>
    </row>
    <row r="2">
      <c r="A2" s="1" t="inlineStr">
        <is>
          <t>Annual Interest Rate [% p.a.]</t>
        </is>
      </c>
      <c r="B2" s="32" t="n">
        <v>0.08</v>
      </c>
    </row>
    <row r="3">
      <c r="A3" s="1" t="inlineStr">
        <is>
          <t>Loan Duration [years]</t>
        </is>
      </c>
      <c r="B3" s="33" t="n">
        <v>20</v>
      </c>
    </row>
    <row r="4">
      <c r="A4" s="1" t="inlineStr">
        <is>
          <t>Payment Frequency [payments/year]</t>
        </is>
      </c>
      <c r="B4" s="33" t="n">
        <v>52</v>
      </c>
    </row>
    <row r="5">
      <c r="A5" s="1" t="inlineStr">
        <is>
          <t>First Payment Date</t>
        </is>
      </c>
      <c r="B5" s="34" t="inlineStr">
        <is>
          <t>2026-12-01</t>
        </is>
      </c>
    </row>
    <row r="6">
      <c r="A6" s="1" t="inlineStr">
        <is>
          <t>Loan Type</t>
        </is>
      </c>
      <c r="B6" s="35" t="inlineStr">
        <is>
          <t>Annuity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3" customWidth="1" min="8" max="8"/>
    <col width="10" customWidth="1" min="9" max="9"/>
    <col width="17" customWidth="1" min="10" max="10"/>
    <col width="10" customWidth="1" min="11" max="11"/>
    <col width="16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5" t="inlineStr">
        <is>
          <t>Weekly Interest Rate</t>
        </is>
      </c>
      <c r="B1" s="5">
        <f>'model_Assumptions'!B2/52</f>
        <v/>
      </c>
      <c r="C1" s="5" t="n"/>
      <c r="D1" s="5" t="inlineStr">
        <is>
          <t>Reference Date</t>
        </is>
      </c>
      <c r="E1" s="5" t="inlineStr">
        <is>
          <t>Period n</t>
        </is>
      </c>
      <c r="F1" s="5" t="inlineStr">
        <is>
          <t>Balance</t>
        </is>
      </c>
      <c r="G1" s="5" t="inlineStr">
        <is>
          <t>Interest</t>
        </is>
      </c>
      <c r="H1" s="5" t="inlineStr">
        <is>
          <t>Principal</t>
        </is>
      </c>
      <c r="I1" s="5" t="inlineStr">
        <is>
          <t>Payment</t>
        </is>
      </c>
      <c r="J1" s="5" t="n"/>
      <c r="K1" s="5" t="inlineStr">
        <is>
          <t>Year</t>
        </is>
      </c>
      <c r="L1" s="5" t="inlineStr">
        <is>
          <t>Total Interest</t>
        </is>
      </c>
      <c r="M1" s="5" t="inlineStr">
        <is>
          <t>Total Payment</t>
        </is>
      </c>
      <c r="N1" s="5" t="inlineStr">
        <is>
          <t>Total Principal</t>
        </is>
      </c>
      <c r="O1" s="36" t="n"/>
      <c r="P1" s="36" t="n"/>
    </row>
    <row r="2">
      <c r="A2" s="1" t="inlineStr">
        <is>
          <t>Total Periods</t>
        </is>
      </c>
      <c r="B2" s="1">
        <f>'model_Assumptions'!B3*52</f>
        <v/>
      </c>
      <c r="C2" s="1" t="n"/>
      <c r="D2" s="6" t="inlineStr">
        <is>
          <t>2030-07-23</t>
        </is>
      </c>
      <c r="E2" s="1" t="n"/>
      <c r="F2" s="12">
        <f>FV($B$1, E2, -$B$3, model_Assumptions!$B$1)</f>
        <v/>
      </c>
      <c r="G2" s="12">
        <f>FV($B$1, E2-1, -$B$3, model_Assumptions!$B$1) * $B$1</f>
        <v/>
      </c>
      <c r="H2" s="12">
        <f>$B$3 - G2</f>
        <v/>
      </c>
      <c r="I2" s="12">
        <f>$B$3</f>
        <v/>
      </c>
      <c r="J2" s="7">
        <f>ROUND((DATE(K2, 12, 31) - DATE(2026,12,1))/7, 0) + 1</f>
        <v/>
      </c>
      <c r="K2" s="8" t="n">
        <v>2033</v>
      </c>
      <c r="L2" s="12">
        <f>M2 - N2</f>
        <v/>
      </c>
      <c r="M2" s="12">
        <f>$B$3 * 52</f>
        <v/>
      </c>
      <c r="N2" s="12">
        <f>FV($B$1, ROUND((DATE(K2-1, 12, 31) - DATE(2026,12,1))/7, 0) + 1, -$B$3, model_Assumptions!$B$1) - FV($B$1, J2, -$B$3, model_Assumptions!$B$1)</f>
        <v/>
      </c>
      <c r="O2" s="1" t="n"/>
      <c r="P2" s="1" t="n"/>
    </row>
    <row r="3">
      <c r="A3" s="1" t="inlineStr">
        <is>
          <t>Weekly Payment</t>
        </is>
      </c>
      <c r="B3" s="1">
        <f>PMT(B1, B2, -'model_Assumptions'!B1)</f>
        <v/>
      </c>
      <c r="C3" s="1" t="n"/>
      <c r="D3" s="6" t="inlineStr">
        <is>
          <t>2037-09-15</t>
        </is>
      </c>
      <c r="E3" s="1" t="n"/>
      <c r="F3" s="12" t="n"/>
      <c r="G3" s="12" t="n"/>
      <c r="H3" s="12" t="n"/>
      <c r="I3" s="12" t="n"/>
      <c r="J3" s="7" t="n"/>
      <c r="K3" s="8" t="n">
        <v>2038</v>
      </c>
      <c r="L3" s="12" t="n"/>
      <c r="M3" s="12" t="n"/>
      <c r="N3" s="12" t="n"/>
      <c r="O3" s="1" t="n"/>
      <c r="P3" s="1" t="n"/>
    </row>
    <row r="4">
      <c r="A4" s="1" t="inlineStr">
        <is>
          <t>First Payment Date</t>
        </is>
      </c>
      <c r="B4" s="1">
        <f>'model_Assumptions'!B5</f>
        <v/>
      </c>
      <c r="C4" s="1" t="n"/>
      <c r="D4" s="38" t="inlineStr">
        <is>
          <t>Target Date</t>
        </is>
      </c>
      <c r="E4" s="36" t="inlineStr">
        <is>
          <t>Period n</t>
        </is>
      </c>
      <c r="F4" s="39" t="inlineStr">
        <is>
          <t>Balance</t>
        </is>
      </c>
      <c r="G4" s="39" t="inlineStr">
        <is>
          <t>Interest</t>
        </is>
      </c>
      <c r="H4" s="39" t="inlineStr">
        <is>
          <t>Principal</t>
        </is>
      </c>
      <c r="I4" s="39" t="inlineStr">
        <is>
          <t>Payment</t>
        </is>
      </c>
      <c r="J4" s="7" t="n"/>
      <c r="K4" s="8" t="n">
        <v>2043</v>
      </c>
      <c r="L4" s="12" t="n"/>
      <c r="M4" s="12" t="n"/>
      <c r="N4" s="12" t="n"/>
      <c r="O4" s="1" t="n"/>
      <c r="P4" s="1" t="n"/>
    </row>
    <row r="5">
      <c r="A5" s="1" t="n"/>
      <c r="B5" s="1" t="n"/>
      <c r="C5" s="1" t="n"/>
      <c r="D5" s="6">
        <f>DATE(2030,7,23)</f>
        <v/>
      </c>
      <c r="E5" s="23">
        <f>ROUND((D5-$B$4)/7, 0) + 1</f>
        <v/>
      </c>
      <c r="F5" s="40">
        <f>ABS(FV($B$1, E5, $B$3, -'model_Assumptions'!$B$1))</f>
        <v/>
      </c>
      <c r="G5" s="40">
        <f>ABS(FV($B$1, E5-1, $B$3, -'model_Assumptions'!$B$1)) * $B$1</f>
        <v/>
      </c>
      <c r="H5" s="40">
        <f>$B$3 - G5</f>
        <v/>
      </c>
      <c r="I5" s="40">
        <f>$B$3</f>
        <v/>
      </c>
      <c r="J5" s="7" t="n"/>
      <c r="K5" s="8" t="n">
        <v>2045</v>
      </c>
      <c r="L5" s="12" t="n"/>
      <c r="M5" s="12" t="n"/>
      <c r="N5" s="12" t="n"/>
      <c r="O5" s="1" t="n"/>
      <c r="P5" s="1" t="n"/>
    </row>
    <row r="6">
      <c r="A6" s="1" t="n"/>
      <c r="B6" s="1" t="n"/>
      <c r="C6" s="1" t="n"/>
      <c r="D6" s="6">
        <f>DATE(2037,9,15)</f>
        <v/>
      </c>
      <c r="E6" s="23">
        <f>ROUND((D6-$B$4)/7, 0) + 1</f>
        <v/>
      </c>
      <c r="F6" s="40">
        <f>ABS(FV($B$1, E6, $B$3, -'model_Assumptions'!$B$1))</f>
        <v/>
      </c>
      <c r="G6" s="40">
        <f>ABS(FV($B$1, E6-1, $B$3, -'model_Assumptions'!$B$1)) * $B$1</f>
        <v/>
      </c>
      <c r="H6" s="40">
        <f>$B$3 - G6</f>
        <v/>
      </c>
      <c r="I6" s="40">
        <f>$B$3</f>
        <v/>
      </c>
      <c r="J6" s="7" t="n"/>
      <c r="K6" s="8" t="n"/>
      <c r="L6" s="12" t="n"/>
      <c r="M6" s="12" t="n"/>
      <c r="N6" s="12" t="n"/>
      <c r="O6" s="1" t="n"/>
      <c r="P6" s="1" t="n"/>
    </row>
    <row r="7">
      <c r="A7" s="1" t="n"/>
      <c r="B7" s="1" t="n"/>
      <c r="C7" s="1" t="n"/>
      <c r="D7" s="6">
        <f>DATE(2037,9,29)</f>
        <v/>
      </c>
      <c r="E7" s="23">
        <f>ROUND((D7-$B$4)/7, 0) + 1</f>
        <v/>
      </c>
      <c r="F7" s="40">
        <f>ABS(FV($B$1, E7, $B$3, -'model_Assumptions'!$B$1))</f>
        <v/>
      </c>
      <c r="G7" s="40">
        <f>ABS(FV($B$1, E7-1, $B$3, -'model_Assumptions'!$B$1)) * $B$1</f>
        <v/>
      </c>
      <c r="H7" s="40">
        <f>$B$3 - G7</f>
        <v/>
      </c>
      <c r="I7" s="40">
        <f>$B$3</f>
        <v/>
      </c>
      <c r="J7" s="7" t="n"/>
      <c r="K7" s="8" t="n"/>
      <c r="L7" s="12" t="n"/>
      <c r="M7" s="12" t="n"/>
      <c r="N7" s="12" t="n"/>
      <c r="O7" s="1" t="n"/>
      <c r="P7" s="1" t="n"/>
    </row>
    <row r="8">
      <c r="A8" s="1" t="n"/>
      <c r="B8" s="1" t="n"/>
      <c r="C8" s="1" t="n"/>
      <c r="D8" s="6">
        <f>DATE(2041,11,12)</f>
        <v/>
      </c>
      <c r="E8" s="23">
        <f>ROUND((D8-$B$4)/7, 0) + 1</f>
        <v/>
      </c>
      <c r="F8" s="40">
        <f>ABS(FV($B$1, E8, $B$3, -'model_Assumptions'!$B$1))</f>
        <v/>
      </c>
      <c r="G8" s="40">
        <f>ABS(FV($B$1, E8-1, $B$3, -'model_Assumptions'!$B$1)) * $B$1</f>
        <v/>
      </c>
      <c r="H8" s="40">
        <f>$B$3 - G8</f>
        <v/>
      </c>
      <c r="I8" s="40">
        <f>$B$3</f>
        <v/>
      </c>
      <c r="J8" s="7" t="n"/>
      <c r="K8" s="8" t="n"/>
      <c r="L8" s="12" t="n"/>
      <c r="M8" s="12" t="n"/>
      <c r="N8" s="12" t="n"/>
      <c r="O8" s="1" t="n"/>
      <c r="P8" s="1" t="n"/>
    </row>
    <row r="9">
      <c r="A9" s="1" t="n"/>
      <c r="B9" s="1" t="n"/>
      <c r="C9" s="1" t="n"/>
      <c r="D9" s="6">
        <f>DATE(2039,3,8)</f>
        <v/>
      </c>
      <c r="E9" s="23">
        <f>ROUND((D9-$B$4)/7, 0) + 1</f>
        <v/>
      </c>
      <c r="F9" s="40">
        <f>ABS(FV($B$1, E9, $B$3, -'model_Assumptions'!$B$1))</f>
        <v/>
      </c>
      <c r="G9" s="40">
        <f>ABS(FV($B$1, E9-1, $B$3, -'model_Assumptions'!$B$1)) * $B$1</f>
        <v/>
      </c>
      <c r="H9" s="40">
        <f>$B$3 - G9</f>
        <v/>
      </c>
      <c r="I9" s="40">
        <f>$B$3</f>
        <v/>
      </c>
      <c r="J9" s="7" t="n"/>
      <c r="K9" s="8" t="n"/>
      <c r="L9" s="12" t="n"/>
      <c r="M9" s="12" t="n"/>
      <c r="N9" s="12" t="n"/>
      <c r="O9" s="1" t="n"/>
      <c r="P9" s="1" t="n"/>
    </row>
    <row r="10">
      <c r="A10" s="1" t="n"/>
      <c r="B10" s="1" t="n"/>
      <c r="C10" s="1" t="n"/>
      <c r="D10" s="6">
        <f>DATE(2033,3,22)</f>
        <v/>
      </c>
      <c r="E10" s="23">
        <f>ROUND((D10-$B$4)/7, 0) + 1</f>
        <v/>
      </c>
      <c r="F10" s="40">
        <f>ABS(FV($B$1, E10, $B$3, -'model_Assumptions'!$B$1))</f>
        <v/>
      </c>
      <c r="G10" s="40">
        <f>ABS(FV($B$1, E10-1, $B$3, -'model_Assumptions'!$B$1)) * $B$1</f>
        <v/>
      </c>
      <c r="H10" s="40">
        <f>$B$3 - G10</f>
        <v/>
      </c>
      <c r="I10" s="40">
        <f>$B$3</f>
        <v/>
      </c>
      <c r="J10" s="7" t="n"/>
      <c r="K10" s="8" t="n"/>
      <c r="L10" s="12" t="n"/>
      <c r="M10" s="12" t="n"/>
      <c r="N10" s="12" t="n"/>
      <c r="O10" s="1" t="n"/>
      <c r="P10" s="1" t="n"/>
    </row>
    <row r="11">
      <c r="A11" s="1" t="n"/>
      <c r="B11" s="1" t="n"/>
      <c r="C11" s="1" t="n"/>
      <c r="D11" s="6">
        <f>DATE(2031,4,15)</f>
        <v/>
      </c>
      <c r="E11" s="23">
        <f>ROUND((D11-$B$4)/7, 0) + 1</f>
        <v/>
      </c>
      <c r="F11" s="40">
        <f>ABS(FV($B$1, E11, $B$3, -'model_Assumptions'!$B$1))</f>
        <v/>
      </c>
      <c r="G11" s="40">
        <f>ABS(FV($B$1, E11-1, $B$3, -'model_Assumptions'!$B$1)) * $B$1</f>
        <v/>
      </c>
      <c r="H11" s="40">
        <f>$B$3 - G11</f>
        <v/>
      </c>
      <c r="I11" s="40">
        <f>$B$3</f>
        <v/>
      </c>
      <c r="J11" s="7" t="n"/>
      <c r="K11" s="8" t="n"/>
      <c r="L11" s="12" t="n"/>
      <c r="M11" s="12" t="n"/>
      <c r="N11" s="12" t="n"/>
      <c r="O11" s="1" t="n"/>
      <c r="P11" s="1" t="n"/>
    </row>
    <row r="12">
      <c r="A12" s="1" t="n"/>
      <c r="B12" s="1" t="n"/>
      <c r="C12" s="1" t="n"/>
      <c r="D12" s="6">
        <f>DATE(2030,5,21)</f>
        <v/>
      </c>
      <c r="E12" s="23">
        <f>ROUND((D12-$B$4)/7, 0) + 1</f>
        <v/>
      </c>
      <c r="F12" s="40">
        <f>ABS(FV($B$1, E12, $B$3, -'model_Assumptions'!$B$1))</f>
        <v/>
      </c>
      <c r="G12" s="40">
        <f>ABS(FV($B$1, E12-1, $B$3, -'model_Assumptions'!$B$1)) * $B$1</f>
        <v/>
      </c>
      <c r="H12" s="40">
        <f>$B$3 - G12</f>
        <v/>
      </c>
      <c r="I12" s="40">
        <f>$B$3</f>
        <v/>
      </c>
      <c r="J12" s="7" t="n"/>
      <c r="K12" s="8" t="n"/>
      <c r="L12" s="12" t="n"/>
      <c r="M12" s="12" t="n"/>
      <c r="N12" s="12" t="n"/>
      <c r="O12" s="1" t="n"/>
      <c r="P12" s="1" t="n"/>
    </row>
    <row r="13">
      <c r="A13" s="1" t="n"/>
      <c r="B13" s="1" t="n"/>
      <c r="C13" s="1" t="n"/>
      <c r="D13" s="6">
        <f>DATE(2044,5,24)</f>
        <v/>
      </c>
      <c r="E13" s="23">
        <f>ROUND((D13-$B$4)/7, 0) + 1</f>
        <v/>
      </c>
      <c r="F13" s="40">
        <f>ABS(FV($B$1, E13, $B$3, -'model_Assumptions'!$B$1))</f>
        <v/>
      </c>
      <c r="G13" s="40">
        <f>ABS(FV($B$1, E13-1, $B$3, -'model_Assumptions'!$B$1)) * $B$1</f>
        <v/>
      </c>
      <c r="H13" s="40">
        <f>$B$3 - G13</f>
        <v/>
      </c>
      <c r="I13" s="40">
        <f>$B$3</f>
        <v/>
      </c>
      <c r="J13" s="7" t="n"/>
      <c r="K13" s="8" t="n"/>
      <c r="L13" s="12" t="n"/>
      <c r="M13" s="12" t="n"/>
      <c r="N13" s="12" t="n"/>
      <c r="O13" s="1" t="n"/>
      <c r="P13" s="1" t="n"/>
    </row>
    <row r="14">
      <c r="A14" s="1" t="n"/>
      <c r="B14" s="1" t="n"/>
      <c r="C14" s="1" t="n"/>
      <c r="D14" s="6">
        <f>DATE(2035,8,7)</f>
        <v/>
      </c>
      <c r="E14" s="23">
        <f>ROUND((D14-$B$4)/7, 0) + 1</f>
        <v/>
      </c>
      <c r="F14" s="40">
        <f>ABS(FV($B$1, E14, $B$3, -'model_Assumptions'!$B$1))</f>
        <v/>
      </c>
      <c r="G14" s="40">
        <f>ABS(FV($B$1, E14-1, $B$3, -'model_Assumptions'!$B$1)) * $B$1</f>
        <v/>
      </c>
      <c r="H14" s="40">
        <f>$B$3 - G14</f>
        <v/>
      </c>
      <c r="I14" s="40">
        <f>$B$3</f>
        <v/>
      </c>
      <c r="J14" s="7" t="n"/>
      <c r="K14" s="8" t="n"/>
      <c r="L14" s="12" t="n"/>
      <c r="M14" s="12" t="n"/>
      <c r="N14" s="12" t="n"/>
      <c r="O14" s="1" t="n"/>
      <c r="P14" s="1" t="n"/>
    </row>
    <row r="15">
      <c r="A15" s="1" t="n"/>
      <c r="B15" s="1" t="n"/>
      <c r="C15" s="1" t="n"/>
      <c r="D15" s="6">
        <f>DATE(2037,9,8)</f>
        <v/>
      </c>
      <c r="E15" s="23">
        <f>ROUND((D15-$B$4)/7, 0) + 1</f>
        <v/>
      </c>
      <c r="F15" s="40">
        <f>ABS(FV($B$1, E15, $B$3, -'model_Assumptions'!$B$1))</f>
        <v/>
      </c>
      <c r="G15" s="40">
        <f>ABS(FV($B$1, E15-1, $B$3, -'model_Assumptions'!$B$1)) * $B$1</f>
        <v/>
      </c>
      <c r="H15" s="40">
        <f>$B$3 - G15</f>
        <v/>
      </c>
      <c r="I15" s="40">
        <f>$B$3</f>
        <v/>
      </c>
      <c r="J15" s="7" t="n"/>
      <c r="K15" s="8" t="n"/>
      <c r="L15" s="12" t="n"/>
      <c r="M15" s="12" t="n"/>
      <c r="N15" s="12" t="n"/>
      <c r="O15" s="1" t="n"/>
      <c r="P15" s="1" t="n"/>
    </row>
    <row r="16">
      <c r="A16" s="1" t="n"/>
      <c r="B16" s="1" t="n"/>
      <c r="C16" s="1" t="n"/>
      <c r="D16" s="6">
        <f>DATE(2035,10,16)</f>
        <v/>
      </c>
      <c r="E16" s="23">
        <f>ROUND((D16-$B$4)/7, 0) + 1</f>
        <v/>
      </c>
      <c r="F16" s="40">
        <f>ABS(FV($B$1, E16, $B$3, -'model_Assumptions'!$B$1))</f>
        <v/>
      </c>
      <c r="G16" s="40">
        <f>ABS(FV($B$1, E16-1, $B$3, -'model_Assumptions'!$B$1)) * $B$1</f>
        <v/>
      </c>
      <c r="H16" s="40">
        <f>$B$3 - G16</f>
        <v/>
      </c>
      <c r="I16" s="40">
        <f>$B$3</f>
        <v/>
      </c>
      <c r="J16" s="7" t="n"/>
      <c r="K16" s="8" t="n"/>
      <c r="L16" s="12" t="n"/>
      <c r="M16" s="12" t="n"/>
      <c r="N16" s="12" t="n"/>
      <c r="O16" s="1" t="n"/>
      <c r="P16" s="1" t="n"/>
    </row>
    <row r="17">
      <c r="A17" s="1" t="n"/>
      <c r="B17" s="1" t="n"/>
      <c r="C17" s="1" t="n"/>
      <c r="D17" s="6">
        <f>DATE(2042,11,4)</f>
        <v/>
      </c>
      <c r="E17" s="23">
        <f>ROUND((D17-$B$4)/7, 0) + 1</f>
        <v/>
      </c>
      <c r="F17" s="40">
        <f>ABS(FV($B$1, E17, $B$3, -'model_Assumptions'!$B$1))</f>
        <v/>
      </c>
      <c r="G17" s="40">
        <f>ABS(FV($B$1, E17-1, $B$3, -'model_Assumptions'!$B$1)) * $B$1</f>
        <v/>
      </c>
      <c r="H17" s="40">
        <f>$B$3 - G17</f>
        <v/>
      </c>
      <c r="I17" s="40">
        <f>$B$3</f>
        <v/>
      </c>
      <c r="J17" s="7" t="n"/>
      <c r="K17" s="8" t="n"/>
      <c r="L17" s="12" t="n"/>
      <c r="M17" s="12" t="n"/>
      <c r="N17" s="12" t="n"/>
      <c r="O17" s="1" t="n"/>
      <c r="P17" s="1" t="n"/>
    </row>
    <row r="18">
      <c r="A18" s="1" t="n"/>
      <c r="B18" s="1" t="n"/>
      <c r="C18" s="1" t="n"/>
      <c r="D18" s="6">
        <f>DATE(2039,5,17)</f>
        <v/>
      </c>
      <c r="E18" s="23">
        <f>ROUND((D18-$B$4)/7, 0) + 1</f>
        <v/>
      </c>
      <c r="F18" s="40">
        <f>ABS(FV($B$1, E18, $B$3, -'model_Assumptions'!$B$1))</f>
        <v/>
      </c>
      <c r="G18" s="40">
        <f>ABS(FV($B$1, E18-1, $B$3, -'model_Assumptions'!$B$1)) * $B$1</f>
        <v/>
      </c>
      <c r="H18" s="40">
        <f>$B$3 - G18</f>
        <v/>
      </c>
      <c r="I18" s="40">
        <f>$B$3</f>
        <v/>
      </c>
      <c r="J18" s="7" t="n"/>
      <c r="K18" s="8" t="n"/>
      <c r="L18" s="12" t="n"/>
      <c r="M18" s="12" t="n"/>
      <c r="N18" s="12" t="n"/>
      <c r="O18" s="1" t="n"/>
      <c r="P18" s="1" t="n"/>
    </row>
    <row r="19">
      <c r="A19" s="1" t="n"/>
      <c r="B19" s="1" t="n"/>
      <c r="C19" s="1" t="n"/>
      <c r="D19" s="6">
        <f>DATE(2045,6,6)</f>
        <v/>
      </c>
      <c r="E19" s="23">
        <f>ROUND((D19-$B$4)/7, 0) + 1</f>
        <v/>
      </c>
      <c r="F19" s="40">
        <f>ABS(FV($B$1, E19, $B$3, -'model_Assumptions'!$B$1))</f>
        <v/>
      </c>
      <c r="G19" s="40">
        <f>ABS(FV($B$1, E19-1, $B$3, -'model_Assumptions'!$B$1)) * $B$1</f>
        <v/>
      </c>
      <c r="H19" s="40">
        <f>$B$3 - G19</f>
        <v/>
      </c>
      <c r="I19" s="40">
        <f>$B$3</f>
        <v/>
      </c>
      <c r="J19" s="7" t="n"/>
      <c r="K19" s="8" t="n"/>
      <c r="L19" s="12" t="n"/>
      <c r="M19" s="12" t="n"/>
      <c r="N19" s="12" t="n"/>
      <c r="O19" s="1" t="n"/>
      <c r="P19" s="1" t="n"/>
    </row>
    <row r="20">
      <c r="A20" s="1" t="n"/>
      <c r="B20" s="1" t="n"/>
      <c r="C20" s="1" t="n"/>
      <c r="D20" s="6">
        <f>DATE(2033,8,16)</f>
        <v/>
      </c>
      <c r="E20" s="23">
        <f>ROUND((D20-$B$4)/7, 0) + 1</f>
        <v/>
      </c>
      <c r="F20" s="40">
        <f>ABS(FV($B$1, E20, $B$3, -'model_Assumptions'!$B$1))</f>
        <v/>
      </c>
      <c r="G20" s="40">
        <f>ABS(FV($B$1, E20-1, $B$3, -'model_Assumptions'!$B$1)) * $B$1</f>
        <v/>
      </c>
      <c r="H20" s="40">
        <f>$B$3 - G20</f>
        <v/>
      </c>
      <c r="I20" s="40">
        <f>$B$3</f>
        <v/>
      </c>
      <c r="J20" s="7" t="n"/>
      <c r="K20" s="8" t="n"/>
      <c r="L20" s="12" t="n"/>
      <c r="M20" s="12" t="n"/>
      <c r="N20" s="12" t="n"/>
      <c r="O20" s="1" t="n"/>
      <c r="P20" s="1" t="n"/>
    </row>
    <row r="21">
      <c r="A21" s="1" t="n"/>
      <c r="B21" s="1" t="n"/>
      <c r="C21" s="1" t="n"/>
      <c r="D21" s="6">
        <f>DATE(2037,11,3)</f>
        <v/>
      </c>
      <c r="E21" s="23">
        <f>ROUND((D21-$B$4)/7, 0) + 1</f>
        <v/>
      </c>
      <c r="F21" s="40">
        <f>ABS(FV($B$1, E21, $B$3, -'model_Assumptions'!$B$1))</f>
        <v/>
      </c>
      <c r="G21" s="40">
        <f>ABS(FV($B$1, E21-1, $B$3, -'model_Assumptions'!$B$1)) * $B$1</f>
        <v/>
      </c>
      <c r="H21" s="40">
        <f>$B$3 - G21</f>
        <v/>
      </c>
      <c r="I21" s="40">
        <f>$B$3</f>
        <v/>
      </c>
      <c r="J21" s="7" t="n"/>
      <c r="K21" s="8" t="n"/>
      <c r="L21" s="12" t="n"/>
      <c r="M21" s="12" t="n"/>
      <c r="N21" s="12" t="n"/>
      <c r="O21" s="1" t="n"/>
      <c r="P21" s="1" t="n"/>
    </row>
    <row r="22">
      <c r="A22" s="1" t="n"/>
      <c r="B22" s="1" t="n"/>
      <c r="C22" s="1" t="n"/>
      <c r="D22" s="1">
        <f>DATE(2043,3,17)</f>
        <v/>
      </c>
      <c r="E22" s="23">
        <f>ROUND((D22-$B$4)/7, 0) + 1</f>
        <v/>
      </c>
      <c r="F22" s="40">
        <f>ABS(FV($B$1, E22, $B$3, -'model_Assumptions'!$B$1))</f>
        <v/>
      </c>
      <c r="G22" s="40">
        <f>ABS(FV($B$1, E22-1, $B$3, -'model_Assumptions'!$B$1)) * $B$1</f>
        <v/>
      </c>
      <c r="H22" s="40">
        <f>$B$3 - G22</f>
        <v/>
      </c>
      <c r="I22" s="40">
        <f>$B$3</f>
        <v/>
      </c>
      <c r="J22" s="1" t="n"/>
      <c r="K22" s="1" t="n"/>
      <c r="L22" s="13" t="n"/>
      <c r="M22" s="13" t="n"/>
      <c r="N22" s="13" t="n"/>
      <c r="O22" s="1" t="n"/>
      <c r="P22" s="1" t="n"/>
    </row>
    <row r="23">
      <c r="A23" s="1" t="n"/>
      <c r="B23" s="1" t="n"/>
      <c r="C23" s="1" t="n"/>
      <c r="D23" s="1">
        <f>DATE(2043,9,8)</f>
        <v/>
      </c>
      <c r="E23" s="23">
        <f>ROUND((D23-$B$4)/7, 0) + 1</f>
        <v/>
      </c>
      <c r="F23" s="40">
        <f>ABS(FV($B$1, E23, $B$3, -'model_Assumptions'!$B$1))</f>
        <v/>
      </c>
      <c r="G23" s="40">
        <f>ABS(FV($B$1, E23-1, $B$3, -'model_Assumptions'!$B$1)) * $B$1</f>
        <v/>
      </c>
      <c r="H23" s="40">
        <f>$B$3 - G23</f>
        <v/>
      </c>
      <c r="I23" s="40">
        <f>$B$3</f>
        <v/>
      </c>
      <c r="J23" s="1" t="n"/>
      <c r="K23" s="1" t="n"/>
      <c r="L23" s="13" t="n"/>
      <c r="M23" s="13" t="n"/>
      <c r="N23" s="13" t="n"/>
      <c r="O23" s="1" t="n"/>
      <c r="P23" s="1" t="n"/>
    </row>
    <row r="24">
      <c r="A24" s="1" t="n"/>
      <c r="B24" s="1" t="n"/>
      <c r="C24" s="1" t="n"/>
      <c r="D24" s="1">
        <f>DATE(2036,12,23)</f>
        <v/>
      </c>
      <c r="E24" s="23">
        <f>ROUND((D24-$B$4)/7, 0) + 1</f>
        <v/>
      </c>
      <c r="F24" s="40">
        <f>ABS(FV($B$1, E24, $B$3, -'model_Assumptions'!$B$1))</f>
        <v/>
      </c>
      <c r="G24" s="40">
        <f>ABS(FV($B$1, E24-1, $B$3, -'model_Assumptions'!$B$1)) * $B$1</f>
        <v/>
      </c>
      <c r="H24" s="40">
        <f>$B$3 - G24</f>
        <v/>
      </c>
      <c r="I24" s="40">
        <f>$B$3</f>
        <v/>
      </c>
      <c r="J24" s="1" t="n"/>
      <c r="K24" s="1" t="n"/>
      <c r="L24" s="13" t="n"/>
      <c r="M24" s="13" t="n"/>
      <c r="N24" s="13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36" t="inlineStr">
        <is>
          <t>Year</t>
        </is>
      </c>
      <c r="L30" s="36" t="inlineStr">
        <is>
          <t>Total Interest</t>
        </is>
      </c>
      <c r="M30" s="36" t="inlineStr">
        <is>
          <t>Total Payment</t>
        </is>
      </c>
      <c r="N30" s="36" t="inlineStr">
        <is>
          <t>Total Principal</t>
        </is>
      </c>
      <c r="O30" s="36" t="inlineStr">
        <is>
          <t>n_start</t>
        </is>
      </c>
      <c r="P30" s="36" t="inlineStr">
        <is>
          <t>n_end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>
        <v>2033</v>
      </c>
      <c r="L31" s="40">
        <f>M31-N31</f>
        <v/>
      </c>
      <c r="M31" s="40">
        <f>(P31-O31+1)*$B$3</f>
        <v/>
      </c>
      <c r="N31" s="40">
        <f>ABS(FV($B$1, O31-1, $B$3, -'model_Assumptions'!$B$1)) - ABS(FV($B$1, P31, $B$3, -'model_Assumptions'!$B$1))</f>
        <v/>
      </c>
      <c r="O31" s="23">
        <f>ROUND((DATE(K31,1,1)-'model_Assumptions'!$B$5)/7,0)+1</f>
        <v/>
      </c>
      <c r="P31" s="23">
        <f>ROUND((DATE(K31,12,31)-'model_Assumptions'!$B$5)/7,0)+1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>
        <v>2038</v>
      </c>
      <c r="L32" s="40">
        <f>M32-N32</f>
        <v/>
      </c>
      <c r="M32" s="40">
        <f>(P32-O32+1)*$B$3</f>
        <v/>
      </c>
      <c r="N32" s="40">
        <f>ABS(FV($B$1, O32-1, $B$3, -'model_Assumptions'!$B$1)) - ABS(FV($B$1, P32, $B$3, -'model_Assumptions'!$B$1))</f>
        <v/>
      </c>
      <c r="O32" s="23">
        <f>ROUND((DATE(K32,1,1)-'model_Assumptions'!$B$5)/7,0)+1</f>
        <v/>
      </c>
      <c r="P32" s="23">
        <f>ROUND((DATE(K32,12,31)-'model_Assumptions'!$B$5)/7,0)+1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>
        <v>2043</v>
      </c>
      <c r="L33" s="40">
        <f>M33-N33</f>
        <v/>
      </c>
      <c r="M33" s="40">
        <f>(P33-O33+1)*$B$3</f>
        <v/>
      </c>
      <c r="N33" s="40">
        <f>ABS(FV($B$1, O33-1, $B$3, -'model_Assumptions'!$B$1)) - ABS(FV($B$1, P33, $B$3, -'model_Assumptions'!$B$1))</f>
        <v/>
      </c>
      <c r="O33" s="23">
        <f>ROUND((DATE(K33,1,1)-'model_Assumptions'!$B$5)/7,0)+1</f>
        <v/>
      </c>
      <c r="P33" s="23">
        <f>ROUND((DATE(K33,12,31)-'model_Assumptions'!$B$5)/7,0)+1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>
        <v>2045</v>
      </c>
      <c r="L34" s="40">
        <f>M34-N34</f>
        <v/>
      </c>
      <c r="M34" s="40">
        <f>(P34-O34+1)*$B$3</f>
        <v/>
      </c>
      <c r="N34" s="40">
        <f>ABS(FV($B$1, O34-1, $B$3, -'model_Assumptions'!$B$1)) - ABS(FV($B$1, P34, $B$3, -'model_Assumptions'!$B$1))</f>
        <v/>
      </c>
      <c r="O34" s="23">
        <f>ROUND((DATE(K34,1,1)-'model_Assumptions'!$B$5)/7,0)+1</f>
        <v/>
      </c>
      <c r="P34" s="23">
        <f>ROUND((DATE(K34,12,31)-'model_Assumptions'!$B$5)/7,0)+1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41" t="inlineStr">
        <is>
          <t>Question</t>
        </is>
      </c>
      <c r="B1" s="41" t="inlineStr">
        <is>
          <t>Answer</t>
        </is>
      </c>
      <c r="C1" s="41" t="inlineStr">
        <is>
          <t>Unit</t>
        </is>
      </c>
    </row>
    <row r="2">
      <c r="A2" s="27" t="inlineStr">
        <is>
          <t>What will the Balance be on 07/23/2030?</t>
        </is>
      </c>
      <c r="B2" s="42">
        <f>'model_Workings'!F5</f>
        <v/>
      </c>
      <c r="C2" s="27" t="inlineStr">
        <is>
          <t>[$]</t>
        </is>
      </c>
    </row>
    <row r="3">
      <c r="A3" s="27" t="inlineStr">
        <is>
          <t>What will the Balance be on 09/15/2037?</t>
        </is>
      </c>
      <c r="B3" s="42">
        <f>'model_Workings'!F6</f>
        <v/>
      </c>
      <c r="C3" s="27" t="inlineStr">
        <is>
          <t>[$]</t>
        </is>
      </c>
    </row>
    <row r="4">
      <c r="A4" s="27" t="inlineStr">
        <is>
          <t>What will the Balance be on 09/29/2037?</t>
        </is>
      </c>
      <c r="B4" s="42">
        <f>'model_Workings'!F7</f>
        <v/>
      </c>
      <c r="C4" s="27" t="inlineStr">
        <is>
          <t>[$]</t>
        </is>
      </c>
    </row>
    <row r="5">
      <c r="A5" s="27" t="inlineStr">
        <is>
          <t>What will the Balance be on 11/12/2041?</t>
        </is>
      </c>
      <c r="B5" s="42">
        <f>'model_Workings'!F8</f>
        <v/>
      </c>
      <c r="C5" s="27" t="inlineStr">
        <is>
          <t>[$]</t>
        </is>
      </c>
    </row>
    <row r="6">
      <c r="A6" s="27" t="inlineStr">
        <is>
          <t>What will the Interest be on 03/08/2039?</t>
        </is>
      </c>
      <c r="B6" s="42">
        <f>'model_Workings'!G9</f>
        <v/>
      </c>
      <c r="C6" s="27" t="inlineStr">
        <is>
          <t>[$]</t>
        </is>
      </c>
    </row>
    <row r="7">
      <c r="A7" s="27" t="inlineStr">
        <is>
          <t>What will the Interest be on 03/22/2033?</t>
        </is>
      </c>
      <c r="B7" s="42">
        <f>'model_Workings'!G10</f>
        <v/>
      </c>
      <c r="C7" s="27" t="inlineStr">
        <is>
          <t>[$]</t>
        </is>
      </c>
    </row>
    <row r="8">
      <c r="A8" s="27" t="inlineStr">
        <is>
          <t>What will the Interest be on 04/15/2031?</t>
        </is>
      </c>
      <c r="B8" s="42">
        <f>'model_Workings'!G11</f>
        <v/>
      </c>
      <c r="C8" s="27" t="inlineStr">
        <is>
          <t>[$]</t>
        </is>
      </c>
    </row>
    <row r="9">
      <c r="A9" s="27" t="inlineStr">
        <is>
          <t>What will the Interest be on 05/21/2030?</t>
        </is>
      </c>
      <c r="B9" s="42">
        <f>'model_Workings'!G12</f>
        <v/>
      </c>
      <c r="C9" s="27" t="inlineStr">
        <is>
          <t>[$]</t>
        </is>
      </c>
    </row>
    <row r="10">
      <c r="A10" s="27" t="inlineStr">
        <is>
          <t>What will the Interest be on 05/24/2044?</t>
        </is>
      </c>
      <c r="B10" s="42">
        <f>'model_Workings'!G13</f>
        <v/>
      </c>
      <c r="C10" s="27" t="inlineStr">
        <is>
          <t>[$]</t>
        </is>
      </c>
    </row>
    <row r="11">
      <c r="A11" s="27" t="inlineStr">
        <is>
          <t>What will the Interest be on 08/07/2035?</t>
        </is>
      </c>
      <c r="B11" s="42">
        <f>'model_Workings'!G14</f>
        <v/>
      </c>
      <c r="C11" s="27" t="inlineStr">
        <is>
          <t>[$]</t>
        </is>
      </c>
    </row>
    <row r="12">
      <c r="A12" s="27" t="inlineStr">
        <is>
          <t>What will the Interest be on 09/08/2037?</t>
        </is>
      </c>
      <c r="B12" s="42">
        <f>'model_Workings'!G15</f>
        <v/>
      </c>
      <c r="C12" s="27" t="inlineStr">
        <is>
          <t>[$]</t>
        </is>
      </c>
    </row>
    <row r="13">
      <c r="A13" s="27" t="inlineStr">
        <is>
          <t>What will the Interest be on 10/16/2035?</t>
        </is>
      </c>
      <c r="B13" s="42">
        <f>'model_Workings'!G16</f>
        <v/>
      </c>
      <c r="C13" s="27" t="inlineStr">
        <is>
          <t>[$]</t>
        </is>
      </c>
    </row>
    <row r="14">
      <c r="A14" s="27" t="inlineStr">
        <is>
          <t>What will the Interest be on 11/04/2042?</t>
        </is>
      </c>
      <c r="B14" s="42">
        <f>'model_Workings'!G17</f>
        <v/>
      </c>
      <c r="C14" s="27" t="inlineStr">
        <is>
          <t>[$]</t>
        </is>
      </c>
    </row>
    <row r="15">
      <c r="A15" s="27" t="inlineStr">
        <is>
          <t>What will the Payment Due be on 05/17/2039?</t>
        </is>
      </c>
      <c r="B15" s="42">
        <f>'model_Workings'!I18</f>
        <v/>
      </c>
      <c r="C15" s="27" t="inlineStr">
        <is>
          <t>[$]</t>
        </is>
      </c>
    </row>
    <row r="16">
      <c r="A16" s="27" t="inlineStr">
        <is>
          <t>What will the Payment Due be on 06/06/2045?</t>
        </is>
      </c>
      <c r="B16" s="42">
        <f>'model_Workings'!I19</f>
        <v/>
      </c>
      <c r="C16" s="27" t="inlineStr">
        <is>
          <t>[$]</t>
        </is>
      </c>
    </row>
    <row r="17">
      <c r="A17" s="27" t="inlineStr">
        <is>
          <t>What will the Payment Due be on 08/16/2033?</t>
        </is>
      </c>
      <c r="B17" s="42">
        <f>'model_Workings'!I20</f>
        <v/>
      </c>
      <c r="C17" s="27" t="inlineStr">
        <is>
          <t>[$]</t>
        </is>
      </c>
    </row>
    <row r="18">
      <c r="A18" s="27" t="inlineStr">
        <is>
          <t>What will the Payment Due be on 11/03/2037?</t>
        </is>
      </c>
      <c r="B18" s="42">
        <f>'model_Workings'!I21</f>
        <v/>
      </c>
      <c r="C18" s="27" t="inlineStr">
        <is>
          <t>[$]</t>
        </is>
      </c>
    </row>
    <row r="19">
      <c r="A19" s="27" t="inlineStr">
        <is>
          <t>What will the Principal Amount be on 03/17/2043?</t>
        </is>
      </c>
      <c r="B19" s="42">
        <f>'model_Workings'!H22</f>
        <v/>
      </c>
      <c r="C19" s="27" t="inlineStr">
        <is>
          <t>[$]</t>
        </is>
      </c>
    </row>
    <row r="20">
      <c r="A20" s="27" t="inlineStr">
        <is>
          <t>What will the Principal Amount be on 09/08/2043?</t>
        </is>
      </c>
      <c r="B20" s="42">
        <f>'model_Workings'!H23</f>
        <v/>
      </c>
      <c r="C20" s="27" t="inlineStr">
        <is>
          <t>[$]</t>
        </is>
      </c>
    </row>
    <row r="21">
      <c r="A21" s="27" t="inlineStr">
        <is>
          <t>What will the Principal Amount be on 12/23/2036?</t>
        </is>
      </c>
      <c r="B21" s="42">
        <f>'model_Workings'!H24</f>
        <v/>
      </c>
      <c r="C21" s="27" t="inlineStr">
        <is>
          <t>[$]</t>
        </is>
      </c>
    </row>
    <row r="22">
      <c r="A22" s="27" t="inlineStr">
        <is>
          <t>What will the total Interest be in the year 2038?</t>
        </is>
      </c>
      <c r="B22" s="42">
        <f>'model_Workings'!L32</f>
        <v/>
      </c>
      <c r="C22" s="27" t="inlineStr">
        <is>
          <t>[$]</t>
        </is>
      </c>
    </row>
    <row r="23">
      <c r="A23" s="27" t="inlineStr">
        <is>
          <t>What will the total Payment Amount be in the year 2033?</t>
        </is>
      </c>
      <c r="B23" s="42">
        <f>'model_Workings'!M31</f>
        <v/>
      </c>
      <c r="C23" s="27" t="inlineStr">
        <is>
          <t>[$]</t>
        </is>
      </c>
    </row>
    <row r="24">
      <c r="A24" s="27" t="inlineStr">
        <is>
          <t>What will the total Payment Amount be in the year 2043?</t>
        </is>
      </c>
      <c r="B24" s="42">
        <f>'model_Workings'!M33</f>
        <v/>
      </c>
      <c r="C24" s="27" t="inlineStr">
        <is>
          <t>[$]</t>
        </is>
      </c>
    </row>
    <row r="25">
      <c r="A25" s="27" t="inlineStr">
        <is>
          <t>What will the total Principal Amount be in the year 2038?</t>
        </is>
      </c>
      <c r="B25" s="42">
        <f>'model_Workings'!N32</f>
        <v/>
      </c>
      <c r="C25" s="27" t="inlineStr">
        <is>
          <t>[$]</t>
        </is>
      </c>
    </row>
    <row r="26">
      <c r="A26" s="27" t="inlineStr">
        <is>
          <t>What will the total Principal Amount be in the year 2045?</t>
        </is>
      </c>
      <c r="B26" s="42">
        <f>'model_Workings'!N34</f>
        <v/>
      </c>
      <c r="C26" s="27" t="inlineStr">
        <is>
          <t>[$]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2026-08-17T09:37:26Z</dcterms:created>
  <dcterms:modified xsi:type="dcterms:W3CDTF">2026-08-17T11:43:57Z</dcterms:modified>
</cp:coreProperties>
</file>