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ordon030\Dropbox\Modeloff QDT\2015\Finals\S1 - Make It\"/>
    </mc:Choice>
  </mc:AlternateContent>
  <bookViews>
    <workbookView xWindow="1116" yWindow="0" windowWidth="20748" windowHeight="7992"/>
  </bookViews>
  <sheets>
    <sheet name="Formats" sheetId="10" r:id="rId1"/>
    <sheet name="Ass_TimeSeries" sheetId="12" r:id="rId2"/>
    <sheet name="Ass_General" sheetId="13" r:id="rId3"/>
  </sheets>
  <definedNames>
    <definedName name="AS2DocOpenMode" hidden="1">"AS2DocumentEdit"</definedName>
    <definedName name="IQ_ADDIN" hidden="1">"AUTO"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42273.5716087963</definedName>
    <definedName name="IQ_QTD" hidden="1">750000</definedName>
    <definedName name="IQ_TODAY" hidden="1">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2" l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AG6" i="12" s="1"/>
  <c r="AH6" i="12" s="1"/>
  <c r="AI6" i="12" s="1"/>
  <c r="AJ6" i="12" s="1"/>
  <c r="AK6" i="12" s="1"/>
  <c r="AL6" i="12" s="1"/>
  <c r="AM6" i="12" s="1"/>
  <c r="AN6" i="12" s="1"/>
  <c r="A6" i="13" l="1"/>
  <c r="A9" i="10" l="1"/>
  <c r="A8" i="12" l="1"/>
  <c r="K5" i="12" l="1"/>
  <c r="L5" i="12" l="1"/>
  <c r="M5" i="12" l="1"/>
  <c r="N5" i="12" l="1"/>
  <c r="O5" i="12" l="1"/>
  <c r="P5" i="12" l="1"/>
  <c r="Q5" i="12" l="1"/>
  <c r="R5" i="12" l="1"/>
  <c r="S5" i="12" l="1"/>
  <c r="T5" i="12" l="1"/>
  <c r="U5" i="12" l="1"/>
  <c r="V5" i="12" l="1"/>
  <c r="W5" i="12" l="1"/>
  <c r="X5" i="12" l="1"/>
  <c r="Y5" i="12" l="1"/>
  <c r="Z5" i="12" l="1"/>
  <c r="AA5" i="12" l="1"/>
  <c r="AB5" i="12" l="1"/>
  <c r="AC5" i="12" l="1"/>
  <c r="AD5" i="12" l="1"/>
  <c r="AE5" i="12" l="1"/>
  <c r="AF5" i="12" l="1"/>
  <c r="AG5" i="12" l="1"/>
  <c r="AH5" i="12" l="1"/>
  <c r="AI5" i="12" l="1"/>
  <c r="AJ5" i="12" l="1"/>
  <c r="AK5" i="12" l="1"/>
  <c r="AL5" i="12" l="1"/>
  <c r="AM5" i="12" l="1"/>
  <c r="AN5" i="12" l="1"/>
  <c r="A18" i="13" l="1"/>
  <c r="A31" i="13" l="1"/>
  <c r="A66" i="13" l="1"/>
  <c r="A44" i="13"/>
  <c r="A78" i="13" l="1"/>
</calcChain>
</file>

<file path=xl/sharedStrings.xml><?xml version="1.0" encoding="utf-8"?>
<sst xmlns="http://schemas.openxmlformats.org/spreadsheetml/2006/main" count="162" uniqueCount="106">
  <si>
    <t>Units</t>
  </si>
  <si>
    <t>End Sheet</t>
  </si>
  <si>
    <t>[%]</t>
  </si>
  <si>
    <t>Workings</t>
  </si>
  <si>
    <t>[$]</t>
  </si>
  <si>
    <t>Period Start</t>
  </si>
  <si>
    <t>Period End</t>
  </si>
  <si>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</si>
  <si>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</si>
  <si>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</si>
  <si>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</si>
  <si>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</si>
  <si>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</si>
  <si>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</si>
  <si>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(2 decimal places)</t>
  </si>
  <si>
    <t>Calculation (percentage)</t>
  </si>
  <si>
    <t>Calculation (date)</t>
  </si>
  <si>
    <t>Units label</t>
  </si>
  <si>
    <t>Non Variable Assumption (0 decimal places)</t>
  </si>
  <si>
    <t>Bold Label</t>
  </si>
  <si>
    <t>Label</t>
  </si>
  <si>
    <t>Top Sheet header</t>
  </si>
  <si>
    <t>Section header</t>
  </si>
  <si>
    <t>Unique formula in row</t>
  </si>
  <si>
    <t>red font</t>
  </si>
  <si>
    <t>Calculation (negative, 0 decimal places)</t>
  </si>
  <si>
    <t>Assumptions</t>
  </si>
  <si>
    <t>Cell to be populated by model author</t>
  </si>
  <si>
    <t>Product A - sales</t>
  </si>
  <si>
    <t>Product B - sales</t>
  </si>
  <si>
    <t>Product C - sales</t>
  </si>
  <si>
    <t>Product D - sales</t>
  </si>
  <si>
    <t>Product E - sales</t>
  </si>
  <si>
    <t>Product F - sales</t>
  </si>
  <si>
    <t>Product G - sales</t>
  </si>
  <si>
    <t>Product H - sales</t>
  </si>
  <si>
    <t>[000s]</t>
  </si>
  <si>
    <t>Indexation</t>
  </si>
  <si>
    <t>Price index 1 - annual increase</t>
  </si>
  <si>
    <t>Price index 2 - annual increase</t>
  </si>
  <si>
    <t>Price index 3 - annual increase</t>
  </si>
  <si>
    <t>Cost index 1 - annual increase</t>
  </si>
  <si>
    <t>Cost index 2 - annual increase</t>
  </si>
  <si>
    <t>Cost index 3 - annual increase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</si>
  <si>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</si>
  <si>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</si>
  <si>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</si>
  <si>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</si>
  <si>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</si>
  <si>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</si>
  <si>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</si>
  <si>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</si>
  <si>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Product A - price</t>
  </si>
  <si>
    <t>Product B - price</t>
  </si>
  <si>
    <t>Product C - price</t>
  </si>
  <si>
    <t>Product D - price</t>
  </si>
  <si>
    <t>Product E - price</t>
  </si>
  <si>
    <t>Product F - price</t>
  </si>
  <si>
    <t>Product G - price</t>
  </si>
  <si>
    <t>Product H - price</t>
  </si>
  <si>
    <t>Product Prices</t>
  </si>
  <si>
    <t>Supply Contract Sales</t>
  </si>
  <si>
    <t>% of price paid for product not delivered</t>
  </si>
  <si>
    <t>Plastic</t>
  </si>
  <si>
    <t>Metal</t>
  </si>
  <si>
    <t>Wood</t>
  </si>
  <si>
    <t>[$/product]</t>
  </si>
  <si>
    <t>[kg/product]</t>
  </si>
  <si>
    <t>Plastic - materials</t>
  </si>
  <si>
    <t>Metal - materials</t>
  </si>
  <si>
    <t>Wood - materials</t>
  </si>
  <si>
    <t>Electricity</t>
  </si>
  <si>
    <t>Metal pre-treatment</t>
  </si>
  <si>
    <t>[$/kg]</t>
  </si>
  <si>
    <t>[MWh/kg]</t>
  </si>
  <si>
    <t>Telford</t>
  </si>
  <si>
    <t>Ulsan</t>
  </si>
  <si>
    <t>Victoria</t>
  </si>
  <si>
    <t>Westminster</t>
  </si>
  <si>
    <t>Xinzhou</t>
  </si>
  <si>
    <t>York</t>
  </si>
  <si>
    <t>Zwolle</t>
  </si>
  <si>
    <t>Labor</t>
  </si>
  <si>
    <t>Site overhead</t>
  </si>
  <si>
    <t>[$/hour]</t>
  </si>
  <si>
    <t>[$/MWh]</t>
  </si>
  <si>
    <t>[$000 pa]</t>
  </si>
  <si>
    <t>Machines - purchase year</t>
  </si>
  <si>
    <t>[year]</t>
  </si>
  <si>
    <t>[000s product]</t>
  </si>
  <si>
    <t>[years]</t>
  </si>
  <si>
    <t>Expenses - By Product</t>
  </si>
  <si>
    <t>Expenses - By Factory</t>
  </si>
  <si>
    <t>Machines</t>
  </si>
  <si>
    <t>Materials</t>
  </si>
  <si>
    <t>Kg of Materials Required</t>
  </si>
  <si>
    <t>Initial Annual Rate</t>
  </si>
  <si>
    <t>Useful Life</t>
  </si>
  <si>
    <t>Final Year Efficiency</t>
  </si>
  <si>
    <t>Electricity Usage</t>
  </si>
  <si>
    <t>Machine Characteristics</t>
  </si>
  <si>
    <t>[hours/day]</t>
  </si>
  <si>
    <t>ModelOff 2015 - Finals - Section 1</t>
  </si>
  <si>
    <t>Labor Required</t>
  </si>
  <si>
    <t>[MWh/day]</t>
  </si>
  <si>
    <t>[% p.a.]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</si>
</sst>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#,##0.;\-#,##0.;\-"/>
    <numFmt numFmtId="169" formatCode="#,##0_);\(#,##0\);\-"/>
    <numFmt numFmtId="170" formatCode="d\-mmm\-yy;d\-mmm\-yy;\-"/>
    <numFmt numFmtId="171" formatCode="0.00%_);\(0.00%\);\-"/>
    <numFmt numFmtId="172" formatCode="#,##0.00_);\(#,##0.00\);\-"/>
    <numFmt numFmtId="173" formatCode="0_);\(0\);&quot;-&quot;_);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0"/>
      <color rgb="FF0000FF"/>
      <name val="Arial"/>
      <family val="2"/>
    </font>
    <font>
      <u/>
      <sz val="8"/>
      <color theme="10"/>
      <name val="Arial"/>
      <family val="2"/>
    </font>
    <font>
      <b/>
      <sz val="10"/>
      <color theme="1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465926084170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62">
    <xf numFmtId="0" fontId="0" fillId="0" borderId="0"/>
    <xf numFmtId="0" fontId="4" fillId="36" borderId="0" applyNumberFormat="0" applyAlignment="0"/>
    <xf numFmtId="169" fontId="3" fillId="0" borderId="0" applyBorder="0"/>
    <xf numFmtId="0" fontId="7" fillId="0" borderId="0" applyNumberFormat="0" applyFill="0" applyBorder="0">
      <alignment horizontal="right"/>
    </xf>
    <xf numFmtId="0" fontId="8" fillId="0" borderId="0" applyNumberFormat="0" applyFill="0" applyBorder="0" applyAlignment="0" applyProtection="0"/>
    <xf numFmtId="169" fontId="9" fillId="0" borderId="0" applyBorder="0"/>
    <xf numFmtId="170" fontId="3" fillId="0" borderId="0" applyBorder="0"/>
    <xf numFmtId="4" fontId="9" fillId="2" borderId="1">
      <alignment horizontal="left"/>
    </xf>
    <xf numFmtId="171" fontId="7" fillId="4" borderId="11">
      <protection locked="0"/>
    </xf>
    <xf numFmtId="169" fontId="7" fillId="4" borderId="11">
      <protection locked="0"/>
    </xf>
    <xf numFmtId="169" fontId="7" fillId="0" borderId="12"/>
    <xf numFmtId="171" fontId="11" fillId="0" borderId="0" applyFill="0" applyBorder="0" applyAlignment="0"/>
    <xf numFmtId="0" fontId="10" fillId="0" borderId="0" applyNumberFormat="0" applyFill="0" applyBorder="0" applyAlignment="0"/>
    <xf numFmtId="167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5" applyNumberFormat="0" applyAlignment="0" applyProtection="0"/>
    <xf numFmtId="0" fontId="22" fillId="9" borderId="6" applyNumberFormat="0" applyAlignment="0" applyProtection="0"/>
    <xf numFmtId="0" fontId="23" fillId="9" borderId="5" applyNumberFormat="0" applyAlignment="0" applyProtection="0"/>
    <xf numFmtId="0" fontId="24" fillId="0" borderId="7" applyNumberFormat="0" applyFill="0" applyAlignment="0" applyProtection="0"/>
    <xf numFmtId="0" fontId="25" fillId="10" borderId="8" applyNumberFormat="0" applyAlignment="0" applyProtection="0"/>
    <xf numFmtId="0" fontId="26" fillId="0" borderId="0" applyNumberFormat="0" applyFill="0" applyBorder="0" applyAlignment="0" applyProtection="0"/>
    <xf numFmtId="0" fontId="13" fillId="11" borderId="9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9" fillId="35" borderId="0" applyNumberFormat="0" applyBorder="0" applyAlignment="0" applyProtection="0"/>
    <xf numFmtId="172" fontId="3" fillId="0" borderId="0" applyBorder="0"/>
    <xf numFmtId="172" fontId="7" fillId="4" borderId="11">
      <protection locked="0"/>
    </xf>
    <xf numFmtId="170" fontId="7" fillId="4" borderId="11"/>
  </cellStyleXfs>
  <cellXfs count="46">
    <xf numFmtId="0" fontId="0" fillId="0" borderId="0" xfId="0"/>
    <xf numFmtId="0" fontId="2" fillId="36" borderId="0" xfId="1" applyFont="1" applyAlignment="1">
      <alignment vertical="center"/>
    </xf>
    <xf numFmtId="0" fontId="4" fillId="36" borderId="0" xfId="1" applyAlignment="1">
      <alignment vertical="center"/>
    </xf>
    <xf numFmtId="0" fontId="3" fillId="0" borderId="0" xfId="0" applyFont="1" applyAlignment="1">
      <alignment vertical="center"/>
    </xf>
    <xf numFmtId="0" fontId="4" fillId="36" borderId="0" xfId="1" applyFont="1" applyAlignment="1">
      <alignment vertical="center"/>
    </xf>
    <xf numFmtId="0" fontId="5" fillId="0" borderId="0" xfId="0" applyFont="1" applyAlignment="1">
      <alignment vertical="center"/>
    </xf>
    <xf numFmtId="168" fontId="6" fillId="36" borderId="0" xfId="1" applyNumberFormat="1" applyFont="1" applyAlignment="1">
      <alignment horizontal="left" vertical="center"/>
    </xf>
    <xf numFmtId="0" fontId="6" fillId="36" borderId="0" xfId="1" applyFont="1" applyAlignment="1">
      <alignment vertical="center"/>
    </xf>
    <xf numFmtId="169" fontId="3" fillId="0" borderId="0" xfId="2" applyAlignment="1">
      <alignment vertical="center"/>
    </xf>
    <xf numFmtId="169" fontId="7" fillId="0" borderId="0" xfId="3" applyNumberFormat="1" applyAlignment="1">
      <alignment horizontal="right" vertical="center"/>
    </xf>
    <xf numFmtId="169" fontId="9" fillId="0" borderId="0" xfId="5" applyAlignment="1">
      <alignment vertical="center"/>
    </xf>
    <xf numFmtId="170" fontId="12" fillId="0" borderId="0" xfId="6" applyFont="1" applyAlignment="1">
      <alignment vertical="center"/>
    </xf>
    <xf numFmtId="170" fontId="3" fillId="0" borderId="0" xfId="6" applyAlignment="1">
      <alignment vertical="center"/>
    </xf>
    <xf numFmtId="170" fontId="3" fillId="0" borderId="0" xfId="6" applyBorder="1" applyAlignment="1">
      <alignment vertical="center"/>
    </xf>
    <xf numFmtId="169" fontId="3" fillId="0" borderId="0" xfId="2" applyBorder="1" applyAlignment="1">
      <alignment vertical="center"/>
    </xf>
    <xf numFmtId="4" fontId="9" fillId="2" borderId="1" xfId="7" applyAlignment="1">
      <alignment horizontal="left" vertical="center"/>
    </xf>
    <xf numFmtId="169" fontId="7" fillId="4" borderId="11" xfId="9" applyAlignment="1">
      <alignment vertical="center"/>
      <protection locked="0"/>
    </xf>
    <xf numFmtId="170" fontId="7" fillId="4" borderId="11" xfId="61" applyAlignment="1">
      <alignment vertical="center"/>
    </xf>
    <xf numFmtId="171" fontId="7" fillId="4" borderId="11" xfId="8" applyAlignment="1">
      <alignment vertical="center"/>
      <protection locked="0"/>
    </xf>
    <xf numFmtId="172" fontId="7" fillId="4" borderId="11" xfId="60" applyAlignment="1">
      <alignment vertical="center"/>
      <protection locked="0"/>
    </xf>
    <xf numFmtId="0" fontId="10" fillId="0" borderId="0" xfId="0" applyFont="1" applyAlignment="1">
      <alignment vertical="center"/>
    </xf>
    <xf numFmtId="0" fontId="7" fillId="0" borderId="0" xfId="3" applyAlignment="1">
      <alignment horizontal="right" vertical="center"/>
    </xf>
    <xf numFmtId="172" fontId="3" fillId="0" borderId="0" xfId="59" applyBorder="1" applyAlignment="1">
      <alignment vertical="center"/>
    </xf>
    <xf numFmtId="0" fontId="3" fillId="0" borderId="0" xfId="0" applyFont="1" applyBorder="1" applyAlignment="1">
      <alignment vertical="center"/>
    </xf>
    <xf numFmtId="172" fontId="3" fillId="0" borderId="0" xfId="59" applyAlignment="1">
      <alignment vertical="center"/>
    </xf>
    <xf numFmtId="172" fontId="3" fillId="0" borderId="0" xfId="59" quotePrefix="1" applyAlignment="1">
      <alignment vertical="center"/>
    </xf>
    <xf numFmtId="172" fontId="7" fillId="0" borderId="0" xfId="3" applyNumberFormat="1" applyAlignment="1">
      <alignment horizontal="right" vertical="center"/>
    </xf>
    <xf numFmtId="171" fontId="11" fillId="0" borderId="0" xfId="11" applyAlignment="1">
      <alignment vertical="center"/>
    </xf>
    <xf numFmtId="172" fontId="3" fillId="3" borderId="0" xfId="59" applyFill="1" applyAlignment="1">
      <alignment vertical="center"/>
    </xf>
    <xf numFmtId="169" fontId="12" fillId="0" borderId="0" xfId="2" applyFont="1" applyAlignment="1">
      <alignment vertical="center"/>
    </xf>
    <xf numFmtId="169" fontId="7" fillId="0" borderId="12" xfId="10" applyAlignment="1">
      <alignment vertical="center"/>
    </xf>
    <xf numFmtId="169" fontId="10" fillId="0" borderId="0" xfId="12" applyNumberFormat="1" applyAlignment="1">
      <alignment vertical="center"/>
    </xf>
    <xf numFmtId="172" fontId="4" fillId="36" borderId="0" xfId="1" applyNumberFormat="1" applyAlignment="1">
      <alignment vertical="center"/>
    </xf>
    <xf numFmtId="172" fontId="7" fillId="4" borderId="11" xfId="9" applyNumberFormat="1" applyAlignment="1">
      <alignment vertical="center"/>
      <protection locked="0"/>
    </xf>
    <xf numFmtId="169" fontId="7" fillId="4" borderId="11" xfId="9" applyNumberFormat="1" applyAlignment="1">
      <alignment vertical="center"/>
      <protection locked="0"/>
    </xf>
    <xf numFmtId="169" fontId="7" fillId="0" borderId="0" xfId="3" applyNumberFormat="1" applyAlignment="1">
      <alignment vertical="center"/>
    </xf>
    <xf numFmtId="169" fontId="9" fillId="0" borderId="0" xfId="2" applyFont="1" applyAlignment="1">
      <alignment vertical="center"/>
    </xf>
    <xf numFmtId="169" fontId="9" fillId="0" borderId="0" xfId="2" applyFont="1" applyAlignment="1">
      <alignment vertical="center" wrapText="1"/>
    </xf>
    <xf numFmtId="173" fontId="30" fillId="0" borderId="0" xfId="3" applyNumberFormat="1" applyFont="1" applyAlignment="1">
      <alignment horizontal="right" vertical="center"/>
    </xf>
    <xf numFmtId="173" fontId="7" fillId="4" borderId="11" xfId="9" applyNumberFormat="1" applyAlignment="1">
      <alignment vertical="center"/>
      <protection locked="0"/>
    </xf>
    <xf numFmtId="169" fontId="9" fillId="0" borderId="0" xfId="2" applyFont="1" applyAlignment="1">
      <alignment horizontal="right" vertical="center"/>
    </xf>
    <xf numFmtId="173" fontId="30" fillId="0" borderId="0" xfId="2" applyNumberFormat="1" applyFont="1" applyAlignment="1">
      <alignment horizontal="right" vertical="center"/>
    </xf>
    <xf numFmtId="169" fontId="9" fillId="0" borderId="0" xfId="2" applyFont="1" applyAlignment="1">
      <alignment horizontal="right" vertical="center" wrapText="1"/>
    </xf>
    <xf numFmtId="171" fontId="7" fillId="4" borderId="11" xfId="8">
      <protection locked="0"/>
    </xf>
    <xf numFmtId="172" fontId="7" fillId="4" borderId="11" xfId="60">
      <protection locked="0"/>
    </xf>
    <xf numFmtId="169" fontId="7" fillId="4" borderId="11" xfId="9">
      <protection locked="0"/>
    </xf>
  </cellXfs>
  <cellStyles count="62">
    <cellStyle name="20% - Accent1" xfId="36" builtinId="30" hidden="1"/>
    <cellStyle name="20% - Accent2" xfId="40" builtinId="34" hidden="1"/>
    <cellStyle name="20% - Accent3" xfId="44" builtinId="38" hidden="1"/>
    <cellStyle name="20% - Accent4" xfId="48" builtinId="42" hidden="1"/>
    <cellStyle name="20% - Accent5" xfId="52" builtinId="46" hidden="1"/>
    <cellStyle name="20% - Accent6" xfId="56" builtinId="50" hidden="1"/>
    <cellStyle name="40% - Accent1" xfId="37" builtinId="31" hidden="1"/>
    <cellStyle name="40% - Accent2" xfId="41" builtinId="35" hidden="1"/>
    <cellStyle name="40% - Accent3" xfId="45" builtinId="39" hidden="1"/>
    <cellStyle name="40% - Accent4" xfId="49" builtinId="43" hidden="1"/>
    <cellStyle name="40% - Accent5" xfId="53" builtinId="47" hidden="1"/>
    <cellStyle name="40% - Accent6" xfId="57" builtinId="51" hidden="1"/>
    <cellStyle name="60% - Accent1" xfId="38" builtinId="32" hidden="1"/>
    <cellStyle name="60% - Accent2" xfId="42" builtinId="36" hidden="1"/>
    <cellStyle name="60% - Accent3" xfId="46" builtinId="40" hidden="1"/>
    <cellStyle name="60% - Accent4" xfId="50" builtinId="44" hidden="1"/>
    <cellStyle name="60% - Accent5" xfId="54" builtinId="48" hidden="1"/>
    <cellStyle name="60% - Accent6" xfId="58" builtinId="52" hidden="1"/>
    <cellStyle name="Accent1" xfId="35" builtinId="29" hidden="1"/>
    <cellStyle name="Accent2" xfId="39" builtinId="33" hidden="1"/>
    <cellStyle name="Accent3" xfId="43" builtinId="37" hidden="1"/>
    <cellStyle name="Accent4" xfId="47" builtinId="41" hidden="1"/>
    <cellStyle name="Accent5" xfId="51" builtinId="45" hidden="1"/>
    <cellStyle name="Accent6" xfId="55" builtinId="49" hidden="1"/>
    <cellStyle name="Bad" xfId="24" builtinId="27" hidden="1"/>
    <cellStyle name="Calculation" xfId="28" builtinId="22" hidden="1"/>
    <cellStyle name="Check Cell" xfId="30" builtinId="23" hidden="1"/>
    <cellStyle name="Comma" xfId="13" builtinId="3" hidden="1"/>
    <cellStyle name="Comma [0]" xfId="14" builtinId="6" hidden="1"/>
    <cellStyle name="Currency" xfId="15" builtinId="4" hidden="1"/>
    <cellStyle name="Currency [0]" xfId="16" builtinId="7" hidden="1"/>
    <cellStyle name="Explanatory Text" xfId="33" builtinId="53" hidden="1"/>
    <cellStyle name="Good" xfId="23" builtinId="26" hidden="1"/>
    <cellStyle name="Heading 1" xfId="19" builtinId="16" hidden="1"/>
    <cellStyle name="Heading 2" xfId="20" builtinId="17" hidden="1"/>
    <cellStyle name="Heading 3" xfId="21" builtinId="18" hidden="1"/>
    <cellStyle name="Heading 4" xfId="22" builtinId="19" hidden="1"/>
    <cellStyle name="Hyperlink" xfId="4" builtinId="8" hidden="1"/>
    <cellStyle name="Input" xfId="26" builtinId="20" hidden="1"/>
    <cellStyle name="Linked Cell" xfId="29" builtinId="24" hidden="1"/>
    <cellStyle name="M Section Header" xfId="7"/>
    <cellStyle name="M TopHeader" xfId="1"/>
    <cellStyle name="M Units" xfId="3"/>
    <cellStyle name="M Wkg text" xfId="12"/>
    <cellStyle name="M-A 0dp" xfId="9"/>
    <cellStyle name="M-A 2dp" xfId="60"/>
    <cellStyle name="M-A Date" xfId="61"/>
    <cellStyle name="M-A Fixed 0dp" xfId="10"/>
    <cellStyle name="M-A Pct2dp" xfId="8"/>
    <cellStyle name="M-C 0dp Num" xfId="2"/>
    <cellStyle name="M-C 2dp Num" xfId="59"/>
    <cellStyle name="M-C Bld 0dp" xfId="5"/>
    <cellStyle name="M-C Date" xfId="6"/>
    <cellStyle name="M-C Pct 2DP" xfId="11"/>
    <cellStyle name="Neutral" xfId="25" builtinId="28" hidden="1"/>
    <cellStyle name="Normal" xfId="0" builtinId="0"/>
    <cellStyle name="Note" xfId="32" builtinId="10" hidden="1"/>
    <cellStyle name="Output" xfId="27" builtinId="21" hidden="1"/>
    <cellStyle name="Percent" xfId="17" builtinId="5" hidden="1"/>
    <cellStyle name="Title" xfId="18" builtinId="15" hidden="1"/>
    <cellStyle name="Total" xfId="34" builtinId="25" hidden="1"/>
    <cellStyle name="Warning Text" xfId="31" builtinId="11" hidden="1"/>
  </cellStyles>
  <dxfs count="0"/>
  <tableStyles count="0" defaultTableStyle="TableStyleMedium2" defaultPivotStyle="PivotStyleLight16"/>
  <colors>
    <mruColors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818027</xdr:colOff>
      <xdr:row>0</xdr:row>
      <xdr:rowOff>0</xdr:rowOff>
    </xdr:from>
    <xdr:to>
      <xdr:col>8</xdr:col>
      <xdr:colOff>69689</xdr:colOff>
      <xdr:row>3</xdr:row>
      <xdr:rowOff>9525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1367" y="0"/>
          <a:ext cx="2721003" cy="756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818027</xdr:colOff>
      <xdr:row>0</xdr:row>
      <xdr:rowOff>0</xdr:rowOff>
    </xdr:from>
    <xdr:to>
      <xdr:col>8</xdr:col>
      <xdr:colOff>69689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0402" y="0"/>
          <a:ext cx="2658138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818027</xdr:colOff>
      <xdr:row>0</xdr:row>
      <xdr:rowOff>0</xdr:rowOff>
    </xdr:from>
    <xdr:to>
      <xdr:col>8</xdr:col>
      <xdr:colOff>69689</xdr:colOff>
      <xdr:row>3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1367" y="0"/>
          <a:ext cx="2726382" cy="756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  <outlinePr summaryBelow="0"/>
  </sheetPr>
  <dimension ref="A1:J46"/>
  <sheetViews>
    <sheetView showGridLines="0" tabSelected="1" zoomScale="85" zoomScaleNormal="85" zoomScalePageLayoutView="85" workbookViewId="0">
      <pane ySplit="3" topLeftCell="A4" activePane="bottomLeft" state="frozen"/>
      <selection pane="bottomLeft"/>
    </sheetView>
  </sheetViews>
  <sheetFormatPr defaultColWidth="12.6640625" defaultRowHeight="12" customHeight="1" x14ac:dyDescent="0.3"/>
  <cols>
    <col min="1" max="1" width="7.33203125" style="3" customWidth="1"/>
    <col min="2" max="2" width="4.6640625" style="3" customWidth="1"/>
    <col min="3" max="3" width="3.6640625" style="20" customWidth="1"/>
    <col min="4" max="4" width="40.6640625" style="20" customWidth="1"/>
    <col min="5" max="7" width="12.6640625" style="3" customWidth="1"/>
    <col min="8" max="8" width="12.6640625" style="21" customWidth="1"/>
    <col min="9" max="9" width="12.6640625" style="3" customWidth="1"/>
    <col min="10" max="16384" width="12.6640625" style="3"/>
  </cols>
  <sheetData>
    <row r="1" spans="1:10" ht="22.8" x14ac:dyDescent="0.3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</row>
    <row r="2" spans="1:10" s="5" customFormat="1" ht="18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8" customHeight="1" x14ac:dyDescent="0.3">
      <c r="A3" s="6"/>
      <c r="B3" s="2"/>
      <c r="C3" s="7" t="s">
        <v>7</v>
      </c>
      <c r="D3" s="2"/>
      <c r="E3" s="2"/>
      <c r="F3" s="2"/>
      <c r="G3" s="2"/>
      <c r="H3" s="2"/>
      <c r="I3" s="2"/>
      <c r="J3" s="2"/>
    </row>
    <row r="4" spans="1:10" s="8" customFormat="1" ht="12" customHeight="1" x14ac:dyDescent="0.3">
      <c r="H4" s="9"/>
    </row>
    <row r="5" spans="1:10" s="8" customFormat="1" ht="12" customHeight="1" x14ac:dyDescent="0.3">
      <c r="H5" s="9"/>
    </row>
    <row r="6" spans="1:10" s="8" customFormat="1" ht="12" customHeight="1" x14ac:dyDescent="0.3">
      <c r="H6" s="9"/>
    </row>
    <row r="7" spans="1:10" s="8" customFormat="1" ht="12" customHeight="1" x14ac:dyDescent="0.3">
      <c r="H7" s="9"/>
    </row>
    <row r="8" spans="1:10" s="8" customFormat="1" ht="12" customHeight="1" x14ac:dyDescent="0.3">
      <c r="H8" s="9"/>
    </row>
    <row r="9" spans="1:10" ht="12" customHeight="1" x14ac:dyDescent="0.3">
      <c r="A9" s="15">
        <f>MAX(A$3:A8)+0.01</f>
        <v>0.01</v>
      </c>
      <c r="B9" s="15"/>
      <c r="C9" s="15" t="s">
        <v>8</v>
      </c>
      <c r="D9" s="15"/>
      <c r="E9" s="15"/>
      <c r="F9" s="15"/>
      <c r="G9" s="15"/>
      <c r="H9" s="15"/>
      <c r="I9" s="15"/>
      <c r="J9" s="15"/>
    </row>
    <row r="10" spans="1:10" s="23" customFormat="1" ht="12" customHeight="1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12" customHeight="1" x14ac:dyDescent="0.3">
      <c r="A11" s="24"/>
      <c r="B11" s="24"/>
      <c r="C11" s="10"/>
      <c r="D11" s="24"/>
      <c r="E11" s="25"/>
      <c r="F11" s="24"/>
      <c r="G11" s="24"/>
      <c r="H11" s="24"/>
      <c r="I11" s="24"/>
      <c r="J11" s="24"/>
    </row>
    <row r="12" spans="1:10" ht="12" customHeight="1" x14ac:dyDescent="0.3">
      <c r="A12" s="24"/>
      <c r="B12" s="24"/>
      <c r="C12" s="24"/>
      <c r="D12" s="24" t="s">
        <v>9</v>
      </c>
      <c r="E12" s="25"/>
      <c r="F12" s="24"/>
      <c r="G12" s="24"/>
      <c r="H12" s="26"/>
      <c r="I12" s="16">
        <v>1000</v>
      </c>
      <c r="J12" s="24"/>
    </row>
    <row r="13" spans="1:10" ht="12" customHeight="1" x14ac:dyDescent="0.3">
      <c r="A13" s="24"/>
      <c r="B13" s="24"/>
      <c r="C13" s="24"/>
      <c r="D13" s="24"/>
      <c r="E13" s="25"/>
      <c r="F13" s="24"/>
      <c r="G13" s="24"/>
      <c r="H13" s="26"/>
      <c r="I13" s="24"/>
      <c r="J13" s="24"/>
    </row>
    <row r="14" spans="1:10" ht="12" customHeight="1" x14ac:dyDescent="0.3">
      <c r="A14" s="24"/>
      <c r="B14" s="24"/>
      <c r="C14" s="24"/>
      <c r="D14" s="24" t="s">
        <v>10</v>
      </c>
      <c r="E14" s="25"/>
      <c r="F14" s="24"/>
      <c r="G14" s="24"/>
      <c r="H14" s="26"/>
      <c r="I14" s="19">
        <v>1000</v>
      </c>
      <c r="J14" s="24"/>
    </row>
    <row r="15" spans="1:10" ht="12" customHeight="1" x14ac:dyDescent="0.3">
      <c r="A15" s="24"/>
      <c r="B15" s="24"/>
      <c r="C15" s="24"/>
      <c r="D15" s="24"/>
      <c r="E15" s="25"/>
      <c r="F15" s="24"/>
      <c r="G15" s="24"/>
      <c r="H15" s="24"/>
      <c r="I15" s="24"/>
      <c r="J15" s="24"/>
    </row>
    <row r="16" spans="1:10" ht="12" customHeight="1" x14ac:dyDescent="0.3">
      <c r="A16" s="24"/>
      <c r="B16" s="24"/>
      <c r="C16" s="24"/>
      <c r="D16" s="24" t="s">
        <v>11</v>
      </c>
      <c r="E16" s="25"/>
      <c r="F16" s="24"/>
      <c r="G16" s="24"/>
      <c r="H16" s="24"/>
      <c r="I16" s="18">
        <v>0.5</v>
      </c>
      <c r="J16" s="24"/>
    </row>
    <row r="17" spans="1:10" ht="12" customHeight="1" x14ac:dyDescent="0.3">
      <c r="A17" s="24"/>
      <c r="B17" s="24"/>
      <c r="C17" s="24"/>
      <c r="D17" s="24"/>
      <c r="E17" s="25"/>
      <c r="F17" s="24"/>
      <c r="G17" s="24"/>
      <c r="H17" s="24"/>
      <c r="I17" s="24"/>
      <c r="J17" s="24"/>
    </row>
    <row r="18" spans="1:10" ht="12" customHeight="1" x14ac:dyDescent="0.3">
      <c r="A18" s="24"/>
      <c r="B18" s="24"/>
      <c r="C18" s="24"/>
      <c r="D18" s="24" t="s">
        <v>12</v>
      </c>
      <c r="E18" s="25"/>
      <c r="F18" s="24"/>
      <c r="G18" s="24"/>
      <c r="H18" s="24"/>
      <c r="I18" s="17">
        <v>42369</v>
      </c>
      <c r="J18" s="24"/>
    </row>
    <row r="19" spans="1:10" ht="12" customHeight="1" x14ac:dyDescent="0.3">
      <c r="A19" s="24"/>
      <c r="B19" s="24"/>
      <c r="C19" s="24"/>
      <c r="D19" s="24"/>
      <c r="E19" s="25"/>
      <c r="F19" s="24"/>
      <c r="G19" s="24"/>
      <c r="H19" s="24"/>
      <c r="I19" s="24"/>
      <c r="J19" s="24"/>
    </row>
    <row r="20" spans="1:10" ht="12" customHeight="1" x14ac:dyDescent="0.3">
      <c r="A20" s="24"/>
      <c r="B20" s="24"/>
      <c r="C20" s="24"/>
      <c r="D20" s="24" t="s">
        <v>13</v>
      </c>
      <c r="E20" s="25"/>
      <c r="F20" s="24"/>
      <c r="G20" s="24"/>
      <c r="H20" s="24"/>
      <c r="I20" s="8">
        <v>1000</v>
      </c>
      <c r="J20" s="24"/>
    </row>
    <row r="21" spans="1:10" ht="12" customHeight="1" x14ac:dyDescent="0.3">
      <c r="A21" s="24"/>
      <c r="B21" s="24"/>
      <c r="C21" s="24"/>
      <c r="D21" s="24"/>
      <c r="E21" s="25"/>
      <c r="F21" s="24"/>
      <c r="G21" s="24"/>
      <c r="H21" s="24"/>
      <c r="I21" s="24"/>
      <c r="J21" s="24"/>
    </row>
    <row r="22" spans="1:10" ht="12" customHeight="1" x14ac:dyDescent="0.3">
      <c r="A22" s="24"/>
      <c r="B22" s="24"/>
      <c r="C22" s="24"/>
      <c r="D22" s="24" t="s">
        <v>25</v>
      </c>
      <c r="E22" s="25"/>
      <c r="F22" s="24"/>
      <c r="G22" s="24"/>
      <c r="H22" s="24"/>
      <c r="I22" s="8">
        <v>-1000</v>
      </c>
      <c r="J22" s="24"/>
    </row>
    <row r="23" spans="1:10" ht="12" customHeight="1" x14ac:dyDescent="0.3">
      <c r="A23" s="24"/>
      <c r="B23" s="24"/>
      <c r="C23" s="24"/>
      <c r="D23" s="24"/>
      <c r="E23" s="25"/>
      <c r="F23" s="24"/>
      <c r="G23" s="24"/>
      <c r="H23" s="24"/>
      <c r="I23" s="24"/>
      <c r="J23" s="24"/>
    </row>
    <row r="24" spans="1:10" ht="12" customHeight="1" x14ac:dyDescent="0.3">
      <c r="A24" s="24"/>
      <c r="B24" s="24"/>
      <c r="C24" s="24"/>
      <c r="D24" s="24" t="s">
        <v>14</v>
      </c>
      <c r="E24" s="25"/>
      <c r="F24" s="24"/>
      <c r="G24" s="24"/>
      <c r="H24" s="24"/>
      <c r="I24" s="24">
        <v>1000</v>
      </c>
      <c r="J24" s="24"/>
    </row>
    <row r="25" spans="1:10" ht="12" customHeight="1" x14ac:dyDescent="0.3">
      <c r="A25" s="24"/>
      <c r="B25" s="24"/>
      <c r="C25" s="24"/>
      <c r="D25" s="24"/>
      <c r="E25" s="25"/>
      <c r="F25" s="24"/>
      <c r="G25" s="24"/>
      <c r="H25" s="24"/>
      <c r="I25" s="24"/>
      <c r="J25" s="24"/>
    </row>
    <row r="26" spans="1:10" ht="12" customHeight="1" x14ac:dyDescent="0.3">
      <c r="A26" s="24"/>
      <c r="B26" s="24"/>
      <c r="C26" s="24"/>
      <c r="D26" s="24" t="s">
        <v>15</v>
      </c>
      <c r="E26" s="25"/>
      <c r="F26" s="24"/>
      <c r="G26" s="24"/>
      <c r="H26" s="24"/>
      <c r="I26" s="27">
        <v>0.5</v>
      </c>
      <c r="J26" s="24"/>
    </row>
    <row r="27" spans="1:10" ht="12" customHeight="1" x14ac:dyDescent="0.3">
      <c r="A27" s="24"/>
      <c r="B27" s="24"/>
      <c r="C27" s="24"/>
      <c r="D27" s="24"/>
      <c r="E27" s="25"/>
      <c r="F27" s="24"/>
      <c r="G27" s="24"/>
      <c r="H27" s="24"/>
      <c r="I27" s="24"/>
      <c r="J27" s="24"/>
    </row>
    <row r="28" spans="1:10" ht="12" customHeight="1" x14ac:dyDescent="0.3">
      <c r="A28" s="24"/>
      <c r="B28" s="24"/>
      <c r="C28" s="24"/>
      <c r="D28" s="24" t="s">
        <v>27</v>
      </c>
      <c r="E28" s="25"/>
      <c r="F28" s="24"/>
      <c r="G28" s="24"/>
      <c r="H28" s="24"/>
      <c r="I28" s="28">
        <v>0</v>
      </c>
      <c r="J28" s="24"/>
    </row>
    <row r="29" spans="1:10" ht="12" customHeight="1" x14ac:dyDescent="0.3">
      <c r="A29" s="24"/>
      <c r="B29" s="24"/>
      <c r="C29" s="24"/>
      <c r="D29" s="24"/>
      <c r="E29" s="25"/>
      <c r="F29" s="24"/>
      <c r="G29" s="24"/>
      <c r="H29" s="24"/>
      <c r="I29" s="24"/>
      <c r="J29" s="24"/>
    </row>
    <row r="30" spans="1:10" ht="12" customHeight="1" x14ac:dyDescent="0.3">
      <c r="A30" s="24"/>
      <c r="B30" s="24"/>
      <c r="C30" s="24"/>
      <c r="D30" s="24" t="s">
        <v>16</v>
      </c>
      <c r="E30" s="25"/>
      <c r="F30" s="24"/>
      <c r="G30" s="24"/>
      <c r="H30" s="24"/>
      <c r="I30" s="12">
        <v>42369</v>
      </c>
      <c r="J30" s="24"/>
    </row>
    <row r="31" spans="1:10" ht="12" customHeight="1" x14ac:dyDescent="0.3">
      <c r="A31" s="24"/>
      <c r="B31" s="24"/>
      <c r="C31" s="24"/>
      <c r="D31" s="24"/>
      <c r="E31" s="25"/>
      <c r="F31" s="24"/>
      <c r="G31" s="24"/>
      <c r="H31" s="24"/>
      <c r="I31" s="24"/>
      <c r="J31" s="24"/>
    </row>
    <row r="32" spans="1:10" ht="12" customHeight="1" x14ac:dyDescent="0.3">
      <c r="A32" s="24"/>
      <c r="B32" s="24"/>
      <c r="C32" s="24"/>
      <c r="D32" s="24" t="s">
        <v>23</v>
      </c>
      <c r="E32" s="25"/>
      <c r="F32" s="24"/>
      <c r="G32" s="24"/>
      <c r="H32" s="24"/>
      <c r="I32" s="29" t="s">
        <v>24</v>
      </c>
      <c r="J32" s="24"/>
    </row>
    <row r="33" spans="1:10" ht="12" customHeight="1" x14ac:dyDescent="0.3">
      <c r="A33" s="24"/>
      <c r="B33" s="24"/>
      <c r="C33" s="24"/>
      <c r="D33" s="24"/>
      <c r="E33" s="25"/>
      <c r="F33" s="24"/>
      <c r="G33" s="24"/>
      <c r="H33" s="24"/>
      <c r="I33" s="24"/>
      <c r="J33" s="24"/>
    </row>
    <row r="34" spans="1:10" ht="12" customHeight="1" x14ac:dyDescent="0.3">
      <c r="A34" s="24"/>
      <c r="B34" s="24"/>
      <c r="C34" s="24"/>
      <c r="D34" s="24" t="s">
        <v>17</v>
      </c>
      <c r="E34" s="25"/>
      <c r="F34" s="24"/>
      <c r="G34" s="24"/>
      <c r="H34" s="24"/>
      <c r="I34" s="26" t="s">
        <v>4</v>
      </c>
      <c r="J34" s="24"/>
    </row>
    <row r="35" spans="1:10" ht="12" customHeight="1" x14ac:dyDescent="0.3">
      <c r="A35" s="24"/>
      <c r="B35" s="24"/>
      <c r="C35" s="24"/>
      <c r="D35" s="24"/>
      <c r="E35" s="25"/>
      <c r="F35" s="24"/>
      <c r="G35" s="24"/>
      <c r="H35" s="24"/>
      <c r="I35" s="24"/>
      <c r="J35" s="24"/>
    </row>
    <row r="36" spans="1:10" ht="12" customHeight="1" x14ac:dyDescent="0.3">
      <c r="A36" s="24"/>
      <c r="B36" s="24"/>
      <c r="C36" s="24"/>
      <c r="D36" s="24" t="s">
        <v>18</v>
      </c>
      <c r="E36" s="25"/>
      <c r="F36" s="24"/>
      <c r="G36" s="24"/>
      <c r="H36" s="24"/>
      <c r="I36" s="30">
        <v>1000</v>
      </c>
      <c r="J36" s="24"/>
    </row>
    <row r="37" spans="1:10" ht="12" customHeight="1" x14ac:dyDescent="0.3">
      <c r="A37" s="24"/>
      <c r="B37" s="24"/>
      <c r="C37" s="24"/>
      <c r="D37" s="24"/>
      <c r="E37" s="25"/>
      <c r="F37" s="24"/>
      <c r="G37" s="24"/>
      <c r="H37" s="24"/>
      <c r="I37" s="24"/>
      <c r="J37" s="24"/>
    </row>
    <row r="38" spans="1:10" ht="12" customHeight="1" x14ac:dyDescent="0.3">
      <c r="A38" s="24"/>
      <c r="B38" s="24"/>
      <c r="C38" s="24"/>
      <c r="D38" s="24" t="s">
        <v>19</v>
      </c>
      <c r="E38" s="25"/>
      <c r="F38" s="24"/>
      <c r="G38" s="24"/>
      <c r="H38" s="24"/>
      <c r="I38" s="10" t="s">
        <v>20</v>
      </c>
      <c r="J38" s="24"/>
    </row>
    <row r="39" spans="1:10" ht="12" customHeight="1" x14ac:dyDescent="0.3">
      <c r="A39" s="24"/>
      <c r="B39" s="24"/>
      <c r="C39" s="24"/>
      <c r="D39" s="24"/>
      <c r="E39" s="25"/>
      <c r="F39" s="24"/>
      <c r="G39" s="24"/>
      <c r="H39" s="24"/>
      <c r="I39" s="24"/>
      <c r="J39" s="24"/>
    </row>
    <row r="40" spans="1:10" ht="12" customHeight="1" x14ac:dyDescent="0.3">
      <c r="A40" s="24"/>
      <c r="B40" s="24"/>
      <c r="C40" s="24"/>
      <c r="D40" s="24" t="s">
        <v>3</v>
      </c>
      <c r="E40" s="25"/>
      <c r="F40" s="24"/>
      <c r="G40" s="24"/>
      <c r="H40" s="24"/>
      <c r="I40" s="31">
        <v>1000</v>
      </c>
      <c r="J40" s="24"/>
    </row>
    <row r="41" spans="1:10" ht="12" customHeight="1" x14ac:dyDescent="0.3">
      <c r="A41" s="24"/>
      <c r="B41" s="24"/>
      <c r="C41" s="24"/>
      <c r="D41" s="24"/>
      <c r="E41" s="25"/>
      <c r="F41" s="24"/>
      <c r="G41" s="24"/>
      <c r="H41" s="24"/>
      <c r="I41" s="24"/>
      <c r="J41" s="24"/>
    </row>
    <row r="42" spans="1:10" ht="12" customHeight="1" x14ac:dyDescent="0.3">
      <c r="A42" s="24"/>
      <c r="B42" s="24"/>
      <c r="C42" s="24"/>
      <c r="D42" s="24" t="s">
        <v>21</v>
      </c>
      <c r="E42" s="25"/>
      <c r="F42" s="24"/>
      <c r="G42" s="24"/>
      <c r="H42" s="24"/>
      <c r="I42" s="32" t="s">
        <v>20</v>
      </c>
      <c r="J42" s="24"/>
    </row>
    <row r="43" spans="1:10" ht="12" customHeight="1" x14ac:dyDescent="0.3">
      <c r="A43" s="24"/>
      <c r="B43" s="24"/>
      <c r="C43" s="24"/>
      <c r="D43" s="24"/>
      <c r="E43" s="25"/>
      <c r="F43" s="24"/>
      <c r="G43" s="24"/>
      <c r="H43" s="24"/>
      <c r="I43" s="24"/>
      <c r="J43" s="24"/>
    </row>
    <row r="44" spans="1:10" ht="12" customHeight="1" x14ac:dyDescent="0.3">
      <c r="A44" s="24"/>
      <c r="B44" s="24"/>
      <c r="C44" s="24"/>
      <c r="D44" s="24" t="s">
        <v>22</v>
      </c>
      <c r="E44" s="25"/>
      <c r="F44" s="24"/>
      <c r="G44" s="24"/>
      <c r="H44" s="24"/>
      <c r="I44" s="15" t="s">
        <v>20</v>
      </c>
      <c r="J44" s="24"/>
    </row>
    <row r="45" spans="1:10" ht="12" customHeight="1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</row>
    <row r="46" spans="1:10" ht="12" customHeight="1" x14ac:dyDescent="0.3">
      <c r="A46" s="15"/>
      <c r="B46" s="15"/>
      <c r="C46" s="15" t="s">
        <v>1</v>
      </c>
      <c r="D46" s="15"/>
      <c r="E46" s="15"/>
      <c r="F46" s="15"/>
      <c r="G46" s="15"/>
      <c r="H46" s="15"/>
      <c r="I46" s="15"/>
      <c r="J46" s="15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70C0"/>
    <outlinePr summaryBelow="0"/>
  </sheetPr>
  <dimension ref="A1:AN50"/>
  <sheetViews>
    <sheetView showGridLines="0" zoomScale="85" zoomScaleNormal="85" zoomScalePageLayoutView="85" workbookViewId="0">
      <pane xSplit="9" ySplit="6" topLeftCell="J7" activePane="bottomRight" state="frozen"/>
      <selection pane="topRight" activeCell="J1" sqref="J1"/>
      <selection pane="bottomLeft" activeCell="A7" sqref="A7"/>
      <selection pane="bottomRight"/>
    </sheetView>
  </sheetViews>
  <sheetFormatPr defaultColWidth="12.6640625" defaultRowHeight="12" customHeight="1" x14ac:dyDescent="0.3"/>
  <cols>
    <col min="1" max="1" width="7.33203125" style="3" customWidth="1"/>
    <col min="2" max="2" width="4.6640625" style="3" customWidth="1"/>
    <col min="3" max="3" width="3.6640625" style="20" customWidth="1"/>
    <col min="4" max="4" width="40.6640625" style="20" customWidth="1"/>
    <col min="5" max="7" width="12.6640625" style="3" customWidth="1"/>
    <col min="8" max="8" width="12.6640625" style="21" customWidth="1"/>
    <col min="9" max="9" width="12.6640625" style="3" customWidth="1"/>
    <col min="10" max="16384" width="12.6640625" style="3"/>
  </cols>
  <sheetData>
    <row r="1" spans="1:40" ht="22.8" x14ac:dyDescent="0.3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s="5" customFormat="1" ht="18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spans="1:40" ht="18" customHeight="1" x14ac:dyDescent="0.3">
      <c r="A3" s="6">
        <v>1</v>
      </c>
      <c r="B3" s="2"/>
      <c r="C3" s="7" t="s">
        <v>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s="8" customFormat="1" ht="12" customHeight="1" x14ac:dyDescent="0.3">
      <c r="H4" s="9"/>
    </row>
    <row r="5" spans="1:40" s="8" customFormat="1" ht="12" customHeight="1" x14ac:dyDescent="0.3">
      <c r="D5" s="10" t="s">
        <v>5</v>
      </c>
      <c r="H5" s="9"/>
      <c r="I5" s="10"/>
      <c r="J5" s="11">
        <v>42005</v>
      </c>
      <c r="K5" s="12">
        <f t="shared" ref="K5:AN5" si="0">J6+1</f>
        <v>42370</v>
      </c>
      <c r="L5" s="13">
        <f t="shared" si="0"/>
        <v>42736</v>
      </c>
      <c r="M5" s="12">
        <f t="shared" si="0"/>
        <v>43101</v>
      </c>
      <c r="N5" s="12">
        <f t="shared" si="0"/>
        <v>43466</v>
      </c>
      <c r="O5" s="12">
        <f t="shared" si="0"/>
        <v>43831</v>
      </c>
      <c r="P5" s="12">
        <f t="shared" si="0"/>
        <v>44197</v>
      </c>
      <c r="Q5" s="12">
        <f t="shared" si="0"/>
        <v>44562</v>
      </c>
      <c r="R5" s="12">
        <f t="shared" si="0"/>
        <v>44927</v>
      </c>
      <c r="S5" s="12">
        <f t="shared" si="0"/>
        <v>45292</v>
      </c>
      <c r="T5" s="12">
        <f t="shared" si="0"/>
        <v>45658</v>
      </c>
      <c r="U5" s="12">
        <f t="shared" si="0"/>
        <v>46023</v>
      </c>
      <c r="V5" s="12">
        <f t="shared" si="0"/>
        <v>46388</v>
      </c>
      <c r="W5" s="12">
        <f t="shared" si="0"/>
        <v>46753</v>
      </c>
      <c r="X5" s="12">
        <f t="shared" si="0"/>
        <v>47119</v>
      </c>
      <c r="Y5" s="12">
        <f t="shared" si="0"/>
        <v>47484</v>
      </c>
      <c r="Z5" s="12">
        <f t="shared" si="0"/>
        <v>47849</v>
      </c>
      <c r="AA5" s="12">
        <f t="shared" si="0"/>
        <v>48214</v>
      </c>
      <c r="AB5" s="12">
        <f t="shared" si="0"/>
        <v>48580</v>
      </c>
      <c r="AC5" s="12">
        <f t="shared" si="0"/>
        <v>48945</v>
      </c>
      <c r="AD5" s="12">
        <f t="shared" si="0"/>
        <v>49310</v>
      </c>
      <c r="AE5" s="12">
        <f t="shared" si="0"/>
        <v>49675</v>
      </c>
      <c r="AF5" s="12">
        <f t="shared" si="0"/>
        <v>50041</v>
      </c>
      <c r="AG5" s="12">
        <f t="shared" si="0"/>
        <v>50406</v>
      </c>
      <c r="AH5" s="12">
        <f t="shared" si="0"/>
        <v>50771</v>
      </c>
      <c r="AI5" s="12">
        <f t="shared" si="0"/>
        <v>51136</v>
      </c>
      <c r="AJ5" s="12">
        <f t="shared" si="0"/>
        <v>51502</v>
      </c>
      <c r="AK5" s="12">
        <f t="shared" si="0"/>
        <v>51867</v>
      </c>
      <c r="AL5" s="12">
        <f t="shared" si="0"/>
        <v>52232</v>
      </c>
      <c r="AM5" s="12">
        <f t="shared" si="0"/>
        <v>52597</v>
      </c>
      <c r="AN5" s="12">
        <f t="shared" si="0"/>
        <v>52963</v>
      </c>
    </row>
    <row r="6" spans="1:40" s="8" customFormat="1" ht="12" customHeight="1" x14ac:dyDescent="0.3">
      <c r="D6" s="10" t="s">
        <v>6</v>
      </c>
      <c r="H6" s="9" t="s">
        <v>0</v>
      </c>
      <c r="I6" s="10"/>
      <c r="J6" s="11">
        <f>EOMONTH(J5-1,12)</f>
        <v>42369</v>
      </c>
      <c r="K6" s="12">
        <f t="shared" ref="K6:AN6" si="1">EOMONTH(J6,12)</f>
        <v>42735</v>
      </c>
      <c r="L6" s="13">
        <f t="shared" si="1"/>
        <v>43100</v>
      </c>
      <c r="M6" s="12">
        <f t="shared" si="1"/>
        <v>43465</v>
      </c>
      <c r="N6" s="12">
        <f t="shared" si="1"/>
        <v>43830</v>
      </c>
      <c r="O6" s="12">
        <f t="shared" si="1"/>
        <v>44196</v>
      </c>
      <c r="P6" s="12">
        <f t="shared" si="1"/>
        <v>44561</v>
      </c>
      <c r="Q6" s="12">
        <f t="shared" si="1"/>
        <v>44926</v>
      </c>
      <c r="R6" s="12">
        <f t="shared" si="1"/>
        <v>45291</v>
      </c>
      <c r="S6" s="12">
        <f t="shared" si="1"/>
        <v>45657</v>
      </c>
      <c r="T6" s="12">
        <f t="shared" si="1"/>
        <v>46022</v>
      </c>
      <c r="U6" s="12">
        <f t="shared" si="1"/>
        <v>46387</v>
      </c>
      <c r="V6" s="12">
        <f t="shared" si="1"/>
        <v>46752</v>
      </c>
      <c r="W6" s="12">
        <f t="shared" si="1"/>
        <v>47118</v>
      </c>
      <c r="X6" s="12">
        <f t="shared" si="1"/>
        <v>47483</v>
      </c>
      <c r="Y6" s="12">
        <f t="shared" si="1"/>
        <v>47848</v>
      </c>
      <c r="Z6" s="12">
        <f t="shared" si="1"/>
        <v>48213</v>
      </c>
      <c r="AA6" s="12">
        <f t="shared" si="1"/>
        <v>48579</v>
      </c>
      <c r="AB6" s="12">
        <f t="shared" si="1"/>
        <v>48944</v>
      </c>
      <c r="AC6" s="12">
        <f t="shared" si="1"/>
        <v>49309</v>
      </c>
      <c r="AD6" s="12">
        <f t="shared" si="1"/>
        <v>49674</v>
      </c>
      <c r="AE6" s="12">
        <f t="shared" si="1"/>
        <v>50040</v>
      </c>
      <c r="AF6" s="12">
        <f t="shared" si="1"/>
        <v>50405</v>
      </c>
      <c r="AG6" s="12">
        <f t="shared" si="1"/>
        <v>50770</v>
      </c>
      <c r="AH6" s="12">
        <f t="shared" si="1"/>
        <v>51135</v>
      </c>
      <c r="AI6" s="12">
        <f t="shared" si="1"/>
        <v>51501</v>
      </c>
      <c r="AJ6" s="12">
        <f t="shared" si="1"/>
        <v>51866</v>
      </c>
      <c r="AK6" s="12">
        <f t="shared" si="1"/>
        <v>52231</v>
      </c>
      <c r="AL6" s="12">
        <f t="shared" si="1"/>
        <v>52596</v>
      </c>
      <c r="AM6" s="12">
        <f t="shared" si="1"/>
        <v>52962</v>
      </c>
      <c r="AN6" s="12">
        <f t="shared" si="1"/>
        <v>53327</v>
      </c>
    </row>
    <row r="7" spans="1:40" s="8" customFormat="1" ht="12" customHeight="1" x14ac:dyDescent="0.3">
      <c r="E7" s="10"/>
      <c r="H7" s="9"/>
      <c r="L7" s="14"/>
    </row>
    <row r="8" spans="1:40" ht="12" customHeight="1" x14ac:dyDescent="0.3">
      <c r="A8" s="15">
        <f>MAX(A$3:A7)+0.01</f>
        <v>1.01</v>
      </c>
      <c r="B8" s="15"/>
      <c r="C8" s="15" t="s">
        <v>61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 spans="1:40" ht="12" customHeight="1" x14ac:dyDescent="0.3">
      <c r="A9" s="8"/>
      <c r="B9" s="8"/>
      <c r="C9" s="8"/>
      <c r="D9" s="8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 spans="1:40" ht="12" customHeight="1" x14ac:dyDescent="0.25">
      <c r="A10" s="8"/>
      <c r="B10" s="8"/>
      <c r="C10" s="8"/>
      <c r="D10" s="8" t="s">
        <v>28</v>
      </c>
      <c r="E10" s="8"/>
      <c r="F10" s="8"/>
      <c r="G10" s="8"/>
      <c r="H10" s="9" t="s">
        <v>36</v>
      </c>
      <c r="I10" s="8"/>
      <c r="J10" s="8"/>
      <c r="K10" s="45">
        <v>258</v>
      </c>
      <c r="L10" s="45">
        <v>263</v>
      </c>
      <c r="M10" s="45">
        <v>267</v>
      </c>
      <c r="N10" s="45">
        <v>274</v>
      </c>
      <c r="O10" s="45">
        <v>277</v>
      </c>
      <c r="P10" s="45">
        <v>283</v>
      </c>
      <c r="Q10" s="45">
        <v>291</v>
      </c>
      <c r="R10" s="45">
        <v>298</v>
      </c>
      <c r="S10" s="45">
        <v>301</v>
      </c>
      <c r="T10" s="45">
        <v>308</v>
      </c>
      <c r="U10" s="45">
        <v>316</v>
      </c>
      <c r="V10" s="45">
        <v>325</v>
      </c>
      <c r="W10" s="45">
        <v>331</v>
      </c>
      <c r="X10" s="45">
        <v>338</v>
      </c>
      <c r="Y10" s="45">
        <v>346</v>
      </c>
      <c r="Z10" s="45">
        <v>356</v>
      </c>
      <c r="AA10" s="45">
        <v>365</v>
      </c>
      <c r="AB10" s="45">
        <v>373</v>
      </c>
      <c r="AC10" s="45">
        <v>379</v>
      </c>
      <c r="AD10" s="45">
        <v>387</v>
      </c>
      <c r="AE10" s="45">
        <v>397</v>
      </c>
      <c r="AF10" s="45">
        <v>408</v>
      </c>
      <c r="AG10" s="45">
        <v>413</v>
      </c>
      <c r="AH10" s="45">
        <v>420</v>
      </c>
      <c r="AI10" s="45">
        <v>432</v>
      </c>
      <c r="AJ10" s="45">
        <v>438</v>
      </c>
      <c r="AK10" s="45">
        <v>450</v>
      </c>
      <c r="AL10" s="45">
        <v>463</v>
      </c>
      <c r="AM10" s="45">
        <v>473</v>
      </c>
      <c r="AN10" s="45">
        <v>483</v>
      </c>
    </row>
    <row r="11" spans="1:40" ht="12" customHeight="1" x14ac:dyDescent="0.25">
      <c r="A11" s="8"/>
      <c r="B11" s="8"/>
      <c r="C11" s="8"/>
      <c r="D11" s="8" t="s">
        <v>29</v>
      </c>
      <c r="E11" s="8"/>
      <c r="F11" s="8"/>
      <c r="G11" s="8"/>
      <c r="H11" s="9" t="s">
        <v>36</v>
      </c>
      <c r="I11" s="8"/>
      <c r="J11" s="8"/>
      <c r="K11" s="45">
        <v>333</v>
      </c>
      <c r="L11" s="45">
        <v>325</v>
      </c>
      <c r="M11" s="45">
        <v>320</v>
      </c>
      <c r="N11" s="45">
        <v>313</v>
      </c>
      <c r="O11" s="45">
        <v>304</v>
      </c>
      <c r="P11" s="45">
        <v>299</v>
      </c>
      <c r="Q11" s="45">
        <v>292</v>
      </c>
      <c r="R11" s="45">
        <v>284</v>
      </c>
      <c r="S11" s="45">
        <v>279</v>
      </c>
      <c r="T11" s="45">
        <v>275</v>
      </c>
      <c r="U11" s="45">
        <v>268</v>
      </c>
      <c r="V11" s="45">
        <v>261</v>
      </c>
      <c r="W11" s="45">
        <v>256</v>
      </c>
      <c r="X11" s="45">
        <v>248</v>
      </c>
      <c r="Y11" s="45">
        <v>242</v>
      </c>
      <c r="Z11" s="45">
        <v>239</v>
      </c>
      <c r="AA11" s="45">
        <v>235</v>
      </c>
      <c r="AB11" s="45">
        <v>233</v>
      </c>
      <c r="AC11" s="45">
        <v>227</v>
      </c>
      <c r="AD11" s="45">
        <v>225</v>
      </c>
      <c r="AE11" s="45">
        <v>219</v>
      </c>
      <c r="AF11" s="45">
        <v>214</v>
      </c>
      <c r="AG11" s="45">
        <v>208</v>
      </c>
      <c r="AH11" s="45">
        <v>203</v>
      </c>
      <c r="AI11" s="45">
        <v>200</v>
      </c>
      <c r="AJ11" s="45">
        <v>196</v>
      </c>
      <c r="AK11" s="45">
        <v>194</v>
      </c>
      <c r="AL11" s="45">
        <v>191</v>
      </c>
      <c r="AM11" s="45">
        <v>185</v>
      </c>
      <c r="AN11" s="45">
        <v>181</v>
      </c>
    </row>
    <row r="12" spans="1:40" ht="12" customHeight="1" x14ac:dyDescent="0.25">
      <c r="A12" s="8"/>
      <c r="B12" s="8"/>
      <c r="C12" s="8"/>
      <c r="D12" s="8" t="s">
        <v>30</v>
      </c>
      <c r="E12" s="8"/>
      <c r="F12" s="8"/>
      <c r="G12" s="8"/>
      <c r="H12" s="9" t="s">
        <v>36</v>
      </c>
      <c r="I12" s="8"/>
      <c r="J12" s="8"/>
      <c r="K12" s="45">
        <v>301</v>
      </c>
      <c r="L12" s="45">
        <v>307</v>
      </c>
      <c r="M12" s="45">
        <v>313</v>
      </c>
      <c r="N12" s="45">
        <v>319</v>
      </c>
      <c r="O12" s="45">
        <v>324</v>
      </c>
      <c r="P12" s="45">
        <v>331</v>
      </c>
      <c r="Q12" s="45">
        <v>338</v>
      </c>
      <c r="R12" s="45">
        <v>346</v>
      </c>
      <c r="S12" s="45">
        <v>357</v>
      </c>
      <c r="T12" s="45">
        <v>366</v>
      </c>
      <c r="U12" s="45">
        <v>370</v>
      </c>
      <c r="V12" s="45">
        <v>379</v>
      </c>
      <c r="W12" s="45">
        <v>383</v>
      </c>
      <c r="X12" s="45">
        <v>394</v>
      </c>
      <c r="Y12" s="45">
        <v>402</v>
      </c>
      <c r="Z12" s="45">
        <v>409</v>
      </c>
      <c r="AA12" s="45">
        <v>415</v>
      </c>
      <c r="AB12" s="45">
        <v>425</v>
      </c>
      <c r="AC12" s="45">
        <v>431</v>
      </c>
      <c r="AD12" s="45">
        <v>435</v>
      </c>
      <c r="AE12" s="45">
        <v>444</v>
      </c>
      <c r="AF12" s="45">
        <v>455</v>
      </c>
      <c r="AG12" s="45">
        <v>462</v>
      </c>
      <c r="AH12" s="45">
        <v>474</v>
      </c>
      <c r="AI12" s="45">
        <v>488</v>
      </c>
      <c r="AJ12" s="45">
        <v>498</v>
      </c>
      <c r="AK12" s="45">
        <v>506</v>
      </c>
      <c r="AL12" s="45">
        <v>515</v>
      </c>
      <c r="AM12" s="45">
        <v>528</v>
      </c>
      <c r="AN12" s="45">
        <v>542</v>
      </c>
    </row>
    <row r="13" spans="1:40" ht="12" customHeight="1" x14ac:dyDescent="0.25">
      <c r="A13" s="8"/>
      <c r="B13" s="8"/>
      <c r="C13" s="8"/>
      <c r="D13" s="8" t="s">
        <v>31</v>
      </c>
      <c r="E13" s="8"/>
      <c r="F13" s="8"/>
      <c r="G13" s="8"/>
      <c r="H13" s="9" t="s">
        <v>36</v>
      </c>
      <c r="I13" s="8"/>
      <c r="J13" s="8"/>
      <c r="K13" s="45">
        <v>256</v>
      </c>
      <c r="L13" s="45">
        <v>260</v>
      </c>
      <c r="M13" s="45">
        <v>267</v>
      </c>
      <c r="N13" s="45">
        <v>274</v>
      </c>
      <c r="O13" s="45">
        <v>277</v>
      </c>
      <c r="P13" s="45">
        <v>283</v>
      </c>
      <c r="Q13" s="45">
        <v>287</v>
      </c>
      <c r="R13" s="45">
        <v>292</v>
      </c>
      <c r="S13" s="45">
        <v>295</v>
      </c>
      <c r="T13" s="45">
        <v>302</v>
      </c>
      <c r="U13" s="45">
        <v>306</v>
      </c>
      <c r="V13" s="45">
        <v>311</v>
      </c>
      <c r="W13" s="45">
        <v>320</v>
      </c>
      <c r="X13" s="45">
        <v>328</v>
      </c>
      <c r="Y13" s="45">
        <v>336</v>
      </c>
      <c r="Z13" s="45">
        <v>343</v>
      </c>
      <c r="AA13" s="45">
        <v>350</v>
      </c>
      <c r="AB13" s="45">
        <v>360</v>
      </c>
      <c r="AC13" s="45">
        <v>368</v>
      </c>
      <c r="AD13" s="45">
        <v>376</v>
      </c>
      <c r="AE13" s="45">
        <v>383</v>
      </c>
      <c r="AF13" s="45">
        <v>387</v>
      </c>
      <c r="AG13" s="45">
        <v>394</v>
      </c>
      <c r="AH13" s="45">
        <v>405</v>
      </c>
      <c r="AI13" s="45">
        <v>416</v>
      </c>
      <c r="AJ13" s="45">
        <v>423</v>
      </c>
      <c r="AK13" s="45">
        <v>428</v>
      </c>
      <c r="AL13" s="45">
        <v>439</v>
      </c>
      <c r="AM13" s="45">
        <v>447</v>
      </c>
      <c r="AN13" s="45">
        <v>455</v>
      </c>
    </row>
    <row r="14" spans="1:40" ht="12" customHeight="1" x14ac:dyDescent="0.25">
      <c r="A14" s="8"/>
      <c r="B14" s="8"/>
      <c r="C14" s="8"/>
      <c r="D14" s="8" t="s">
        <v>32</v>
      </c>
      <c r="E14" s="8"/>
      <c r="F14" s="8"/>
      <c r="G14" s="8"/>
      <c r="H14" s="9" t="s">
        <v>36</v>
      </c>
      <c r="I14" s="8"/>
      <c r="J14" s="8"/>
      <c r="K14" s="45">
        <v>326</v>
      </c>
      <c r="L14" s="45">
        <v>322</v>
      </c>
      <c r="M14" s="45">
        <v>314</v>
      </c>
      <c r="N14" s="45">
        <v>311</v>
      </c>
      <c r="O14" s="45">
        <v>305</v>
      </c>
      <c r="P14" s="45">
        <v>300</v>
      </c>
      <c r="Q14" s="45">
        <v>292</v>
      </c>
      <c r="R14" s="45">
        <v>285</v>
      </c>
      <c r="S14" s="45">
        <v>279</v>
      </c>
      <c r="T14" s="45">
        <v>271</v>
      </c>
      <c r="U14" s="45">
        <v>267</v>
      </c>
      <c r="V14" s="45">
        <v>262</v>
      </c>
      <c r="W14" s="45">
        <v>257</v>
      </c>
      <c r="X14" s="45">
        <v>253</v>
      </c>
      <c r="Y14" s="45">
        <v>246</v>
      </c>
      <c r="Z14" s="45">
        <v>239</v>
      </c>
      <c r="AA14" s="45">
        <v>232</v>
      </c>
      <c r="AB14" s="45">
        <v>228</v>
      </c>
      <c r="AC14" s="45">
        <v>221</v>
      </c>
      <c r="AD14" s="45">
        <v>215</v>
      </c>
      <c r="AE14" s="45">
        <v>209</v>
      </c>
      <c r="AF14" s="45">
        <v>205</v>
      </c>
      <c r="AG14" s="45">
        <v>200</v>
      </c>
      <c r="AH14" s="45">
        <v>196</v>
      </c>
      <c r="AI14" s="45">
        <v>191</v>
      </c>
      <c r="AJ14" s="45">
        <v>186</v>
      </c>
      <c r="AK14" s="45">
        <v>180</v>
      </c>
      <c r="AL14" s="45">
        <v>176</v>
      </c>
      <c r="AM14" s="45">
        <v>173</v>
      </c>
      <c r="AN14" s="45">
        <v>171</v>
      </c>
    </row>
    <row r="15" spans="1:40" ht="12" customHeight="1" x14ac:dyDescent="0.25">
      <c r="A15" s="8"/>
      <c r="B15" s="8"/>
      <c r="C15" s="8"/>
      <c r="D15" s="8" t="s">
        <v>33</v>
      </c>
      <c r="E15" s="8"/>
      <c r="F15" s="8"/>
      <c r="G15" s="8"/>
      <c r="H15" s="9" t="s">
        <v>36</v>
      </c>
      <c r="I15" s="8"/>
      <c r="J15" s="8"/>
      <c r="K15" s="45">
        <v>346</v>
      </c>
      <c r="L15" s="45">
        <v>351</v>
      </c>
      <c r="M15" s="45">
        <v>358</v>
      </c>
      <c r="N15" s="45">
        <v>364</v>
      </c>
      <c r="O15" s="45">
        <v>369</v>
      </c>
      <c r="P15" s="45">
        <v>375</v>
      </c>
      <c r="Q15" s="45">
        <v>380</v>
      </c>
      <c r="R15" s="45">
        <v>385</v>
      </c>
      <c r="S15" s="45">
        <v>396</v>
      </c>
      <c r="T15" s="45">
        <v>408</v>
      </c>
      <c r="U15" s="45">
        <v>419</v>
      </c>
      <c r="V15" s="45">
        <v>431</v>
      </c>
      <c r="W15" s="45">
        <v>439</v>
      </c>
      <c r="X15" s="45">
        <v>449</v>
      </c>
      <c r="Y15" s="45">
        <v>461</v>
      </c>
      <c r="Z15" s="45">
        <v>468</v>
      </c>
      <c r="AA15" s="45">
        <v>474</v>
      </c>
      <c r="AB15" s="45">
        <v>482</v>
      </c>
      <c r="AC15" s="45">
        <v>490</v>
      </c>
      <c r="AD15" s="45">
        <v>501</v>
      </c>
      <c r="AE15" s="45">
        <v>508</v>
      </c>
      <c r="AF15" s="45">
        <v>518</v>
      </c>
      <c r="AG15" s="45">
        <v>533</v>
      </c>
      <c r="AH15" s="45">
        <v>538</v>
      </c>
      <c r="AI15" s="45">
        <v>553</v>
      </c>
      <c r="AJ15" s="45">
        <v>566</v>
      </c>
      <c r="AK15" s="45">
        <v>580</v>
      </c>
      <c r="AL15" s="45">
        <v>588</v>
      </c>
      <c r="AM15" s="45">
        <v>606</v>
      </c>
      <c r="AN15" s="45">
        <v>622</v>
      </c>
    </row>
    <row r="16" spans="1:40" ht="12" customHeight="1" x14ac:dyDescent="0.25">
      <c r="A16" s="8"/>
      <c r="B16" s="8"/>
      <c r="C16" s="8"/>
      <c r="D16" s="8" t="s">
        <v>34</v>
      </c>
      <c r="E16" s="8"/>
      <c r="F16" s="8"/>
      <c r="G16" s="8"/>
      <c r="H16" s="9" t="s">
        <v>36</v>
      </c>
      <c r="I16" s="8"/>
      <c r="J16" s="8"/>
      <c r="K16" s="45">
        <v>304</v>
      </c>
      <c r="L16" s="45">
        <v>298</v>
      </c>
      <c r="M16" s="45">
        <v>294</v>
      </c>
      <c r="N16" s="45">
        <v>290</v>
      </c>
      <c r="O16" s="45">
        <v>285</v>
      </c>
      <c r="P16" s="45">
        <v>278</v>
      </c>
      <c r="Q16" s="45">
        <v>271</v>
      </c>
      <c r="R16" s="45">
        <v>263</v>
      </c>
      <c r="S16" s="45">
        <v>260</v>
      </c>
      <c r="T16" s="45">
        <v>256</v>
      </c>
      <c r="U16" s="45">
        <v>252</v>
      </c>
      <c r="V16" s="45">
        <v>246</v>
      </c>
      <c r="W16" s="45">
        <v>238</v>
      </c>
      <c r="X16" s="45">
        <v>234</v>
      </c>
      <c r="Y16" s="45">
        <v>231</v>
      </c>
      <c r="Z16" s="45">
        <v>224</v>
      </c>
      <c r="AA16" s="45">
        <v>220</v>
      </c>
      <c r="AB16" s="45">
        <v>214</v>
      </c>
      <c r="AC16" s="45">
        <v>210</v>
      </c>
      <c r="AD16" s="45">
        <v>205</v>
      </c>
      <c r="AE16" s="45">
        <v>201</v>
      </c>
      <c r="AF16" s="45">
        <v>198</v>
      </c>
      <c r="AG16" s="45">
        <v>192</v>
      </c>
      <c r="AH16" s="45">
        <v>187</v>
      </c>
      <c r="AI16" s="45">
        <v>182</v>
      </c>
      <c r="AJ16" s="45">
        <v>177</v>
      </c>
      <c r="AK16" s="45">
        <v>174</v>
      </c>
      <c r="AL16" s="45">
        <v>169</v>
      </c>
      <c r="AM16" s="45">
        <v>167</v>
      </c>
      <c r="AN16" s="45">
        <v>164</v>
      </c>
    </row>
    <row r="17" spans="1:40" ht="12" customHeight="1" x14ac:dyDescent="0.25">
      <c r="A17" s="8"/>
      <c r="B17" s="8"/>
      <c r="C17" s="8"/>
      <c r="D17" s="8" t="s">
        <v>35</v>
      </c>
      <c r="E17" s="8"/>
      <c r="F17" s="8"/>
      <c r="G17" s="8"/>
      <c r="H17" s="9" t="s">
        <v>36</v>
      </c>
      <c r="I17" s="8"/>
      <c r="J17" s="8"/>
      <c r="K17" s="45">
        <v>351</v>
      </c>
      <c r="L17" s="45">
        <v>361</v>
      </c>
      <c r="M17" s="45">
        <v>371</v>
      </c>
      <c r="N17" s="45">
        <v>378</v>
      </c>
      <c r="O17" s="45">
        <v>388</v>
      </c>
      <c r="P17" s="45">
        <v>397</v>
      </c>
      <c r="Q17" s="45">
        <v>408</v>
      </c>
      <c r="R17" s="45">
        <v>414</v>
      </c>
      <c r="S17" s="45">
        <v>419</v>
      </c>
      <c r="T17" s="45">
        <v>424</v>
      </c>
      <c r="U17" s="45">
        <v>429</v>
      </c>
      <c r="V17" s="45">
        <v>439</v>
      </c>
      <c r="W17" s="45">
        <v>448</v>
      </c>
      <c r="X17" s="45">
        <v>453</v>
      </c>
      <c r="Y17" s="45">
        <v>466</v>
      </c>
      <c r="Z17" s="45">
        <v>473</v>
      </c>
      <c r="AA17" s="45">
        <v>482</v>
      </c>
      <c r="AB17" s="45">
        <v>496</v>
      </c>
      <c r="AC17" s="45">
        <v>503</v>
      </c>
      <c r="AD17" s="45">
        <v>511</v>
      </c>
      <c r="AE17" s="45">
        <v>523</v>
      </c>
      <c r="AF17" s="45">
        <v>538</v>
      </c>
      <c r="AG17" s="45">
        <v>553</v>
      </c>
      <c r="AH17" s="45">
        <v>565</v>
      </c>
      <c r="AI17" s="45">
        <v>579</v>
      </c>
      <c r="AJ17" s="45">
        <v>586</v>
      </c>
      <c r="AK17" s="45">
        <v>603</v>
      </c>
      <c r="AL17" s="45">
        <v>612</v>
      </c>
      <c r="AM17" s="45">
        <v>627</v>
      </c>
      <c r="AN17" s="45">
        <v>643</v>
      </c>
    </row>
    <row r="18" spans="1:40" ht="12" customHeight="1" x14ac:dyDescent="0.3">
      <c r="A18" s="8"/>
      <c r="B18" s="8"/>
      <c r="C18" s="8"/>
      <c r="D18" s="8"/>
      <c r="E18" s="8"/>
      <c r="F18" s="8"/>
      <c r="G18" s="8"/>
      <c r="H18" s="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1:40" ht="12" customHeight="1" x14ac:dyDescent="0.3">
      <c r="A19" s="15"/>
      <c r="B19" s="15"/>
      <c r="C19" s="15" t="s">
        <v>1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 spans="1:40" ht="12" customHeight="1" x14ac:dyDescent="0.3">
      <c r="A20" s="8"/>
      <c r="B20" s="8"/>
      <c r="C20" s="10"/>
      <c r="D20" s="8"/>
      <c r="E20" s="8"/>
      <c r="F20" s="8"/>
      <c r="G20" s="8"/>
      <c r="H20" s="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 spans="1:40" ht="12" customHeight="1" x14ac:dyDescent="0.3">
      <c r="A21" s="8"/>
      <c r="B21" s="8"/>
      <c r="C21" s="10"/>
      <c r="D21" s="8"/>
      <c r="E21" s="8"/>
      <c r="F21" s="8"/>
      <c r="G21" s="8"/>
      <c r="H21" s="9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0" ht="12" customHeight="1" x14ac:dyDescent="0.3">
      <c r="A22" s="8"/>
      <c r="B22" s="8"/>
      <c r="C22" s="10"/>
      <c r="D22" s="8"/>
      <c r="E22" s="8"/>
      <c r="F22" s="8"/>
      <c r="G22" s="8"/>
      <c r="H22" s="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</row>
    <row r="23" spans="1:40" ht="12" customHeight="1" x14ac:dyDescent="0.3">
      <c r="A23" s="8"/>
      <c r="B23" s="8"/>
      <c r="C23" s="10"/>
      <c r="D23" s="8"/>
      <c r="E23" s="8"/>
      <c r="F23" s="8"/>
      <c r="G23" s="8"/>
      <c r="H23" s="9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 spans="1:40" ht="12" customHeight="1" x14ac:dyDescent="0.3">
      <c r="A24" s="8"/>
      <c r="B24" s="8"/>
      <c r="C24" s="10"/>
      <c r="D24" s="8"/>
      <c r="E24" s="8"/>
      <c r="F24" s="8"/>
      <c r="G24" s="8"/>
      <c r="H24" s="9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r="25" spans="1:40" ht="12" customHeight="1" x14ac:dyDescent="0.3">
      <c r="A25" s="8"/>
      <c r="B25" s="8"/>
      <c r="C25" s="10"/>
      <c r="D25" s="8"/>
      <c r="E25" s="8"/>
      <c r="F25" s="8"/>
      <c r="G25" s="8"/>
      <c r="H25" s="9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r="26" spans="1:40" ht="12" customHeight="1" x14ac:dyDescent="0.3">
      <c r="A26" s="8"/>
      <c r="B26" s="8"/>
      <c r="C26" s="10"/>
      <c r="D26" s="8"/>
      <c r="E26" s="8"/>
      <c r="F26" s="8"/>
      <c r="G26" s="8"/>
      <c r="H26" s="9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 spans="1:40" ht="12" customHeight="1" x14ac:dyDescent="0.3">
      <c r="A27" s="8"/>
      <c r="B27" s="8"/>
      <c r="C27" s="10"/>
      <c r="D27" s="8"/>
      <c r="E27" s="8"/>
      <c r="F27" s="8"/>
      <c r="G27" s="8"/>
      <c r="H27" s="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 spans="1:40" ht="12" customHeight="1" x14ac:dyDescent="0.3">
      <c r="A28" s="8"/>
      <c r="B28" s="8"/>
      <c r="C28" s="10"/>
      <c r="D28" s="8"/>
      <c r="E28" s="8"/>
      <c r="F28" s="8"/>
      <c r="G28" s="8"/>
      <c r="H28" s="9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</row>
    <row r="29" spans="1:40" ht="12" customHeight="1" x14ac:dyDescent="0.3">
      <c r="A29" s="8"/>
      <c r="B29" s="8"/>
      <c r="C29" s="10"/>
      <c r="D29" s="8"/>
      <c r="E29" s="8"/>
      <c r="F29" s="8"/>
      <c r="G29" s="8"/>
      <c r="H29" s="9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spans="1:40" ht="12" customHeight="1" x14ac:dyDescent="0.3">
      <c r="A30" s="8"/>
      <c r="B30" s="8"/>
      <c r="C30" s="10"/>
      <c r="D30" s="8"/>
      <c r="E30" s="8"/>
      <c r="F30" s="8"/>
      <c r="G30" s="8"/>
      <c r="H30" s="9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</row>
    <row r="31" spans="1:40" ht="12" customHeight="1" x14ac:dyDescent="0.3">
      <c r="A31" s="8"/>
      <c r="B31" s="8"/>
      <c r="C31" s="10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 spans="1:40" ht="12" customHeight="1" x14ac:dyDescent="0.3">
      <c r="A32" s="8"/>
      <c r="B32" s="8"/>
      <c r="C32" s="10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 spans="1:40" ht="12" customHeight="1" x14ac:dyDescent="0.3">
      <c r="A33" s="8"/>
      <c r="B33" s="8"/>
      <c r="C33" s="10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</row>
    <row r="34" spans="1:40" ht="12" customHeight="1" x14ac:dyDescent="0.3">
      <c r="A34" s="8"/>
      <c r="B34" s="8"/>
      <c r="C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</row>
    <row r="35" spans="1:40" ht="12" customHeight="1" x14ac:dyDescent="0.3">
      <c r="A35" s="8"/>
      <c r="B35" s="8"/>
      <c r="C35" s="10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</row>
    <row r="36" spans="1:40" ht="12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</row>
    <row r="37" spans="1:40" ht="12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 spans="1:40" ht="12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</row>
    <row r="39" spans="1:40" ht="12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</row>
    <row r="40" spans="1:40" ht="12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</row>
    <row r="41" spans="1:40" ht="12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r="42" spans="1:40" ht="12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</row>
    <row r="43" spans="1:40" ht="12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</row>
    <row r="44" spans="1:40" ht="12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</row>
    <row r="45" spans="1:40" ht="12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</row>
    <row r="46" spans="1:40" ht="12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</row>
    <row r="47" spans="1:40" ht="12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</row>
    <row r="48" spans="1:40" ht="12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</row>
    <row r="49" spans="1:40" ht="12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</row>
    <row r="50" spans="1:40" ht="12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Below="0"/>
  </sheetPr>
  <dimension ref="A1:AE87"/>
  <sheetViews>
    <sheetView showGridLines="0" zoomScale="85" zoomScaleNormal="85" zoomScalePageLayoutView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ColWidth="12.6640625" defaultRowHeight="12" customHeight="1" x14ac:dyDescent="0.3"/>
  <cols>
    <col min="1" max="1" width="7.33203125" style="3" customWidth="1"/>
    <col min="2" max="2" width="4.6640625" style="3" customWidth="1"/>
    <col min="3" max="3" width="3.6640625" style="20" customWidth="1"/>
    <col min="4" max="4" width="40.6640625" style="20" customWidth="1"/>
    <col min="5" max="6" width="12.6640625" style="20" customWidth="1"/>
    <col min="7" max="9" width="12.6640625" style="3" customWidth="1"/>
    <col min="10" max="10" width="12.6640625" style="21" customWidth="1"/>
    <col min="11" max="11" width="12.6640625" style="3" customWidth="1"/>
    <col min="12" max="16384" width="12.6640625" style="3"/>
  </cols>
  <sheetData>
    <row r="1" spans="1:31" ht="22.8" x14ac:dyDescent="0.3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s="5" customFormat="1" ht="18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8" customHeight="1" x14ac:dyDescent="0.3">
      <c r="A3" s="6">
        <v>2</v>
      </c>
      <c r="B3" s="2"/>
      <c r="C3" s="7" t="s">
        <v>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s="8" customFormat="1" ht="12" customHeight="1" x14ac:dyDescent="0.3">
      <c r="J4" s="9"/>
    </row>
    <row r="5" spans="1:31" s="8" customFormat="1" ht="12" customHeight="1" x14ac:dyDescent="0.3">
      <c r="E5" s="9" t="s">
        <v>0</v>
      </c>
      <c r="F5" s="9"/>
      <c r="G5" s="10"/>
      <c r="J5" s="9"/>
    </row>
    <row r="6" spans="1:31" ht="12" customHeight="1" x14ac:dyDescent="0.3">
      <c r="A6" s="15">
        <f>MAX(A$3:A5)+0.01</f>
        <v>2.0099999999999998</v>
      </c>
      <c r="B6" s="15"/>
      <c r="C6" s="15" t="s">
        <v>93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spans="1:31" ht="12" customHeight="1" x14ac:dyDescent="0.3">
      <c r="A7" s="8"/>
      <c r="B7" s="8"/>
      <c r="C7" s="8"/>
      <c r="D7" s="8"/>
      <c r="E7" s="8"/>
      <c r="F7" s="8"/>
      <c r="G7" s="8"/>
      <c r="H7" s="8"/>
      <c r="I7" s="8"/>
      <c r="J7" s="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12" customHeight="1" x14ac:dyDescent="0.3">
      <c r="A8" s="8"/>
      <c r="B8" s="8"/>
      <c r="C8" s="36" t="s">
        <v>87</v>
      </c>
      <c r="D8" s="8"/>
      <c r="E8" s="8"/>
      <c r="F8" s="8"/>
      <c r="G8" s="8"/>
      <c r="H8" s="8"/>
      <c r="I8" s="8"/>
      <c r="J8" s="9"/>
      <c r="K8" s="8"/>
      <c r="L8" s="8"/>
    </row>
    <row r="9" spans="1:31" ht="12" customHeight="1" x14ac:dyDescent="0.3">
      <c r="A9" s="8"/>
      <c r="B9" s="8"/>
      <c r="C9" s="8"/>
      <c r="D9" s="35" t="s">
        <v>88</v>
      </c>
      <c r="E9" s="8"/>
      <c r="F9" s="8"/>
      <c r="G9" s="41" t="s">
        <v>44</v>
      </c>
      <c r="H9" s="41" t="s">
        <v>45</v>
      </c>
      <c r="I9" s="41" t="s">
        <v>46</v>
      </c>
      <c r="J9" s="38" t="s">
        <v>47</v>
      </c>
      <c r="K9" s="41" t="s">
        <v>48</v>
      </c>
      <c r="L9" s="41" t="s">
        <v>49</v>
      </c>
      <c r="M9" s="41" t="s">
        <v>50</v>
      </c>
      <c r="N9" s="41" t="s">
        <v>51</v>
      </c>
    </row>
    <row r="10" spans="1:31" ht="12" customHeight="1" x14ac:dyDescent="0.3">
      <c r="A10" s="8"/>
      <c r="B10" s="8"/>
      <c r="C10" s="8"/>
      <c r="D10" s="8" t="s">
        <v>75</v>
      </c>
      <c r="E10" s="8"/>
      <c r="F10" s="8"/>
      <c r="G10" s="39">
        <v>1998</v>
      </c>
      <c r="H10" s="39">
        <v>1997</v>
      </c>
      <c r="I10" s="39">
        <v>1998</v>
      </c>
      <c r="J10" s="39">
        <v>0</v>
      </c>
      <c r="K10" s="39">
        <v>2004</v>
      </c>
      <c r="L10" s="39">
        <v>2004</v>
      </c>
      <c r="M10" s="39">
        <v>0</v>
      </c>
      <c r="N10" s="39">
        <v>1999</v>
      </c>
    </row>
    <row r="11" spans="1:31" ht="12" customHeight="1" x14ac:dyDescent="0.3">
      <c r="A11" s="8"/>
      <c r="B11" s="8"/>
      <c r="C11" s="8"/>
      <c r="D11" s="8" t="s">
        <v>76</v>
      </c>
      <c r="E11" s="8"/>
      <c r="F11" s="8"/>
      <c r="G11" s="39">
        <v>0</v>
      </c>
      <c r="H11" s="39">
        <v>2009</v>
      </c>
      <c r="I11" s="39">
        <v>2003</v>
      </c>
      <c r="J11" s="39">
        <v>0</v>
      </c>
      <c r="K11" s="39">
        <v>2002</v>
      </c>
      <c r="L11" s="39">
        <v>2003</v>
      </c>
      <c r="M11" s="39">
        <v>2014</v>
      </c>
      <c r="N11" s="39">
        <v>2005</v>
      </c>
    </row>
    <row r="12" spans="1:31" ht="12" customHeight="1" x14ac:dyDescent="0.3">
      <c r="A12" s="8"/>
      <c r="B12" s="8"/>
      <c r="C12" s="8"/>
      <c r="D12" s="8" t="s">
        <v>77</v>
      </c>
      <c r="E12" s="8"/>
      <c r="F12" s="8"/>
      <c r="G12" s="39">
        <v>2007</v>
      </c>
      <c r="H12" s="39">
        <v>2003</v>
      </c>
      <c r="I12" s="39">
        <v>0</v>
      </c>
      <c r="J12" s="39">
        <v>2012</v>
      </c>
      <c r="K12" s="39">
        <v>2013</v>
      </c>
      <c r="L12" s="39">
        <v>0</v>
      </c>
      <c r="M12" s="39">
        <v>2008</v>
      </c>
      <c r="N12" s="39">
        <v>1993</v>
      </c>
    </row>
    <row r="13" spans="1:31" ht="12" customHeight="1" x14ac:dyDescent="0.3">
      <c r="A13" s="8"/>
      <c r="B13" s="8"/>
      <c r="C13" s="8"/>
      <c r="D13" s="8" t="s">
        <v>78</v>
      </c>
      <c r="E13" s="8"/>
      <c r="F13" s="8"/>
      <c r="G13" s="39">
        <v>1999</v>
      </c>
      <c r="H13" s="39">
        <v>0</v>
      </c>
      <c r="I13" s="39">
        <v>2013</v>
      </c>
      <c r="J13" s="39">
        <v>0</v>
      </c>
      <c r="K13" s="39">
        <v>0</v>
      </c>
      <c r="L13" s="39">
        <v>2007</v>
      </c>
      <c r="M13" s="39">
        <v>1997</v>
      </c>
      <c r="N13" s="39">
        <v>0</v>
      </c>
    </row>
    <row r="14" spans="1:31" ht="12" customHeight="1" x14ac:dyDescent="0.3">
      <c r="A14" s="8"/>
      <c r="B14" s="8"/>
      <c r="C14" s="8"/>
      <c r="D14" s="8" t="s">
        <v>79</v>
      </c>
      <c r="E14" s="8"/>
      <c r="F14" s="8"/>
      <c r="G14" s="39">
        <v>2005</v>
      </c>
      <c r="H14" s="39">
        <v>2013</v>
      </c>
      <c r="I14" s="39">
        <v>1992</v>
      </c>
      <c r="J14" s="39">
        <v>1997</v>
      </c>
      <c r="K14" s="39">
        <v>1999</v>
      </c>
      <c r="L14" s="39">
        <v>2012</v>
      </c>
      <c r="M14" s="39">
        <v>2013</v>
      </c>
      <c r="N14" s="39">
        <v>2006</v>
      </c>
    </row>
    <row r="15" spans="1:31" ht="12" customHeight="1" x14ac:dyDescent="0.3">
      <c r="A15" s="8"/>
      <c r="B15" s="8"/>
      <c r="C15" s="8"/>
      <c r="D15" s="8" t="s">
        <v>80</v>
      </c>
      <c r="E15" s="8"/>
      <c r="F15" s="8"/>
      <c r="G15" s="39">
        <v>0</v>
      </c>
      <c r="H15" s="39">
        <v>0</v>
      </c>
      <c r="I15" s="39">
        <v>1996</v>
      </c>
      <c r="J15" s="39">
        <v>2011</v>
      </c>
      <c r="K15" s="39">
        <v>1993</v>
      </c>
      <c r="L15" s="39">
        <v>1997</v>
      </c>
      <c r="M15" s="39">
        <v>2012</v>
      </c>
      <c r="N15" s="39">
        <v>2009</v>
      </c>
    </row>
    <row r="16" spans="1:31" ht="12" customHeight="1" x14ac:dyDescent="0.3">
      <c r="A16" s="8"/>
      <c r="B16" s="8"/>
      <c r="C16" s="8"/>
      <c r="D16" s="8" t="s">
        <v>81</v>
      </c>
      <c r="E16" s="8"/>
      <c r="F16" s="8"/>
      <c r="G16" s="39">
        <v>0</v>
      </c>
      <c r="H16" s="39">
        <v>0</v>
      </c>
      <c r="I16" s="39">
        <v>1997</v>
      </c>
      <c r="J16" s="39">
        <v>2014</v>
      </c>
      <c r="K16" s="39">
        <v>2011</v>
      </c>
      <c r="L16" s="39">
        <v>0</v>
      </c>
      <c r="M16" s="39">
        <v>2007</v>
      </c>
      <c r="N16" s="39">
        <v>1994</v>
      </c>
    </row>
    <row r="17" spans="1:31" ht="12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9"/>
      <c r="K17" s="8"/>
      <c r="L17" s="8"/>
    </row>
    <row r="18" spans="1:31" ht="12" customHeight="1" x14ac:dyDescent="0.3">
      <c r="A18" s="15">
        <f>MAX(A$3:A17)+0.01</f>
        <v>2.0199999999999996</v>
      </c>
      <c r="B18" s="15"/>
      <c r="C18" s="15" t="s">
        <v>100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spans="1:31" ht="12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9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ht="24" customHeight="1" x14ac:dyDescent="0.3">
      <c r="A20" s="8"/>
      <c r="B20" s="8"/>
      <c r="C20" s="36"/>
      <c r="D20" s="37"/>
      <c r="E20" s="37"/>
      <c r="F20" s="37"/>
      <c r="G20" s="42" t="s">
        <v>96</v>
      </c>
      <c r="H20" s="42" t="s">
        <v>97</v>
      </c>
      <c r="I20" s="42" t="s">
        <v>98</v>
      </c>
      <c r="J20" s="42" t="s">
        <v>99</v>
      </c>
      <c r="K20" s="42" t="s">
        <v>103</v>
      </c>
      <c r="L20" s="8"/>
    </row>
    <row r="21" spans="1:31" ht="12" customHeight="1" x14ac:dyDescent="0.3">
      <c r="A21" s="8"/>
      <c r="B21" s="8"/>
      <c r="C21" s="8"/>
      <c r="D21" s="8"/>
      <c r="E21" s="8"/>
      <c r="F21" s="8"/>
      <c r="G21" s="9" t="s">
        <v>89</v>
      </c>
      <c r="H21" s="9" t="s">
        <v>90</v>
      </c>
      <c r="I21" s="9" t="s">
        <v>2</v>
      </c>
      <c r="J21" s="9" t="s">
        <v>104</v>
      </c>
      <c r="K21" s="9" t="s">
        <v>101</v>
      </c>
      <c r="L21" s="8"/>
    </row>
    <row r="22" spans="1:31" ht="12" customHeight="1" x14ac:dyDescent="0.25">
      <c r="A22" s="8"/>
      <c r="B22" s="8"/>
      <c r="C22" s="8"/>
      <c r="D22" s="8" t="s">
        <v>44</v>
      </c>
      <c r="E22" s="8"/>
      <c r="F22" s="8"/>
      <c r="G22" s="34">
        <v>82</v>
      </c>
      <c r="H22" s="34">
        <v>22</v>
      </c>
      <c r="I22" s="43">
        <v>0.8</v>
      </c>
      <c r="J22" s="34">
        <v>620</v>
      </c>
      <c r="K22" s="34">
        <v>110</v>
      </c>
      <c r="L22" s="8"/>
    </row>
    <row r="23" spans="1:31" ht="12" customHeight="1" x14ac:dyDescent="0.25">
      <c r="A23" s="8"/>
      <c r="B23" s="8"/>
      <c r="C23" s="8"/>
      <c r="D23" s="8" t="s">
        <v>45</v>
      </c>
      <c r="E23" s="8"/>
      <c r="F23" s="8"/>
      <c r="G23" s="34">
        <v>110</v>
      </c>
      <c r="H23" s="34">
        <v>31</v>
      </c>
      <c r="I23" s="43">
        <v>0.67</v>
      </c>
      <c r="J23" s="34">
        <v>662</v>
      </c>
      <c r="K23" s="34">
        <v>62</v>
      </c>
      <c r="L23" s="8"/>
    </row>
    <row r="24" spans="1:31" ht="12" customHeight="1" x14ac:dyDescent="0.25">
      <c r="A24" s="8"/>
      <c r="B24" s="8"/>
      <c r="C24" s="8"/>
      <c r="D24" s="8" t="s">
        <v>46</v>
      </c>
      <c r="E24" s="8"/>
      <c r="F24" s="8"/>
      <c r="G24" s="34">
        <v>95</v>
      </c>
      <c r="H24" s="34">
        <v>29</v>
      </c>
      <c r="I24" s="43">
        <v>0.84</v>
      </c>
      <c r="J24" s="34">
        <v>638</v>
      </c>
      <c r="K24" s="34">
        <v>120</v>
      </c>
      <c r="L24" s="8"/>
    </row>
    <row r="25" spans="1:31" ht="12" customHeight="1" x14ac:dyDescent="0.25">
      <c r="A25" s="8"/>
      <c r="B25" s="8"/>
      <c r="C25" s="8"/>
      <c r="D25" s="8" t="s">
        <v>47</v>
      </c>
      <c r="E25" s="8"/>
      <c r="F25" s="8"/>
      <c r="G25" s="34">
        <v>101</v>
      </c>
      <c r="H25" s="34">
        <v>23</v>
      </c>
      <c r="I25" s="43">
        <v>0.85</v>
      </c>
      <c r="J25" s="34">
        <v>547</v>
      </c>
      <c r="K25" s="34">
        <v>48</v>
      </c>
      <c r="L25" s="8"/>
    </row>
    <row r="26" spans="1:31" ht="12" customHeight="1" x14ac:dyDescent="0.25">
      <c r="A26" s="8"/>
      <c r="B26" s="8"/>
      <c r="C26" s="8"/>
      <c r="D26" s="8" t="s">
        <v>48</v>
      </c>
      <c r="E26" s="8"/>
      <c r="F26" s="8"/>
      <c r="G26" s="34">
        <v>262</v>
      </c>
      <c r="H26" s="34">
        <v>31</v>
      </c>
      <c r="I26" s="43">
        <v>0.65</v>
      </c>
      <c r="J26" s="34">
        <v>424</v>
      </c>
      <c r="K26" s="34">
        <v>58</v>
      </c>
      <c r="L26" s="8"/>
    </row>
    <row r="27" spans="1:31" ht="12" customHeight="1" x14ac:dyDescent="0.25">
      <c r="A27" s="8"/>
      <c r="B27" s="8"/>
      <c r="C27" s="8"/>
      <c r="D27" s="8" t="s">
        <v>49</v>
      </c>
      <c r="E27" s="8"/>
      <c r="F27" s="8"/>
      <c r="G27" s="34">
        <v>102</v>
      </c>
      <c r="H27" s="34">
        <v>25</v>
      </c>
      <c r="I27" s="43">
        <v>0.72</v>
      </c>
      <c r="J27" s="34">
        <v>651</v>
      </c>
      <c r="K27" s="34">
        <v>82</v>
      </c>
      <c r="L27" s="8"/>
    </row>
    <row r="28" spans="1:31" ht="12" customHeight="1" x14ac:dyDescent="0.25">
      <c r="A28" s="8"/>
      <c r="B28" s="8"/>
      <c r="C28" s="8"/>
      <c r="D28" s="8" t="s">
        <v>50</v>
      </c>
      <c r="E28" s="8"/>
      <c r="F28" s="8"/>
      <c r="G28" s="34">
        <v>180</v>
      </c>
      <c r="H28" s="34">
        <v>24</v>
      </c>
      <c r="I28" s="43">
        <v>0.8</v>
      </c>
      <c r="J28" s="34">
        <v>366</v>
      </c>
      <c r="K28" s="34">
        <v>77</v>
      </c>
      <c r="L28" s="8"/>
    </row>
    <row r="29" spans="1:31" ht="12" customHeight="1" x14ac:dyDescent="0.25">
      <c r="A29" s="8"/>
      <c r="B29" s="8"/>
      <c r="C29" s="8"/>
      <c r="D29" s="8" t="s">
        <v>51</v>
      </c>
      <c r="E29" s="8"/>
      <c r="F29" s="8"/>
      <c r="G29" s="34">
        <v>259</v>
      </c>
      <c r="H29" s="34">
        <v>26</v>
      </c>
      <c r="I29" s="43">
        <v>0.8</v>
      </c>
      <c r="J29" s="34">
        <v>585</v>
      </c>
      <c r="K29" s="34">
        <v>101</v>
      </c>
      <c r="L29" s="8"/>
    </row>
    <row r="30" spans="1:31" ht="12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9"/>
      <c r="K30" s="8"/>
      <c r="L30" s="8"/>
    </row>
    <row r="31" spans="1:31" ht="12" customHeight="1" x14ac:dyDescent="0.3">
      <c r="A31" s="15">
        <f>MAX(A$3:A30)+0.01</f>
        <v>2.0299999999999994</v>
      </c>
      <c r="B31" s="15"/>
      <c r="C31" s="15" t="s">
        <v>60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spans="1:31" ht="12" customHeight="1" x14ac:dyDescent="0.3">
      <c r="A32" s="8"/>
      <c r="B32" s="8"/>
      <c r="C32" s="8"/>
      <c r="D32" s="8"/>
      <c r="E32" s="9"/>
      <c r="F32" s="9"/>
      <c r="G32" s="8"/>
      <c r="H32" s="8"/>
      <c r="I32" s="8"/>
      <c r="J32" s="9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ht="12" customHeight="1" x14ac:dyDescent="0.3">
      <c r="A33" s="8"/>
      <c r="B33" s="8"/>
      <c r="C33" s="8"/>
      <c r="D33" s="8" t="s">
        <v>52</v>
      </c>
      <c r="E33" s="9" t="s">
        <v>66</v>
      </c>
      <c r="F33" s="9"/>
      <c r="G33" s="33">
        <v>149.4</v>
      </c>
      <c r="H33" s="8"/>
      <c r="I33" s="8"/>
      <c r="J33" s="9"/>
      <c r="K33" s="8"/>
    </row>
    <row r="34" spans="1:31" ht="12" customHeight="1" x14ac:dyDescent="0.3">
      <c r="A34" s="8"/>
      <c r="B34" s="8"/>
      <c r="C34" s="8"/>
      <c r="D34" s="8" t="s">
        <v>53</v>
      </c>
      <c r="E34" s="9" t="s">
        <v>66</v>
      </c>
      <c r="F34" s="9"/>
      <c r="G34" s="33">
        <v>352.9</v>
      </c>
      <c r="H34" s="8"/>
      <c r="I34" s="8"/>
      <c r="J34" s="9"/>
      <c r="K34" s="8"/>
    </row>
    <row r="35" spans="1:31" ht="12" customHeight="1" x14ac:dyDescent="0.3">
      <c r="A35" s="8"/>
      <c r="B35" s="8"/>
      <c r="C35" s="8"/>
      <c r="D35" s="8" t="s">
        <v>54</v>
      </c>
      <c r="E35" s="9" t="s">
        <v>66</v>
      </c>
      <c r="F35" s="9"/>
      <c r="G35" s="33">
        <v>289.64</v>
      </c>
      <c r="H35" s="8"/>
      <c r="I35" s="8"/>
      <c r="J35" s="9"/>
      <c r="K35" s="8"/>
    </row>
    <row r="36" spans="1:31" ht="12" customHeight="1" x14ac:dyDescent="0.3">
      <c r="A36" s="8"/>
      <c r="B36" s="8"/>
      <c r="C36" s="8"/>
      <c r="D36" s="8" t="s">
        <v>55</v>
      </c>
      <c r="E36" s="9" t="s">
        <v>66</v>
      </c>
      <c r="F36" s="9"/>
      <c r="G36" s="33">
        <v>126.71</v>
      </c>
      <c r="H36" s="8"/>
      <c r="I36" s="8"/>
      <c r="J36" s="9"/>
      <c r="K36" s="8"/>
    </row>
    <row r="37" spans="1:31" ht="12" customHeight="1" x14ac:dyDescent="0.3">
      <c r="A37" s="8"/>
      <c r="B37" s="8"/>
      <c r="C37" s="8"/>
      <c r="D37" s="8" t="s">
        <v>56</v>
      </c>
      <c r="E37" s="9" t="s">
        <v>66</v>
      </c>
      <c r="F37" s="9"/>
      <c r="G37" s="33">
        <v>399.51</v>
      </c>
      <c r="H37" s="8"/>
      <c r="I37" s="8"/>
      <c r="J37" s="9"/>
      <c r="K37" s="8"/>
    </row>
    <row r="38" spans="1:31" ht="12" customHeight="1" x14ac:dyDescent="0.3">
      <c r="A38" s="8"/>
      <c r="B38" s="8"/>
      <c r="C38" s="8"/>
      <c r="D38" s="8" t="s">
        <v>57</v>
      </c>
      <c r="E38" s="9" t="s">
        <v>66</v>
      </c>
      <c r="F38" s="9"/>
      <c r="G38" s="33">
        <v>97.12</v>
      </c>
      <c r="H38" s="8"/>
      <c r="I38" s="8"/>
      <c r="J38" s="9"/>
      <c r="K38" s="8"/>
    </row>
    <row r="39" spans="1:31" ht="12" customHeight="1" x14ac:dyDescent="0.3">
      <c r="A39" s="8"/>
      <c r="B39" s="8"/>
      <c r="C39" s="8"/>
      <c r="D39" s="8" t="s">
        <v>58</v>
      </c>
      <c r="E39" s="9" t="s">
        <v>66</v>
      </c>
      <c r="F39" s="9"/>
      <c r="G39" s="33">
        <v>363.86</v>
      </c>
      <c r="H39" s="8"/>
      <c r="I39" s="8"/>
      <c r="J39" s="9"/>
      <c r="K39" s="8"/>
    </row>
    <row r="40" spans="1:31" ht="12" customHeight="1" x14ac:dyDescent="0.3">
      <c r="A40" s="8"/>
      <c r="B40" s="8"/>
      <c r="C40" s="8"/>
      <c r="D40" s="8" t="s">
        <v>59</v>
      </c>
      <c r="E40" s="9" t="s">
        <v>66</v>
      </c>
      <c r="F40" s="9"/>
      <c r="G40" s="33">
        <v>246.75</v>
      </c>
      <c r="H40" s="8"/>
      <c r="I40" s="8"/>
      <c r="J40" s="9"/>
      <c r="K40" s="8"/>
    </row>
    <row r="41" spans="1:31" ht="12" customHeight="1" x14ac:dyDescent="0.3">
      <c r="A41" s="8"/>
      <c r="B41" s="8"/>
      <c r="C41" s="8"/>
      <c r="D41" s="8"/>
      <c r="E41" s="9"/>
      <c r="F41" s="9"/>
      <c r="G41" s="8"/>
      <c r="H41" s="8"/>
      <c r="I41" s="8"/>
      <c r="J41" s="9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ht="12" customHeight="1" x14ac:dyDescent="0.25">
      <c r="A42" s="8"/>
      <c r="B42" s="8"/>
      <c r="C42" s="8"/>
      <c r="D42" s="8" t="s">
        <v>62</v>
      </c>
      <c r="E42" s="9" t="s">
        <v>2</v>
      </c>
      <c r="F42" s="9"/>
      <c r="G42" s="43">
        <v>0.1</v>
      </c>
      <c r="H42" s="8"/>
      <c r="I42" s="8"/>
      <c r="J42" s="9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ht="12" customHeight="1" x14ac:dyDescent="0.3">
      <c r="A43" s="8"/>
      <c r="B43" s="8"/>
      <c r="C43" s="8"/>
      <c r="D43" s="8"/>
      <c r="E43" s="9"/>
      <c r="F43" s="9"/>
      <c r="G43" s="8"/>
      <c r="H43" s="8"/>
      <c r="I43" s="8"/>
      <c r="J43" s="9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ht="12" customHeight="1" x14ac:dyDescent="0.3">
      <c r="A44" s="15">
        <f>MAX(A$3:A43)+0.01</f>
        <v>2.0399999999999991</v>
      </c>
      <c r="B44" s="15"/>
      <c r="C44" s="15" t="s">
        <v>91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spans="1:31" ht="12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9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ht="12" customHeight="1" x14ac:dyDescent="0.3">
      <c r="A46" s="8"/>
      <c r="B46" s="8"/>
      <c r="C46" s="36" t="s">
        <v>95</v>
      </c>
      <c r="D46" s="8"/>
      <c r="E46" s="8"/>
      <c r="F46" s="8"/>
      <c r="G46" s="40" t="s">
        <v>63</v>
      </c>
      <c r="H46" s="40" t="s">
        <v>64</v>
      </c>
      <c r="I46" s="40" t="s">
        <v>65</v>
      </c>
      <c r="J46" s="9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ht="12" customHeight="1" x14ac:dyDescent="0.3">
      <c r="A47" s="8"/>
      <c r="B47" s="8"/>
      <c r="C47" s="3"/>
      <c r="D47" s="8"/>
      <c r="E47" s="8"/>
      <c r="F47" s="8"/>
      <c r="G47" s="9" t="s">
        <v>67</v>
      </c>
      <c r="H47" s="9" t="s">
        <v>67</v>
      </c>
      <c r="I47" s="9" t="s">
        <v>67</v>
      </c>
      <c r="J47" s="9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ht="12" customHeight="1" x14ac:dyDescent="0.25">
      <c r="A48" s="8"/>
      <c r="B48" s="8"/>
      <c r="C48" s="8"/>
      <c r="D48" s="8" t="s">
        <v>44</v>
      </c>
      <c r="E48" s="8"/>
      <c r="F48" s="8"/>
      <c r="G48" s="44">
        <v>1</v>
      </c>
      <c r="H48" s="44">
        <v>1.73</v>
      </c>
      <c r="I48" s="44">
        <v>1.55</v>
      </c>
      <c r="J48" s="9"/>
      <c r="K48" s="8"/>
      <c r="L48" s="8"/>
    </row>
    <row r="49" spans="1:12" ht="12" customHeight="1" x14ac:dyDescent="0.25">
      <c r="A49" s="8"/>
      <c r="B49" s="8"/>
      <c r="C49" s="8"/>
      <c r="D49" s="8" t="s">
        <v>45</v>
      </c>
      <c r="E49" s="8"/>
      <c r="F49" s="8"/>
      <c r="G49" s="44">
        <v>1.4</v>
      </c>
      <c r="H49" s="44">
        <v>2.88</v>
      </c>
      <c r="I49" s="44">
        <v>2.57</v>
      </c>
      <c r="J49" s="9"/>
      <c r="K49" s="8"/>
      <c r="L49" s="8"/>
    </row>
    <row r="50" spans="1:12" ht="12" customHeight="1" x14ac:dyDescent="0.25">
      <c r="A50" s="8"/>
      <c r="B50" s="8"/>
      <c r="C50" s="8"/>
      <c r="D50" s="8" t="s">
        <v>46</v>
      </c>
      <c r="E50" s="8"/>
      <c r="F50" s="8"/>
      <c r="G50" s="44">
        <v>2.16</v>
      </c>
      <c r="H50" s="44">
        <v>1</v>
      </c>
      <c r="I50" s="44">
        <v>2.58</v>
      </c>
      <c r="J50" s="9"/>
      <c r="K50" s="8"/>
      <c r="L50" s="8"/>
    </row>
    <row r="51" spans="1:12" ht="12" customHeight="1" x14ac:dyDescent="0.25">
      <c r="A51" s="8"/>
      <c r="B51" s="8"/>
      <c r="C51" s="8"/>
      <c r="D51" s="8" t="s">
        <v>47</v>
      </c>
      <c r="E51" s="8"/>
      <c r="F51" s="8"/>
      <c r="G51" s="44">
        <v>1.19</v>
      </c>
      <c r="H51" s="44">
        <v>2.29</v>
      </c>
      <c r="I51" s="44">
        <v>2.96</v>
      </c>
      <c r="J51" s="9"/>
      <c r="K51" s="8"/>
      <c r="L51" s="8"/>
    </row>
    <row r="52" spans="1:12" ht="12" customHeight="1" x14ac:dyDescent="0.25">
      <c r="A52" s="8"/>
      <c r="B52" s="8"/>
      <c r="C52" s="8"/>
      <c r="D52" s="8" t="s">
        <v>48</v>
      </c>
      <c r="E52" s="8"/>
      <c r="F52" s="8"/>
      <c r="G52" s="44">
        <v>2.83</v>
      </c>
      <c r="H52" s="44">
        <v>1.55</v>
      </c>
      <c r="I52" s="44">
        <v>2.2400000000000002</v>
      </c>
      <c r="J52" s="9"/>
      <c r="K52" s="8"/>
      <c r="L52" s="8"/>
    </row>
    <row r="53" spans="1:12" ht="12" customHeight="1" x14ac:dyDescent="0.25">
      <c r="A53" s="8"/>
      <c r="B53" s="8"/>
      <c r="C53" s="8"/>
      <c r="D53" s="8" t="s">
        <v>49</v>
      </c>
      <c r="E53" s="8"/>
      <c r="F53" s="8"/>
      <c r="G53" s="44">
        <v>2.48</v>
      </c>
      <c r="H53" s="44">
        <v>1.34</v>
      </c>
      <c r="I53" s="44">
        <v>1.56</v>
      </c>
      <c r="J53" s="9"/>
      <c r="K53" s="8"/>
      <c r="L53" s="8"/>
    </row>
    <row r="54" spans="1:12" ht="12" customHeight="1" x14ac:dyDescent="0.25">
      <c r="A54" s="8"/>
      <c r="B54" s="8"/>
      <c r="C54" s="8"/>
      <c r="D54" s="8" t="s">
        <v>50</v>
      </c>
      <c r="E54" s="8"/>
      <c r="F54" s="8"/>
      <c r="G54" s="44">
        <v>1.19</v>
      </c>
      <c r="H54" s="44">
        <v>1.96</v>
      </c>
      <c r="I54" s="44">
        <v>1.52</v>
      </c>
      <c r="J54" s="9"/>
      <c r="K54" s="8"/>
      <c r="L54" s="8"/>
    </row>
    <row r="55" spans="1:12" ht="12" customHeight="1" x14ac:dyDescent="0.25">
      <c r="A55" s="8"/>
      <c r="B55" s="8"/>
      <c r="C55" s="8"/>
      <c r="D55" s="8" t="s">
        <v>51</v>
      </c>
      <c r="E55" s="8"/>
      <c r="F55" s="8"/>
      <c r="G55" s="44">
        <v>1.59</v>
      </c>
      <c r="H55" s="44">
        <v>2.73</v>
      </c>
      <c r="I55" s="44">
        <v>1.61</v>
      </c>
      <c r="J55" s="9"/>
      <c r="K55" s="8"/>
      <c r="L55" s="8"/>
    </row>
    <row r="56" spans="1:12" ht="12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9"/>
      <c r="K56" s="8"/>
      <c r="L56" s="8"/>
    </row>
    <row r="57" spans="1:12" ht="12" customHeight="1" x14ac:dyDescent="0.3">
      <c r="A57" s="8"/>
      <c r="B57" s="8"/>
      <c r="C57" s="36" t="s">
        <v>94</v>
      </c>
      <c r="D57" s="8"/>
      <c r="E57" s="8"/>
      <c r="F57" s="8"/>
      <c r="G57" s="8"/>
      <c r="H57" s="8"/>
      <c r="I57" s="8"/>
      <c r="J57" s="9"/>
      <c r="K57" s="8"/>
      <c r="L57" s="8"/>
    </row>
    <row r="58" spans="1:12" ht="12" customHeight="1" x14ac:dyDescent="0.25">
      <c r="A58" s="8"/>
      <c r="B58" s="8"/>
      <c r="C58" s="8"/>
      <c r="D58" s="8" t="s">
        <v>68</v>
      </c>
      <c r="E58" s="9" t="s">
        <v>73</v>
      </c>
      <c r="F58" s="9"/>
      <c r="G58" s="44">
        <v>5.76</v>
      </c>
      <c r="I58" s="8"/>
      <c r="J58" s="3"/>
      <c r="K58" s="8"/>
      <c r="L58" s="8"/>
    </row>
    <row r="59" spans="1:12" ht="12" customHeight="1" x14ac:dyDescent="0.25">
      <c r="A59" s="8"/>
      <c r="B59" s="8"/>
      <c r="C59" s="8"/>
      <c r="D59" s="8" t="s">
        <v>69</v>
      </c>
      <c r="E59" s="9" t="s">
        <v>73</v>
      </c>
      <c r="F59" s="9"/>
      <c r="G59" s="44">
        <v>9.1199999999999992</v>
      </c>
      <c r="I59" s="8"/>
      <c r="J59" s="3"/>
      <c r="K59" s="8"/>
      <c r="L59" s="8"/>
    </row>
    <row r="60" spans="1:12" ht="12" customHeight="1" x14ac:dyDescent="0.25">
      <c r="A60" s="8"/>
      <c r="B60" s="8"/>
      <c r="C60" s="8"/>
      <c r="D60" s="8" t="s">
        <v>70</v>
      </c>
      <c r="E60" s="9" t="s">
        <v>73</v>
      </c>
      <c r="F60" s="9"/>
      <c r="G60" s="44">
        <v>3.27</v>
      </c>
      <c r="I60" s="8"/>
      <c r="J60" s="3"/>
      <c r="K60" s="8"/>
      <c r="L60" s="8"/>
    </row>
    <row r="61" spans="1:12" ht="12" customHeight="1" x14ac:dyDescent="0.3">
      <c r="A61" s="8"/>
      <c r="B61" s="8"/>
      <c r="C61" s="8"/>
      <c r="D61" s="8"/>
      <c r="E61" s="8"/>
      <c r="F61" s="8"/>
      <c r="G61" s="8"/>
      <c r="I61" s="8"/>
      <c r="J61" s="8"/>
      <c r="K61" s="8"/>
      <c r="L61" s="8"/>
    </row>
    <row r="62" spans="1:12" ht="12" customHeight="1" x14ac:dyDescent="0.3">
      <c r="A62" s="8"/>
      <c r="B62" s="8"/>
      <c r="C62" s="36" t="s">
        <v>71</v>
      </c>
      <c r="D62" s="8"/>
      <c r="E62" s="8"/>
      <c r="F62" s="8"/>
      <c r="G62" s="8"/>
      <c r="I62" s="8"/>
      <c r="J62" s="8"/>
      <c r="K62" s="8"/>
      <c r="L62" s="8"/>
    </row>
    <row r="63" spans="1:12" ht="12" customHeight="1" x14ac:dyDescent="0.25">
      <c r="A63" s="8"/>
      <c r="B63" s="8"/>
      <c r="C63" s="8"/>
      <c r="D63" s="8" t="s">
        <v>72</v>
      </c>
      <c r="E63" s="9" t="s">
        <v>74</v>
      </c>
      <c r="F63" s="9"/>
      <c r="G63" s="44">
        <v>2</v>
      </c>
      <c r="I63" s="8"/>
      <c r="J63" s="3"/>
      <c r="K63" s="8"/>
      <c r="L63" s="8"/>
    </row>
    <row r="64" spans="1:12" ht="12" customHeight="1" x14ac:dyDescent="0.3">
      <c r="A64" s="8"/>
      <c r="B64" s="8"/>
      <c r="C64" s="8"/>
      <c r="D64" s="8"/>
      <c r="E64" s="8"/>
      <c r="F64" s="8"/>
      <c r="G64" s="8"/>
      <c r="H64" s="8"/>
      <c r="I64" s="8"/>
      <c r="J64" s="9"/>
      <c r="K64" s="8"/>
      <c r="L64" s="8"/>
    </row>
    <row r="65" spans="1:31" ht="12" customHeight="1" x14ac:dyDescent="0.3">
      <c r="A65" s="8"/>
      <c r="B65" s="8"/>
      <c r="C65" s="8"/>
      <c r="D65" s="8"/>
      <c r="E65" s="8"/>
      <c r="F65" s="8"/>
      <c r="G65" s="8"/>
      <c r="H65" s="8"/>
      <c r="I65" s="8"/>
      <c r="J65" s="9"/>
      <c r="K65" s="8"/>
      <c r="L65" s="8"/>
    </row>
    <row r="66" spans="1:31" ht="12" customHeight="1" x14ac:dyDescent="0.3">
      <c r="A66" s="15">
        <f>MAX(A$3:A65)+0.01</f>
        <v>2.0499999999999989</v>
      </c>
      <c r="B66" s="15"/>
      <c r="C66" s="15" t="s">
        <v>92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ht="12" customHeight="1" x14ac:dyDescent="0.3">
      <c r="A67" s="8"/>
      <c r="B67" s="8"/>
      <c r="C67" s="8"/>
      <c r="D67" s="8"/>
      <c r="E67" s="8"/>
      <c r="F67" s="8"/>
      <c r="G67" s="8"/>
      <c r="H67" s="8"/>
      <c r="I67" s="8"/>
      <c r="J67" s="9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ht="12" customHeight="1" x14ac:dyDescent="0.3">
      <c r="A68" s="8"/>
      <c r="B68" s="8"/>
      <c r="C68" s="36"/>
      <c r="D68" s="8"/>
      <c r="E68" s="8"/>
      <c r="F68" s="8"/>
      <c r="G68" s="40" t="s">
        <v>83</v>
      </c>
      <c r="H68" s="40" t="s">
        <v>71</v>
      </c>
      <c r="I68" s="40" t="s">
        <v>82</v>
      </c>
      <c r="J68" s="9"/>
      <c r="K68" s="8"/>
      <c r="L68" s="8"/>
    </row>
    <row r="69" spans="1:31" ht="12" customHeight="1" x14ac:dyDescent="0.3">
      <c r="A69" s="8"/>
      <c r="B69" s="8"/>
      <c r="C69" s="8"/>
      <c r="D69" s="8"/>
      <c r="E69" s="8"/>
      <c r="F69" s="8"/>
      <c r="G69" s="9" t="s">
        <v>86</v>
      </c>
      <c r="H69" s="9" t="s">
        <v>85</v>
      </c>
      <c r="I69" s="9" t="s">
        <v>84</v>
      </c>
      <c r="J69" s="9"/>
      <c r="K69" s="8"/>
      <c r="L69" s="8"/>
    </row>
    <row r="70" spans="1:31" ht="12" customHeight="1" x14ac:dyDescent="0.25">
      <c r="A70" s="8"/>
      <c r="B70" s="8"/>
      <c r="C70" s="8"/>
      <c r="D70" s="8" t="s">
        <v>75</v>
      </c>
      <c r="E70" s="8"/>
      <c r="F70" s="8"/>
      <c r="G70" s="45">
        <v>668</v>
      </c>
      <c r="H70" s="44">
        <v>1.8</v>
      </c>
      <c r="I70" s="44">
        <v>24.37</v>
      </c>
      <c r="J70" s="9"/>
      <c r="K70" s="8"/>
      <c r="L70" s="8"/>
    </row>
    <row r="71" spans="1:31" ht="12" customHeight="1" x14ac:dyDescent="0.25">
      <c r="A71" s="8"/>
      <c r="B71" s="8"/>
      <c r="C71" s="8"/>
      <c r="D71" s="8" t="s">
        <v>76</v>
      </c>
      <c r="E71" s="8"/>
      <c r="F71" s="8"/>
      <c r="G71" s="45">
        <v>207</v>
      </c>
      <c r="H71" s="44">
        <v>1.35</v>
      </c>
      <c r="I71" s="44">
        <v>27.31</v>
      </c>
      <c r="J71" s="9"/>
      <c r="K71" s="8"/>
      <c r="L71" s="8"/>
    </row>
    <row r="72" spans="1:31" ht="12" customHeight="1" x14ac:dyDescent="0.25">
      <c r="A72" s="8"/>
      <c r="B72" s="8"/>
      <c r="C72" s="8"/>
      <c r="D72" s="8" t="s">
        <v>77</v>
      </c>
      <c r="E72" s="8"/>
      <c r="F72" s="8"/>
      <c r="G72" s="45">
        <v>502</v>
      </c>
      <c r="H72" s="44">
        <v>1.3</v>
      </c>
      <c r="I72" s="44">
        <v>28.45</v>
      </c>
      <c r="J72" s="9"/>
      <c r="K72" s="8"/>
      <c r="L72" s="8"/>
    </row>
    <row r="73" spans="1:31" ht="12" customHeight="1" x14ac:dyDescent="0.25">
      <c r="A73" s="8"/>
      <c r="B73" s="8"/>
      <c r="C73" s="8"/>
      <c r="D73" s="8" t="s">
        <v>78</v>
      </c>
      <c r="E73" s="8"/>
      <c r="F73" s="8"/>
      <c r="G73" s="45">
        <v>1183</v>
      </c>
      <c r="H73" s="44">
        <v>1.65</v>
      </c>
      <c r="I73" s="44">
        <v>24.37</v>
      </c>
      <c r="J73" s="9"/>
      <c r="K73" s="8"/>
      <c r="L73" s="8"/>
    </row>
    <row r="74" spans="1:31" ht="12" customHeight="1" x14ac:dyDescent="0.25">
      <c r="A74" s="8"/>
      <c r="B74" s="8"/>
      <c r="C74" s="8"/>
      <c r="D74" s="8" t="s">
        <v>79</v>
      </c>
      <c r="E74" s="8"/>
      <c r="F74" s="8"/>
      <c r="G74" s="45">
        <v>470</v>
      </c>
      <c r="H74" s="44">
        <v>1.52</v>
      </c>
      <c r="I74" s="44">
        <v>23.35</v>
      </c>
      <c r="J74" s="9"/>
      <c r="K74" s="8"/>
      <c r="L74" s="8"/>
    </row>
    <row r="75" spans="1:31" ht="12" customHeight="1" x14ac:dyDescent="0.25">
      <c r="A75" s="8"/>
      <c r="B75" s="8"/>
      <c r="C75" s="8"/>
      <c r="D75" s="8" t="s">
        <v>80</v>
      </c>
      <c r="E75" s="8"/>
      <c r="F75" s="8"/>
      <c r="G75" s="45">
        <v>867</v>
      </c>
      <c r="H75" s="44">
        <v>1.42</v>
      </c>
      <c r="I75" s="44">
        <v>24.11</v>
      </c>
      <c r="J75" s="9"/>
      <c r="K75" s="8"/>
      <c r="L75" s="8"/>
    </row>
    <row r="76" spans="1:31" ht="12" customHeight="1" x14ac:dyDescent="0.25">
      <c r="A76" s="8"/>
      <c r="B76" s="8"/>
      <c r="C76" s="8"/>
      <c r="D76" s="8" t="s">
        <v>81</v>
      </c>
      <c r="E76" s="8"/>
      <c r="F76" s="8"/>
      <c r="G76" s="45">
        <v>925</v>
      </c>
      <c r="H76" s="44">
        <v>1.56</v>
      </c>
      <c r="I76" s="44">
        <v>25.96</v>
      </c>
      <c r="J76" s="9"/>
      <c r="K76" s="8"/>
      <c r="L76" s="8"/>
    </row>
    <row r="77" spans="1:31" ht="12" customHeight="1" x14ac:dyDescent="0.3">
      <c r="A77" s="8"/>
      <c r="B77" s="8"/>
      <c r="C77" s="8"/>
      <c r="D77" s="8"/>
      <c r="E77" s="8"/>
      <c r="F77" s="8"/>
      <c r="G77" s="8"/>
      <c r="H77" s="8"/>
      <c r="I77" s="8"/>
      <c r="J77" s="9"/>
      <c r="K77" s="8"/>
      <c r="L77" s="8"/>
    </row>
    <row r="78" spans="1:31" ht="12" customHeight="1" x14ac:dyDescent="0.3">
      <c r="A78" s="15">
        <f>MAX(A$3:A77)+0.01</f>
        <v>2.0599999999999987</v>
      </c>
      <c r="B78" s="15"/>
      <c r="C78" s="15" t="s">
        <v>37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 ht="12" customHeight="1" x14ac:dyDescent="0.3">
      <c r="A79" s="8"/>
      <c r="B79" s="8"/>
      <c r="C79" s="8"/>
      <c r="D79" s="8"/>
      <c r="E79" s="9"/>
      <c r="F79" s="9"/>
      <c r="G79" s="8"/>
      <c r="H79" s="8"/>
      <c r="I79" s="8"/>
      <c r="J79" s="9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ht="12" customHeight="1" x14ac:dyDescent="0.25">
      <c r="A80" s="8"/>
      <c r="B80" s="8"/>
      <c r="C80" s="8"/>
      <c r="D80" s="8" t="s">
        <v>38</v>
      </c>
      <c r="E80" s="9" t="s">
        <v>105</v>
      </c>
      <c r="F80" s="9"/>
      <c r="G80" s="43">
        <v>4.0000000000000036E-2</v>
      </c>
      <c r="H80" s="8"/>
      <c r="I80" s="8"/>
      <c r="J80" s="9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ht="12" customHeight="1" x14ac:dyDescent="0.25">
      <c r="A81" s="8"/>
      <c r="B81" s="8"/>
      <c r="C81" s="8"/>
      <c r="D81" s="8" t="s">
        <v>39</v>
      </c>
      <c r="E81" s="9" t="s">
        <v>105</v>
      </c>
      <c r="F81" s="9"/>
      <c r="G81" s="43">
        <v>3.5000000000000003E-2</v>
      </c>
      <c r="H81" s="8"/>
      <c r="I81" s="8"/>
      <c r="J81" s="9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ht="12" customHeight="1" x14ac:dyDescent="0.25">
      <c r="A82" s="8"/>
      <c r="B82" s="8"/>
      <c r="C82" s="8"/>
      <c r="D82" s="8" t="s">
        <v>40</v>
      </c>
      <c r="E82" s="9" t="s">
        <v>105</v>
      </c>
      <c r="F82" s="9"/>
      <c r="G82" s="43">
        <v>2.5000000000000001E-2</v>
      </c>
      <c r="H82" s="8"/>
      <c r="I82" s="8"/>
      <c r="J82" s="9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ht="12" customHeight="1" x14ac:dyDescent="0.25">
      <c r="A83" s="8"/>
      <c r="B83" s="8"/>
      <c r="C83" s="8"/>
      <c r="D83" s="8" t="s">
        <v>41</v>
      </c>
      <c r="E83" s="9" t="s">
        <v>105</v>
      </c>
      <c r="F83" s="9"/>
      <c r="G83" s="43">
        <v>2.0000000000000018E-2</v>
      </c>
      <c r="H83" s="8"/>
      <c r="I83" s="8"/>
      <c r="J83" s="9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ht="12" customHeight="1" x14ac:dyDescent="0.25">
      <c r="A84" s="8"/>
      <c r="B84" s="8"/>
      <c r="C84" s="8"/>
      <c r="D84" s="8" t="s">
        <v>42</v>
      </c>
      <c r="E84" s="9" t="s">
        <v>105</v>
      </c>
      <c r="F84" s="9"/>
      <c r="G84" s="43">
        <v>0.03</v>
      </c>
      <c r="H84" s="8"/>
      <c r="I84" s="8"/>
      <c r="J84" s="9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ht="12" customHeight="1" x14ac:dyDescent="0.25">
      <c r="A85" s="8"/>
      <c r="B85" s="8"/>
      <c r="C85" s="8"/>
      <c r="D85" s="8" t="s">
        <v>43</v>
      </c>
      <c r="E85" s="9" t="s">
        <v>105</v>
      </c>
      <c r="F85" s="9"/>
      <c r="G85" s="43">
        <v>4.4999999999999998E-2</v>
      </c>
      <c r="H85" s="8"/>
      <c r="I85" s="8"/>
      <c r="J85" s="9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ht="12" customHeight="1" x14ac:dyDescent="0.3">
      <c r="A86" s="8"/>
      <c r="B86" s="8"/>
      <c r="C86" s="8"/>
      <c r="D86" s="8"/>
      <c r="E86" s="9"/>
      <c r="F86" s="9"/>
      <c r="G86" s="8"/>
      <c r="H86" s="8"/>
      <c r="I86" s="8"/>
      <c r="J86" s="9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ht="12" customHeight="1" x14ac:dyDescent="0.3">
      <c r="A87" s="15"/>
      <c r="B87" s="15"/>
      <c r="C87" s="15" t="s">
        <v>1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Formats</vt:lpstr>
      <vt:lpstr>Ass_TimeSeries</vt:lpstr>
      <vt:lpstr>Ass_General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Alex Gordon</cp:lastModifiedBy>
  <dcterms:created xsi:type="dcterms:W3CDTF">2015-10-14T05:12:28Z</dcterms:created>
  <dcterms:modified xsi:type="dcterms:W3CDTF">2015-12-01T13:51:19Z</dcterms:modified>
</cp:coreProperties>
</file>