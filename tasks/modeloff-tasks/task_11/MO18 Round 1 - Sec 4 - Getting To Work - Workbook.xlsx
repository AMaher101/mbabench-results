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hannodou/Dropbox/ModelOff QDT/2018/Round 1/Sec 4 - Getting To Work/"/>
    </mc:Choice>
  </mc:AlternateContent>
  <xr:revisionPtr revIDLastSave="0" documentId="13_ncr:1_{3B9F5C91-4F98-BC43-8E0C-254D5145A2B3}" xr6:coauthVersionLast="36" xr6:coauthVersionMax="36" xr10:uidLastSave="{00000000-0000-0000-0000-000000000000}"/>
  <bookViews>
    <workbookView xWindow="0" yWindow="460" windowWidth="28360" windowHeight="16660" xr2:uid="{00000000-000D-0000-FFFF-FFFF00000000}"/>
  </bookViews>
  <sheets>
    <sheet name="Formats" sheetId="10" r:id="rId1"/>
    <sheet name="Assumptions" sheetId="12" r:id="rId2"/>
  </sheets>
  <definedNames>
    <definedName name="A.Z">#REF!</definedName>
    <definedName name="AS2DocOpenMode" hidden="1">"AS2DocumentEdit"</definedName>
    <definedName name="Gen">INDEX(A.Z,RANDBETWEEN(1,26))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41603.6842939815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2" l="1"/>
  <c r="A7" i="12" l="1"/>
  <c r="A27" i="12" l="1"/>
  <c r="A34" i="12" l="1"/>
  <c r="A39" i="12" l="1"/>
  <c r="A44" i="12" l="1"/>
  <c r="A52" i="12" s="1"/>
  <c r="A60" i="12" s="1"/>
</calcChain>
</file>

<file path=xl/sharedStrings.xml><?xml version="1.0" encoding="utf-8"?>
<sst xmlns="http://schemas.openxmlformats.org/spreadsheetml/2006/main" count="117" uniqueCount="83">
  <si>
    <t>Units</t>
  </si>
  <si>
    <t>End Sheet</t>
  </si>
  <si>
    <t>Workings</t>
  </si>
  <si>
    <t>[$]</t>
  </si>
  <si>
    <t>Formats</t>
  </si>
  <si>
    <t>Formatting Legend</t>
  </si>
  <si>
    <t>User Variable Assumption (0 decimal places)</t>
  </si>
  <si>
    <t>User Variable Assumption (2 decimal places)</t>
  </si>
  <si>
    <t>User Variable Assumption (percentage)</t>
  </si>
  <si>
    <t>User Variable Assumption (date)</t>
  </si>
  <si>
    <t>Calculation (0 decimal places)</t>
  </si>
  <si>
    <t>Calculation (2 decimal places)</t>
  </si>
  <si>
    <t>Calculation (percentage)</t>
  </si>
  <si>
    <t>Calculation (date)</t>
  </si>
  <si>
    <t>Units label</t>
  </si>
  <si>
    <t>Non Variable Assumption (0 decimal places)</t>
  </si>
  <si>
    <t>Bold Label</t>
  </si>
  <si>
    <t>Label</t>
  </si>
  <si>
    <t>Top Sheet header</t>
  </si>
  <si>
    <t>Section header</t>
  </si>
  <si>
    <t>Unique formula in row</t>
  </si>
  <si>
    <t>red font</t>
  </si>
  <si>
    <t>Calculation (negative, 0 decimal places)</t>
  </si>
  <si>
    <t>Assumptions</t>
  </si>
  <si>
    <t>Cell to be populated by model author</t>
  </si>
  <si>
    <t>[date]</t>
  </si>
  <si>
    <t>General assumptions</t>
  </si>
  <si>
    <t>Value of time</t>
  </si>
  <si>
    <t>[$ per hour]</t>
  </si>
  <si>
    <t>Workdays per month</t>
  </si>
  <si>
    <t>[days]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</si>
  <si>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</si>
  <si>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</si>
  <si>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</si>
  <si>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</si>
  <si>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</si>
  <si>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</si>
  <si>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</si>
  <si>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</si>
  <si>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</si>
  <si>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</si>
  <si>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</si>
  <si>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</si>
  <si>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Cycling assumptions</t>
  </si>
  <si>
    <t>Start date on analysis</t>
  </si>
  <si>
    <t>Cycle purchase</t>
  </si>
  <si>
    <t>No residual value at the end of the budget period.</t>
  </si>
  <si>
    <t>Cycle maintenance</t>
  </si>
  <si>
    <t>Travel time</t>
  </si>
  <si>
    <t>Per trip (one way)</t>
  </si>
  <si>
    <t>[minutes]</t>
  </si>
  <si>
    <t>Bus assumptions</t>
  </si>
  <si>
    <t>Bus fare</t>
  </si>
  <si>
    <t>Train assumptions</t>
  </si>
  <si>
    <t>Train pass</t>
  </si>
  <si>
    <t>Your travel time for driving should be based on the distance and average speed only - parking time is immaterial.</t>
  </si>
  <si>
    <t>Petrol = gasoline (the fuel used to fill up your car).</t>
  </si>
  <si>
    <t>Distance to drive</t>
  </si>
  <si>
    <t>Average speed</t>
  </si>
  <si>
    <t>Parking</t>
  </si>
  <si>
    <t>Daily</t>
  </si>
  <si>
    <t>[km]</t>
  </si>
  <si>
    <t>[km per hour]</t>
  </si>
  <si>
    <t>Car assumptions - general (apply to both petrol and electric vehicle options)</t>
  </si>
  <si>
    <t>Car assumptions - petrol vehicle</t>
  </si>
  <si>
    <t>Petrol car purchase</t>
  </si>
  <si>
    <t>Expected residual petrol car value</t>
  </si>
  <si>
    <t>Petrol (fuel)</t>
  </si>
  <si>
    <t>Per km</t>
  </si>
  <si>
    <t>Petrol car maintenance</t>
  </si>
  <si>
    <t>Insurance</t>
  </si>
  <si>
    <t>[cents]</t>
  </si>
  <si>
    <t>Car assumptions - electric vehicle</t>
  </si>
  <si>
    <t>Electric car lease</t>
  </si>
  <si>
    <t>Monthly</t>
  </si>
  <si>
    <t>Maintenance and insurance is included in the lease.</t>
  </si>
  <si>
    <t>Free charging electricity is available so no fuel cost, parking cost required.</t>
  </si>
  <si>
    <t>One-off in January 2019</t>
  </si>
  <si>
    <t>Semi-annually, first in July 2019</t>
  </si>
  <si>
    <t>Annually, first in January 2019</t>
  </si>
  <si>
    <t>One-off in December 2021</t>
  </si>
  <si>
    <t>Quarterly, first in January 2019</t>
  </si>
  <si>
    <t>ModelOff 2018 - Round 1 - Section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</si>
</sst>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&quot;$&quot;* #,##0_-;\-&quot;$&quot;* #,##0_-;_-&quot;$&quot;* &quot;-&quot;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#,##0.;\-#,##0.;\-"/>
    <numFmt numFmtId="169" formatCode="#,##0_);\(#,##0\);\-"/>
    <numFmt numFmtId="170" formatCode="d\-mmm\-yy;d\-mmm\-yy;\-"/>
    <numFmt numFmtId="171" formatCode="0.00%_);\(0.00%\);\-"/>
    <numFmt numFmtId="172" formatCode="#,##0.00_);\(#,##0.00\);\-"/>
    <numFmt numFmtId="173" formatCode="mmm\ yy_);mmm\ yy_);&quot;-&quot;_);@_)"/>
  </numFmts>
  <fonts count="3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0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b/>
      <sz val="14"/>
      <color theme="0"/>
      <name val="Arial"/>
      <family val="2"/>
    </font>
    <font>
      <sz val="10"/>
      <color rgb="FF0000FF"/>
      <name val="Arial"/>
      <family val="2"/>
    </font>
    <font>
      <u/>
      <sz val="8"/>
      <color theme="10"/>
      <name val="Arial"/>
      <family val="2"/>
    </font>
    <font>
      <b/>
      <sz val="10"/>
      <color theme="1"/>
      <name val="Arial"/>
      <family val="2"/>
    </font>
    <font>
      <sz val="10"/>
      <color theme="0" tint="-0.34998626667073579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i/>
      <sz val="10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24994659260841701"/>
        <bgColor indexed="64"/>
      </patternFill>
    </fill>
    <fill>
      <patternFill patternType="solid">
        <fgColor rgb="FF004471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</borders>
  <cellStyleXfs count="63">
    <xf numFmtId="0" fontId="0" fillId="0" borderId="0"/>
    <xf numFmtId="0" fontId="5" fillId="36" borderId="0" applyNumberFormat="0" applyAlignment="0"/>
    <xf numFmtId="169" fontId="4" fillId="0" borderId="0" applyBorder="0"/>
    <xf numFmtId="0" fontId="8" fillId="0" borderId="0" applyNumberFormat="0" applyFill="0" applyBorder="0">
      <alignment horizontal="right"/>
    </xf>
    <xf numFmtId="0" fontId="9" fillId="0" borderId="0" applyNumberFormat="0" applyFill="0" applyBorder="0" applyAlignment="0" applyProtection="0"/>
    <xf numFmtId="169" fontId="10" fillId="0" borderId="0" applyBorder="0"/>
    <xf numFmtId="170" fontId="4" fillId="0" borderId="0" applyBorder="0"/>
    <xf numFmtId="4" fontId="10" fillId="2" borderId="1">
      <alignment horizontal="left"/>
    </xf>
    <xf numFmtId="171" fontId="8" fillId="4" borderId="11">
      <protection locked="0"/>
    </xf>
    <xf numFmtId="169" fontId="8" fillId="4" borderId="11">
      <protection locked="0"/>
    </xf>
    <xf numFmtId="169" fontId="8" fillId="0" borderId="12"/>
    <xf numFmtId="171" fontId="12" fillId="0" borderId="0" applyFill="0" applyBorder="0" applyAlignment="0"/>
    <xf numFmtId="0" fontId="11" fillId="0" borderId="0" applyNumberFormat="0" applyFill="0" applyBorder="0" applyAlignment="0"/>
    <xf numFmtId="167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8" fillId="0" borderId="0" applyNumberFormat="0" applyFill="0" applyBorder="0" applyAlignment="0" applyProtection="0"/>
    <xf numFmtId="0" fontId="19" fillId="5" borderId="0" applyNumberFormat="0" applyBorder="0" applyAlignment="0" applyProtection="0"/>
    <xf numFmtId="0" fontId="20" fillId="6" borderId="0" applyNumberFormat="0" applyBorder="0" applyAlignment="0" applyProtection="0"/>
    <xf numFmtId="0" fontId="21" fillId="7" borderId="0" applyNumberFormat="0" applyBorder="0" applyAlignment="0" applyProtection="0"/>
    <xf numFmtId="0" fontId="22" fillId="8" borderId="5" applyNumberFormat="0" applyAlignment="0" applyProtection="0"/>
    <xf numFmtId="0" fontId="23" fillId="9" borderId="6" applyNumberFormat="0" applyAlignment="0" applyProtection="0"/>
    <xf numFmtId="0" fontId="24" fillId="9" borderId="5" applyNumberFormat="0" applyAlignment="0" applyProtection="0"/>
    <xf numFmtId="0" fontId="25" fillId="0" borderId="7" applyNumberFormat="0" applyFill="0" applyAlignment="0" applyProtection="0"/>
    <xf numFmtId="0" fontId="26" fillId="10" borderId="8" applyNumberFormat="0" applyAlignment="0" applyProtection="0"/>
    <xf numFmtId="0" fontId="27" fillId="0" borderId="0" applyNumberFormat="0" applyFill="0" applyBorder="0" applyAlignment="0" applyProtection="0"/>
    <xf numFmtId="0" fontId="14" fillId="11" borderId="9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0" applyNumberFormat="0" applyFill="0" applyAlignment="0" applyProtection="0"/>
    <xf numFmtId="0" fontId="30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30" fillId="35" borderId="0" applyNumberFormat="0" applyBorder="0" applyAlignment="0" applyProtection="0"/>
    <xf numFmtId="172" fontId="4" fillId="0" borderId="0" applyBorder="0"/>
    <xf numFmtId="172" fontId="8" fillId="4" borderId="11">
      <protection locked="0"/>
    </xf>
    <xf numFmtId="170" fontId="8" fillId="4" borderId="11"/>
    <xf numFmtId="0" fontId="1" fillId="0" borderId="0"/>
  </cellStyleXfs>
  <cellXfs count="38">
    <xf numFmtId="0" fontId="0" fillId="0" borderId="0" xfId="0"/>
    <xf numFmtId="172" fontId="5" fillId="36" borderId="0" xfId="1" applyNumberFormat="1"/>
    <xf numFmtId="0" fontId="4" fillId="0" borderId="0" xfId="0" applyFont="1"/>
    <xf numFmtId="0" fontId="6" fillId="0" borderId="0" xfId="0" applyFont="1"/>
    <xf numFmtId="169" fontId="4" fillId="0" borderId="0" xfId="2"/>
    <xf numFmtId="169" fontId="8" fillId="0" borderId="0" xfId="3" applyNumberFormat="1">
      <alignment horizontal="right"/>
    </xf>
    <xf numFmtId="169" fontId="0" fillId="0" borderId="0" xfId="0" applyNumberFormat="1"/>
    <xf numFmtId="169" fontId="10" fillId="0" borderId="0" xfId="5"/>
    <xf numFmtId="170" fontId="4" fillId="0" borderId="0" xfId="6"/>
    <xf numFmtId="4" fontId="10" fillId="2" borderId="1" xfId="7">
      <alignment horizontal="left"/>
    </xf>
    <xf numFmtId="0" fontId="4" fillId="0" borderId="0" xfId="0" applyFont="1" applyBorder="1"/>
    <xf numFmtId="0" fontId="11" fillId="0" borderId="0" xfId="0" applyFont="1"/>
    <xf numFmtId="0" fontId="8" fillId="0" borderId="0" xfId="3">
      <alignment horizontal="right"/>
    </xf>
    <xf numFmtId="171" fontId="8" fillId="4" borderId="11" xfId="8">
      <protection locked="0"/>
    </xf>
    <xf numFmtId="169" fontId="8" fillId="0" borderId="12" xfId="10"/>
    <xf numFmtId="171" fontId="12" fillId="0" borderId="0" xfId="11"/>
    <xf numFmtId="169" fontId="13" fillId="0" borderId="0" xfId="2" applyFont="1"/>
    <xf numFmtId="169" fontId="11" fillId="0" borderId="0" xfId="12" applyNumberFormat="1"/>
    <xf numFmtId="169" fontId="8" fillId="4" borderId="11" xfId="9">
      <protection locked="0"/>
    </xf>
    <xf numFmtId="172" fontId="4" fillId="0" borderId="0" xfId="59"/>
    <xf numFmtId="172" fontId="4" fillId="0" borderId="0" xfId="59" applyBorder="1"/>
    <xf numFmtId="172" fontId="4" fillId="3" borderId="0" xfId="59" applyFill="1"/>
    <xf numFmtId="172" fontId="4" fillId="0" borderId="0" xfId="59" quotePrefix="1"/>
    <xf numFmtId="172" fontId="8" fillId="0" borderId="0" xfId="3" applyNumberFormat="1">
      <alignment horizontal="right"/>
    </xf>
    <xf numFmtId="172" fontId="8" fillId="4" borderId="11" xfId="60">
      <protection locked="0"/>
    </xf>
    <xf numFmtId="170" fontId="8" fillId="4" borderId="11" xfId="61"/>
    <xf numFmtId="169" fontId="31" fillId="0" borderId="0" xfId="2" applyFont="1"/>
    <xf numFmtId="169" fontId="10" fillId="0" borderId="0" xfId="2" applyFont="1"/>
    <xf numFmtId="0" fontId="3" fillId="37" borderId="0" xfId="1" applyFont="1" applyFill="1" applyAlignment="1"/>
    <xf numFmtId="0" fontId="5" fillId="37" borderId="0" xfId="1" applyFill="1"/>
    <xf numFmtId="0" fontId="5" fillId="37" borderId="0" xfId="1" applyFont="1" applyFill="1"/>
    <xf numFmtId="168" fontId="7" fillId="37" borderId="0" xfId="1" applyNumberFormat="1" applyFont="1" applyFill="1" applyAlignment="1">
      <alignment horizontal="left"/>
    </xf>
    <xf numFmtId="0" fontId="7" fillId="37" borderId="0" xfId="1" applyFont="1" applyFill="1"/>
    <xf numFmtId="169" fontId="4" fillId="0" borderId="0" xfId="2" applyFont="1"/>
    <xf numFmtId="4" fontId="4" fillId="0" borderId="0" xfId="0" applyNumberFormat="1" applyFont="1"/>
    <xf numFmtId="169" fontId="4" fillId="0" borderId="0" xfId="2" applyFill="1"/>
    <xf numFmtId="173" fontId="4" fillId="0" borderId="0" xfId="0" applyNumberFormat="1" applyFont="1" applyFill="1"/>
    <xf numFmtId="0" fontId="4" fillId="0" borderId="0" xfId="0" applyFont="1" applyFill="1"/>
  </cellXfs>
  <cellStyles count="63">
    <cellStyle name="20% - Accent1" xfId="36" builtinId="30" hidden="1"/>
    <cellStyle name="20% - Accent2" xfId="40" builtinId="34" hidden="1"/>
    <cellStyle name="20% - Accent3" xfId="44" builtinId="38" hidden="1"/>
    <cellStyle name="20% - Accent4" xfId="48" builtinId="42" hidden="1"/>
    <cellStyle name="20% - Accent5" xfId="52" builtinId="46" hidden="1"/>
    <cellStyle name="20% - Accent6" xfId="56" builtinId="50" hidden="1"/>
    <cellStyle name="40% - Accent1" xfId="37" builtinId="31" hidden="1"/>
    <cellStyle name="40% - Accent2" xfId="41" builtinId="35" hidden="1"/>
    <cellStyle name="40% - Accent3" xfId="45" builtinId="39" hidden="1"/>
    <cellStyle name="40% - Accent4" xfId="49" builtinId="43" hidden="1"/>
    <cellStyle name="40% - Accent5" xfId="53" builtinId="47" hidden="1"/>
    <cellStyle name="40% - Accent6" xfId="57" builtinId="51" hidden="1"/>
    <cellStyle name="60% - Accent1" xfId="38" builtinId="32" hidden="1"/>
    <cellStyle name="60% - Accent2" xfId="42" builtinId="36" hidden="1"/>
    <cellStyle name="60% - Accent3" xfId="46" builtinId="40" hidden="1"/>
    <cellStyle name="60% - Accent4" xfId="50" builtinId="44" hidden="1"/>
    <cellStyle name="60% - Accent5" xfId="54" builtinId="48" hidden="1"/>
    <cellStyle name="60% - Accent6" xfId="58" builtinId="52" hidden="1"/>
    <cellStyle name="Accent1" xfId="35" builtinId="29" hidden="1"/>
    <cellStyle name="Accent2" xfId="39" builtinId="33" hidden="1"/>
    <cellStyle name="Accent3" xfId="43" builtinId="37" hidden="1"/>
    <cellStyle name="Accent4" xfId="47" builtinId="41" hidden="1"/>
    <cellStyle name="Accent5" xfId="51" builtinId="45" hidden="1"/>
    <cellStyle name="Accent6" xfId="55" builtinId="49" hidden="1"/>
    <cellStyle name="Bad" xfId="24" builtinId="27" hidden="1"/>
    <cellStyle name="Calculation" xfId="28" builtinId="22" hidden="1"/>
    <cellStyle name="Check Cell" xfId="30" builtinId="23" hidden="1"/>
    <cellStyle name="Comma" xfId="13" builtinId="3" hidden="1"/>
    <cellStyle name="Comma [0]" xfId="14" builtinId="6" hidden="1"/>
    <cellStyle name="Currency" xfId="15" builtinId="4" hidden="1"/>
    <cellStyle name="Currency [0]" xfId="16" builtinId="7" hidden="1"/>
    <cellStyle name="Explanatory Text" xfId="33" builtinId="53" hidden="1"/>
    <cellStyle name="Good" xfId="23" builtinId="26" hidden="1"/>
    <cellStyle name="Heading 1" xfId="19" builtinId="16" hidden="1"/>
    <cellStyle name="Heading 2" xfId="20" builtinId="17" hidden="1"/>
    <cellStyle name="Heading 3" xfId="21" builtinId="18" hidden="1"/>
    <cellStyle name="Heading 4" xfId="22" builtinId="19" hidden="1"/>
    <cellStyle name="Hyperlink" xfId="4" builtinId="8" hidden="1"/>
    <cellStyle name="Input" xfId="26" builtinId="20" hidden="1"/>
    <cellStyle name="Linked Cell" xfId="29" builtinId="24" hidden="1"/>
    <cellStyle name="M Section Header" xfId="7" xr:uid="{00000000-0005-0000-0000-000028000000}"/>
    <cellStyle name="M TopHeader" xfId="1" xr:uid="{00000000-0005-0000-0000-000029000000}"/>
    <cellStyle name="M Units" xfId="3" xr:uid="{00000000-0005-0000-0000-00002A000000}"/>
    <cellStyle name="M Wkg text" xfId="12" xr:uid="{00000000-0005-0000-0000-00002B000000}"/>
    <cellStyle name="M-A 0dp" xfId="9" xr:uid="{00000000-0005-0000-0000-00002C000000}"/>
    <cellStyle name="M-A 2dp" xfId="60" xr:uid="{00000000-0005-0000-0000-00002D000000}"/>
    <cellStyle name="M-A Date" xfId="61" xr:uid="{00000000-0005-0000-0000-00002E000000}"/>
    <cellStyle name="M-A Fixed 0dp" xfId="10" xr:uid="{00000000-0005-0000-0000-00002F000000}"/>
    <cellStyle name="M-A Pct2dp" xfId="8" xr:uid="{00000000-0005-0000-0000-000030000000}"/>
    <cellStyle name="M-C 0dp Num" xfId="2" xr:uid="{00000000-0005-0000-0000-000031000000}"/>
    <cellStyle name="M-C 2dp Num" xfId="59" xr:uid="{00000000-0005-0000-0000-000032000000}"/>
    <cellStyle name="M-C Bld 0dp" xfId="5" xr:uid="{00000000-0005-0000-0000-000033000000}"/>
    <cellStyle name="M-C Date" xfId="6" xr:uid="{00000000-0005-0000-0000-000034000000}"/>
    <cellStyle name="M-C Pct 2DP" xfId="11" xr:uid="{00000000-0005-0000-0000-000035000000}"/>
    <cellStyle name="Neutral" xfId="25" builtinId="28" hidden="1"/>
    <cellStyle name="Normal" xfId="0" builtinId="0"/>
    <cellStyle name="Normal 2" xfId="62" xr:uid="{BACD811B-DBE0-4053-96E7-6FEE3A065C87}"/>
    <cellStyle name="Note" xfId="32" builtinId="10" hidden="1"/>
    <cellStyle name="Output" xfId="27" builtinId="21" hidden="1"/>
    <cellStyle name="Percent" xfId="17" builtinId="5" hidden="1"/>
    <cellStyle name="Title" xfId="18" builtinId="15" hidden="1"/>
    <cellStyle name="Total" xfId="34" builtinId="25" hidden="1"/>
    <cellStyle name="Warning Text" xfId="31" builtinId="11" hidden="1"/>
  </cellStyles>
  <dxfs count="0"/>
  <tableStyles count="0" defaultTableStyle="TableStyleMedium2" defaultPivotStyle="PivotStyleLight16"/>
  <colors>
    <mruColors>
      <color rgb="FF004471"/>
      <color rgb="FF0C3E72"/>
      <color rgb="FF0000FF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25400</xdr:colOff>
      <xdr:row>0</xdr:row>
      <xdr:rowOff>39292</xdr:rowOff>
    </xdr:from>
    <xdr:to>
      <xdr:col>9</xdr:col>
      <xdr:colOff>520700</xdr:colOff>
      <xdr:row>2</xdr:row>
      <xdr:rowOff>171195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A2CEA0-9F72-C044-9EE9-A7AEFA6C1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0" y="39292"/>
          <a:ext cx="2552700" cy="6526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876300</xdr:colOff>
      <xdr:row>0</xdr:row>
      <xdr:rowOff>0</xdr:rowOff>
    </xdr:from>
    <xdr:to>
      <xdr:col>9</xdr:col>
      <xdr:colOff>406400</xdr:colOff>
      <xdr:row>2</xdr:row>
      <xdr:rowOff>131903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C514DB8-0C45-8C47-9979-4889C4567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0"/>
          <a:ext cx="2552700" cy="6526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0C0"/>
    <outlinePr summaryBelow="0"/>
  </sheetPr>
  <dimension ref="A1:J49"/>
  <sheetViews>
    <sheetView showGridLines="0" tabSelected="1" zoomScaleNormal="100" zoomScalePageLayoutView="85" workbookViewId="0">
      <pane ySplit="3" topLeftCell="A4" activePane="bottomLeft" state="frozen"/>
      <selection pane="bottomLeft" activeCell="A4" sqref="A4"/>
    </sheetView>
  </sheetViews>
  <sheetFormatPr baseColWidth="10" defaultColWidth="8.83203125" defaultRowHeight="13" x14ac:dyDescent="0.15"/>
  <cols>
    <col min="1" max="1" width="7.33203125" style="2" customWidth="1"/>
    <col min="2" max="2" width="4.6640625" style="2" customWidth="1"/>
    <col min="3" max="3" width="3.6640625" style="11" customWidth="1"/>
    <col min="4" max="4" width="40.6640625" style="11" customWidth="1"/>
    <col min="5" max="6" width="12.6640625" style="2" customWidth="1"/>
    <col min="7" max="7" width="3.6640625" style="2" customWidth="1"/>
    <col min="8" max="8" width="10.6640625" style="12" customWidth="1"/>
    <col min="9" max="9" width="12.6640625" style="2" customWidth="1"/>
    <col min="10" max="10" width="15.6640625" style="2" customWidth="1"/>
    <col min="11" max="16384" width="8.83203125" style="2"/>
  </cols>
  <sheetData>
    <row r="1" spans="1:10" ht="23" x14ac:dyDescent="0.25">
      <c r="A1" s="28" t="s">
        <v>82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s="3" customFormat="1" ht="18" customHeight="1" x14ac:dyDescent="0.2">
      <c r="A2" s="30"/>
      <c r="B2" s="30"/>
      <c r="C2" s="30"/>
      <c r="D2" s="30"/>
      <c r="E2" s="30"/>
      <c r="F2" s="30"/>
      <c r="G2" s="30"/>
      <c r="H2" s="30"/>
      <c r="I2" s="30"/>
      <c r="J2" s="30"/>
    </row>
    <row r="3" spans="1:10" ht="18" customHeight="1" x14ac:dyDescent="0.2">
      <c r="A3" s="31"/>
      <c r="B3" s="29"/>
      <c r="C3" s="32" t="s">
        <v>4</v>
      </c>
      <c r="D3" s="29"/>
      <c r="E3" s="29"/>
      <c r="F3" s="29"/>
      <c r="G3" s="29"/>
      <c r="H3" s="29"/>
      <c r="I3" s="29"/>
      <c r="J3" s="29"/>
    </row>
    <row r="4" spans="1:10" s="4" customFormat="1" ht="12" customHeight="1" x14ac:dyDescent="0.15">
      <c r="F4" s="16"/>
      <c r="H4" s="5"/>
      <c r="I4" s="16"/>
    </row>
    <row r="5" spans="1:10" s="4" customFormat="1" ht="12" customHeight="1" x14ac:dyDescent="0.15">
      <c r="H5" s="5"/>
    </row>
    <row r="6" spans="1:10" s="4" customFormat="1" ht="12" customHeight="1" x14ac:dyDescent="0.15">
      <c r="H6" s="5"/>
    </row>
    <row r="7" spans="1:10" s="4" customFormat="1" ht="12" customHeight="1" x14ac:dyDescent="0.15">
      <c r="H7" s="5"/>
    </row>
    <row r="8" spans="1:10" s="4" customFormat="1" ht="12" customHeight="1" x14ac:dyDescent="0.15">
      <c r="H8" s="5"/>
    </row>
    <row r="9" spans="1:10" s="4" customFormat="1" ht="12" customHeight="1" x14ac:dyDescent="0.15">
      <c r="H9" s="5"/>
    </row>
    <row r="10" spans="1:10" s="4" customFormat="1" ht="12" customHeight="1" x14ac:dyDescent="0.15">
      <c r="E10" s="7"/>
      <c r="H10" s="5"/>
    </row>
    <row r="11" spans="1:10" ht="12" customHeight="1" x14ac:dyDescent="0.15">
      <c r="A11" s="9"/>
      <c r="B11" s="9"/>
      <c r="C11" s="9" t="s">
        <v>5</v>
      </c>
      <c r="D11" s="9"/>
      <c r="E11" s="9"/>
      <c r="F11" s="9"/>
      <c r="G11" s="9"/>
      <c r="H11" s="9"/>
      <c r="I11" s="9"/>
      <c r="J11" s="9"/>
    </row>
    <row r="12" spans="1:10" s="10" customFormat="1" ht="12" customHeight="1" x14ac:dyDescent="0.15">
      <c r="A12" s="20"/>
      <c r="B12" s="20"/>
      <c r="C12" s="20"/>
      <c r="D12" s="20"/>
      <c r="E12" s="20"/>
      <c r="F12" s="20"/>
      <c r="G12" s="20"/>
      <c r="H12" s="20"/>
      <c r="I12" s="20"/>
      <c r="J12" s="20"/>
    </row>
    <row r="13" spans="1:10" ht="12" customHeight="1" x14ac:dyDescent="0.15">
      <c r="A13" s="19"/>
      <c r="B13" s="19"/>
      <c r="C13" s="7"/>
      <c r="D13" s="19"/>
      <c r="E13" s="22"/>
      <c r="F13" s="19"/>
      <c r="G13" s="19"/>
      <c r="H13" s="19"/>
      <c r="I13" s="19"/>
      <c r="J13" s="19"/>
    </row>
    <row r="14" spans="1:10" ht="12" customHeight="1" x14ac:dyDescent="0.15">
      <c r="A14" s="19"/>
      <c r="B14" s="19"/>
      <c r="C14" s="19"/>
      <c r="D14" s="19" t="s">
        <v>6</v>
      </c>
      <c r="E14" s="22"/>
      <c r="F14" s="19"/>
      <c r="G14" s="19"/>
      <c r="H14" s="23"/>
      <c r="I14" s="18">
        <v>1000</v>
      </c>
      <c r="J14" s="19"/>
    </row>
    <row r="15" spans="1:10" ht="12" customHeight="1" x14ac:dyDescent="0.15">
      <c r="A15" s="19"/>
      <c r="B15" s="19"/>
      <c r="C15" s="19"/>
      <c r="D15" s="19"/>
      <c r="E15" s="22"/>
      <c r="F15" s="19"/>
      <c r="G15" s="19"/>
      <c r="H15" s="23"/>
      <c r="I15" s="19"/>
      <c r="J15" s="19"/>
    </row>
    <row r="16" spans="1:10" ht="12" customHeight="1" x14ac:dyDescent="0.15">
      <c r="A16" s="19"/>
      <c r="B16" s="19"/>
      <c r="C16" s="19"/>
      <c r="D16" s="19" t="s">
        <v>7</v>
      </c>
      <c r="E16" s="22"/>
      <c r="F16" s="19"/>
      <c r="G16" s="19"/>
      <c r="H16" s="23"/>
      <c r="I16" s="24">
        <v>1000</v>
      </c>
      <c r="J16" s="19"/>
    </row>
    <row r="17" spans="1:10" ht="12" customHeight="1" x14ac:dyDescent="0.15">
      <c r="A17" s="19"/>
      <c r="B17" s="19"/>
      <c r="C17" s="19"/>
      <c r="D17" s="19"/>
      <c r="E17" s="22"/>
      <c r="F17" s="19"/>
      <c r="G17" s="19"/>
      <c r="H17" s="19"/>
      <c r="I17" s="19"/>
      <c r="J17" s="19"/>
    </row>
    <row r="18" spans="1:10" ht="12" customHeight="1" x14ac:dyDescent="0.15">
      <c r="A18" s="19"/>
      <c r="B18" s="19"/>
      <c r="C18" s="19"/>
      <c r="D18" s="19" t="s">
        <v>8</v>
      </c>
      <c r="E18" s="22"/>
      <c r="F18" s="19"/>
      <c r="G18" s="19"/>
      <c r="H18" s="19"/>
      <c r="I18" s="13">
        <v>0.5</v>
      </c>
      <c r="J18" s="19"/>
    </row>
    <row r="19" spans="1:10" ht="12" customHeight="1" x14ac:dyDescent="0.15">
      <c r="A19" s="19"/>
      <c r="B19" s="19"/>
      <c r="C19" s="19"/>
      <c r="D19" s="19"/>
      <c r="E19" s="22"/>
      <c r="F19" s="19"/>
      <c r="G19" s="19"/>
      <c r="H19" s="19"/>
      <c r="I19" s="19"/>
      <c r="J19" s="19"/>
    </row>
    <row r="20" spans="1:10" ht="12" customHeight="1" x14ac:dyDescent="0.15">
      <c r="A20" s="19"/>
      <c r="B20" s="19"/>
      <c r="C20" s="19"/>
      <c r="D20" s="19" t="s">
        <v>9</v>
      </c>
      <c r="E20" s="22"/>
      <c r="F20" s="19"/>
      <c r="G20" s="19"/>
      <c r="H20" s="19"/>
      <c r="I20" s="25">
        <v>42369</v>
      </c>
      <c r="J20" s="19"/>
    </row>
    <row r="21" spans="1:10" ht="12" customHeight="1" x14ac:dyDescent="0.15">
      <c r="A21" s="19"/>
      <c r="B21" s="19"/>
      <c r="C21" s="19"/>
      <c r="D21" s="19"/>
      <c r="E21" s="22"/>
      <c r="F21" s="19"/>
      <c r="G21" s="19"/>
      <c r="H21" s="19"/>
      <c r="I21" s="19"/>
      <c r="J21" s="19"/>
    </row>
    <row r="22" spans="1:10" ht="12" customHeight="1" x14ac:dyDescent="0.15">
      <c r="A22" s="19"/>
      <c r="B22" s="19"/>
      <c r="C22" s="19"/>
      <c r="D22" s="19" t="s">
        <v>10</v>
      </c>
      <c r="E22" s="22"/>
      <c r="F22" s="19"/>
      <c r="G22" s="19"/>
      <c r="H22" s="19"/>
      <c r="I22" s="4">
        <v>1000</v>
      </c>
      <c r="J22" s="19"/>
    </row>
    <row r="23" spans="1:10" ht="12" customHeight="1" x14ac:dyDescent="0.15">
      <c r="A23" s="19"/>
      <c r="B23" s="19"/>
      <c r="C23" s="19"/>
      <c r="D23" s="19"/>
      <c r="E23" s="22"/>
      <c r="F23" s="19"/>
      <c r="G23" s="19"/>
      <c r="H23" s="19"/>
      <c r="I23" s="19"/>
      <c r="J23" s="19"/>
    </row>
    <row r="24" spans="1:10" ht="12" customHeight="1" x14ac:dyDescent="0.15">
      <c r="A24" s="19"/>
      <c r="B24" s="19"/>
      <c r="C24" s="19"/>
      <c r="D24" s="19" t="s">
        <v>22</v>
      </c>
      <c r="E24" s="22"/>
      <c r="F24" s="19"/>
      <c r="G24" s="19"/>
      <c r="H24" s="19"/>
      <c r="I24" s="4">
        <v>-1000</v>
      </c>
      <c r="J24" s="19"/>
    </row>
    <row r="25" spans="1:10" ht="12" customHeight="1" x14ac:dyDescent="0.15">
      <c r="A25" s="19"/>
      <c r="B25" s="19"/>
      <c r="C25" s="19"/>
      <c r="D25" s="19"/>
      <c r="E25" s="22"/>
      <c r="F25" s="19"/>
      <c r="G25" s="19"/>
      <c r="H25" s="19"/>
      <c r="I25" s="19"/>
      <c r="J25" s="19"/>
    </row>
    <row r="26" spans="1:10" ht="12" customHeight="1" x14ac:dyDescent="0.15">
      <c r="A26" s="19"/>
      <c r="B26" s="19"/>
      <c r="C26" s="19"/>
      <c r="D26" s="19" t="s">
        <v>11</v>
      </c>
      <c r="E26" s="22"/>
      <c r="F26" s="19"/>
      <c r="G26" s="19"/>
      <c r="H26" s="19"/>
      <c r="I26" s="19">
        <v>1000</v>
      </c>
      <c r="J26" s="19"/>
    </row>
    <row r="27" spans="1:10" ht="12" customHeight="1" x14ac:dyDescent="0.15">
      <c r="A27" s="19"/>
      <c r="B27" s="19"/>
      <c r="C27" s="19"/>
      <c r="D27" s="19"/>
      <c r="E27" s="22"/>
      <c r="F27" s="19"/>
      <c r="G27" s="19"/>
      <c r="H27" s="19"/>
      <c r="I27" s="19"/>
      <c r="J27" s="19"/>
    </row>
    <row r="28" spans="1:10" ht="12" customHeight="1" x14ac:dyDescent="0.15">
      <c r="A28" s="19"/>
      <c r="B28" s="19"/>
      <c r="C28" s="19"/>
      <c r="D28" s="19" t="s">
        <v>12</v>
      </c>
      <c r="E28" s="22"/>
      <c r="F28" s="19"/>
      <c r="G28" s="19"/>
      <c r="H28" s="19"/>
      <c r="I28" s="15">
        <v>0.5</v>
      </c>
      <c r="J28" s="19"/>
    </row>
    <row r="29" spans="1:10" ht="12" customHeight="1" x14ac:dyDescent="0.15">
      <c r="A29" s="19"/>
      <c r="B29" s="19"/>
      <c r="C29" s="19"/>
      <c r="D29" s="19"/>
      <c r="E29" s="22"/>
      <c r="F29" s="19"/>
      <c r="G29" s="19"/>
      <c r="H29" s="19"/>
      <c r="I29" s="19"/>
      <c r="J29" s="19"/>
    </row>
    <row r="30" spans="1:10" ht="12" customHeight="1" x14ac:dyDescent="0.15">
      <c r="A30" s="19"/>
      <c r="B30" s="19"/>
      <c r="C30" s="19"/>
      <c r="D30" s="19" t="s">
        <v>24</v>
      </c>
      <c r="E30" s="22"/>
      <c r="F30" s="19"/>
      <c r="G30" s="19"/>
      <c r="H30" s="19"/>
      <c r="I30" s="21">
        <v>0</v>
      </c>
      <c r="J30" s="19"/>
    </row>
    <row r="31" spans="1:10" ht="12" customHeight="1" x14ac:dyDescent="0.15">
      <c r="A31" s="19"/>
      <c r="B31" s="19"/>
      <c r="C31" s="19"/>
      <c r="D31" s="19"/>
      <c r="E31" s="22"/>
      <c r="F31" s="19"/>
      <c r="G31" s="19"/>
      <c r="H31" s="19"/>
      <c r="I31" s="19"/>
      <c r="J31" s="19"/>
    </row>
    <row r="32" spans="1:10" ht="12" customHeight="1" x14ac:dyDescent="0.15">
      <c r="A32" s="19"/>
      <c r="B32" s="19"/>
      <c r="C32" s="19"/>
      <c r="D32" s="19" t="s">
        <v>13</v>
      </c>
      <c r="E32" s="22"/>
      <c r="F32" s="19"/>
      <c r="G32" s="19"/>
      <c r="H32" s="19"/>
      <c r="I32" s="8">
        <v>42369</v>
      </c>
      <c r="J32" s="19"/>
    </row>
    <row r="33" spans="1:10" ht="12" customHeight="1" x14ac:dyDescent="0.15">
      <c r="A33" s="19"/>
      <c r="B33" s="19"/>
      <c r="C33" s="19"/>
      <c r="D33" s="19"/>
      <c r="E33" s="22"/>
      <c r="F33" s="19"/>
      <c r="G33" s="19"/>
      <c r="H33" s="19"/>
      <c r="I33" s="19"/>
      <c r="J33" s="19"/>
    </row>
    <row r="34" spans="1:10" ht="12" customHeight="1" x14ac:dyDescent="0.15">
      <c r="A34" s="19"/>
      <c r="B34" s="19"/>
      <c r="C34" s="19"/>
      <c r="D34" s="19" t="s">
        <v>20</v>
      </c>
      <c r="E34" s="22"/>
      <c r="F34" s="19"/>
      <c r="G34" s="19"/>
      <c r="H34" s="19"/>
      <c r="I34" s="16" t="s">
        <v>21</v>
      </c>
      <c r="J34" s="19"/>
    </row>
    <row r="35" spans="1:10" ht="12" customHeight="1" x14ac:dyDescent="0.15">
      <c r="A35" s="19"/>
      <c r="B35" s="19"/>
      <c r="C35" s="19"/>
      <c r="D35" s="19"/>
      <c r="E35" s="22"/>
      <c r="F35" s="19"/>
      <c r="G35" s="19"/>
      <c r="H35" s="19"/>
      <c r="I35" s="19"/>
      <c r="J35" s="19"/>
    </row>
    <row r="36" spans="1:10" ht="12" customHeight="1" x14ac:dyDescent="0.15">
      <c r="A36" s="19"/>
      <c r="B36" s="19"/>
      <c r="C36" s="19"/>
      <c r="D36" s="19" t="s">
        <v>14</v>
      </c>
      <c r="E36" s="22"/>
      <c r="F36" s="19"/>
      <c r="G36" s="19"/>
      <c r="H36" s="19"/>
      <c r="I36" s="23" t="s">
        <v>3</v>
      </c>
      <c r="J36" s="19"/>
    </row>
    <row r="37" spans="1:10" ht="12" customHeight="1" x14ac:dyDescent="0.15">
      <c r="A37" s="19"/>
      <c r="B37" s="19"/>
      <c r="C37" s="19"/>
      <c r="D37" s="19"/>
      <c r="E37" s="22"/>
      <c r="F37" s="19"/>
      <c r="G37" s="19"/>
      <c r="H37" s="19"/>
      <c r="I37" s="19"/>
      <c r="J37" s="19"/>
    </row>
    <row r="38" spans="1:10" ht="12" customHeight="1" x14ac:dyDescent="0.15">
      <c r="A38" s="19"/>
      <c r="B38" s="19"/>
      <c r="C38" s="19"/>
      <c r="D38" s="19" t="s">
        <v>15</v>
      </c>
      <c r="E38" s="22"/>
      <c r="F38" s="19"/>
      <c r="G38" s="19"/>
      <c r="H38" s="19"/>
      <c r="I38" s="14">
        <v>1000</v>
      </c>
      <c r="J38" s="19"/>
    </row>
    <row r="39" spans="1:10" ht="12" customHeight="1" x14ac:dyDescent="0.15">
      <c r="A39" s="19"/>
      <c r="B39" s="19"/>
      <c r="C39" s="19"/>
      <c r="D39" s="19"/>
      <c r="E39" s="22"/>
      <c r="F39" s="19"/>
      <c r="G39" s="19"/>
      <c r="H39" s="19"/>
      <c r="I39" s="19"/>
      <c r="J39" s="19"/>
    </row>
    <row r="40" spans="1:10" ht="12" customHeight="1" x14ac:dyDescent="0.15">
      <c r="A40" s="19"/>
      <c r="B40" s="19"/>
      <c r="C40" s="19"/>
      <c r="D40" s="19" t="s">
        <v>16</v>
      </c>
      <c r="E40" s="22"/>
      <c r="F40" s="19"/>
      <c r="G40" s="19"/>
      <c r="H40" s="19"/>
      <c r="I40" s="7" t="s">
        <v>17</v>
      </c>
      <c r="J40" s="19"/>
    </row>
    <row r="41" spans="1:10" ht="12" customHeight="1" x14ac:dyDescent="0.15">
      <c r="A41" s="19"/>
      <c r="B41" s="19"/>
      <c r="C41" s="19"/>
      <c r="D41" s="19"/>
      <c r="E41" s="22"/>
      <c r="F41" s="19"/>
      <c r="G41" s="19"/>
      <c r="H41" s="19"/>
      <c r="I41" s="19"/>
      <c r="J41" s="19"/>
    </row>
    <row r="42" spans="1:10" ht="12" customHeight="1" x14ac:dyDescent="0.15">
      <c r="A42" s="19"/>
      <c r="B42" s="19"/>
      <c r="C42" s="19"/>
      <c r="D42" s="19" t="s">
        <v>2</v>
      </c>
      <c r="E42" s="22"/>
      <c r="F42" s="19"/>
      <c r="G42" s="19"/>
      <c r="H42" s="19"/>
      <c r="I42" s="17">
        <v>1000</v>
      </c>
      <c r="J42" s="19"/>
    </row>
    <row r="43" spans="1:10" ht="12" customHeight="1" x14ac:dyDescent="0.15">
      <c r="A43" s="19"/>
      <c r="B43" s="19"/>
      <c r="C43" s="19"/>
      <c r="D43" s="19"/>
      <c r="E43" s="22"/>
      <c r="F43" s="19"/>
      <c r="G43" s="19"/>
      <c r="H43" s="19"/>
      <c r="I43" s="19"/>
      <c r="J43" s="19"/>
    </row>
    <row r="44" spans="1:10" ht="12" customHeight="1" x14ac:dyDescent="0.2">
      <c r="A44" s="19"/>
      <c r="B44" s="19"/>
      <c r="C44" s="19"/>
      <c r="D44" s="19" t="s">
        <v>18</v>
      </c>
      <c r="E44" s="22"/>
      <c r="F44" s="19"/>
      <c r="G44" s="19"/>
      <c r="H44" s="19"/>
      <c r="I44" s="1" t="s">
        <v>17</v>
      </c>
      <c r="J44" s="19"/>
    </row>
    <row r="45" spans="1:10" ht="12" customHeight="1" x14ac:dyDescent="0.15">
      <c r="A45" s="19"/>
      <c r="B45" s="19"/>
      <c r="C45" s="19"/>
      <c r="D45" s="19"/>
      <c r="E45" s="22"/>
      <c r="F45" s="19"/>
      <c r="G45" s="19"/>
      <c r="H45" s="19"/>
      <c r="I45" s="19"/>
      <c r="J45" s="19"/>
    </row>
    <row r="46" spans="1:10" ht="12" customHeight="1" x14ac:dyDescent="0.15">
      <c r="A46" s="19"/>
      <c r="B46" s="19"/>
      <c r="C46" s="19"/>
      <c r="D46" s="19" t="s">
        <v>19</v>
      </c>
      <c r="E46" s="22"/>
      <c r="F46" s="19"/>
      <c r="G46" s="19"/>
      <c r="H46" s="19"/>
      <c r="I46" s="9" t="s">
        <v>17</v>
      </c>
      <c r="J46" s="19"/>
    </row>
    <row r="47" spans="1:10" ht="12" customHeight="1" x14ac:dyDescent="0.15">
      <c r="A47" s="19"/>
      <c r="B47" s="19"/>
      <c r="C47" s="19"/>
      <c r="D47" s="19"/>
      <c r="E47" s="19"/>
      <c r="F47" s="19"/>
      <c r="G47" s="19"/>
      <c r="H47" s="19"/>
      <c r="I47" s="19"/>
      <c r="J47" s="19"/>
    </row>
    <row r="48" spans="1:10" ht="12" customHeight="1" x14ac:dyDescent="0.15">
      <c r="A48" s="9"/>
      <c r="B48" s="9"/>
      <c r="C48" s="9" t="s">
        <v>1</v>
      </c>
      <c r="D48" s="9"/>
      <c r="E48" s="9"/>
      <c r="F48" s="9"/>
      <c r="G48" s="9"/>
      <c r="H48" s="9"/>
      <c r="I48" s="9"/>
      <c r="J48" s="9"/>
    </row>
    <row r="49" ht="12" customHeight="1" x14ac:dyDescent="0.15"/>
  </sheetData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0C0"/>
    <outlinePr summaryBelow="0"/>
  </sheetPr>
  <dimension ref="A1:N98"/>
  <sheetViews>
    <sheetView zoomScale="85" zoomScaleNormal="85" zoomScalePageLayoutView="85" workbookViewId="0">
      <pane ySplit="5" topLeftCell="A6" activePane="bottomLeft" state="frozen"/>
      <selection pane="bottomLeft"/>
    </sheetView>
  </sheetViews>
  <sheetFormatPr baseColWidth="10" defaultColWidth="8.83203125" defaultRowHeight="13" x14ac:dyDescent="0.15"/>
  <cols>
    <col min="1" max="1" width="7.33203125" style="2" customWidth="1"/>
    <col min="2" max="2" width="4.6640625" style="2" customWidth="1"/>
    <col min="3" max="3" width="3.6640625" style="11" customWidth="1"/>
    <col min="4" max="4" width="40.6640625" style="11" customWidth="1"/>
    <col min="5" max="6" width="12.6640625" style="2" customWidth="1"/>
    <col min="7" max="7" width="3.6640625" style="2" customWidth="1"/>
    <col min="8" max="8" width="10.6640625" style="12" customWidth="1"/>
    <col min="9" max="9" width="12.6640625" style="2" customWidth="1"/>
    <col min="10" max="10" width="15.6640625" style="2" customWidth="1"/>
    <col min="11" max="11" width="3.6640625" style="2" customWidth="1"/>
    <col min="12" max="16384" width="8.83203125" style="2"/>
  </cols>
  <sheetData>
    <row r="1" spans="1:14" ht="23" x14ac:dyDescent="0.25">
      <c r="A1" s="28" t="str">
        <f>Formats!A1</f>
        <v>ModelOff 2018 - Round 1 - Section 4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4" s="3" customFormat="1" ht="18" customHeight="1" x14ac:dyDescent="0.2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4" ht="18" customHeight="1" x14ac:dyDescent="0.2">
      <c r="A3" s="31">
        <v>1</v>
      </c>
      <c r="B3" s="29"/>
      <c r="C3" s="32" t="s">
        <v>23</v>
      </c>
      <c r="D3" s="29"/>
      <c r="E3" s="29"/>
      <c r="F3" s="29"/>
      <c r="G3" s="29"/>
      <c r="H3" s="29"/>
      <c r="I3" s="29"/>
      <c r="J3" s="29"/>
      <c r="K3" s="29"/>
    </row>
    <row r="4" spans="1:14" s="4" customFormat="1" ht="12" customHeight="1" x14ac:dyDescent="0.15">
      <c r="F4" s="16"/>
      <c r="H4" s="5"/>
      <c r="I4" s="16"/>
    </row>
    <row r="5" spans="1:14" s="4" customFormat="1" ht="12" customHeight="1" x14ac:dyDescent="0.2">
      <c r="D5" s="6"/>
      <c r="E5" s="7"/>
      <c r="H5" s="5" t="s">
        <v>0</v>
      </c>
    </row>
    <row r="6" spans="1:14" s="4" customFormat="1" ht="12" customHeight="1" x14ac:dyDescent="0.15">
      <c r="E6" s="7"/>
      <c r="H6" s="5"/>
    </row>
    <row r="7" spans="1:14" ht="12" customHeight="1" x14ac:dyDescent="0.15">
      <c r="A7" s="9">
        <f>MAX(A$3:A6)+0.01</f>
        <v>1.01</v>
      </c>
      <c r="B7" s="9"/>
      <c r="C7" s="9" t="s">
        <v>26</v>
      </c>
      <c r="D7" s="9"/>
      <c r="E7" s="9"/>
      <c r="F7" s="9"/>
      <c r="G7" s="9"/>
      <c r="H7" s="9"/>
      <c r="I7" s="9"/>
      <c r="J7" s="9"/>
      <c r="K7" s="9"/>
    </row>
    <row r="8" spans="1:14" ht="12" customHeight="1" x14ac:dyDescent="0.15">
      <c r="A8" s="4"/>
      <c r="B8" s="4"/>
      <c r="C8" s="4"/>
      <c r="D8" s="4"/>
      <c r="E8" s="4"/>
      <c r="F8" s="4"/>
      <c r="G8" s="4"/>
      <c r="H8" s="5"/>
      <c r="I8" s="4"/>
      <c r="J8" s="4"/>
      <c r="K8" s="4"/>
    </row>
    <row r="9" spans="1:14" ht="12" customHeight="1" x14ac:dyDescent="0.15">
      <c r="A9" s="4"/>
      <c r="B9" s="4"/>
      <c r="C9" s="4"/>
      <c r="D9" s="4" t="s">
        <v>44</v>
      </c>
      <c r="E9" s="4"/>
      <c r="F9" s="4"/>
      <c r="G9" s="4"/>
      <c r="H9" s="5" t="s">
        <v>25</v>
      </c>
      <c r="I9" s="25">
        <v>43466</v>
      </c>
      <c r="J9" s="4"/>
      <c r="K9" s="4"/>
      <c r="N9" s="34"/>
    </row>
    <row r="10" spans="1:14" ht="12" customHeight="1" x14ac:dyDescent="0.15">
      <c r="A10" s="4"/>
      <c r="B10" s="4"/>
      <c r="C10" s="4"/>
      <c r="D10" s="4"/>
      <c r="E10" s="4"/>
      <c r="F10" s="4"/>
      <c r="G10" s="4"/>
      <c r="H10" s="5"/>
      <c r="I10" s="4"/>
      <c r="J10" s="4"/>
      <c r="K10" s="4"/>
      <c r="N10" s="34"/>
    </row>
    <row r="11" spans="1:14" ht="12" customHeight="1" x14ac:dyDescent="0.15">
      <c r="A11" s="4"/>
      <c r="B11" s="4"/>
      <c r="C11" s="4"/>
      <c r="D11" s="4" t="s">
        <v>27</v>
      </c>
      <c r="E11" s="4"/>
      <c r="F11" s="4"/>
      <c r="G11" s="4"/>
      <c r="H11" s="5" t="s">
        <v>28</v>
      </c>
      <c r="I11" s="18">
        <v>20</v>
      </c>
      <c r="J11" s="26"/>
      <c r="K11" s="4"/>
      <c r="N11" s="34"/>
    </row>
    <row r="12" spans="1:14" ht="12" customHeight="1" x14ac:dyDescent="0.15">
      <c r="A12" s="4"/>
      <c r="B12" s="4"/>
      <c r="C12" s="4"/>
      <c r="D12" s="4"/>
      <c r="E12" s="4"/>
      <c r="F12" s="4"/>
      <c r="G12" s="4"/>
      <c r="H12" s="5"/>
      <c r="I12" s="4"/>
      <c r="J12" s="4"/>
      <c r="K12" s="4"/>
      <c r="N12" s="34"/>
    </row>
    <row r="13" spans="1:14" ht="12" customHeight="1" x14ac:dyDescent="0.15">
      <c r="A13" s="4"/>
      <c r="B13" s="4"/>
      <c r="C13" s="7" t="s">
        <v>29</v>
      </c>
      <c r="D13" s="27"/>
      <c r="E13" s="35"/>
      <c r="F13" s="35"/>
      <c r="G13" s="4"/>
      <c r="H13" s="5"/>
      <c r="I13" s="35"/>
      <c r="J13" s="35"/>
      <c r="K13" s="4"/>
      <c r="N13" s="34"/>
    </row>
    <row r="14" spans="1:14" ht="12" customHeight="1" x14ac:dyDescent="0.15">
      <c r="A14" s="4"/>
      <c r="B14" s="4"/>
      <c r="C14" s="4"/>
      <c r="D14" s="4" t="s">
        <v>31</v>
      </c>
      <c r="E14" s="36"/>
      <c r="F14" s="35"/>
      <c r="G14" s="4"/>
      <c r="H14" s="5" t="s">
        <v>30</v>
      </c>
      <c r="I14" s="18">
        <v>29</v>
      </c>
      <c r="J14" s="35"/>
      <c r="K14" s="4"/>
      <c r="M14" s="37"/>
      <c r="N14" s="34"/>
    </row>
    <row r="15" spans="1:14" ht="12" customHeight="1" x14ac:dyDescent="0.15">
      <c r="A15" s="4"/>
      <c r="B15" s="4"/>
      <c r="C15" s="4"/>
      <c r="D15" s="4" t="s">
        <v>32</v>
      </c>
      <c r="E15" s="36"/>
      <c r="F15" s="35"/>
      <c r="G15" s="4"/>
      <c r="H15" s="5" t="s">
        <v>30</v>
      </c>
      <c r="I15" s="18">
        <v>27</v>
      </c>
      <c r="J15" s="35"/>
      <c r="K15" s="4"/>
      <c r="M15" s="37"/>
      <c r="N15" s="34"/>
    </row>
    <row r="16" spans="1:14" ht="12" customHeight="1" x14ac:dyDescent="0.15">
      <c r="A16" s="4"/>
      <c r="B16" s="4"/>
      <c r="C16" s="4"/>
      <c r="D16" s="4" t="s">
        <v>33</v>
      </c>
      <c r="E16" s="36"/>
      <c r="F16" s="35"/>
      <c r="G16" s="4"/>
      <c r="H16" s="5" t="s">
        <v>30</v>
      </c>
      <c r="I16" s="18">
        <v>30</v>
      </c>
      <c r="J16" s="35"/>
      <c r="K16" s="4"/>
      <c r="M16" s="37"/>
      <c r="N16" s="34"/>
    </row>
    <row r="17" spans="1:14" ht="12" customHeight="1" x14ac:dyDescent="0.15">
      <c r="A17" s="4"/>
      <c r="B17" s="4"/>
      <c r="C17" s="4"/>
      <c r="D17" s="4" t="s">
        <v>34</v>
      </c>
      <c r="E17" s="36"/>
      <c r="F17" s="35"/>
      <c r="G17" s="4"/>
      <c r="H17" s="5" t="s">
        <v>30</v>
      </c>
      <c r="I17" s="18">
        <v>11</v>
      </c>
      <c r="J17" s="35"/>
      <c r="K17" s="4"/>
      <c r="M17" s="37"/>
      <c r="N17" s="34"/>
    </row>
    <row r="18" spans="1:14" ht="12" customHeight="1" x14ac:dyDescent="0.15">
      <c r="A18" s="4"/>
      <c r="B18" s="4"/>
      <c r="C18" s="4"/>
      <c r="D18" s="4" t="s">
        <v>35</v>
      </c>
      <c r="E18" s="36"/>
      <c r="F18" s="35"/>
      <c r="G18" s="4"/>
      <c r="H18" s="5" t="s">
        <v>30</v>
      </c>
      <c r="I18" s="18">
        <v>9</v>
      </c>
      <c r="J18" s="35"/>
      <c r="K18" s="4"/>
      <c r="M18" s="37"/>
      <c r="N18" s="34"/>
    </row>
    <row r="19" spans="1:14" ht="12" customHeight="1" x14ac:dyDescent="0.15">
      <c r="A19" s="4"/>
      <c r="B19" s="4"/>
      <c r="C19" s="4"/>
      <c r="D19" s="4" t="s">
        <v>36</v>
      </c>
      <c r="E19" s="36"/>
      <c r="F19" s="35"/>
      <c r="G19" s="4"/>
      <c r="H19" s="5" t="s">
        <v>30</v>
      </c>
      <c r="I19" s="18">
        <v>10</v>
      </c>
      <c r="J19" s="35"/>
      <c r="K19" s="4"/>
      <c r="M19" s="37"/>
      <c r="N19" s="34"/>
    </row>
    <row r="20" spans="1:14" ht="12" customHeight="1" x14ac:dyDescent="0.15">
      <c r="A20" s="4"/>
      <c r="B20" s="4"/>
      <c r="C20" s="4"/>
      <c r="D20" s="4" t="s">
        <v>37</v>
      </c>
      <c r="E20" s="36"/>
      <c r="F20" s="35"/>
      <c r="G20" s="4"/>
      <c r="H20" s="5" t="s">
        <v>30</v>
      </c>
      <c r="I20" s="18">
        <v>16</v>
      </c>
      <c r="J20" s="35"/>
      <c r="K20" s="4"/>
      <c r="M20" s="37"/>
      <c r="N20" s="34"/>
    </row>
    <row r="21" spans="1:14" ht="12" customHeight="1" x14ac:dyDescent="0.15">
      <c r="A21" s="4"/>
      <c r="B21" s="4"/>
      <c r="C21" s="4"/>
      <c r="D21" s="4" t="s">
        <v>38</v>
      </c>
      <c r="E21" s="36"/>
      <c r="F21" s="35"/>
      <c r="G21" s="4"/>
      <c r="H21" s="5" t="s">
        <v>30</v>
      </c>
      <c r="I21" s="18">
        <v>19</v>
      </c>
      <c r="J21" s="35"/>
      <c r="K21" s="4"/>
      <c r="M21" s="37"/>
      <c r="N21" s="34"/>
    </row>
    <row r="22" spans="1:14" ht="12" customHeight="1" x14ac:dyDescent="0.15">
      <c r="A22" s="4"/>
      <c r="B22" s="4"/>
      <c r="C22" s="4"/>
      <c r="D22" s="4" t="s">
        <v>39</v>
      </c>
      <c r="E22" s="36"/>
      <c r="F22" s="35"/>
      <c r="G22" s="4"/>
      <c r="H22" s="5" t="s">
        <v>30</v>
      </c>
      <c r="I22" s="18">
        <v>18</v>
      </c>
      <c r="J22" s="35"/>
      <c r="K22" s="4"/>
      <c r="M22" s="37"/>
      <c r="N22" s="34"/>
    </row>
    <row r="23" spans="1:14" ht="12" customHeight="1" x14ac:dyDescent="0.15">
      <c r="A23" s="4"/>
      <c r="B23" s="4"/>
      <c r="C23" s="4"/>
      <c r="D23" s="4" t="s">
        <v>40</v>
      </c>
      <c r="E23" s="36"/>
      <c r="F23" s="35"/>
      <c r="G23" s="4"/>
      <c r="H23" s="5" t="s">
        <v>30</v>
      </c>
      <c r="I23" s="18">
        <v>26</v>
      </c>
      <c r="J23" s="35"/>
      <c r="K23" s="4"/>
      <c r="M23" s="37"/>
      <c r="N23" s="34"/>
    </row>
    <row r="24" spans="1:14" ht="12" customHeight="1" x14ac:dyDescent="0.15">
      <c r="A24" s="4"/>
      <c r="B24" s="4"/>
      <c r="C24" s="4"/>
      <c r="D24" s="4" t="s">
        <v>41</v>
      </c>
      <c r="E24" s="36"/>
      <c r="F24" s="35"/>
      <c r="G24" s="4"/>
      <c r="H24" s="5" t="s">
        <v>30</v>
      </c>
      <c r="I24" s="18">
        <v>24</v>
      </c>
      <c r="J24" s="35"/>
      <c r="K24" s="4"/>
      <c r="M24" s="37"/>
      <c r="N24" s="34"/>
    </row>
    <row r="25" spans="1:14" ht="12" customHeight="1" x14ac:dyDescent="0.15">
      <c r="A25" s="4"/>
      <c r="B25" s="4"/>
      <c r="C25" s="4"/>
      <c r="D25" s="4" t="s">
        <v>42</v>
      </c>
      <c r="E25" s="36"/>
      <c r="F25" s="35"/>
      <c r="G25" s="4"/>
      <c r="H25" s="5" t="s">
        <v>30</v>
      </c>
      <c r="I25" s="18">
        <v>21</v>
      </c>
      <c r="J25" s="35"/>
      <c r="K25" s="4"/>
      <c r="M25" s="37"/>
      <c r="N25" s="34"/>
    </row>
    <row r="26" spans="1:14" ht="12" customHeight="1" x14ac:dyDescent="0.15">
      <c r="A26" s="4"/>
      <c r="B26" s="4"/>
      <c r="C26" s="4"/>
      <c r="D26" s="4"/>
      <c r="E26" s="4"/>
      <c r="F26" s="4"/>
      <c r="G26" s="4"/>
      <c r="H26" s="5"/>
      <c r="I26" s="4"/>
      <c r="J26" s="4"/>
      <c r="K26" s="4"/>
      <c r="N26" s="34"/>
    </row>
    <row r="27" spans="1:14" ht="12" customHeight="1" x14ac:dyDescent="0.15">
      <c r="A27" s="9">
        <f>MAX(A$3:A26)+0.01</f>
        <v>1.02</v>
      </c>
      <c r="B27" s="9"/>
      <c r="C27" s="9" t="s">
        <v>43</v>
      </c>
      <c r="D27" s="9"/>
      <c r="E27" s="9"/>
      <c r="F27" s="9"/>
      <c r="G27" s="9"/>
      <c r="H27" s="9"/>
      <c r="I27" s="9"/>
      <c r="J27" s="9"/>
      <c r="K27" s="9"/>
      <c r="N27" s="34"/>
    </row>
    <row r="28" spans="1:14" x14ac:dyDescent="0.15">
      <c r="A28" s="4"/>
      <c r="B28" s="4"/>
      <c r="C28" s="4"/>
      <c r="D28" s="4"/>
      <c r="E28" s="4"/>
      <c r="F28" s="4"/>
      <c r="G28" s="4"/>
      <c r="H28" s="5"/>
      <c r="I28" s="4"/>
      <c r="J28" s="4"/>
      <c r="K28" s="4"/>
      <c r="N28" s="34"/>
    </row>
    <row r="29" spans="1:14" x14ac:dyDescent="0.15">
      <c r="A29" s="4"/>
      <c r="B29" s="4"/>
      <c r="C29" s="4"/>
      <c r="D29" s="4" t="s">
        <v>45</v>
      </c>
      <c r="E29" s="33" t="s">
        <v>77</v>
      </c>
      <c r="F29" s="4"/>
      <c r="G29" s="4"/>
      <c r="H29" s="5" t="s">
        <v>3</v>
      </c>
      <c r="I29" s="18">
        <v>500</v>
      </c>
      <c r="J29" s="4"/>
      <c r="K29" s="4"/>
      <c r="N29" s="34"/>
    </row>
    <row r="30" spans="1:14" x14ac:dyDescent="0.15">
      <c r="A30" s="4"/>
      <c r="B30" s="4"/>
      <c r="C30" s="4"/>
      <c r="D30" s="26" t="s">
        <v>46</v>
      </c>
      <c r="E30" s="4"/>
      <c r="F30" s="4"/>
      <c r="G30" s="4"/>
      <c r="H30" s="5"/>
      <c r="I30" s="4"/>
      <c r="J30" s="4"/>
      <c r="K30" s="4"/>
      <c r="N30" s="34"/>
    </row>
    <row r="31" spans="1:14" x14ac:dyDescent="0.15">
      <c r="A31" s="4"/>
      <c r="B31" s="4"/>
      <c r="C31" s="4"/>
      <c r="D31" s="4" t="s">
        <v>47</v>
      </c>
      <c r="E31" s="4" t="s">
        <v>78</v>
      </c>
      <c r="F31" s="4"/>
      <c r="G31" s="4"/>
      <c r="H31" s="5" t="s">
        <v>3</v>
      </c>
      <c r="I31" s="18">
        <v>50</v>
      </c>
      <c r="J31" s="4"/>
      <c r="K31" s="4"/>
      <c r="N31" s="34"/>
    </row>
    <row r="32" spans="1:14" x14ac:dyDescent="0.15">
      <c r="A32" s="4"/>
      <c r="B32" s="4"/>
      <c r="C32" s="4"/>
      <c r="D32" s="4" t="s">
        <v>48</v>
      </c>
      <c r="E32" s="4" t="s">
        <v>49</v>
      </c>
      <c r="F32" s="4"/>
      <c r="G32" s="4"/>
      <c r="H32" s="5" t="s">
        <v>50</v>
      </c>
      <c r="I32" s="18">
        <v>60</v>
      </c>
      <c r="J32" s="4"/>
      <c r="K32" s="4"/>
      <c r="N32" s="34"/>
    </row>
    <row r="33" spans="1:14" x14ac:dyDescent="0.15">
      <c r="A33" s="4"/>
      <c r="B33" s="4"/>
      <c r="C33" s="4"/>
      <c r="D33" s="4"/>
      <c r="E33" s="4"/>
      <c r="F33" s="4"/>
      <c r="G33" s="4"/>
      <c r="H33" s="5"/>
      <c r="I33" s="4"/>
      <c r="J33" s="4"/>
      <c r="K33" s="4"/>
      <c r="N33" s="34"/>
    </row>
    <row r="34" spans="1:14" ht="12" customHeight="1" x14ac:dyDescent="0.15">
      <c r="A34" s="9">
        <f>MAX(A$3:A33)+0.01</f>
        <v>1.03</v>
      </c>
      <c r="B34" s="9"/>
      <c r="C34" s="9" t="s">
        <v>51</v>
      </c>
      <c r="D34" s="9"/>
      <c r="E34" s="9"/>
      <c r="F34" s="9"/>
      <c r="G34" s="9"/>
      <c r="H34" s="9"/>
      <c r="I34" s="9"/>
      <c r="J34" s="9"/>
      <c r="K34" s="9"/>
      <c r="N34" s="34"/>
    </row>
    <row r="35" spans="1:14" x14ac:dyDescent="0.15">
      <c r="A35" s="4"/>
      <c r="B35" s="4"/>
      <c r="C35" s="4"/>
      <c r="D35" s="4"/>
      <c r="E35" s="4"/>
      <c r="F35" s="4"/>
      <c r="G35" s="4"/>
      <c r="H35" s="5"/>
      <c r="I35" s="4"/>
      <c r="J35" s="4"/>
      <c r="K35" s="4"/>
      <c r="N35" s="34"/>
    </row>
    <row r="36" spans="1:14" x14ac:dyDescent="0.15">
      <c r="A36" s="4"/>
      <c r="B36" s="4"/>
      <c r="C36" s="4"/>
      <c r="D36" s="4" t="s">
        <v>52</v>
      </c>
      <c r="E36" s="4" t="s">
        <v>49</v>
      </c>
      <c r="F36" s="4"/>
      <c r="G36" s="4"/>
      <c r="H36" s="5" t="s">
        <v>3</v>
      </c>
      <c r="I36" s="18">
        <v>5</v>
      </c>
      <c r="J36" s="4"/>
      <c r="K36" s="4"/>
      <c r="N36" s="34"/>
    </row>
    <row r="37" spans="1:14" x14ac:dyDescent="0.15">
      <c r="A37" s="4"/>
      <c r="B37" s="4"/>
      <c r="C37" s="4"/>
      <c r="D37" s="4" t="s">
        <v>48</v>
      </c>
      <c r="E37" s="4" t="s">
        <v>49</v>
      </c>
      <c r="F37" s="4"/>
      <c r="G37" s="4"/>
      <c r="H37" s="5" t="s">
        <v>50</v>
      </c>
      <c r="I37" s="18">
        <v>40</v>
      </c>
      <c r="J37" s="4"/>
      <c r="K37" s="4"/>
      <c r="N37" s="34"/>
    </row>
    <row r="38" spans="1:14" x14ac:dyDescent="0.15">
      <c r="A38" s="4"/>
      <c r="B38" s="4"/>
      <c r="C38" s="4"/>
      <c r="D38" s="4"/>
      <c r="E38" s="4"/>
      <c r="F38" s="4"/>
      <c r="G38" s="4"/>
      <c r="H38" s="5"/>
      <c r="I38" s="4"/>
      <c r="J38" s="4"/>
      <c r="K38" s="4"/>
      <c r="N38" s="34"/>
    </row>
    <row r="39" spans="1:14" ht="12" customHeight="1" x14ac:dyDescent="0.15">
      <c r="A39" s="9">
        <f>MAX(A$3:A38)+0.01</f>
        <v>1.04</v>
      </c>
      <c r="B39" s="9"/>
      <c r="C39" s="9" t="s">
        <v>53</v>
      </c>
      <c r="D39" s="9"/>
      <c r="E39" s="9"/>
      <c r="F39" s="9"/>
      <c r="G39" s="9"/>
      <c r="H39" s="9"/>
      <c r="I39" s="9"/>
      <c r="J39" s="9"/>
      <c r="K39" s="9"/>
      <c r="N39" s="34"/>
    </row>
    <row r="40" spans="1:14" x14ac:dyDescent="0.15">
      <c r="A40" s="4"/>
      <c r="B40" s="4"/>
      <c r="C40" s="4"/>
      <c r="D40" s="4"/>
      <c r="E40" s="4"/>
      <c r="F40" s="4"/>
      <c r="G40" s="4"/>
      <c r="H40" s="5"/>
      <c r="I40" s="4"/>
      <c r="J40" s="4"/>
      <c r="K40" s="4"/>
      <c r="N40" s="34"/>
    </row>
    <row r="41" spans="1:14" x14ac:dyDescent="0.15">
      <c r="A41" s="4"/>
      <c r="B41" s="4"/>
      <c r="C41" s="4"/>
      <c r="D41" s="4" t="s">
        <v>54</v>
      </c>
      <c r="E41" s="4" t="s">
        <v>81</v>
      </c>
      <c r="F41" s="4"/>
      <c r="G41" s="4"/>
      <c r="H41" s="5" t="s">
        <v>3</v>
      </c>
      <c r="I41" s="18">
        <v>540</v>
      </c>
      <c r="J41" s="4"/>
      <c r="K41" s="4"/>
      <c r="N41" s="34"/>
    </row>
    <row r="42" spans="1:14" x14ac:dyDescent="0.15">
      <c r="A42" s="4"/>
      <c r="B42" s="4"/>
      <c r="C42" s="4"/>
      <c r="D42" s="4" t="s">
        <v>48</v>
      </c>
      <c r="E42" s="4" t="s">
        <v>49</v>
      </c>
      <c r="F42" s="4"/>
      <c r="G42" s="4"/>
      <c r="H42" s="5" t="s">
        <v>50</v>
      </c>
      <c r="I42" s="18">
        <v>35</v>
      </c>
      <c r="J42" s="4"/>
      <c r="K42" s="4"/>
      <c r="N42" s="34"/>
    </row>
    <row r="43" spans="1:14" x14ac:dyDescent="0.15">
      <c r="A43" s="4"/>
      <c r="B43" s="4"/>
      <c r="C43" s="4"/>
      <c r="D43" s="4"/>
      <c r="E43" s="4"/>
      <c r="F43" s="4"/>
      <c r="G43" s="4"/>
      <c r="H43" s="5"/>
      <c r="I43" s="4"/>
      <c r="J43" s="4"/>
      <c r="K43" s="4"/>
      <c r="N43" s="34"/>
    </row>
    <row r="44" spans="1:14" ht="12" customHeight="1" x14ac:dyDescent="0.15">
      <c r="A44" s="9">
        <f>MAX(A$3:A43)+0.01</f>
        <v>1.05</v>
      </c>
      <c r="B44" s="9"/>
      <c r="C44" s="9" t="s">
        <v>63</v>
      </c>
      <c r="D44" s="9"/>
      <c r="E44" s="9"/>
      <c r="F44" s="9"/>
      <c r="G44" s="9"/>
      <c r="H44" s="9"/>
      <c r="I44" s="9"/>
      <c r="J44" s="9"/>
      <c r="K44" s="9"/>
      <c r="N44" s="34"/>
    </row>
    <row r="45" spans="1:14" x14ac:dyDescent="0.15">
      <c r="A45" s="4"/>
      <c r="B45" s="4"/>
      <c r="C45" s="4"/>
      <c r="D45" s="4"/>
      <c r="E45" s="4"/>
      <c r="F45" s="4"/>
      <c r="G45" s="4"/>
      <c r="H45" s="5"/>
      <c r="I45" s="4"/>
      <c r="J45" s="4"/>
      <c r="K45" s="4"/>
      <c r="N45" s="34"/>
    </row>
    <row r="46" spans="1:14" x14ac:dyDescent="0.15">
      <c r="A46" s="4"/>
      <c r="B46" s="4"/>
      <c r="C46" s="4"/>
      <c r="D46" s="4" t="s">
        <v>57</v>
      </c>
      <c r="E46" s="4" t="s">
        <v>49</v>
      </c>
      <c r="F46" s="4"/>
      <c r="G46" s="4"/>
      <c r="H46" s="5" t="s">
        <v>61</v>
      </c>
      <c r="I46" s="18">
        <v>14</v>
      </c>
      <c r="J46" s="4"/>
      <c r="K46" s="4"/>
      <c r="N46" s="34"/>
    </row>
    <row r="47" spans="1:14" x14ac:dyDescent="0.15">
      <c r="A47" s="4"/>
      <c r="B47" s="4"/>
      <c r="C47" s="4"/>
      <c r="D47" s="4" t="s">
        <v>58</v>
      </c>
      <c r="E47" s="4"/>
      <c r="F47" s="4"/>
      <c r="G47" s="4"/>
      <c r="H47" s="5" t="s">
        <v>62</v>
      </c>
      <c r="I47" s="18">
        <v>50</v>
      </c>
      <c r="J47" s="4"/>
      <c r="K47" s="4"/>
      <c r="N47" s="34"/>
    </row>
    <row r="48" spans="1:14" x14ac:dyDescent="0.15">
      <c r="A48" s="4"/>
      <c r="B48" s="4"/>
      <c r="C48" s="4"/>
      <c r="D48" s="4" t="s">
        <v>59</v>
      </c>
      <c r="E48" s="4" t="s">
        <v>60</v>
      </c>
      <c r="F48" s="4"/>
      <c r="G48" s="4"/>
      <c r="H48" s="5" t="s">
        <v>3</v>
      </c>
      <c r="I48" s="18">
        <v>10</v>
      </c>
      <c r="J48" s="4"/>
      <c r="K48" s="4"/>
      <c r="N48" s="34"/>
    </row>
    <row r="49" spans="1:14" x14ac:dyDescent="0.15">
      <c r="A49" s="4"/>
      <c r="B49" s="4"/>
      <c r="C49" s="4"/>
      <c r="D49" s="26" t="s">
        <v>55</v>
      </c>
      <c r="E49" s="4"/>
      <c r="F49" s="4"/>
      <c r="G49" s="4"/>
      <c r="H49" s="5"/>
      <c r="I49" s="4"/>
      <c r="J49" s="4"/>
      <c r="K49" s="4"/>
      <c r="N49" s="34"/>
    </row>
    <row r="50" spans="1:14" x14ac:dyDescent="0.15">
      <c r="A50" s="4"/>
      <c r="B50" s="4"/>
      <c r="C50" s="4"/>
      <c r="D50" s="26" t="s">
        <v>56</v>
      </c>
      <c r="E50" s="4"/>
      <c r="F50" s="4"/>
      <c r="G50" s="4"/>
      <c r="H50" s="5"/>
      <c r="I50" s="4"/>
      <c r="J50" s="4"/>
      <c r="K50" s="4"/>
      <c r="N50" s="34"/>
    </row>
    <row r="51" spans="1:14" x14ac:dyDescent="0.15">
      <c r="A51" s="4"/>
      <c r="B51" s="4"/>
      <c r="C51" s="4"/>
      <c r="D51" s="4"/>
      <c r="E51" s="4"/>
      <c r="F51" s="4"/>
      <c r="G51" s="4"/>
      <c r="H51" s="5"/>
      <c r="I51" s="4"/>
      <c r="J51" s="4"/>
      <c r="K51" s="4"/>
      <c r="N51" s="34"/>
    </row>
    <row r="52" spans="1:14" ht="12" customHeight="1" x14ac:dyDescent="0.15">
      <c r="A52" s="9">
        <f>MAX(A$3:A51)+0.01</f>
        <v>1.06</v>
      </c>
      <c r="B52" s="9"/>
      <c r="C52" s="9" t="s">
        <v>64</v>
      </c>
      <c r="D52" s="9"/>
      <c r="E52" s="9"/>
      <c r="F52" s="9"/>
      <c r="G52" s="9"/>
      <c r="H52" s="9"/>
      <c r="I52" s="9"/>
      <c r="J52" s="9"/>
      <c r="K52" s="9"/>
      <c r="N52" s="34"/>
    </row>
    <row r="53" spans="1:14" x14ac:dyDescent="0.15">
      <c r="A53" s="4"/>
      <c r="B53" s="4"/>
      <c r="C53" s="4"/>
      <c r="D53" s="4"/>
      <c r="E53" s="4"/>
      <c r="F53" s="4"/>
      <c r="G53" s="4"/>
      <c r="H53" s="5"/>
      <c r="I53" s="4"/>
      <c r="J53" s="4"/>
      <c r="K53" s="4"/>
      <c r="N53" s="34"/>
    </row>
    <row r="54" spans="1:14" x14ac:dyDescent="0.15">
      <c r="A54" s="4"/>
      <c r="B54" s="4"/>
      <c r="C54" s="4"/>
      <c r="D54" s="4" t="s">
        <v>65</v>
      </c>
      <c r="E54" s="33" t="s">
        <v>77</v>
      </c>
      <c r="F54" s="4"/>
      <c r="G54" s="4"/>
      <c r="H54" s="5" t="s">
        <v>3</v>
      </c>
      <c r="I54" s="18">
        <v>6000</v>
      </c>
      <c r="J54" s="4"/>
      <c r="K54" s="4"/>
      <c r="N54" s="34"/>
    </row>
    <row r="55" spans="1:14" x14ac:dyDescent="0.15">
      <c r="A55" s="4"/>
      <c r="B55" s="4"/>
      <c r="C55" s="4"/>
      <c r="D55" s="4" t="s">
        <v>66</v>
      </c>
      <c r="E55" s="4" t="s">
        <v>80</v>
      </c>
      <c r="F55" s="4"/>
      <c r="G55" s="4"/>
      <c r="H55" s="5" t="s">
        <v>3</v>
      </c>
      <c r="I55" s="18">
        <v>2000</v>
      </c>
      <c r="J55" s="4"/>
      <c r="K55" s="4"/>
      <c r="N55" s="34"/>
    </row>
    <row r="56" spans="1:14" x14ac:dyDescent="0.15">
      <c r="A56" s="4"/>
      <c r="B56" s="4"/>
      <c r="C56" s="4"/>
      <c r="D56" s="4" t="s">
        <v>67</v>
      </c>
      <c r="E56" s="4" t="s">
        <v>68</v>
      </c>
      <c r="F56" s="4"/>
      <c r="G56" s="4"/>
      <c r="H56" s="5" t="s">
        <v>71</v>
      </c>
      <c r="I56" s="18">
        <v>42</v>
      </c>
      <c r="J56" s="4"/>
      <c r="K56" s="4"/>
      <c r="N56" s="34"/>
    </row>
    <row r="57" spans="1:14" x14ac:dyDescent="0.15">
      <c r="A57" s="4"/>
      <c r="B57" s="4"/>
      <c r="C57" s="4"/>
      <c r="D57" s="4" t="s">
        <v>69</v>
      </c>
      <c r="E57" s="4" t="s">
        <v>78</v>
      </c>
      <c r="F57" s="4"/>
      <c r="G57" s="4"/>
      <c r="H57" s="5" t="s">
        <v>3</v>
      </c>
      <c r="I57" s="18">
        <v>200</v>
      </c>
      <c r="J57" s="4"/>
      <c r="K57" s="4"/>
      <c r="N57" s="34"/>
    </row>
    <row r="58" spans="1:14" x14ac:dyDescent="0.15">
      <c r="A58" s="4"/>
      <c r="B58" s="4"/>
      <c r="C58" s="4"/>
      <c r="D58" s="4" t="s">
        <v>70</v>
      </c>
      <c r="E58" s="4" t="s">
        <v>79</v>
      </c>
      <c r="F58" s="4"/>
      <c r="G58" s="4"/>
      <c r="H58" s="5" t="s">
        <v>3</v>
      </c>
      <c r="I58" s="18">
        <v>300</v>
      </c>
      <c r="J58" s="4"/>
      <c r="K58" s="4"/>
      <c r="N58" s="34"/>
    </row>
    <row r="59" spans="1:14" x14ac:dyDescent="0.15">
      <c r="A59" s="4"/>
      <c r="B59" s="4"/>
      <c r="C59" s="4"/>
      <c r="D59" s="4"/>
      <c r="E59" s="4"/>
      <c r="F59" s="4"/>
      <c r="G59" s="4"/>
      <c r="H59" s="5"/>
      <c r="I59" s="4"/>
      <c r="J59" s="4"/>
      <c r="K59" s="4"/>
      <c r="N59" s="34"/>
    </row>
    <row r="60" spans="1:14" ht="12" customHeight="1" x14ac:dyDescent="0.15">
      <c r="A60" s="9">
        <f>MAX(A$3:A59)+0.01</f>
        <v>1.07</v>
      </c>
      <c r="B60" s="9"/>
      <c r="C60" s="9" t="s">
        <v>72</v>
      </c>
      <c r="D60" s="9"/>
      <c r="E60" s="9"/>
      <c r="F60" s="9"/>
      <c r="G60" s="9"/>
      <c r="H60" s="9"/>
      <c r="I60" s="9"/>
      <c r="J60" s="9"/>
      <c r="K60" s="9"/>
      <c r="N60" s="34"/>
    </row>
    <row r="61" spans="1:14" x14ac:dyDescent="0.15">
      <c r="A61" s="4"/>
      <c r="B61" s="4"/>
      <c r="C61" s="4"/>
      <c r="D61" s="4"/>
      <c r="E61" s="4"/>
      <c r="F61" s="4"/>
      <c r="G61" s="4"/>
      <c r="H61" s="5"/>
      <c r="I61" s="4"/>
      <c r="J61" s="4"/>
      <c r="K61" s="4"/>
      <c r="N61" s="34"/>
    </row>
    <row r="62" spans="1:14" x14ac:dyDescent="0.15">
      <c r="A62" s="4"/>
      <c r="B62" s="4"/>
      <c r="C62" s="4"/>
      <c r="D62" s="4" t="s">
        <v>73</v>
      </c>
      <c r="E62" s="4" t="s">
        <v>74</v>
      </c>
      <c r="F62" s="4"/>
      <c r="G62" s="4"/>
      <c r="H62" s="5" t="s">
        <v>3</v>
      </c>
      <c r="I62" s="18">
        <v>445</v>
      </c>
      <c r="J62" s="4"/>
      <c r="K62" s="4"/>
      <c r="N62" s="34"/>
    </row>
    <row r="63" spans="1:14" x14ac:dyDescent="0.15">
      <c r="A63" s="4"/>
      <c r="B63" s="4"/>
      <c r="C63" s="4"/>
      <c r="D63" s="26" t="s">
        <v>75</v>
      </c>
      <c r="E63" s="4"/>
      <c r="F63" s="4"/>
      <c r="G63" s="4"/>
      <c r="H63" s="5"/>
      <c r="I63" s="4"/>
      <c r="J63" s="4"/>
      <c r="K63" s="4"/>
      <c r="N63" s="34"/>
    </row>
    <row r="64" spans="1:14" x14ac:dyDescent="0.15">
      <c r="A64" s="4"/>
      <c r="B64" s="4"/>
      <c r="C64" s="4"/>
      <c r="D64" s="26" t="s">
        <v>76</v>
      </c>
      <c r="E64" s="4"/>
      <c r="F64" s="4"/>
      <c r="G64" s="4"/>
      <c r="H64" s="5"/>
      <c r="I64" s="4"/>
      <c r="J64" s="4"/>
      <c r="K64" s="4"/>
      <c r="N64" s="34"/>
    </row>
    <row r="65" spans="1:11" x14ac:dyDescent="0.15">
      <c r="A65" s="4"/>
      <c r="B65" s="4"/>
      <c r="C65" s="4"/>
      <c r="D65" s="4"/>
      <c r="E65" s="4"/>
      <c r="F65" s="4"/>
      <c r="G65" s="4"/>
      <c r="H65" s="5"/>
      <c r="I65" s="4"/>
      <c r="J65" s="4"/>
      <c r="K65" s="4"/>
    </row>
    <row r="66" spans="1:11" x14ac:dyDescent="0.15">
      <c r="A66" s="4"/>
      <c r="B66" s="4"/>
      <c r="C66" s="4"/>
      <c r="D66" s="4"/>
      <c r="E66" s="4"/>
      <c r="F66" s="4"/>
      <c r="G66" s="4"/>
      <c r="H66" s="5"/>
      <c r="I66" s="4"/>
      <c r="J66" s="4"/>
      <c r="K66" s="4"/>
    </row>
    <row r="67" spans="1:11" ht="12" customHeight="1" x14ac:dyDescent="0.15">
      <c r="A67" s="9"/>
      <c r="B67" s="9"/>
      <c r="C67" s="9" t="s">
        <v>1</v>
      </c>
      <c r="D67" s="9"/>
      <c r="E67" s="9"/>
      <c r="F67" s="9"/>
      <c r="G67" s="9"/>
      <c r="H67" s="9"/>
      <c r="I67" s="9"/>
      <c r="J67" s="9"/>
      <c r="K67" s="9"/>
    </row>
    <row r="68" spans="1:11" x14ac:dyDescent="0.15">
      <c r="A68" s="4"/>
      <c r="B68" s="4"/>
      <c r="C68" s="7"/>
      <c r="D68" s="4"/>
      <c r="E68" s="4"/>
      <c r="F68" s="4"/>
      <c r="G68" s="4"/>
      <c r="H68" s="5"/>
      <c r="I68" s="4"/>
      <c r="J68" s="4"/>
      <c r="K68" s="4"/>
    </row>
    <row r="69" spans="1:11" x14ac:dyDescent="0.15">
      <c r="A69" s="4"/>
      <c r="B69" s="4"/>
      <c r="C69" s="7"/>
      <c r="D69" s="4"/>
      <c r="E69" s="4"/>
      <c r="F69" s="4"/>
      <c r="G69" s="4"/>
      <c r="H69" s="5"/>
      <c r="I69" s="4"/>
      <c r="J69" s="4"/>
      <c r="K69" s="4"/>
    </row>
    <row r="70" spans="1:11" x14ac:dyDescent="0.15">
      <c r="A70" s="4"/>
      <c r="B70" s="4"/>
      <c r="C70" s="7"/>
      <c r="D70" s="4"/>
      <c r="E70" s="4"/>
      <c r="F70" s="4"/>
      <c r="G70" s="4"/>
      <c r="H70" s="5"/>
      <c r="I70" s="4"/>
      <c r="J70" s="4"/>
      <c r="K70" s="4"/>
    </row>
    <row r="71" spans="1:11" x14ac:dyDescent="0.15">
      <c r="A71" s="4"/>
      <c r="B71" s="4"/>
      <c r="C71" s="7"/>
      <c r="D71" s="4"/>
      <c r="E71" s="4"/>
      <c r="F71" s="4"/>
      <c r="G71" s="4"/>
      <c r="H71" s="5"/>
      <c r="I71" s="4"/>
      <c r="J71" s="4"/>
      <c r="K71" s="4"/>
    </row>
    <row r="72" spans="1:11" x14ac:dyDescent="0.15">
      <c r="A72" s="4"/>
      <c r="B72" s="4"/>
      <c r="C72" s="7"/>
      <c r="D72" s="4"/>
      <c r="E72" s="4"/>
      <c r="F72" s="4"/>
      <c r="G72" s="4"/>
      <c r="H72" s="5"/>
      <c r="I72" s="4"/>
      <c r="J72" s="4"/>
      <c r="K72" s="4"/>
    </row>
    <row r="73" spans="1:11" x14ac:dyDescent="0.15">
      <c r="A73" s="4"/>
      <c r="B73" s="4"/>
      <c r="C73" s="7"/>
      <c r="D73" s="4"/>
      <c r="E73" s="4"/>
      <c r="F73" s="4"/>
      <c r="G73" s="4"/>
      <c r="H73" s="5"/>
      <c r="I73" s="4"/>
      <c r="J73" s="4"/>
      <c r="K73" s="4"/>
    </row>
    <row r="74" spans="1:11" x14ac:dyDescent="0.15">
      <c r="A74" s="4"/>
      <c r="B74" s="4"/>
      <c r="C74" s="7"/>
      <c r="D74" s="4"/>
      <c r="E74" s="4"/>
      <c r="F74" s="4"/>
      <c r="G74" s="4"/>
      <c r="H74" s="5"/>
      <c r="I74" s="4"/>
      <c r="J74" s="4"/>
      <c r="K74" s="4"/>
    </row>
    <row r="75" spans="1:11" x14ac:dyDescent="0.15">
      <c r="A75" s="4"/>
      <c r="B75" s="4"/>
      <c r="C75" s="7"/>
      <c r="D75" s="4"/>
      <c r="E75" s="4"/>
      <c r="F75" s="4"/>
      <c r="G75" s="4"/>
      <c r="H75" s="5"/>
      <c r="I75" s="4"/>
      <c r="J75" s="4"/>
      <c r="K75" s="4"/>
    </row>
    <row r="76" spans="1:11" x14ac:dyDescent="0.15">
      <c r="A76" s="4"/>
      <c r="B76" s="4"/>
      <c r="C76" s="7"/>
      <c r="D76" s="4"/>
      <c r="E76" s="4"/>
      <c r="F76" s="4"/>
      <c r="G76" s="4"/>
      <c r="H76" s="5"/>
      <c r="I76" s="4"/>
      <c r="J76" s="4"/>
      <c r="K76" s="4"/>
    </row>
    <row r="77" spans="1:11" x14ac:dyDescent="0.15">
      <c r="A77" s="4"/>
      <c r="B77" s="4"/>
      <c r="C77" s="7"/>
      <c r="D77" s="4"/>
      <c r="E77" s="4"/>
      <c r="F77" s="4"/>
      <c r="G77" s="4"/>
      <c r="H77" s="5"/>
      <c r="I77" s="4"/>
      <c r="J77" s="4"/>
      <c r="K77" s="4"/>
    </row>
    <row r="78" spans="1:11" x14ac:dyDescent="0.15">
      <c r="A78" s="4"/>
      <c r="B78" s="4"/>
      <c r="C78" s="7"/>
      <c r="D78" s="4"/>
      <c r="E78" s="4"/>
      <c r="F78" s="4"/>
      <c r="G78" s="4"/>
      <c r="H78" s="5"/>
      <c r="I78" s="4"/>
      <c r="J78" s="4"/>
      <c r="K78" s="4"/>
    </row>
    <row r="79" spans="1:11" x14ac:dyDescent="0.15">
      <c r="A79" s="4"/>
      <c r="B79" s="4"/>
      <c r="C79" s="7"/>
      <c r="D79" s="4"/>
      <c r="E79" s="4"/>
      <c r="F79" s="4"/>
      <c r="G79" s="4"/>
      <c r="H79" s="4"/>
      <c r="I79" s="4"/>
      <c r="J79" s="4"/>
      <c r="K79" s="4"/>
    </row>
    <row r="80" spans="1:11" x14ac:dyDescent="0.15">
      <c r="A80" s="4"/>
      <c r="B80" s="4"/>
      <c r="C80" s="7"/>
      <c r="D80" s="4"/>
      <c r="E80" s="4"/>
      <c r="F80" s="4"/>
      <c r="G80" s="4"/>
      <c r="H80" s="4"/>
      <c r="I80" s="4"/>
      <c r="J80" s="4"/>
      <c r="K80" s="4"/>
    </row>
    <row r="81" spans="1:11" x14ac:dyDescent="0.15">
      <c r="A81" s="4"/>
      <c r="B81" s="4"/>
      <c r="C81" s="7"/>
      <c r="D81" s="4"/>
      <c r="E81" s="4"/>
      <c r="F81" s="4"/>
      <c r="G81" s="4"/>
      <c r="H81" s="4"/>
      <c r="I81" s="4"/>
      <c r="J81" s="4"/>
      <c r="K81" s="4"/>
    </row>
    <row r="82" spans="1:11" x14ac:dyDescent="0.15">
      <c r="A82" s="4"/>
      <c r="B82" s="4"/>
      <c r="C82" s="7"/>
      <c r="D82" s="4"/>
      <c r="E82" s="4"/>
      <c r="F82" s="4"/>
      <c r="G82" s="4"/>
      <c r="H82" s="4"/>
      <c r="I82" s="4"/>
      <c r="J82" s="4"/>
      <c r="K82" s="4"/>
    </row>
    <row r="83" spans="1:11" x14ac:dyDescent="0.15">
      <c r="A83" s="4"/>
      <c r="B83" s="4"/>
      <c r="C83" s="7"/>
      <c r="D83" s="4"/>
      <c r="E83" s="4"/>
      <c r="F83" s="4"/>
      <c r="G83" s="4"/>
      <c r="H83" s="4"/>
      <c r="I83" s="4"/>
      <c r="J83" s="4"/>
      <c r="K83" s="4"/>
    </row>
    <row r="84" spans="1:11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</sheetData>
  <sortState ref="N41:N74">
    <sortCondition ref="N41"/>
  </sortState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Formats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Microsoft Office User</cp:lastModifiedBy>
  <dcterms:created xsi:type="dcterms:W3CDTF">2015-10-14T05:12:28Z</dcterms:created>
  <dcterms:modified xsi:type="dcterms:W3CDTF">2018-10-04T04:43:17Z</dcterms:modified>
</cp:coreProperties>
</file>