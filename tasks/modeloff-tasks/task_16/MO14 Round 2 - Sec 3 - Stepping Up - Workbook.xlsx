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filterPrivacy="1" codeName="ThisWorkbook" autoCompressPictures="0"/>
  <bookViews>
    <workbookView xWindow="1180" yWindow="0" windowWidth="28800" windowHeight="12300" tabRatio="829"/>
  </bookViews>
  <sheets>
    <sheet name="Inputs" sheetId="2" r:id="rId1"/>
    <sheet name="Calculations" sheetId="15" r:id="rId2"/>
    <sheet name="Outputs" sheetId="3" r:id="rId3"/>
  </sheets>
  <definedNames>
    <definedName name="ModelHeader">Inputs!$E$1:$T$2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4" i="15" l="1"/>
  <c r="C225" i="15"/>
  <c r="C224" i="15"/>
  <c r="C206" i="15"/>
  <c r="C199" i="15"/>
  <c r="C192" i="15"/>
  <c r="C185" i="15"/>
  <c r="D81" i="15"/>
  <c r="C81" i="15"/>
  <c r="D76" i="15"/>
  <c r="C76" i="15"/>
  <c r="D72" i="15"/>
  <c r="C72" i="15"/>
  <c r="T201" i="15"/>
  <c r="S201" i="15"/>
  <c r="R201" i="15"/>
  <c r="Q201" i="15"/>
  <c r="P201" i="15"/>
  <c r="O201" i="15"/>
  <c r="N201" i="15"/>
  <c r="M201" i="15"/>
  <c r="T194" i="15"/>
  <c r="S194" i="15"/>
  <c r="R194" i="15"/>
  <c r="Q194" i="15"/>
  <c r="P194" i="15"/>
  <c r="O194" i="15"/>
  <c r="N194" i="15"/>
  <c r="M194" i="15"/>
  <c r="T187" i="15"/>
  <c r="S187" i="15"/>
  <c r="R187" i="15"/>
  <c r="Q187" i="15"/>
  <c r="P187" i="15"/>
  <c r="O187" i="15"/>
  <c r="N187" i="15"/>
  <c r="M187" i="15"/>
  <c r="F179" i="15"/>
  <c r="C80" i="3"/>
  <c r="C35" i="3"/>
  <c r="C86" i="3"/>
  <c r="A1" i="2"/>
  <c r="R96" i="15"/>
  <c r="Q96" i="15"/>
  <c r="N96" i="15"/>
  <c r="M96" i="15"/>
  <c r="J96" i="15"/>
  <c r="I96" i="15"/>
  <c r="F96" i="15"/>
  <c r="K142" i="15"/>
  <c r="L201" i="15"/>
  <c r="K201" i="15"/>
  <c r="J201" i="15"/>
  <c r="I201" i="15"/>
  <c r="H201" i="15"/>
  <c r="G201" i="15"/>
  <c r="F201" i="15"/>
  <c r="D201" i="15"/>
  <c r="C201" i="15"/>
  <c r="L194" i="15"/>
  <c r="K194" i="15"/>
  <c r="J194" i="15"/>
  <c r="I194" i="15"/>
  <c r="H194" i="15"/>
  <c r="G194" i="15"/>
  <c r="F194" i="15"/>
  <c r="D194" i="15"/>
  <c r="C194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T147" i="15"/>
  <c r="T200" i="15"/>
  <c r="S147" i="15"/>
  <c r="S200" i="15"/>
  <c r="R147" i="15"/>
  <c r="R200" i="15"/>
  <c r="Q147" i="15"/>
  <c r="Q200" i="15"/>
  <c r="P147" i="15"/>
  <c r="P200" i="15"/>
  <c r="O147" i="15"/>
  <c r="O200" i="15"/>
  <c r="N147" i="15"/>
  <c r="N200" i="15"/>
  <c r="M147" i="15"/>
  <c r="M200" i="15"/>
  <c r="L147" i="15"/>
  <c r="L200" i="15"/>
  <c r="K147" i="15"/>
  <c r="K200" i="15"/>
  <c r="J147" i="15"/>
  <c r="J200" i="15"/>
  <c r="I147" i="15"/>
  <c r="I200" i="15"/>
  <c r="H147" i="15"/>
  <c r="H200" i="15"/>
  <c r="G147" i="15"/>
  <c r="G200" i="15"/>
  <c r="F147" i="15"/>
  <c r="F200" i="15"/>
  <c r="C148" i="15"/>
  <c r="C147" i="15"/>
  <c r="C200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T142" i="15"/>
  <c r="S142" i="15"/>
  <c r="R142" i="15"/>
  <c r="Q142" i="15"/>
  <c r="P142" i="15"/>
  <c r="O142" i="15"/>
  <c r="N142" i="15"/>
  <c r="M142" i="15"/>
  <c r="L142" i="15"/>
  <c r="J142" i="15"/>
  <c r="I142" i="15"/>
  <c r="H142" i="15"/>
  <c r="G142" i="15"/>
  <c r="T141" i="15"/>
  <c r="T193" i="15"/>
  <c r="S141" i="15"/>
  <c r="S193" i="15"/>
  <c r="R141" i="15"/>
  <c r="R193" i="15"/>
  <c r="Q141" i="15"/>
  <c r="Q193" i="15"/>
  <c r="P141" i="15"/>
  <c r="P193" i="15"/>
  <c r="O141" i="15"/>
  <c r="O193" i="15"/>
  <c r="N141" i="15"/>
  <c r="N193" i="15"/>
  <c r="M141" i="15"/>
  <c r="M193" i="15"/>
  <c r="L141" i="15"/>
  <c r="L193" i="15"/>
  <c r="K141" i="15"/>
  <c r="K193" i="15"/>
  <c r="J141" i="15"/>
  <c r="J193" i="15"/>
  <c r="I141" i="15"/>
  <c r="I193" i="15"/>
  <c r="H141" i="15"/>
  <c r="H193" i="15"/>
  <c r="G141" i="15"/>
  <c r="G193" i="15"/>
  <c r="F142" i="15"/>
  <c r="F141" i="15"/>
  <c r="F193" i="15"/>
  <c r="C142" i="15"/>
  <c r="C141" i="15"/>
  <c r="C193" i="15"/>
  <c r="F146" i="15"/>
  <c r="F199" i="15"/>
  <c r="F140" i="15"/>
  <c r="F192" i="15"/>
  <c r="C215" i="15"/>
  <c r="E99" i="15"/>
  <c r="D99" i="15"/>
  <c r="C99" i="15"/>
  <c r="T96" i="15"/>
  <c r="S96" i="15"/>
  <c r="P96" i="15"/>
  <c r="O96" i="15"/>
  <c r="L96" i="15"/>
  <c r="K96" i="15"/>
  <c r="H96" i="15"/>
  <c r="G96" i="15"/>
  <c r="D96" i="15"/>
  <c r="C96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D95" i="15"/>
  <c r="C95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D83" i="15"/>
  <c r="C83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D77" i="15"/>
  <c r="C77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D73" i="15"/>
  <c r="C73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8" i="15"/>
  <c r="F37" i="15"/>
  <c r="F36" i="15"/>
  <c r="D38" i="15"/>
  <c r="D37" i="15"/>
  <c r="D36" i="15"/>
  <c r="E23" i="15"/>
  <c r="C23" i="15"/>
  <c r="C20" i="15"/>
  <c r="C19" i="15"/>
  <c r="C18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D15" i="15"/>
  <c r="D14" i="15"/>
  <c r="D13" i="15"/>
  <c r="D12" i="15"/>
  <c r="D11" i="15"/>
  <c r="D10" i="15"/>
  <c r="D9" i="15"/>
  <c r="D8" i="15"/>
  <c r="C15" i="15"/>
  <c r="C14" i="15"/>
  <c r="C13" i="15"/>
  <c r="C12" i="15"/>
  <c r="C11" i="15"/>
  <c r="C10" i="15"/>
  <c r="C9" i="15"/>
  <c r="C8" i="15"/>
  <c r="C7" i="15"/>
  <c r="E2" i="2"/>
  <c r="E2" i="15"/>
  <c r="F25" i="2"/>
  <c r="F2" i="2"/>
  <c r="F2" i="15"/>
  <c r="E23" i="2"/>
  <c r="F23" i="2"/>
  <c r="C72" i="2"/>
  <c r="C38" i="15"/>
  <c r="C42" i="15"/>
  <c r="C71" i="2"/>
  <c r="C37" i="15"/>
  <c r="C41" i="15"/>
  <c r="C70" i="2"/>
  <c r="C36" i="15"/>
  <c r="C40" i="15"/>
  <c r="D67" i="2"/>
  <c r="D66" i="2"/>
  <c r="D65" i="2"/>
  <c r="C67" i="2"/>
  <c r="C66" i="2"/>
  <c r="C65" i="2"/>
  <c r="C55" i="2"/>
  <c r="C54" i="2"/>
  <c r="C53" i="2"/>
  <c r="C52" i="2"/>
  <c r="C51" i="2"/>
  <c r="C50" i="2"/>
  <c r="C49" i="2"/>
  <c r="C48" i="2"/>
  <c r="S18" i="15"/>
  <c r="C26" i="15"/>
  <c r="C25" i="15"/>
  <c r="D28" i="15"/>
  <c r="C28" i="15"/>
  <c r="D27" i="15"/>
  <c r="C27" i="15"/>
  <c r="C31" i="15"/>
  <c r="D26" i="15"/>
  <c r="Q18" i="15"/>
  <c r="R20" i="15"/>
  <c r="T19" i="15"/>
  <c r="Q20" i="15"/>
  <c r="F202" i="15"/>
  <c r="H18" i="15"/>
  <c r="P18" i="15"/>
  <c r="F20" i="15"/>
  <c r="N20" i="15"/>
  <c r="M18" i="15"/>
  <c r="S20" i="15"/>
  <c r="F18" i="15"/>
  <c r="J18" i="15"/>
  <c r="N18" i="15"/>
  <c r="R18" i="15"/>
  <c r="G19" i="15"/>
  <c r="K19" i="15"/>
  <c r="O19" i="15"/>
  <c r="S19" i="15"/>
  <c r="H20" i="15"/>
  <c r="L20" i="15"/>
  <c r="P20" i="15"/>
  <c r="T20" i="15"/>
  <c r="L18" i="15"/>
  <c r="T18" i="15"/>
  <c r="I19" i="15"/>
  <c r="M19" i="15"/>
  <c r="Q19" i="15"/>
  <c r="J20" i="15"/>
  <c r="I18" i="15"/>
  <c r="F19" i="15"/>
  <c r="J19" i="15"/>
  <c r="N19" i="15"/>
  <c r="R19" i="15"/>
  <c r="G20" i="15"/>
  <c r="K20" i="15"/>
  <c r="O20" i="15"/>
  <c r="T28" i="15"/>
  <c r="P28" i="15"/>
  <c r="L28" i="15"/>
  <c r="H28" i="15"/>
  <c r="S27" i="15"/>
  <c r="O27" i="15"/>
  <c r="K27" i="15"/>
  <c r="G27" i="15"/>
  <c r="R26" i="15"/>
  <c r="N26" i="15"/>
  <c r="J26" i="15"/>
  <c r="F26" i="15"/>
  <c r="S28" i="15"/>
  <c r="O28" i="15"/>
  <c r="K28" i="15"/>
  <c r="G28" i="15"/>
  <c r="R27" i="15"/>
  <c r="N27" i="15"/>
  <c r="J27" i="15"/>
  <c r="F27" i="15"/>
  <c r="Q26" i="15"/>
  <c r="M26" i="15"/>
  <c r="I26" i="15"/>
  <c r="R28" i="15"/>
  <c r="N28" i="15"/>
  <c r="J28" i="15"/>
  <c r="F28" i="15"/>
  <c r="Q27" i="15"/>
  <c r="M27" i="15"/>
  <c r="I27" i="15"/>
  <c r="T26" i="15"/>
  <c r="P26" i="15"/>
  <c r="L26" i="15"/>
  <c r="H26" i="15"/>
  <c r="Q28" i="15"/>
  <c r="M28" i="15"/>
  <c r="I28" i="15"/>
  <c r="T27" i="15"/>
  <c r="P27" i="15"/>
  <c r="L27" i="15"/>
  <c r="H27" i="15"/>
  <c r="S26" i="15"/>
  <c r="O26" i="15"/>
  <c r="K26" i="15"/>
  <c r="G26" i="15"/>
  <c r="G18" i="15"/>
  <c r="K18" i="15"/>
  <c r="O18" i="15"/>
  <c r="H19" i="15"/>
  <c r="L19" i="15"/>
  <c r="P19" i="15"/>
  <c r="I20" i="15"/>
  <c r="M20" i="15"/>
  <c r="A1" i="15"/>
  <c r="A1" i="3"/>
  <c r="F195" i="15"/>
  <c r="E2" i="3"/>
  <c r="F2" i="3"/>
  <c r="G25" i="2"/>
  <c r="F149" i="15"/>
  <c r="G146" i="15"/>
  <c r="F143" i="15"/>
  <c r="G140" i="15"/>
  <c r="C32" i="15"/>
  <c r="I97" i="15"/>
  <c r="M97" i="15"/>
  <c r="M80" i="3"/>
  <c r="Q97" i="15"/>
  <c r="Q80" i="3"/>
  <c r="N97" i="15"/>
  <c r="N80" i="3"/>
  <c r="R97" i="15"/>
  <c r="R80" i="3"/>
  <c r="G16" i="15"/>
  <c r="K16" i="15"/>
  <c r="O16" i="15"/>
  <c r="S16" i="15"/>
  <c r="M16" i="15"/>
  <c r="J16" i="15"/>
  <c r="R16" i="15"/>
  <c r="H97" i="15"/>
  <c r="H80" i="3"/>
  <c r="L97" i="15"/>
  <c r="L80" i="3"/>
  <c r="S97" i="15"/>
  <c r="S80" i="3"/>
  <c r="F24" i="2"/>
  <c r="G23" i="2"/>
  <c r="F1" i="2"/>
  <c r="T97" i="15"/>
  <c r="E1" i="2"/>
  <c r="F97" i="15"/>
  <c r="F80" i="3"/>
  <c r="J97" i="15"/>
  <c r="P97" i="15"/>
  <c r="P80" i="3"/>
  <c r="G97" i="15"/>
  <c r="G80" i="3"/>
  <c r="K97" i="15"/>
  <c r="O97" i="15"/>
  <c r="I16" i="15"/>
  <c r="Q16" i="15"/>
  <c r="F16" i="15"/>
  <c r="N16" i="15"/>
  <c r="H16" i="15"/>
  <c r="L16" i="15"/>
  <c r="P16" i="15"/>
  <c r="T16" i="15"/>
  <c r="C30" i="15"/>
  <c r="T58" i="3"/>
  <c r="S58" i="3"/>
  <c r="R58" i="3"/>
  <c r="Q58" i="3"/>
  <c r="P58" i="3"/>
  <c r="T207" i="15"/>
  <c r="S207" i="15"/>
  <c r="R207" i="15"/>
  <c r="Q207" i="15"/>
  <c r="P207" i="15"/>
  <c r="T180" i="15"/>
  <c r="S180" i="15"/>
  <c r="R180" i="15"/>
  <c r="Q180" i="15"/>
  <c r="P180" i="15"/>
  <c r="T135" i="15"/>
  <c r="T186" i="15"/>
  <c r="S135" i="15"/>
  <c r="S186" i="15"/>
  <c r="R135" i="15"/>
  <c r="R186" i="15"/>
  <c r="Q135" i="15"/>
  <c r="Q186" i="15"/>
  <c r="P135" i="15"/>
  <c r="P186" i="15"/>
  <c r="T160" i="15"/>
  <c r="T84" i="3"/>
  <c r="S160" i="15"/>
  <c r="S84" i="3"/>
  <c r="R160" i="15"/>
  <c r="R84" i="3"/>
  <c r="Q160" i="15"/>
  <c r="Q84" i="3"/>
  <c r="P160" i="15"/>
  <c r="P84" i="3"/>
  <c r="T58" i="15"/>
  <c r="S58" i="15"/>
  <c r="R58" i="15"/>
  <c r="Q58" i="15"/>
  <c r="P58" i="15"/>
  <c r="G192" i="15"/>
  <c r="G195" i="15"/>
  <c r="G199" i="15"/>
  <c r="G202" i="15"/>
  <c r="S32" i="15"/>
  <c r="S42" i="15"/>
  <c r="I32" i="15"/>
  <c r="I42" i="15"/>
  <c r="O30" i="15"/>
  <c r="I80" i="3"/>
  <c r="O80" i="3"/>
  <c r="J80" i="3"/>
  <c r="T80" i="3"/>
  <c r="K80" i="3"/>
  <c r="F103" i="15"/>
  <c r="E1" i="15"/>
  <c r="E1" i="3"/>
  <c r="F1" i="15"/>
  <c r="F1" i="3"/>
  <c r="P31" i="15"/>
  <c r="P41" i="15"/>
  <c r="M30" i="15"/>
  <c r="J30" i="15"/>
  <c r="J40" i="15"/>
  <c r="H25" i="2"/>
  <c r="G2" i="2"/>
  <c r="P161" i="15"/>
  <c r="P86" i="3"/>
  <c r="T161" i="15"/>
  <c r="T86" i="3"/>
  <c r="R161" i="15"/>
  <c r="R86" i="3"/>
  <c r="S161" i="15"/>
  <c r="S86" i="3"/>
  <c r="Q161" i="15"/>
  <c r="Q86" i="3"/>
  <c r="G143" i="15"/>
  <c r="H140" i="15"/>
  <c r="G149" i="15"/>
  <c r="H146" i="15"/>
  <c r="H199" i="15"/>
  <c r="O32" i="15"/>
  <c r="O42" i="15"/>
  <c r="H31" i="15"/>
  <c r="H41" i="15"/>
  <c r="J32" i="15"/>
  <c r="J42" i="15"/>
  <c r="G30" i="15"/>
  <c r="G40" i="15"/>
  <c r="K31" i="15"/>
  <c r="K41" i="15"/>
  <c r="L32" i="15"/>
  <c r="L42" i="15"/>
  <c r="S31" i="15"/>
  <c r="S41" i="15"/>
  <c r="N31" i="15"/>
  <c r="N41" i="15"/>
  <c r="G32" i="15"/>
  <c r="G42" i="15"/>
  <c r="F31" i="15"/>
  <c r="F41" i="15"/>
  <c r="T30" i="15"/>
  <c r="T40" i="15"/>
  <c r="L30" i="15"/>
  <c r="L40" i="15"/>
  <c r="R30" i="15"/>
  <c r="R40" i="15"/>
  <c r="P32" i="15"/>
  <c r="P42" i="15"/>
  <c r="H23" i="2"/>
  <c r="G1" i="2"/>
  <c r="G24" i="2"/>
  <c r="I31" i="15"/>
  <c r="I41" i="15"/>
  <c r="O31" i="15"/>
  <c r="O41" i="15"/>
  <c r="M31" i="15"/>
  <c r="M41" i="15"/>
  <c r="R31" i="15"/>
  <c r="R41" i="15"/>
  <c r="Q32" i="15"/>
  <c r="Q42" i="15"/>
  <c r="T32" i="15"/>
  <c r="T42" i="15"/>
  <c r="Q31" i="15"/>
  <c r="Q41" i="15"/>
  <c r="R32" i="15"/>
  <c r="R42" i="15"/>
  <c r="S30" i="15"/>
  <c r="N32" i="15"/>
  <c r="N42" i="15"/>
  <c r="M32" i="15"/>
  <c r="M42" i="15"/>
  <c r="Q30" i="15"/>
  <c r="F30" i="15"/>
  <c r="J31" i="15"/>
  <c r="J41" i="15"/>
  <c r="H30" i="15"/>
  <c r="L31" i="15"/>
  <c r="L41" i="15"/>
  <c r="H32" i="15"/>
  <c r="H42" i="15"/>
  <c r="T31" i="15"/>
  <c r="T41" i="15"/>
  <c r="K30" i="15"/>
  <c r="I30" i="15"/>
  <c r="K32" i="15"/>
  <c r="K42" i="15"/>
  <c r="M40" i="15"/>
  <c r="G31" i="15"/>
  <c r="G41" i="15"/>
  <c r="P30" i="15"/>
  <c r="F32" i="15"/>
  <c r="F42" i="15"/>
  <c r="O40" i="15"/>
  <c r="N30" i="15"/>
  <c r="S81" i="3"/>
  <c r="S156" i="15"/>
  <c r="R81" i="3"/>
  <c r="R156" i="15"/>
  <c r="H143" i="15"/>
  <c r="I140" i="15"/>
  <c r="I192" i="15"/>
  <c r="I195" i="15"/>
  <c r="H192" i="15"/>
  <c r="H195" i="15"/>
  <c r="F69" i="15"/>
  <c r="G1" i="15"/>
  <c r="G69" i="15"/>
  <c r="G1" i="3"/>
  <c r="G2" i="15"/>
  <c r="G2" i="3"/>
  <c r="H2" i="2"/>
  <c r="I25" i="2"/>
  <c r="P162" i="15"/>
  <c r="T162" i="15"/>
  <c r="Q162" i="15"/>
  <c r="R162" i="15"/>
  <c r="S162" i="15"/>
  <c r="H149" i="15"/>
  <c r="I146" i="15"/>
  <c r="I199" i="15"/>
  <c r="H202" i="15"/>
  <c r="J33" i="15"/>
  <c r="J47" i="15"/>
  <c r="J72" i="15"/>
  <c r="R33" i="15"/>
  <c r="R47" i="15"/>
  <c r="R72" i="15"/>
  <c r="O43" i="15"/>
  <c r="O48" i="15"/>
  <c r="T43" i="15"/>
  <c r="T48" i="15"/>
  <c r="T33" i="15"/>
  <c r="T47" i="15"/>
  <c r="T72" i="15"/>
  <c r="I23" i="2"/>
  <c r="H1" i="2"/>
  <c r="H24" i="2"/>
  <c r="O33" i="15"/>
  <c r="O47" i="15"/>
  <c r="O72" i="15"/>
  <c r="M43" i="15"/>
  <c r="M48" i="15"/>
  <c r="G33" i="15"/>
  <c r="G47" i="15"/>
  <c r="G72" i="15"/>
  <c r="I40" i="15"/>
  <c r="I43" i="15"/>
  <c r="I48" i="15"/>
  <c r="I33" i="15"/>
  <c r="I47" i="15"/>
  <c r="I72" i="15"/>
  <c r="Q33" i="15"/>
  <c r="Q47" i="15"/>
  <c r="Q72" i="15"/>
  <c r="Q40" i="15"/>
  <c r="Q43" i="15"/>
  <c r="Q48" i="15"/>
  <c r="L43" i="15"/>
  <c r="L48" i="15"/>
  <c r="P40" i="15"/>
  <c r="P43" i="15"/>
  <c r="P48" i="15"/>
  <c r="P33" i="15"/>
  <c r="P47" i="15"/>
  <c r="P72" i="15"/>
  <c r="M33" i="15"/>
  <c r="M47" i="15"/>
  <c r="M72" i="15"/>
  <c r="J43" i="15"/>
  <c r="J48" i="15"/>
  <c r="F40" i="15"/>
  <c r="F43" i="15"/>
  <c r="F48" i="15"/>
  <c r="F33" i="15"/>
  <c r="F47" i="15"/>
  <c r="F72" i="15"/>
  <c r="S40" i="15"/>
  <c r="S43" i="15"/>
  <c r="S48" i="15"/>
  <c r="S33" i="15"/>
  <c r="S47" i="15"/>
  <c r="S72" i="15"/>
  <c r="L33" i="15"/>
  <c r="L47" i="15"/>
  <c r="L72" i="15"/>
  <c r="N40" i="15"/>
  <c r="N43" i="15"/>
  <c r="N48" i="15"/>
  <c r="N33" i="15"/>
  <c r="N47" i="15"/>
  <c r="N72" i="15"/>
  <c r="G43" i="15"/>
  <c r="G48" i="15"/>
  <c r="K40" i="15"/>
  <c r="K43" i="15"/>
  <c r="K48" i="15"/>
  <c r="K33" i="15"/>
  <c r="K47" i="15"/>
  <c r="K72" i="15"/>
  <c r="H33" i="15"/>
  <c r="H47" i="15"/>
  <c r="H72" i="15"/>
  <c r="H40" i="15"/>
  <c r="H43" i="15"/>
  <c r="H48" i="15"/>
  <c r="R43" i="15"/>
  <c r="R48" i="15"/>
  <c r="R125" i="15"/>
  <c r="S125" i="15"/>
  <c r="T125" i="15"/>
  <c r="T81" i="3"/>
  <c r="T156" i="15"/>
  <c r="P125" i="15"/>
  <c r="P81" i="3"/>
  <c r="P156" i="15"/>
  <c r="Q125" i="15"/>
  <c r="Q81" i="3"/>
  <c r="Q156" i="15"/>
  <c r="C47" i="3"/>
  <c r="O81" i="15"/>
  <c r="O76" i="15"/>
  <c r="R81" i="15"/>
  <c r="R76" i="15"/>
  <c r="K81" i="15"/>
  <c r="K76" i="15"/>
  <c r="F76" i="15"/>
  <c r="F78" i="15"/>
  <c r="F81" i="15"/>
  <c r="P81" i="15"/>
  <c r="P76" i="15"/>
  <c r="I143" i="15"/>
  <c r="J140" i="15"/>
  <c r="J192" i="15"/>
  <c r="J195" i="15"/>
  <c r="H81" i="15"/>
  <c r="H76" i="15"/>
  <c r="G81" i="15"/>
  <c r="G76" i="15"/>
  <c r="G78" i="15"/>
  <c r="J81" i="15"/>
  <c r="J76" i="15"/>
  <c r="L81" i="15"/>
  <c r="L76" i="15"/>
  <c r="I76" i="15"/>
  <c r="I81" i="15"/>
  <c r="T81" i="15"/>
  <c r="T76" i="15"/>
  <c r="S81" i="15"/>
  <c r="S76" i="15"/>
  <c r="Q76" i="15"/>
  <c r="Q81" i="15"/>
  <c r="N81" i="15"/>
  <c r="N76" i="15"/>
  <c r="M76" i="15"/>
  <c r="M81" i="15"/>
  <c r="G103" i="15"/>
  <c r="F74" i="15"/>
  <c r="H2" i="15"/>
  <c r="H2" i="3"/>
  <c r="G74" i="15"/>
  <c r="H1" i="15"/>
  <c r="H69" i="15"/>
  <c r="H74" i="15"/>
  <c r="H1" i="3"/>
  <c r="I2" i="2"/>
  <c r="J25" i="2"/>
  <c r="I149" i="15"/>
  <c r="J146" i="15"/>
  <c r="J199" i="15"/>
  <c r="I202" i="15"/>
  <c r="J23" i="2"/>
  <c r="I1" i="2"/>
  <c r="I24" i="2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J143" i="15"/>
  <c r="K140" i="15"/>
  <c r="K192" i="15"/>
  <c r="K195" i="15"/>
  <c r="H103" i="15"/>
  <c r="F13" i="3"/>
  <c r="I2" i="15"/>
  <c r="I2" i="3"/>
  <c r="H78" i="15"/>
  <c r="I1" i="15"/>
  <c r="I69" i="15"/>
  <c r="I74" i="15"/>
  <c r="I1" i="3"/>
  <c r="K25" i="2"/>
  <c r="J2" i="2"/>
  <c r="J149" i="15"/>
  <c r="K146" i="15"/>
  <c r="K199" i="15"/>
  <c r="J202" i="15"/>
  <c r="K143" i="15"/>
  <c r="L140" i="15"/>
  <c r="L192" i="15"/>
  <c r="K23" i="2"/>
  <c r="J24" i="2"/>
  <c r="J1" i="2"/>
  <c r="C155" i="15"/>
  <c r="C156" i="15"/>
  <c r="F58" i="3"/>
  <c r="G58" i="3"/>
  <c r="H58" i="3"/>
  <c r="I58" i="3"/>
  <c r="J58" i="3"/>
  <c r="K58" i="3"/>
  <c r="L58" i="3"/>
  <c r="M58" i="3"/>
  <c r="N58" i="3"/>
  <c r="O58" i="3"/>
  <c r="F57" i="3"/>
  <c r="F62" i="3"/>
  <c r="C180" i="15"/>
  <c r="D180" i="15"/>
  <c r="F180" i="15"/>
  <c r="G180" i="15"/>
  <c r="H180" i="15"/>
  <c r="I180" i="15"/>
  <c r="J180" i="15"/>
  <c r="K180" i="15"/>
  <c r="L180" i="15"/>
  <c r="M180" i="15"/>
  <c r="N180" i="15"/>
  <c r="O180" i="15"/>
  <c r="C187" i="15"/>
  <c r="D187" i="15"/>
  <c r="F187" i="15"/>
  <c r="C207" i="15"/>
  <c r="D207" i="15"/>
  <c r="F207" i="15"/>
  <c r="C160" i="15"/>
  <c r="C84" i="3"/>
  <c r="F160" i="15"/>
  <c r="F84" i="3"/>
  <c r="G160" i="15"/>
  <c r="G84" i="3"/>
  <c r="H160" i="15"/>
  <c r="H84" i="3"/>
  <c r="I160" i="15"/>
  <c r="I84" i="3"/>
  <c r="J160" i="15"/>
  <c r="J84" i="3"/>
  <c r="K160" i="15"/>
  <c r="K84" i="3"/>
  <c r="L160" i="15"/>
  <c r="L84" i="3"/>
  <c r="M160" i="15"/>
  <c r="M84" i="3"/>
  <c r="N160" i="15"/>
  <c r="N84" i="3"/>
  <c r="O160" i="15"/>
  <c r="O84" i="3"/>
  <c r="F167" i="15"/>
  <c r="F206" i="15"/>
  <c r="C135" i="15"/>
  <c r="C186" i="15"/>
  <c r="F135" i="15"/>
  <c r="G135" i="15"/>
  <c r="G186" i="15"/>
  <c r="H135" i="15"/>
  <c r="H186" i="15"/>
  <c r="I135" i="15"/>
  <c r="I186" i="15"/>
  <c r="J135" i="15"/>
  <c r="J186" i="15"/>
  <c r="K135" i="15"/>
  <c r="K186" i="15"/>
  <c r="L135" i="15"/>
  <c r="L186" i="15"/>
  <c r="M135" i="15"/>
  <c r="M186" i="15"/>
  <c r="N135" i="15"/>
  <c r="N186" i="15"/>
  <c r="O135" i="15"/>
  <c r="O186" i="15"/>
  <c r="C136" i="15"/>
  <c r="F134" i="15"/>
  <c r="F185" i="15"/>
  <c r="C214" i="15"/>
  <c r="D214" i="15"/>
  <c r="E214" i="15"/>
  <c r="C218" i="15"/>
  <c r="F232" i="15"/>
  <c r="F161" i="15"/>
  <c r="F86" i="3"/>
  <c r="F186" i="15"/>
  <c r="F188" i="15"/>
  <c r="I103" i="15"/>
  <c r="F181" i="15"/>
  <c r="F208" i="15"/>
  <c r="J1" i="15"/>
  <c r="J69" i="15"/>
  <c r="J74" i="15"/>
  <c r="J1" i="3"/>
  <c r="I78" i="15"/>
  <c r="J2" i="15"/>
  <c r="J2" i="3"/>
  <c r="G13" i="3"/>
  <c r="L25" i="2"/>
  <c r="K2" i="2"/>
  <c r="M161" i="15"/>
  <c r="M86" i="3"/>
  <c r="I161" i="15"/>
  <c r="I86" i="3"/>
  <c r="L161" i="15"/>
  <c r="L86" i="3"/>
  <c r="O161" i="15"/>
  <c r="O86" i="3"/>
  <c r="K161" i="15"/>
  <c r="K86" i="3"/>
  <c r="G161" i="15"/>
  <c r="G86" i="3"/>
  <c r="N161" i="15"/>
  <c r="N86" i="3"/>
  <c r="J161" i="15"/>
  <c r="J86" i="3"/>
  <c r="H161" i="15"/>
  <c r="H86" i="3"/>
  <c r="L143" i="15"/>
  <c r="M140" i="15"/>
  <c r="L195" i="15"/>
  <c r="K149" i="15"/>
  <c r="L146" i="15"/>
  <c r="L199" i="15"/>
  <c r="K202" i="15"/>
  <c r="L23" i="2"/>
  <c r="K1" i="2"/>
  <c r="K24" i="2"/>
  <c r="G55" i="15"/>
  <c r="G11" i="3"/>
  <c r="F55" i="15"/>
  <c r="F11" i="3"/>
  <c r="F59" i="3"/>
  <c r="G57" i="3"/>
  <c r="G59" i="3"/>
  <c r="H57" i="3"/>
  <c r="H59" i="3"/>
  <c r="F137" i="15"/>
  <c r="F46" i="3"/>
  <c r="C104" i="15"/>
  <c r="F93" i="15"/>
  <c r="F124" i="15"/>
  <c r="F162" i="15"/>
  <c r="M192" i="15"/>
  <c r="M195" i="15"/>
  <c r="F104" i="15"/>
  <c r="G104" i="15"/>
  <c r="H104" i="15"/>
  <c r="I104" i="15"/>
  <c r="J103" i="15"/>
  <c r="J104" i="15"/>
  <c r="K2" i="15"/>
  <c r="K2" i="3"/>
  <c r="J78" i="15"/>
  <c r="K1" i="15"/>
  <c r="K69" i="15"/>
  <c r="K74" i="15"/>
  <c r="K1" i="3"/>
  <c r="H13" i="3"/>
  <c r="M25" i="2"/>
  <c r="L2" i="2"/>
  <c r="F210" i="15"/>
  <c r="F76" i="3"/>
  <c r="M143" i="15"/>
  <c r="N140" i="15"/>
  <c r="L149" i="15"/>
  <c r="M146" i="15"/>
  <c r="L202" i="15"/>
  <c r="M23" i="2"/>
  <c r="L24" i="2"/>
  <c r="L1" i="2"/>
  <c r="C105" i="15"/>
  <c r="H55" i="15"/>
  <c r="H11" i="3"/>
  <c r="G134" i="15"/>
  <c r="G185" i="15"/>
  <c r="I57" i="3"/>
  <c r="I59" i="3"/>
  <c r="M199" i="15"/>
  <c r="M202" i="15"/>
  <c r="N192" i="15"/>
  <c r="N195" i="15"/>
  <c r="F105" i="15"/>
  <c r="G105" i="15"/>
  <c r="H105" i="15"/>
  <c r="I105" i="15"/>
  <c r="J105" i="15"/>
  <c r="K103" i="15"/>
  <c r="K104" i="15"/>
  <c r="K105" i="15"/>
  <c r="K78" i="15"/>
  <c r="L1" i="15"/>
  <c r="L69" i="15"/>
  <c r="L74" i="15"/>
  <c r="L1" i="3"/>
  <c r="L2" i="15"/>
  <c r="L2" i="3"/>
  <c r="I13" i="3"/>
  <c r="M2" i="2"/>
  <c r="N25" i="2"/>
  <c r="N143" i="15"/>
  <c r="O140" i="15"/>
  <c r="M149" i="15"/>
  <c r="N146" i="15"/>
  <c r="N23" i="2"/>
  <c r="M1" i="2"/>
  <c r="M24" i="2"/>
  <c r="C106" i="15"/>
  <c r="G6" i="3"/>
  <c r="F6" i="3"/>
  <c r="I55" i="15"/>
  <c r="I11" i="3"/>
  <c r="J57" i="3"/>
  <c r="J59" i="3"/>
  <c r="N199" i="15"/>
  <c r="N202" i="15"/>
  <c r="O192" i="15"/>
  <c r="O195" i="15"/>
  <c r="F106" i="15"/>
  <c r="G106" i="15"/>
  <c r="H106" i="15"/>
  <c r="I106" i="15"/>
  <c r="J106" i="15"/>
  <c r="K106" i="15"/>
  <c r="L103" i="15"/>
  <c r="L104" i="15"/>
  <c r="L106" i="15"/>
  <c r="L105" i="15"/>
  <c r="L78" i="15"/>
  <c r="M1" i="15"/>
  <c r="M69" i="15"/>
  <c r="M1" i="3"/>
  <c r="M2" i="15"/>
  <c r="M2" i="3"/>
  <c r="J13" i="3"/>
  <c r="O25" i="2"/>
  <c r="N2" i="2"/>
  <c r="O143" i="15"/>
  <c r="P140" i="15"/>
  <c r="P192" i="15"/>
  <c r="N149" i="15"/>
  <c r="O146" i="15"/>
  <c r="O23" i="2"/>
  <c r="N24" i="2"/>
  <c r="N1" i="2"/>
  <c r="C107" i="15"/>
  <c r="H6" i="3"/>
  <c r="J55" i="15"/>
  <c r="J11" i="3"/>
  <c r="K57" i="3"/>
  <c r="K59" i="3"/>
  <c r="C59" i="15"/>
  <c r="O199" i="15"/>
  <c r="O202" i="15"/>
  <c r="P202" i="15"/>
  <c r="P195" i="15"/>
  <c r="F107" i="15"/>
  <c r="G107" i="15"/>
  <c r="H107" i="15"/>
  <c r="I107" i="15"/>
  <c r="J107" i="15"/>
  <c r="K107" i="15"/>
  <c r="L107" i="15"/>
  <c r="M103" i="15"/>
  <c r="M104" i="15"/>
  <c r="M105" i="15"/>
  <c r="M107" i="15"/>
  <c r="M106" i="15"/>
  <c r="M74" i="15"/>
  <c r="M78" i="15"/>
  <c r="N1" i="15"/>
  <c r="N69" i="15"/>
  <c r="N78" i="15"/>
  <c r="N1" i="3"/>
  <c r="N2" i="15"/>
  <c r="N2" i="3"/>
  <c r="K13" i="3"/>
  <c r="P25" i="2"/>
  <c r="O2" i="2"/>
  <c r="P143" i="15"/>
  <c r="Q140" i="15"/>
  <c r="Q192" i="15"/>
  <c r="O149" i="15"/>
  <c r="P146" i="15"/>
  <c r="P199" i="15"/>
  <c r="P23" i="2"/>
  <c r="O1" i="2"/>
  <c r="O24" i="2"/>
  <c r="C108" i="15"/>
  <c r="M108" i="15"/>
  <c r="K55" i="15"/>
  <c r="K11" i="3"/>
  <c r="I6" i="3"/>
  <c r="L57" i="3"/>
  <c r="L59" i="3"/>
  <c r="G187" i="15"/>
  <c r="G188" i="15"/>
  <c r="Q202" i="15"/>
  <c r="Q195" i="15"/>
  <c r="F108" i="15"/>
  <c r="G108" i="15"/>
  <c r="H108" i="15"/>
  <c r="I108" i="15"/>
  <c r="J108" i="15"/>
  <c r="K108" i="15"/>
  <c r="L108" i="15"/>
  <c r="N103" i="15"/>
  <c r="N104" i="15"/>
  <c r="N107" i="15"/>
  <c r="N106" i="15"/>
  <c r="N105" i="15"/>
  <c r="N108" i="15"/>
  <c r="N74" i="15"/>
  <c r="O2" i="15"/>
  <c r="O2" i="3"/>
  <c r="O1" i="15"/>
  <c r="O69" i="15"/>
  <c r="O1" i="3"/>
  <c r="L13" i="3"/>
  <c r="Q25" i="2"/>
  <c r="P2" i="2"/>
  <c r="Q143" i="15"/>
  <c r="R140" i="15"/>
  <c r="R192" i="15"/>
  <c r="P149" i="15"/>
  <c r="Q146" i="15"/>
  <c r="Q199" i="15"/>
  <c r="Q23" i="2"/>
  <c r="P1" i="2"/>
  <c r="P24" i="2"/>
  <c r="C109" i="15"/>
  <c r="L55" i="15"/>
  <c r="L11" i="3"/>
  <c r="J6" i="3"/>
  <c r="G207" i="15"/>
  <c r="M57" i="3"/>
  <c r="M59" i="3"/>
  <c r="H187" i="15"/>
  <c r="R195" i="15"/>
  <c r="R202" i="15"/>
  <c r="F109" i="15"/>
  <c r="G109" i="15"/>
  <c r="H109" i="15"/>
  <c r="I109" i="15"/>
  <c r="J109" i="15"/>
  <c r="K109" i="15"/>
  <c r="L109" i="15"/>
  <c r="M109" i="15"/>
  <c r="N109" i="15"/>
  <c r="O103" i="15"/>
  <c r="O104" i="15"/>
  <c r="O106" i="15"/>
  <c r="O105" i="15"/>
  <c r="O107" i="15"/>
  <c r="O109" i="15"/>
  <c r="O108" i="15"/>
  <c r="O74" i="15"/>
  <c r="O78" i="15"/>
  <c r="P1" i="15"/>
  <c r="P69" i="15"/>
  <c r="P78" i="15"/>
  <c r="P1" i="3"/>
  <c r="P2" i="15"/>
  <c r="P2" i="3"/>
  <c r="M13" i="3"/>
  <c r="R25" i="2"/>
  <c r="Q2" i="2"/>
  <c r="R143" i="15"/>
  <c r="S140" i="15"/>
  <c r="S192" i="15"/>
  <c r="Q149" i="15"/>
  <c r="R146" i="15"/>
  <c r="R199" i="15"/>
  <c r="R23" i="2"/>
  <c r="Q1" i="2"/>
  <c r="Q24" i="2"/>
  <c r="P74" i="15"/>
  <c r="C110" i="15"/>
  <c r="O110" i="15"/>
  <c r="M55" i="15"/>
  <c r="M11" i="3"/>
  <c r="K6" i="3"/>
  <c r="H207" i="15"/>
  <c r="N57" i="3"/>
  <c r="N59" i="3"/>
  <c r="I187" i="15"/>
  <c r="S202" i="15"/>
  <c r="S195" i="15"/>
  <c r="F110" i="15"/>
  <c r="G110" i="15"/>
  <c r="H110" i="15"/>
  <c r="I110" i="15"/>
  <c r="J110" i="15"/>
  <c r="K110" i="15"/>
  <c r="L110" i="15"/>
  <c r="M110" i="15"/>
  <c r="N110" i="15"/>
  <c r="P103" i="15"/>
  <c r="P106" i="15"/>
  <c r="P104" i="15"/>
  <c r="P109" i="15"/>
  <c r="P108" i="15"/>
  <c r="P110" i="15"/>
  <c r="P107" i="15"/>
  <c r="P105" i="15"/>
  <c r="N13" i="3"/>
  <c r="Q2" i="15"/>
  <c r="Q2" i="3"/>
  <c r="Q1" i="15"/>
  <c r="Q69" i="15"/>
  <c r="Q74" i="15"/>
  <c r="Q1" i="3"/>
  <c r="S25" i="2"/>
  <c r="R2" i="2"/>
  <c r="S143" i="15"/>
  <c r="T140" i="15"/>
  <c r="T192" i="15"/>
  <c r="R149" i="15"/>
  <c r="S146" i="15"/>
  <c r="S199" i="15"/>
  <c r="S23" i="2"/>
  <c r="R24" i="2"/>
  <c r="R1" i="2"/>
  <c r="C111" i="15"/>
  <c r="L6" i="3"/>
  <c r="N55" i="15"/>
  <c r="N11" i="3"/>
  <c r="G125" i="15"/>
  <c r="I207" i="15"/>
  <c r="F125" i="15"/>
  <c r="F126" i="15"/>
  <c r="F225" i="15"/>
  <c r="O57" i="3"/>
  <c r="O59" i="3"/>
  <c r="P57" i="3"/>
  <c r="P59" i="3"/>
  <c r="J187" i="15"/>
  <c r="Q78" i="15"/>
  <c r="T202" i="15"/>
  <c r="T195" i="15"/>
  <c r="F111" i="15"/>
  <c r="G111" i="15"/>
  <c r="H111" i="15"/>
  <c r="I111" i="15"/>
  <c r="J111" i="15"/>
  <c r="K111" i="15"/>
  <c r="L111" i="15"/>
  <c r="M111" i="15"/>
  <c r="N111" i="15"/>
  <c r="O111" i="15"/>
  <c r="P111" i="15"/>
  <c r="Q103" i="15"/>
  <c r="Q106" i="15"/>
  <c r="Q108" i="15"/>
  <c r="Q104" i="15"/>
  <c r="Q107" i="15"/>
  <c r="Q109" i="15"/>
  <c r="Q110" i="15"/>
  <c r="Q111" i="15"/>
  <c r="Q105" i="15"/>
  <c r="R2" i="15"/>
  <c r="R2" i="3"/>
  <c r="R1" i="15"/>
  <c r="R69" i="15"/>
  <c r="R1" i="3"/>
  <c r="O13" i="3"/>
  <c r="S2" i="2"/>
  <c r="T25" i="2"/>
  <c r="T2" i="2"/>
  <c r="T143" i="15"/>
  <c r="S149" i="15"/>
  <c r="T146" i="15"/>
  <c r="T199" i="15"/>
  <c r="T23" i="2"/>
  <c r="S1" i="2"/>
  <c r="S24" i="2"/>
  <c r="C112" i="15"/>
  <c r="Q112" i="15"/>
  <c r="O55" i="15"/>
  <c r="O11" i="3"/>
  <c r="Q57" i="3"/>
  <c r="Q59" i="3"/>
  <c r="O6" i="3"/>
  <c r="M6" i="3"/>
  <c r="G81" i="3"/>
  <c r="F81" i="3"/>
  <c r="J207" i="15"/>
  <c r="K187" i="15"/>
  <c r="D58" i="15"/>
  <c r="C58" i="15"/>
  <c r="F112" i="15"/>
  <c r="G112" i="15"/>
  <c r="H112" i="15"/>
  <c r="I112" i="15"/>
  <c r="J112" i="15"/>
  <c r="K112" i="15"/>
  <c r="L112" i="15"/>
  <c r="M112" i="15"/>
  <c r="N112" i="15"/>
  <c r="O112" i="15"/>
  <c r="P112" i="15"/>
  <c r="R103" i="15"/>
  <c r="R104" i="15"/>
  <c r="R111" i="15"/>
  <c r="R108" i="15"/>
  <c r="R107" i="15"/>
  <c r="R109" i="15"/>
  <c r="R106" i="15"/>
  <c r="R110" i="15"/>
  <c r="R112" i="15"/>
  <c r="R105" i="15"/>
  <c r="R78" i="15"/>
  <c r="R74" i="15"/>
  <c r="T2" i="15"/>
  <c r="T2" i="3"/>
  <c r="S2" i="15"/>
  <c r="S2" i="3"/>
  <c r="P13" i="3"/>
  <c r="S1" i="15"/>
  <c r="S69" i="15"/>
  <c r="S78" i="15"/>
  <c r="S1" i="3"/>
  <c r="T149" i="15"/>
  <c r="T24" i="2"/>
  <c r="T1" i="2"/>
  <c r="C113" i="15"/>
  <c r="P55" i="15"/>
  <c r="P11" i="3"/>
  <c r="P6" i="3"/>
  <c r="R57" i="3"/>
  <c r="R59" i="3"/>
  <c r="N6" i="3"/>
  <c r="F127" i="15"/>
  <c r="K207" i="15"/>
  <c r="L187" i="15"/>
  <c r="G58" i="15"/>
  <c r="I58" i="15"/>
  <c r="J58" i="15"/>
  <c r="K58" i="15"/>
  <c r="M58" i="15"/>
  <c r="N58" i="15"/>
  <c r="O58" i="15"/>
  <c r="F58" i="15"/>
  <c r="H58" i="15"/>
  <c r="L58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T103" i="15"/>
  <c r="T106" i="15"/>
  <c r="T104" i="15"/>
  <c r="T110" i="15"/>
  <c r="T107" i="15"/>
  <c r="T108" i="15"/>
  <c r="T111" i="15"/>
  <c r="T109" i="15"/>
  <c r="T112" i="15"/>
  <c r="T113" i="15"/>
  <c r="T105" i="15"/>
  <c r="S103" i="15"/>
  <c r="S105" i="15"/>
  <c r="S108" i="15"/>
  <c r="S104" i="15"/>
  <c r="S109" i="15"/>
  <c r="S111" i="15"/>
  <c r="S110" i="15"/>
  <c r="S113" i="15"/>
  <c r="S106" i="15"/>
  <c r="S107" i="15"/>
  <c r="S112" i="15"/>
  <c r="S74" i="15"/>
  <c r="Q13" i="3"/>
  <c r="T1" i="15"/>
  <c r="T69" i="15"/>
  <c r="T78" i="15"/>
  <c r="T1" i="3"/>
  <c r="C114" i="15"/>
  <c r="Q55" i="15"/>
  <c r="Q11" i="3"/>
  <c r="P59" i="15"/>
  <c r="P60" i="15"/>
  <c r="P49" i="15"/>
  <c r="P7" i="3"/>
  <c r="P8" i="3"/>
  <c r="S57" i="3"/>
  <c r="S59" i="3"/>
  <c r="H125" i="15"/>
  <c r="L207" i="15"/>
  <c r="F156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T114" i="15"/>
  <c r="T74" i="15"/>
  <c r="P12" i="3"/>
  <c r="P14" i="3"/>
  <c r="P16" i="3"/>
  <c r="P73" i="3"/>
  <c r="R13" i="3"/>
  <c r="C115" i="15"/>
  <c r="R55" i="15"/>
  <c r="R11" i="3"/>
  <c r="P65" i="15"/>
  <c r="P82" i="15"/>
  <c r="P84" i="15"/>
  <c r="P87" i="15"/>
  <c r="Q7" i="3"/>
  <c r="Q6" i="3"/>
  <c r="Q59" i="15"/>
  <c r="Q60" i="15"/>
  <c r="Q12" i="3"/>
  <c r="Q49" i="15"/>
  <c r="T57" i="3"/>
  <c r="T59" i="3"/>
  <c r="G137" i="15"/>
  <c r="G46" i="3"/>
  <c r="M207" i="15"/>
  <c r="I125" i="15"/>
  <c r="H81" i="3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T115" i="15"/>
  <c r="S115" i="15"/>
  <c r="T13" i="3"/>
  <c r="S13" i="3"/>
  <c r="C116" i="15"/>
  <c r="F29" i="3"/>
  <c r="Q30" i="3"/>
  <c r="S55" i="15"/>
  <c r="S11" i="3"/>
  <c r="T55" i="15"/>
  <c r="T11" i="3"/>
  <c r="Q8" i="3"/>
  <c r="S6" i="3"/>
  <c r="R7" i="3"/>
  <c r="Q14" i="3"/>
  <c r="Q65" i="15"/>
  <c r="Q82" i="15"/>
  <c r="Q84" i="15"/>
  <c r="R6" i="3"/>
  <c r="R59" i="15"/>
  <c r="R60" i="15"/>
  <c r="R12" i="3"/>
  <c r="R49" i="15"/>
  <c r="Q29" i="3"/>
  <c r="J125" i="15"/>
  <c r="O207" i="15"/>
  <c r="N207" i="15"/>
  <c r="H134" i="15"/>
  <c r="I81" i="3"/>
  <c r="G162" i="15"/>
  <c r="F59" i="15"/>
  <c r="F60" i="15"/>
  <c r="F12" i="3"/>
  <c r="H185" i="15"/>
  <c r="H188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T116" i="15"/>
  <c r="S116" i="15"/>
  <c r="Q41" i="3"/>
  <c r="Q87" i="15"/>
  <c r="C117" i="15"/>
  <c r="R30" i="3"/>
  <c r="R8" i="3"/>
  <c r="S49" i="15"/>
  <c r="S59" i="15"/>
  <c r="S60" i="15"/>
  <c r="Q16" i="3"/>
  <c r="Q73" i="3"/>
  <c r="T6" i="3"/>
  <c r="T49" i="15"/>
  <c r="T59" i="15"/>
  <c r="T60" i="15"/>
  <c r="T12" i="3"/>
  <c r="S7" i="3"/>
  <c r="S8" i="3"/>
  <c r="R29" i="3"/>
  <c r="T7" i="3"/>
  <c r="R14" i="3"/>
  <c r="R65" i="15"/>
  <c r="R82" i="15"/>
  <c r="R84" i="15"/>
  <c r="K125" i="15"/>
  <c r="H137" i="15"/>
  <c r="H46" i="3"/>
  <c r="H162" i="15"/>
  <c r="J81" i="3"/>
  <c r="F7" i="3"/>
  <c r="F8" i="3"/>
  <c r="F49" i="15"/>
  <c r="F65" i="15"/>
  <c r="F82" i="15"/>
  <c r="F84" i="15"/>
  <c r="F87" i="15"/>
  <c r="F14" i="3"/>
  <c r="G156" i="15"/>
  <c r="I156" i="15"/>
  <c r="H156" i="15"/>
  <c r="F117" i="15"/>
  <c r="F118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T117" i="15"/>
  <c r="S117" i="15"/>
  <c r="R41" i="3"/>
  <c r="R87" i="15"/>
  <c r="R88" i="15"/>
  <c r="R74" i="3"/>
  <c r="S65" i="15"/>
  <c r="S82" i="15"/>
  <c r="S84" i="15"/>
  <c r="S12" i="3"/>
  <c r="S14" i="3"/>
  <c r="S16" i="3"/>
  <c r="S73" i="3"/>
  <c r="S30" i="3"/>
  <c r="H29" i="3"/>
  <c r="T30" i="3"/>
  <c r="T29" i="3"/>
  <c r="S29" i="3"/>
  <c r="R16" i="3"/>
  <c r="R73" i="3"/>
  <c r="T8" i="3"/>
  <c r="T14" i="3"/>
  <c r="T65" i="15"/>
  <c r="T82" i="15"/>
  <c r="T84" i="15"/>
  <c r="F30" i="3"/>
  <c r="I134" i="15"/>
  <c r="I162" i="15"/>
  <c r="L125" i="15"/>
  <c r="K81" i="3"/>
  <c r="F41" i="3"/>
  <c r="F16" i="3"/>
  <c r="F73" i="3"/>
  <c r="J156" i="15"/>
  <c r="H7" i="3"/>
  <c r="H49" i="15"/>
  <c r="H59" i="15"/>
  <c r="H60" i="15"/>
  <c r="H12" i="3"/>
  <c r="I185" i="15"/>
  <c r="I188" i="15"/>
  <c r="F120" i="15"/>
  <c r="F224" i="15"/>
  <c r="S41" i="3"/>
  <c r="S87" i="15"/>
  <c r="S88" i="15"/>
  <c r="S74" i="3"/>
  <c r="T41" i="3"/>
  <c r="T87" i="15"/>
  <c r="H30" i="3"/>
  <c r="T16" i="3"/>
  <c r="T73" i="3"/>
  <c r="J162" i="15"/>
  <c r="I137" i="15"/>
  <c r="I46" i="3"/>
  <c r="M125" i="15"/>
  <c r="L81" i="3"/>
  <c r="G59" i="15"/>
  <c r="G60" i="15"/>
  <c r="F88" i="15"/>
  <c r="H8" i="3"/>
  <c r="H65" i="15"/>
  <c r="H82" i="15"/>
  <c r="H84" i="15"/>
  <c r="H14" i="3"/>
  <c r="K156" i="15"/>
  <c r="H41" i="3"/>
  <c r="H87" i="15"/>
  <c r="G12" i="3"/>
  <c r="G14" i="3"/>
  <c r="I29" i="3"/>
  <c r="G29" i="3"/>
  <c r="T88" i="15"/>
  <c r="T74" i="3"/>
  <c r="N125" i="15"/>
  <c r="M81" i="3"/>
  <c r="K162" i="15"/>
  <c r="J134" i="15"/>
  <c r="G65" i="15"/>
  <c r="G82" i="15"/>
  <c r="G84" i="15"/>
  <c r="G87" i="15"/>
  <c r="F74" i="3"/>
  <c r="L156" i="15"/>
  <c r="I7" i="3"/>
  <c r="G7" i="3"/>
  <c r="G8" i="3"/>
  <c r="G49" i="15"/>
  <c r="J7" i="3"/>
  <c r="I59" i="15"/>
  <c r="I60" i="15"/>
  <c r="I12" i="3"/>
  <c r="H16" i="3"/>
  <c r="H73" i="3"/>
  <c r="I49" i="15"/>
  <c r="J185" i="15"/>
  <c r="J188" i="15"/>
  <c r="G16" i="3"/>
  <c r="G73" i="3"/>
  <c r="J30" i="3"/>
  <c r="I30" i="3"/>
  <c r="G30" i="3"/>
  <c r="G41" i="3"/>
  <c r="K29" i="3"/>
  <c r="O125" i="15"/>
  <c r="J137" i="15"/>
  <c r="J46" i="3"/>
  <c r="L162" i="15"/>
  <c r="N81" i="3"/>
  <c r="J29" i="3"/>
  <c r="M156" i="15"/>
  <c r="I8" i="3"/>
  <c r="J8" i="3"/>
  <c r="I14" i="3"/>
  <c r="I65" i="15"/>
  <c r="I82" i="15"/>
  <c r="I84" i="15"/>
  <c r="J49" i="15"/>
  <c r="J59" i="15"/>
  <c r="J60" i="15"/>
  <c r="J12" i="3"/>
  <c r="K59" i="15"/>
  <c r="K60" i="15"/>
  <c r="K12" i="3"/>
  <c r="I41" i="3"/>
  <c r="I87" i="15"/>
  <c r="I88" i="15"/>
  <c r="L29" i="3"/>
  <c r="H88" i="15"/>
  <c r="K134" i="15"/>
  <c r="M162" i="15"/>
  <c r="O81" i="3"/>
  <c r="O156" i="15"/>
  <c r="K49" i="15"/>
  <c r="K65" i="15"/>
  <c r="K82" i="15"/>
  <c r="K84" i="15"/>
  <c r="K87" i="15"/>
  <c r="K14" i="3"/>
  <c r="N156" i="15"/>
  <c r="I16" i="3"/>
  <c r="I73" i="3"/>
  <c r="K7" i="3"/>
  <c r="K8" i="3"/>
  <c r="J14" i="3"/>
  <c r="J16" i="3"/>
  <c r="J73" i="3"/>
  <c r="J65" i="15"/>
  <c r="J82" i="15"/>
  <c r="J84" i="15"/>
  <c r="L59" i="15"/>
  <c r="L60" i="15"/>
  <c r="L12" i="3"/>
  <c r="K185" i="15"/>
  <c r="K188" i="15"/>
  <c r="J41" i="3"/>
  <c r="J87" i="15"/>
  <c r="J88" i="15"/>
  <c r="J74" i="3"/>
  <c r="F18" i="3"/>
  <c r="G88" i="15"/>
  <c r="G74" i="3"/>
  <c r="K30" i="3"/>
  <c r="N162" i="15"/>
  <c r="K137" i="15"/>
  <c r="K46" i="3"/>
  <c r="M29" i="3"/>
  <c r="H74" i="3"/>
  <c r="I74" i="3"/>
  <c r="K41" i="3"/>
  <c r="L49" i="15"/>
  <c r="K16" i="3"/>
  <c r="K73" i="3"/>
  <c r="L65" i="15"/>
  <c r="L82" i="15"/>
  <c r="L84" i="15"/>
  <c r="L87" i="15"/>
  <c r="L14" i="3"/>
  <c r="L7" i="3"/>
  <c r="L8" i="3"/>
  <c r="M59" i="15"/>
  <c r="F226" i="15"/>
  <c r="K88" i="15"/>
  <c r="N29" i="3"/>
  <c r="G93" i="15"/>
  <c r="G124" i="15"/>
  <c r="F34" i="3"/>
  <c r="L134" i="15"/>
  <c r="O162" i="15"/>
  <c r="L41" i="3"/>
  <c r="L30" i="3"/>
  <c r="M7" i="3"/>
  <c r="M8" i="3"/>
  <c r="L16" i="3"/>
  <c r="L73" i="3"/>
  <c r="M49" i="15"/>
  <c r="M60" i="15"/>
  <c r="M12" i="3"/>
  <c r="N59" i="15"/>
  <c r="N60" i="15"/>
  <c r="N12" i="3"/>
  <c r="L185" i="15"/>
  <c r="L188" i="15"/>
  <c r="G126" i="15"/>
  <c r="G225" i="15"/>
  <c r="G118" i="15"/>
  <c r="G224" i="15"/>
  <c r="L88" i="15"/>
  <c r="L74" i="3"/>
  <c r="M30" i="3"/>
  <c r="P30" i="3"/>
  <c r="P41" i="3"/>
  <c r="O29" i="3"/>
  <c r="L137" i="15"/>
  <c r="L46" i="3"/>
  <c r="K74" i="3"/>
  <c r="N65" i="15"/>
  <c r="N82" i="15"/>
  <c r="N84" i="15"/>
  <c r="N87" i="15"/>
  <c r="N14" i="3"/>
  <c r="M65" i="15"/>
  <c r="M82" i="15"/>
  <c r="M84" i="15"/>
  <c r="M14" i="3"/>
  <c r="M16" i="3"/>
  <c r="M73" i="3"/>
  <c r="O7" i="3"/>
  <c r="N7" i="3"/>
  <c r="N8" i="3"/>
  <c r="N49" i="15"/>
  <c r="O49" i="15"/>
  <c r="O59" i="15"/>
  <c r="O60" i="15"/>
  <c r="O12" i="3"/>
  <c r="G127" i="15"/>
  <c r="M41" i="3"/>
  <c r="M87" i="15"/>
  <c r="M88" i="15"/>
  <c r="M74" i="3"/>
  <c r="G18" i="3"/>
  <c r="G120" i="15"/>
  <c r="P29" i="3"/>
  <c r="Q88" i="15"/>
  <c r="Q74" i="3"/>
  <c r="O30" i="3"/>
  <c r="N30" i="3"/>
  <c r="M134" i="15"/>
  <c r="N41" i="3"/>
  <c r="O8" i="3"/>
  <c r="O65" i="15"/>
  <c r="O82" i="15"/>
  <c r="O84" i="15"/>
  <c r="O14" i="3"/>
  <c r="N16" i="3"/>
  <c r="N73" i="3"/>
  <c r="M185" i="15"/>
  <c r="M188" i="15"/>
  <c r="O41" i="3"/>
  <c r="O87" i="15"/>
  <c r="P88" i="15"/>
  <c r="P74" i="3"/>
  <c r="G226" i="15"/>
  <c r="H93" i="15"/>
  <c r="H124" i="15"/>
  <c r="G34" i="3"/>
  <c r="N88" i="15"/>
  <c r="M137" i="15"/>
  <c r="M46" i="3"/>
  <c r="O16" i="3"/>
  <c r="O73" i="3"/>
  <c r="H126" i="15"/>
  <c r="H225" i="15"/>
  <c r="H118" i="15"/>
  <c r="H224" i="15"/>
  <c r="O88" i="15"/>
  <c r="O74" i="3"/>
  <c r="N134" i="15"/>
  <c r="N74" i="3"/>
  <c r="N185" i="15"/>
  <c r="N188" i="15"/>
  <c r="H127" i="15"/>
  <c r="H226" i="15"/>
  <c r="H18" i="3"/>
  <c r="H120" i="15"/>
  <c r="N137" i="15"/>
  <c r="N46" i="3"/>
  <c r="F19" i="3"/>
  <c r="F20" i="3"/>
  <c r="H34" i="3"/>
  <c r="I93" i="15"/>
  <c r="I124" i="15"/>
  <c r="I126" i="15"/>
  <c r="I225" i="15"/>
  <c r="O134" i="15"/>
  <c r="F218" i="15"/>
  <c r="O185" i="15"/>
  <c r="O188" i="15"/>
  <c r="I127" i="15"/>
  <c r="I118" i="15"/>
  <c r="I224" i="15"/>
  <c r="F228" i="15"/>
  <c r="F220" i="15"/>
  <c r="O137" i="15"/>
  <c r="O46" i="3"/>
  <c r="F229" i="15"/>
  <c r="F233" i="15"/>
  <c r="F234" i="15"/>
  <c r="I18" i="3"/>
  <c r="I120" i="15"/>
  <c r="P134" i="15"/>
  <c r="F22" i="3"/>
  <c r="F23" i="3"/>
  <c r="F63" i="3"/>
  <c r="G232" i="15"/>
  <c r="F236" i="15"/>
  <c r="P185" i="15"/>
  <c r="P188" i="15"/>
  <c r="I226" i="15"/>
  <c r="I34" i="3"/>
  <c r="J93" i="15"/>
  <c r="J124" i="15"/>
  <c r="P137" i="15"/>
  <c r="P46" i="3"/>
  <c r="F239" i="15"/>
  <c r="F47" i="3"/>
  <c r="F48" i="3"/>
  <c r="F238" i="15"/>
  <c r="F35" i="3"/>
  <c r="F36" i="3"/>
  <c r="J126" i="15"/>
  <c r="J225" i="15"/>
  <c r="J118" i="15"/>
  <c r="J224" i="15"/>
  <c r="Q134" i="15"/>
  <c r="F75" i="3"/>
  <c r="Q185" i="15"/>
  <c r="Q188" i="15"/>
  <c r="J226" i="15"/>
  <c r="J127" i="15"/>
  <c r="J18" i="3"/>
  <c r="J120" i="15"/>
  <c r="Q137" i="15"/>
  <c r="F77" i="3"/>
  <c r="J34" i="3"/>
  <c r="K93" i="15"/>
  <c r="K124" i="15"/>
  <c r="K126" i="15"/>
  <c r="K225" i="15"/>
  <c r="R134" i="15"/>
  <c r="Q46" i="3"/>
  <c r="F155" i="15"/>
  <c r="F157" i="15"/>
  <c r="R185" i="15"/>
  <c r="R188" i="15"/>
  <c r="K127" i="15"/>
  <c r="K118" i="15"/>
  <c r="R137" i="15"/>
  <c r="S134" i="15"/>
  <c r="F164" i="15"/>
  <c r="F169" i="15"/>
  <c r="F88" i="3"/>
  <c r="K120" i="15"/>
  <c r="L93" i="15"/>
  <c r="L124" i="15"/>
  <c r="K224" i="15"/>
  <c r="S185" i="15"/>
  <c r="S188" i="15"/>
  <c r="K18" i="3"/>
  <c r="F168" i="15"/>
  <c r="F87" i="3"/>
  <c r="R46" i="3"/>
  <c r="S137" i="15"/>
  <c r="S46" i="3"/>
  <c r="K34" i="3"/>
  <c r="L126" i="15"/>
  <c r="L225" i="15"/>
  <c r="K226" i="15"/>
  <c r="L118" i="15"/>
  <c r="L224" i="15"/>
  <c r="T134" i="15"/>
  <c r="T185" i="15"/>
  <c r="T188" i="15"/>
  <c r="L127" i="15"/>
  <c r="L18" i="3"/>
  <c r="L120" i="15"/>
  <c r="T137" i="15"/>
  <c r="T46" i="3"/>
  <c r="F173" i="15"/>
  <c r="F85" i="3"/>
  <c r="F89" i="3"/>
  <c r="F170" i="15"/>
  <c r="G167" i="15"/>
  <c r="G206" i="15"/>
  <c r="L226" i="15"/>
  <c r="M93" i="15"/>
  <c r="M124" i="15"/>
  <c r="L34" i="3"/>
  <c r="F64" i="3"/>
  <c r="F65" i="3"/>
  <c r="F67" i="3"/>
  <c r="G208" i="15"/>
  <c r="F42" i="3"/>
  <c r="F43" i="3"/>
  <c r="F50" i="3"/>
  <c r="M126" i="15"/>
  <c r="M225" i="15"/>
  <c r="M118" i="15"/>
  <c r="M224" i="15"/>
  <c r="F91" i="3"/>
  <c r="F28" i="3"/>
  <c r="G154" i="15"/>
  <c r="G62" i="3"/>
  <c r="M127" i="15"/>
  <c r="M18" i="3"/>
  <c r="M226" i="15"/>
  <c r="M120" i="15"/>
  <c r="G179" i="15"/>
  <c r="N93" i="15"/>
  <c r="N124" i="15"/>
  <c r="M34" i="3"/>
  <c r="G181" i="15"/>
  <c r="G210" i="15"/>
  <c r="F31" i="3"/>
  <c r="N126" i="15"/>
  <c r="N225" i="15"/>
  <c r="F38" i="3"/>
  <c r="F52" i="3"/>
  <c r="G19" i="3"/>
  <c r="G76" i="3"/>
  <c r="N118" i="15"/>
  <c r="N224" i="15"/>
  <c r="N127" i="15"/>
  <c r="G20" i="3"/>
  <c r="G218" i="15"/>
  <c r="G220" i="15"/>
  <c r="G22" i="3"/>
  <c r="G23" i="3"/>
  <c r="G63" i="3"/>
  <c r="N226" i="15"/>
  <c r="N18" i="3"/>
  <c r="N120" i="15"/>
  <c r="G228" i="15"/>
  <c r="N34" i="3"/>
  <c r="O93" i="15"/>
  <c r="O124" i="15"/>
  <c r="G229" i="15"/>
  <c r="G75" i="3"/>
  <c r="G77" i="3"/>
  <c r="G155" i="15"/>
  <c r="G157" i="15"/>
  <c r="G233" i="15"/>
  <c r="G234" i="15"/>
  <c r="O126" i="15"/>
  <c r="O225" i="15"/>
  <c r="O118" i="15"/>
  <c r="O224" i="15"/>
  <c r="H232" i="15"/>
  <c r="G236" i="15"/>
  <c r="O127" i="15"/>
  <c r="O226" i="15"/>
  <c r="O18" i="3"/>
  <c r="O120" i="15"/>
  <c r="G164" i="15"/>
  <c r="G169" i="15"/>
  <c r="G88" i="3"/>
  <c r="G238" i="15"/>
  <c r="G35" i="3"/>
  <c r="G36" i="3"/>
  <c r="G239" i="15"/>
  <c r="G47" i="3"/>
  <c r="G48" i="3"/>
  <c r="P93" i="15"/>
  <c r="P124" i="15"/>
  <c r="O34" i="3"/>
  <c r="G168" i="15"/>
  <c r="G87" i="3"/>
  <c r="P126" i="15"/>
  <c r="P225" i="15"/>
  <c r="P118" i="15"/>
  <c r="G173" i="15"/>
  <c r="G85" i="3"/>
  <c r="G89" i="3"/>
  <c r="P120" i="15"/>
  <c r="P34" i="3"/>
  <c r="P224" i="15"/>
  <c r="P127" i="15"/>
  <c r="P18" i="3"/>
  <c r="G64" i="3"/>
  <c r="G65" i="3"/>
  <c r="G170" i="15"/>
  <c r="H167" i="15"/>
  <c r="H206" i="15"/>
  <c r="Q93" i="15"/>
  <c r="Q124" i="15"/>
  <c r="Q126" i="15"/>
  <c r="Q225" i="15"/>
  <c r="P226" i="15"/>
  <c r="G91" i="3"/>
  <c r="G28" i="3"/>
  <c r="H154" i="15"/>
  <c r="H208" i="15"/>
  <c r="G42" i="3"/>
  <c r="G43" i="3"/>
  <c r="G50" i="3"/>
  <c r="H62" i="3"/>
  <c r="G67" i="3"/>
  <c r="Q118" i="15"/>
  <c r="Q224" i="15"/>
  <c r="Q127" i="15"/>
  <c r="H179" i="15"/>
  <c r="G31" i="3"/>
  <c r="Q18" i="3"/>
  <c r="Q120" i="15"/>
  <c r="R93" i="15"/>
  <c r="R124" i="15"/>
  <c r="R126" i="15"/>
  <c r="R225" i="15"/>
  <c r="Q226" i="15"/>
  <c r="G38" i="3"/>
  <c r="G52" i="3"/>
  <c r="H181" i="15"/>
  <c r="H210" i="15"/>
  <c r="Q34" i="3"/>
  <c r="R127" i="15"/>
  <c r="H19" i="3"/>
  <c r="H76" i="3"/>
  <c r="R118" i="15"/>
  <c r="R120" i="15"/>
  <c r="R34" i="3"/>
  <c r="R224" i="15"/>
  <c r="R226" i="15"/>
  <c r="H20" i="3"/>
  <c r="H218" i="15"/>
  <c r="H220" i="15"/>
  <c r="H22" i="3"/>
  <c r="H23" i="3"/>
  <c r="H63" i="3"/>
  <c r="R18" i="3"/>
  <c r="S93" i="15"/>
  <c r="S124" i="15"/>
  <c r="S126" i="15"/>
  <c r="S225" i="15"/>
  <c r="H228" i="15"/>
  <c r="S118" i="15"/>
  <c r="S224" i="15"/>
  <c r="S127" i="15"/>
  <c r="H229" i="15"/>
  <c r="H75" i="3"/>
  <c r="H77" i="3"/>
  <c r="H155" i="15"/>
  <c r="H157" i="15"/>
  <c r="H233" i="15"/>
  <c r="H234" i="15"/>
  <c r="S18" i="3"/>
  <c r="S120" i="15"/>
  <c r="S34" i="3"/>
  <c r="H236" i="15"/>
  <c r="I232" i="15"/>
  <c r="S226" i="15"/>
  <c r="T93" i="15"/>
  <c r="T124" i="15"/>
  <c r="H164" i="15"/>
  <c r="H169" i="15"/>
  <c r="H88" i="3"/>
  <c r="H238" i="15"/>
  <c r="H35" i="3"/>
  <c r="H36" i="3"/>
  <c r="H239" i="15"/>
  <c r="H47" i="3"/>
  <c r="H48" i="3"/>
  <c r="T126" i="15"/>
  <c r="T225" i="15"/>
  <c r="T118" i="15"/>
  <c r="H168" i="15"/>
  <c r="H87" i="3"/>
  <c r="T120" i="15"/>
  <c r="T34" i="3"/>
  <c r="T224" i="15"/>
  <c r="T226" i="15"/>
  <c r="T127" i="15"/>
  <c r="T18" i="3"/>
  <c r="H173" i="15"/>
  <c r="H85" i="3"/>
  <c r="H89" i="3"/>
  <c r="H64" i="3"/>
  <c r="H65" i="3"/>
  <c r="I62" i="3"/>
  <c r="H170" i="15"/>
  <c r="H42" i="3"/>
  <c r="H43" i="3"/>
  <c r="H50" i="3"/>
  <c r="H91" i="3"/>
  <c r="H28" i="3"/>
  <c r="I154" i="15"/>
  <c r="I167" i="15"/>
  <c r="I206" i="15"/>
  <c r="H67" i="3"/>
  <c r="I208" i="15"/>
  <c r="I179" i="15"/>
  <c r="I181" i="15"/>
  <c r="I210" i="15"/>
  <c r="H31" i="3"/>
  <c r="H38" i="3"/>
  <c r="H52" i="3"/>
  <c r="I19" i="3"/>
  <c r="I76" i="3"/>
  <c r="I20" i="3"/>
  <c r="I218" i="15"/>
  <c r="I220" i="15"/>
  <c r="I22" i="3"/>
  <c r="I23" i="3"/>
  <c r="I63" i="3"/>
  <c r="I228" i="15"/>
  <c r="I229" i="15"/>
  <c r="I75" i="3"/>
  <c r="I77" i="3"/>
  <c r="I155" i="15"/>
  <c r="I157" i="15"/>
  <c r="I233" i="15"/>
  <c r="I234" i="15"/>
  <c r="I236" i="15"/>
  <c r="J232" i="15"/>
  <c r="I164" i="15"/>
  <c r="I169" i="15"/>
  <c r="I88" i="3"/>
  <c r="I239" i="15"/>
  <c r="I47" i="3"/>
  <c r="I48" i="3"/>
  <c r="I238" i="15"/>
  <c r="I35" i="3"/>
  <c r="I36" i="3"/>
  <c r="I168" i="15"/>
  <c r="I87" i="3"/>
  <c r="I173" i="15"/>
  <c r="I85" i="3"/>
  <c r="I89" i="3"/>
  <c r="I170" i="15"/>
  <c r="I42" i="3"/>
  <c r="I43" i="3"/>
  <c r="I50" i="3"/>
  <c r="I91" i="3"/>
  <c r="I28" i="3"/>
  <c r="J154" i="15"/>
  <c r="I64" i="3"/>
  <c r="I65" i="3"/>
  <c r="J62" i="3"/>
  <c r="J167" i="15"/>
  <c r="J206" i="15"/>
  <c r="J208" i="15"/>
  <c r="I67" i="3"/>
  <c r="J179" i="15"/>
  <c r="I31" i="3"/>
  <c r="I38" i="3"/>
  <c r="I52" i="3"/>
  <c r="J181" i="15"/>
  <c r="J210" i="15"/>
  <c r="J76" i="3"/>
  <c r="J19" i="3"/>
  <c r="J20" i="3"/>
  <c r="J218" i="15"/>
  <c r="J220" i="15"/>
  <c r="J22" i="3"/>
  <c r="J23" i="3"/>
  <c r="J63" i="3"/>
  <c r="J228" i="15"/>
  <c r="J229" i="15"/>
  <c r="J75" i="3"/>
  <c r="J77" i="3"/>
  <c r="J155" i="15"/>
  <c r="J157" i="15"/>
  <c r="J164" i="15"/>
  <c r="J169" i="15"/>
  <c r="J88" i="3"/>
  <c r="J233" i="15"/>
  <c r="J234" i="15"/>
  <c r="J236" i="15"/>
  <c r="K232" i="15"/>
  <c r="J168" i="15"/>
  <c r="J87" i="3"/>
  <c r="J238" i="15"/>
  <c r="J35" i="3"/>
  <c r="J36" i="3"/>
  <c r="J239" i="15"/>
  <c r="J47" i="3"/>
  <c r="J48" i="3"/>
  <c r="J173" i="15"/>
  <c r="J85" i="3"/>
  <c r="J89" i="3"/>
  <c r="J170" i="15"/>
  <c r="J42" i="3"/>
  <c r="J43" i="3"/>
  <c r="J50" i="3"/>
  <c r="J64" i="3"/>
  <c r="J65" i="3"/>
  <c r="K62" i="3"/>
  <c r="K167" i="15"/>
  <c r="K206" i="15"/>
  <c r="J91" i="3"/>
  <c r="J28" i="3"/>
  <c r="K154" i="15"/>
  <c r="K208" i="15"/>
  <c r="J67" i="3"/>
  <c r="K179" i="15"/>
  <c r="J31" i="3"/>
  <c r="J38" i="3"/>
  <c r="J52" i="3"/>
  <c r="K181" i="15"/>
  <c r="K210" i="15"/>
  <c r="K76" i="3"/>
  <c r="K19" i="3"/>
  <c r="K20" i="3"/>
  <c r="K218" i="15"/>
  <c r="K220" i="15"/>
  <c r="K22" i="3"/>
  <c r="K23" i="3"/>
  <c r="K63" i="3"/>
  <c r="K228" i="15"/>
  <c r="K229" i="15"/>
  <c r="K75" i="3"/>
  <c r="K77" i="3"/>
  <c r="K155" i="15"/>
  <c r="K157" i="15"/>
  <c r="K164" i="15"/>
  <c r="K169" i="15"/>
  <c r="K88" i="3"/>
  <c r="K233" i="15"/>
  <c r="K234" i="15"/>
  <c r="K236" i="15"/>
  <c r="L232" i="15"/>
  <c r="K168" i="15"/>
  <c r="K87" i="3"/>
  <c r="K238" i="15"/>
  <c r="K35" i="3"/>
  <c r="K36" i="3"/>
  <c r="K239" i="15"/>
  <c r="K47" i="3"/>
  <c r="K48" i="3"/>
  <c r="K173" i="15"/>
  <c r="K85" i="3"/>
  <c r="K89" i="3"/>
  <c r="K170" i="15"/>
  <c r="L167" i="15"/>
  <c r="L206" i="15"/>
  <c r="K64" i="3"/>
  <c r="K65" i="3"/>
  <c r="L62" i="3"/>
  <c r="L208" i="15"/>
  <c r="K42" i="3"/>
  <c r="K43" i="3"/>
  <c r="K50" i="3"/>
  <c r="K91" i="3"/>
  <c r="K28" i="3"/>
  <c r="L154" i="15"/>
  <c r="K67" i="3"/>
  <c r="L179" i="15"/>
  <c r="K31" i="3"/>
  <c r="K38" i="3"/>
  <c r="K52" i="3"/>
  <c r="L181" i="15"/>
  <c r="L210" i="15"/>
  <c r="L76" i="3"/>
  <c r="L19" i="3"/>
  <c r="L20" i="3"/>
  <c r="L218" i="15"/>
  <c r="L228" i="15"/>
  <c r="L229" i="15"/>
  <c r="L75" i="3"/>
  <c r="L77" i="3"/>
  <c r="L155" i="15"/>
  <c r="L157" i="15"/>
  <c r="L233" i="15"/>
  <c r="L234" i="15"/>
  <c r="L220" i="15"/>
  <c r="L22" i="3"/>
  <c r="L23" i="3"/>
  <c r="L63" i="3"/>
  <c r="M232" i="15"/>
  <c r="L236" i="15"/>
  <c r="L164" i="15"/>
  <c r="L169" i="15"/>
  <c r="L88" i="3"/>
  <c r="L239" i="15"/>
  <c r="L47" i="3"/>
  <c r="L48" i="3"/>
  <c r="L238" i="15"/>
  <c r="L35" i="3"/>
  <c r="L36" i="3"/>
  <c r="L168" i="15"/>
  <c r="L87" i="3"/>
  <c r="L173" i="15"/>
  <c r="L64" i="3"/>
  <c r="L85" i="3"/>
  <c r="L89" i="3"/>
  <c r="L170" i="15"/>
  <c r="M167" i="15"/>
  <c r="M206" i="15"/>
  <c r="M208" i="15"/>
  <c r="L42" i="3"/>
  <c r="L43" i="3"/>
  <c r="L50" i="3"/>
  <c r="L65" i="3"/>
  <c r="M62" i="3"/>
  <c r="L91" i="3"/>
  <c r="L28" i="3"/>
  <c r="M154" i="15"/>
  <c r="L67" i="3"/>
  <c r="M179" i="15"/>
  <c r="L31" i="3"/>
  <c r="L38" i="3"/>
  <c r="L52" i="3"/>
  <c r="M181" i="15"/>
  <c r="M210" i="15"/>
  <c r="M19" i="3"/>
  <c r="M76" i="3"/>
  <c r="M20" i="3"/>
  <c r="M218" i="15"/>
  <c r="M228" i="15"/>
  <c r="M220" i="15"/>
  <c r="M22" i="3"/>
  <c r="M23" i="3"/>
  <c r="M63" i="3"/>
  <c r="M229" i="15"/>
  <c r="M75" i="3"/>
  <c r="M77" i="3"/>
  <c r="M155" i="15"/>
  <c r="M157" i="15"/>
  <c r="M233" i="15"/>
  <c r="M234" i="15"/>
  <c r="M236" i="15"/>
  <c r="N232" i="15"/>
  <c r="M164" i="15"/>
  <c r="M169" i="15"/>
  <c r="M88" i="3"/>
  <c r="M238" i="15"/>
  <c r="M35" i="3"/>
  <c r="M36" i="3"/>
  <c r="M239" i="15"/>
  <c r="M47" i="3"/>
  <c r="M48" i="3"/>
  <c r="M168" i="15"/>
  <c r="M87" i="3"/>
  <c r="M173" i="15"/>
  <c r="M85" i="3"/>
  <c r="M89" i="3"/>
  <c r="M170" i="15"/>
  <c r="M64" i="3"/>
  <c r="M65" i="3"/>
  <c r="N62" i="3"/>
  <c r="N167" i="15"/>
  <c r="N206" i="15"/>
  <c r="M42" i="3"/>
  <c r="M43" i="3"/>
  <c r="M50" i="3"/>
  <c r="M91" i="3"/>
  <c r="M28" i="3"/>
  <c r="N154" i="15"/>
  <c r="N208" i="15"/>
  <c r="M67" i="3"/>
  <c r="N179" i="15"/>
  <c r="M31" i="3"/>
  <c r="M38" i="3"/>
  <c r="M52" i="3"/>
  <c r="N181" i="15"/>
  <c r="N210" i="15"/>
  <c r="N76" i="3"/>
  <c r="N19" i="3"/>
  <c r="N20" i="3"/>
  <c r="N218" i="15"/>
  <c r="N228" i="15"/>
  <c r="N220" i="15"/>
  <c r="N22" i="3"/>
  <c r="N23" i="3"/>
  <c r="N63" i="3"/>
  <c r="N229" i="15"/>
  <c r="N75" i="3"/>
  <c r="N77" i="3"/>
  <c r="N155" i="15"/>
  <c r="N157" i="15"/>
  <c r="N164" i="15"/>
  <c r="N169" i="15"/>
  <c r="N88" i="3"/>
  <c r="N233" i="15"/>
  <c r="N234" i="15"/>
  <c r="O232" i="15"/>
  <c r="N236" i="15"/>
  <c r="N168" i="15"/>
  <c r="N87" i="3"/>
  <c r="N239" i="15"/>
  <c r="N47" i="3"/>
  <c r="N48" i="3"/>
  <c r="N238" i="15"/>
  <c r="N35" i="3"/>
  <c r="N36" i="3"/>
  <c r="N173" i="15"/>
  <c r="N85" i="3"/>
  <c r="N89" i="3"/>
  <c r="N170" i="15"/>
  <c r="O167" i="15"/>
  <c r="O206" i="15"/>
  <c r="N64" i="3"/>
  <c r="N65" i="3"/>
  <c r="N67" i="3"/>
  <c r="O208" i="15"/>
  <c r="N42" i="3"/>
  <c r="N43" i="3"/>
  <c r="N50" i="3"/>
  <c r="N91" i="3"/>
  <c r="N28" i="3"/>
  <c r="O154" i="15"/>
  <c r="O62" i="3"/>
  <c r="O179" i="15"/>
  <c r="O181" i="15"/>
  <c r="O210" i="15"/>
  <c r="O76" i="3"/>
  <c r="N31" i="3"/>
  <c r="N38" i="3"/>
  <c r="N52" i="3"/>
  <c r="O19" i="3"/>
  <c r="O20" i="3"/>
  <c r="O218" i="15"/>
  <c r="O220" i="15"/>
  <c r="O22" i="3"/>
  <c r="O23" i="3"/>
  <c r="O63" i="3"/>
  <c r="O228" i="15"/>
  <c r="O229" i="15"/>
  <c r="O75" i="3"/>
  <c r="O77" i="3"/>
  <c r="O155" i="15"/>
  <c r="O157" i="15"/>
  <c r="O233" i="15"/>
  <c r="O234" i="15"/>
  <c r="O236" i="15"/>
  <c r="P232" i="15"/>
  <c r="O164" i="15"/>
  <c r="O169" i="15"/>
  <c r="O88" i="3"/>
  <c r="O239" i="15"/>
  <c r="O47" i="3"/>
  <c r="O48" i="3"/>
  <c r="O238" i="15"/>
  <c r="O35" i="3"/>
  <c r="O36" i="3"/>
  <c r="O168" i="15"/>
  <c r="O87" i="3"/>
  <c r="O173" i="15"/>
  <c r="O85" i="3"/>
  <c r="O89" i="3"/>
  <c r="O170" i="15"/>
  <c r="O64" i="3"/>
  <c r="O65" i="3"/>
  <c r="O67" i="3"/>
  <c r="O42" i="3"/>
  <c r="O43" i="3"/>
  <c r="O50" i="3"/>
  <c r="P167" i="15"/>
  <c r="P206" i="15"/>
  <c r="O91" i="3"/>
  <c r="O28" i="3"/>
  <c r="P154" i="15"/>
  <c r="P62" i="3"/>
  <c r="P208" i="15"/>
  <c r="P179" i="15"/>
  <c r="O31" i="3"/>
  <c r="O38" i="3"/>
  <c r="O52" i="3"/>
  <c r="P181" i="15"/>
  <c r="P210" i="15"/>
  <c r="P76" i="3"/>
  <c r="P19" i="3"/>
  <c r="P20" i="3"/>
  <c r="P218" i="15"/>
  <c r="P220" i="15"/>
  <c r="P22" i="3"/>
  <c r="P23" i="3"/>
  <c r="P63" i="3"/>
  <c r="P228" i="15"/>
  <c r="P229" i="15"/>
  <c r="P75" i="3"/>
  <c r="P77" i="3"/>
  <c r="P155" i="15"/>
  <c r="P157" i="15"/>
  <c r="P164" i="15"/>
  <c r="P169" i="15"/>
  <c r="P88" i="3"/>
  <c r="P233" i="15"/>
  <c r="P234" i="15"/>
  <c r="P168" i="15"/>
  <c r="P87" i="3"/>
  <c r="Q232" i="15"/>
  <c r="P236" i="15"/>
  <c r="P170" i="15"/>
  <c r="P42" i="3"/>
  <c r="P43" i="3"/>
  <c r="P173" i="15"/>
  <c r="P64" i="3"/>
  <c r="P65" i="3"/>
  <c r="Q62" i="3"/>
  <c r="P239" i="15"/>
  <c r="P47" i="3"/>
  <c r="P48" i="3"/>
  <c r="P238" i="15"/>
  <c r="P35" i="3"/>
  <c r="P36" i="3"/>
  <c r="Q167" i="15"/>
  <c r="P67" i="3"/>
  <c r="P50" i="3"/>
  <c r="P85" i="3"/>
  <c r="P89" i="3"/>
  <c r="P91" i="3"/>
  <c r="P28" i="3"/>
  <c r="Q154" i="15"/>
  <c r="Q206" i="15"/>
  <c r="Q208" i="15"/>
  <c r="P31" i="3"/>
  <c r="Q179" i="15"/>
  <c r="Q181" i="15"/>
  <c r="Q210" i="15"/>
  <c r="Q76" i="3"/>
  <c r="P38" i="3"/>
  <c r="P52" i="3"/>
  <c r="Q19" i="3"/>
  <c r="Q20" i="3"/>
  <c r="Q218" i="15"/>
  <c r="Q220" i="15"/>
  <c r="Q22" i="3"/>
  <c r="Q23" i="3"/>
  <c r="Q63" i="3"/>
  <c r="Q228" i="15"/>
  <c r="Q229" i="15"/>
  <c r="Q75" i="3"/>
  <c r="Q77" i="3"/>
  <c r="Q155" i="15"/>
  <c r="Q157" i="15"/>
  <c r="Q164" i="15"/>
  <c r="Q169" i="15"/>
  <c r="Q88" i="3"/>
  <c r="Q233" i="15"/>
  <c r="Q234" i="15"/>
  <c r="R232" i="15"/>
  <c r="Q236" i="15"/>
  <c r="Q168" i="15"/>
  <c r="Q87" i="3"/>
  <c r="Q173" i="15"/>
  <c r="Q85" i="3"/>
  <c r="Q89" i="3"/>
  <c r="Q238" i="15"/>
  <c r="Q35" i="3"/>
  <c r="Q36" i="3"/>
  <c r="Q239" i="15"/>
  <c r="Q47" i="3"/>
  <c r="Q48" i="3"/>
  <c r="Q170" i="15"/>
  <c r="R167" i="15"/>
  <c r="R206" i="15"/>
  <c r="R208" i="15"/>
  <c r="Q64" i="3"/>
  <c r="Q65" i="3"/>
  <c r="Q67" i="3"/>
  <c r="Q91" i="3"/>
  <c r="Q28" i="3"/>
  <c r="R154" i="15"/>
  <c r="Q42" i="3"/>
  <c r="Q43" i="3"/>
  <c r="Q50" i="3"/>
  <c r="R62" i="3"/>
  <c r="R179" i="15"/>
  <c r="Q31" i="3"/>
  <c r="Q38" i="3"/>
  <c r="Q52" i="3"/>
  <c r="R181" i="15"/>
  <c r="R210" i="15"/>
  <c r="R76" i="3"/>
  <c r="R19" i="3"/>
  <c r="R20" i="3"/>
  <c r="R218" i="15"/>
  <c r="R220" i="15"/>
  <c r="R22" i="3"/>
  <c r="R23" i="3"/>
  <c r="R63" i="3"/>
  <c r="R228" i="15"/>
  <c r="R229" i="15"/>
  <c r="R75" i="3"/>
  <c r="R77" i="3"/>
  <c r="R155" i="15"/>
  <c r="R157" i="15"/>
  <c r="R164" i="15"/>
  <c r="R169" i="15"/>
  <c r="R88" i="3"/>
  <c r="R233" i="15"/>
  <c r="R234" i="15"/>
  <c r="R168" i="15"/>
  <c r="R87" i="3"/>
  <c r="R236" i="15"/>
  <c r="S232" i="15"/>
  <c r="R173" i="15"/>
  <c r="R85" i="3"/>
  <c r="R89" i="3"/>
  <c r="R91" i="3"/>
  <c r="R28" i="3"/>
  <c r="S154" i="15"/>
  <c r="R170" i="15"/>
  <c r="S167" i="15"/>
  <c r="S206" i="15"/>
  <c r="S208" i="15"/>
  <c r="R238" i="15"/>
  <c r="R35" i="3"/>
  <c r="R36" i="3"/>
  <c r="R239" i="15"/>
  <c r="R47" i="3"/>
  <c r="R48" i="3"/>
  <c r="R64" i="3"/>
  <c r="R65" i="3"/>
  <c r="S62" i="3"/>
  <c r="R42" i="3"/>
  <c r="R43" i="3"/>
  <c r="R50" i="3"/>
  <c r="R67" i="3"/>
  <c r="S179" i="15"/>
  <c r="S181" i="15"/>
  <c r="S210" i="15"/>
  <c r="S76" i="3"/>
  <c r="R31" i="3"/>
  <c r="R38" i="3"/>
  <c r="R52" i="3"/>
  <c r="S19" i="3"/>
  <c r="S20" i="3"/>
  <c r="S218" i="15"/>
  <c r="S220" i="15"/>
  <c r="S22" i="3"/>
  <c r="S23" i="3"/>
  <c r="S63" i="3"/>
  <c r="S228" i="15"/>
  <c r="S229" i="15"/>
  <c r="S75" i="3"/>
  <c r="S77" i="3"/>
  <c r="S155" i="15"/>
  <c r="S157" i="15"/>
  <c r="S164" i="15"/>
  <c r="S169" i="15"/>
  <c r="S88" i="3"/>
  <c r="S233" i="15"/>
  <c r="S234" i="15"/>
  <c r="S168" i="15"/>
  <c r="S87" i="3"/>
  <c r="S236" i="15"/>
  <c r="T232" i="15"/>
  <c r="S170" i="15"/>
  <c r="T167" i="15"/>
  <c r="S173" i="15"/>
  <c r="S85" i="3"/>
  <c r="S89" i="3"/>
  <c r="S91" i="3"/>
  <c r="S28" i="3"/>
  <c r="T154" i="15"/>
  <c r="S239" i="15"/>
  <c r="S47" i="3"/>
  <c r="S48" i="3"/>
  <c r="S238" i="15"/>
  <c r="S35" i="3"/>
  <c r="S36" i="3"/>
  <c r="T206" i="15"/>
  <c r="T208" i="15"/>
  <c r="S42" i="3"/>
  <c r="S43" i="3"/>
  <c r="S64" i="3"/>
  <c r="S65" i="3"/>
  <c r="S67" i="3"/>
  <c r="S50" i="3"/>
  <c r="T179" i="15"/>
  <c r="S31" i="3"/>
  <c r="T62" i="3"/>
  <c r="S38" i="3"/>
  <c r="S52" i="3"/>
  <c r="T181" i="15"/>
  <c r="T210" i="15"/>
  <c r="T76" i="3"/>
  <c r="T19" i="3"/>
  <c r="T20" i="3"/>
  <c r="T218" i="15"/>
  <c r="T228" i="15"/>
  <c r="T220" i="15"/>
  <c r="T22" i="3"/>
  <c r="T23" i="3"/>
  <c r="T63" i="3"/>
  <c r="T229" i="15"/>
  <c r="T75" i="3"/>
  <c r="T77" i="3"/>
  <c r="T155" i="15"/>
  <c r="T157" i="15"/>
  <c r="T164" i="15"/>
  <c r="T169" i="15"/>
  <c r="T88" i="3"/>
  <c r="T233" i="15"/>
  <c r="T234" i="15"/>
  <c r="T236" i="15"/>
  <c r="T168" i="15"/>
  <c r="T87" i="3"/>
  <c r="T239" i="15"/>
  <c r="T47" i="3"/>
  <c r="T48" i="3"/>
  <c r="T238" i="15"/>
  <c r="T35" i="3"/>
  <c r="T36" i="3"/>
  <c r="T173" i="15"/>
  <c r="T85" i="3"/>
  <c r="T89" i="3"/>
  <c r="T91" i="3"/>
  <c r="T28" i="3"/>
  <c r="T170" i="15"/>
  <c r="T42" i="3"/>
  <c r="T43" i="3"/>
  <c r="T50" i="3"/>
  <c r="T64" i="3"/>
  <c r="T65" i="3"/>
  <c r="T67" i="3"/>
  <c r="T31" i="3"/>
  <c r="T38" i="3"/>
  <c r="T52" i="3"/>
</calcChain>
</file>

<file path=xl/sharedStrings.xml><?xml version="1.0" encoding="utf-8"?>
<sst xmlns="http://schemas.openxmlformats.org/spreadsheetml/2006/main" count="310" uniqueCount="198">
  <si>
    <t>Headings</t>
  </si>
  <si>
    <t>Sales</t>
  </si>
  <si>
    <t>Marketing</t>
  </si>
  <si>
    <t>Depreciation</t>
  </si>
  <si>
    <t>Profit/(Loss) before tax</t>
  </si>
  <si>
    <t>Retained Earnings</t>
  </si>
  <si>
    <t>Opening retained earnings</t>
  </si>
  <si>
    <t>Closing retained earnings</t>
  </si>
  <si>
    <t>Balance Sheet</t>
  </si>
  <si>
    <t>Current Assets</t>
  </si>
  <si>
    <t>Accounts receivable</t>
  </si>
  <si>
    <t>Total Assets</t>
  </si>
  <si>
    <t>Current Liabilities</t>
  </si>
  <si>
    <t>Accounts payable</t>
  </si>
  <si>
    <t>Borrowings</t>
  </si>
  <si>
    <t>Net Assets</t>
  </si>
  <si>
    <t>Equity</t>
  </si>
  <si>
    <t>Equity contribution</t>
  </si>
  <si>
    <t>Net profit/(loss) after tax</t>
  </si>
  <si>
    <t>Total Equity</t>
  </si>
  <si>
    <t>Cash Flows from Operating Activities</t>
  </si>
  <si>
    <t>Cash Flows from Financing Activities</t>
  </si>
  <si>
    <t>Cash Flows from Investing Activities</t>
  </si>
  <si>
    <t>Net Cash Inflow/(Outflow)</t>
  </si>
  <si>
    <t>Opening cash</t>
  </si>
  <si>
    <t>Capital expenditure incurred</t>
  </si>
  <si>
    <t>Tax depreciation</t>
  </si>
  <si>
    <t>Accounting depreciation</t>
  </si>
  <si>
    <t>Tax payable</t>
  </si>
  <si>
    <t>Taxation</t>
  </si>
  <si>
    <t>Cost of Sales</t>
  </si>
  <si>
    <t>Gross Margin</t>
  </si>
  <si>
    <t>Inventory</t>
  </si>
  <si>
    <t>EBITDA</t>
  </si>
  <si>
    <t>Accounting Depreciation</t>
  </si>
  <si>
    <t>Taxation Depreciation</t>
  </si>
  <si>
    <t>Working Capital</t>
  </si>
  <si>
    <t>Adjusted profit before tax</t>
  </si>
  <si>
    <t>Interest revenue/(expense)</t>
  </si>
  <si>
    <t>Cash at Bank</t>
  </si>
  <si>
    <t>Total Liabilities</t>
  </si>
  <si>
    <t>Non-Current Assets</t>
  </si>
  <si>
    <t>Non-Current Liabilities</t>
  </si>
  <si>
    <t>Revenue Volume Assumptions</t>
  </si>
  <si>
    <t>Revenue Pricing Assumptions</t>
  </si>
  <si>
    <t>Total Sales</t>
  </si>
  <si>
    <t>Overhead Expenses</t>
  </si>
  <si>
    <t>Financing</t>
  </si>
  <si>
    <t>Shareholders Equity</t>
  </si>
  <si>
    <t>Expense Schedule</t>
  </si>
  <si>
    <t>Economic Assumptions</t>
  </si>
  <si>
    <t>Year</t>
  </si>
  <si>
    <t>Less Tax Paid</t>
  </si>
  <si>
    <t>Net Profit/(Loss) after tax</t>
  </si>
  <si>
    <t>Distribution to shareholders</t>
  </si>
  <si>
    <t>Interest expense</t>
  </si>
  <si>
    <t>Less interest paid/received</t>
  </si>
  <si>
    <t>Company tax rate (%)</t>
  </si>
  <si>
    <t>Cost Of Sales (%)</t>
  </si>
  <si>
    <t>Depreciation Rates</t>
  </si>
  <si>
    <t>Tax</t>
  </si>
  <si>
    <t>Free Cash Flows</t>
  </si>
  <si>
    <t>Timing difference</t>
  </si>
  <si>
    <t>P&amp;L tax</t>
  </si>
  <si>
    <t>Adjustment for timing differences in depreciation:</t>
  </si>
  <si>
    <t>Revolver facility</t>
  </si>
  <si>
    <t>Opening balance</t>
  </si>
  <si>
    <t>Payments</t>
  </si>
  <si>
    <t>Ending balance</t>
  </si>
  <si>
    <t>Free Cash Flow Available / (Required)</t>
  </si>
  <si>
    <t>Cash Flow Available / (Required)</t>
  </si>
  <si>
    <t>Interest revenue</t>
  </si>
  <si>
    <t>Financing Cash Flows</t>
  </si>
  <si>
    <t>Scheduled financing cash flows</t>
  </si>
  <si>
    <t>Revolver facility borrowings</t>
  </si>
  <si>
    <t>Revolver facility payments</t>
  </si>
  <si>
    <t>Plant and equipment</t>
  </si>
  <si>
    <t>Distributions to shareholders</t>
  </si>
  <si>
    <t>Operations</t>
  </si>
  <si>
    <t>Net Working Capital</t>
  </si>
  <si>
    <t>Net working capital</t>
  </si>
  <si>
    <t>Change in net working capital</t>
  </si>
  <si>
    <t>Interest</t>
  </si>
  <si>
    <t>Changes in working capital</t>
  </si>
  <si>
    <t>Closing balance</t>
  </si>
  <si>
    <t>Depreciation timing differences</t>
  </si>
  <si>
    <t>Income tax benefit/(expense)</t>
  </si>
  <si>
    <t>$ per unit</t>
  </si>
  <si>
    <t>Cost of sales</t>
  </si>
  <si>
    <t>Gross profit</t>
  </si>
  <si>
    <t>Input</t>
  </si>
  <si>
    <t>Timeline</t>
  </si>
  <si>
    <t>Counter</t>
  </si>
  <si>
    <t>years</t>
  </si>
  <si>
    <t>% pa</t>
  </si>
  <si>
    <t>%</t>
  </si>
  <si>
    <t>CPI</t>
  </si>
  <si>
    <t>Overhead expense per unit</t>
  </si>
  <si>
    <t>Total expenses</t>
  </si>
  <si>
    <t>days</t>
  </si>
  <si>
    <t>Adjustments to arrive at taxable profit</t>
  </si>
  <si>
    <t>PP&amp;E</t>
  </si>
  <si>
    <t>Capital expenditure incurred (nominal)</t>
  </si>
  <si>
    <t>Total overhead expenses</t>
  </si>
  <si>
    <t>Total Current Assets</t>
  </si>
  <si>
    <t>Total Non-Current Assets</t>
  </si>
  <si>
    <t>Total Current Liabilities</t>
  </si>
  <si>
    <t>Total Non-Current Liabilities</t>
  </si>
  <si>
    <t>Revolver borrowings</t>
  </si>
  <si>
    <t>Currency and units</t>
  </si>
  <si>
    <t>First year of forecast period</t>
  </si>
  <si>
    <t>Working capital</t>
  </si>
  <si>
    <t>Profit and Loss</t>
  </si>
  <si>
    <t>Cash flow</t>
  </si>
  <si>
    <t>(USD $m)</t>
  </si>
  <si>
    <t>Widget A</t>
  </si>
  <si>
    <t>Widget B</t>
  </si>
  <si>
    <t>Widget C</t>
  </si>
  <si>
    <t>Widget D</t>
  </si>
  <si>
    <t>Widget E</t>
  </si>
  <si>
    <t>Widget F</t>
  </si>
  <si>
    <t>Widget G</t>
  </si>
  <si>
    <t>Widget H</t>
  </si>
  <si>
    <t>Base</t>
  </si>
  <si>
    <t>High value</t>
  </si>
  <si>
    <t>Mid value</t>
  </si>
  <si>
    <t>Low value</t>
  </si>
  <si>
    <t>$ / unit</t>
  </si>
  <si>
    <t>$m</t>
  </si>
  <si>
    <t>units ms</t>
  </si>
  <si>
    <t>Total volume</t>
  </si>
  <si>
    <t>Volumes</t>
  </si>
  <si>
    <t>Revenues</t>
  </si>
  <si>
    <t>Total revenue</t>
  </si>
  <si>
    <t>Total cost of sales</t>
  </si>
  <si>
    <t>Widget categories</t>
  </si>
  <si>
    <t>Category</t>
  </si>
  <si>
    <t>Key/notes</t>
  </si>
  <si>
    <t>All real values are real as at June 2015 so should be subject to inflation from 2016</t>
  </si>
  <si>
    <t>The Widget Company Inc</t>
  </si>
  <si>
    <t>Sheet End</t>
  </si>
  <si>
    <t>Inventory days</t>
  </si>
  <si>
    <t>Days receivable</t>
  </si>
  <si>
    <t>Days payable</t>
  </si>
  <si>
    <t>Overheads</t>
  </si>
  <si>
    <t>Marketing costs</t>
  </si>
  <si>
    <t>% of sales</t>
  </si>
  <si>
    <t>Outputs</t>
  </si>
  <si>
    <t>Calculations</t>
  </si>
  <si>
    <t>Inputs</t>
  </si>
  <si>
    <t>PP&amp;E - accounting (straight line)</t>
  </si>
  <si>
    <t>Interest rates</t>
  </si>
  <si>
    <t>Cash on hand</t>
  </si>
  <si>
    <t>Other</t>
  </si>
  <si>
    <t>Assumes drawdowns happen at the start of the year, repayment at the end of the year</t>
  </si>
  <si>
    <t>Deferred tax liability (depreciation timing differences)</t>
  </si>
  <si>
    <t>PP&amp;E - tax (diminishing value)</t>
  </si>
  <si>
    <t>Pricing (nominal) - Base Scenario</t>
  </si>
  <si>
    <t>Pricing (nominal) - Growth Scenario</t>
  </si>
  <si>
    <t>Sales (m units)</t>
  </si>
  <si>
    <t>Pricing scenario used</t>
  </si>
  <si>
    <t>Regular capex</t>
  </si>
  <si>
    <t>One-off capex</t>
  </si>
  <si>
    <t>Capital Expenditure</t>
  </si>
  <si>
    <t>Applied to sales and admin costs only</t>
  </si>
  <si>
    <t>Closing accounting net book value</t>
  </si>
  <si>
    <t>Opening accounting net book value</t>
  </si>
  <si>
    <t>Opening tax net book value</t>
  </si>
  <si>
    <t>Closing tax net book value</t>
  </si>
  <si>
    <t>Other (per year)</t>
  </si>
  <si>
    <t>Direct sales costs</t>
  </si>
  <si>
    <t>Other costs</t>
  </si>
  <si>
    <t>Note - this model does not deal with tax losses</t>
  </si>
  <si>
    <t>Deferred tax asset (depreciation timing differences)</t>
  </si>
  <si>
    <t>Deferred tax asset/liability (depreciation timing differences)</t>
  </si>
  <si>
    <t>All working capital calculated on a (days / actual) basis</t>
  </si>
  <si>
    <t>Days in year</t>
  </si>
  <si>
    <t>Sales expense</t>
  </si>
  <si>
    <t>Marketing expense</t>
  </si>
  <si>
    <t>Term loans</t>
  </si>
  <si>
    <t>Equity distributions (% of cash available)</t>
  </si>
  <si>
    <t>Term loan 1 drawdown (start of year)</t>
  </si>
  <si>
    <t>Term loan 1 repayment (end of year)</t>
  </si>
  <si>
    <t>Term loan 2 drawdown (start of year)</t>
  </si>
  <si>
    <t>Term loan 3 repayment (end of year)</t>
  </si>
  <si>
    <t>Term loan 2 repayment (end of year)</t>
  </si>
  <si>
    <t>Term loan 3 drawdown (start of year)</t>
  </si>
  <si>
    <t>Term loan 1</t>
  </si>
  <si>
    <t>Term loan 2</t>
  </si>
  <si>
    <t>Term loan 3</t>
  </si>
  <si>
    <t>Term loan 1 interest</t>
  </si>
  <si>
    <t>Term loan 2 interest</t>
  </si>
  <si>
    <t>Term loan 3 interest</t>
  </si>
  <si>
    <t>Assume calculation based on opening balance</t>
  </si>
  <si>
    <t>Term loan drawdown/repayment</t>
  </si>
  <si>
    <t>Revolver</t>
  </si>
  <si>
    <t>Capital expenditure assumed to be made on the first day of the period.</t>
  </si>
  <si>
    <t>Round 2 - 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</si>
</sst>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_);@_)"/>
    <numFmt numFmtId="169" formatCode="mmm\ yy_);mmm\ yy_);&quot;-&quot;_);@_)"/>
    <numFmt numFmtId="170" formatCode="#,##0.00_);\(#,##0.00\);0.00_);@_)"/>
    <numFmt numFmtId="171" formatCode="###0_)"/>
    <numFmt numFmtId="172" formatCode="0.00%_);\(0.00%\)"/>
    <numFmt numFmtId="173" formatCode="#,##0_);\(#,##0\);0_);@_)"/>
    <numFmt numFmtId="174" formatCode="#,##0_);\(#,##0\);&quot;-&quot;_);@_)"/>
  </numFmts>
  <fonts count="38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29"/>
      <name val="Calibri"/>
      <family val="2"/>
    </font>
    <font>
      <b/>
      <sz val="11"/>
      <color indexed="26"/>
      <name val="Calibri"/>
      <family val="2"/>
    </font>
    <font>
      <b/>
      <sz val="11"/>
      <color indexed="17"/>
      <name val="Calibri"/>
      <family val="2"/>
    </font>
    <font>
      <b/>
      <sz val="8"/>
      <name val="Arial"/>
      <family val="2"/>
    </font>
    <font>
      <i/>
      <sz val="11"/>
      <color indexed="40"/>
      <name val="Calibri"/>
      <family val="2"/>
    </font>
    <font>
      <sz val="11"/>
      <color indexed="20"/>
      <name val="Calibri"/>
      <family val="2"/>
    </font>
    <font>
      <b/>
      <sz val="15"/>
      <color indexed="10"/>
      <name val="Calibri"/>
      <family val="2"/>
    </font>
    <font>
      <b/>
      <sz val="13"/>
      <color indexed="10"/>
      <name val="Calibri"/>
      <family val="2"/>
    </font>
    <font>
      <sz val="11"/>
      <color indexed="11"/>
      <name val="Calibri"/>
      <family val="2"/>
    </font>
    <font>
      <sz val="11"/>
      <color indexed="26"/>
      <name val="Calibri"/>
      <family val="2"/>
    </font>
    <font>
      <b/>
      <sz val="11"/>
      <color indexed="15"/>
      <name val="Calibri"/>
      <family val="2"/>
    </font>
    <font>
      <b/>
      <sz val="18"/>
      <color indexed="10"/>
      <name val="Cambria"/>
      <family val="2"/>
    </font>
    <font>
      <b/>
      <sz val="11"/>
      <color indexed="16"/>
      <name val="Calibri"/>
      <family val="2"/>
    </font>
    <font>
      <sz val="11"/>
      <color indexed="48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rgb="FFFFFFFF"/>
      <name val="Arial"/>
      <family val="2"/>
    </font>
    <font>
      <b/>
      <i/>
      <sz val="10"/>
      <name val="Arial"/>
      <family val="2"/>
    </font>
    <font>
      <b/>
      <i/>
      <sz val="10"/>
      <color rgb="FF0000FF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i/>
      <sz val="10"/>
      <color rgb="FF00B0F0"/>
      <name val="Arial"/>
      <family val="2"/>
    </font>
    <font>
      <b/>
      <i/>
      <sz val="10"/>
      <color indexed="18"/>
      <name val="Arial"/>
      <family val="2"/>
    </font>
    <font>
      <b/>
      <i/>
      <sz val="10"/>
      <color rgb="FFFFFFFF"/>
      <name val="Arial"/>
      <family val="2"/>
    </font>
    <font>
      <i/>
      <sz val="10"/>
      <color theme="0" tint="-0.499984740745262"/>
      <name val="Arial"/>
      <family val="2"/>
    </font>
    <font>
      <b/>
      <sz val="18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13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18"/>
      </patternFill>
    </fill>
    <fill>
      <patternFill patternType="solid">
        <fgColor indexed="48"/>
      </patternFill>
    </fill>
    <fill>
      <patternFill patternType="solid">
        <fgColor indexed="8"/>
      </patternFill>
    </fill>
    <fill>
      <patternFill patternType="solid">
        <fgColor indexed="61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15"/>
      </patternFill>
    </fill>
  </fills>
  <borders count="18">
    <border>
      <left/>
      <right/>
      <top/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double">
        <color indexed="15"/>
      </left>
      <right style="double">
        <color indexed="15"/>
      </right>
      <top style="double">
        <color indexed="15"/>
      </top>
      <bottom style="double">
        <color indexed="15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26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168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8" fillId="12" borderId="0" applyNumberFormat="0" applyBorder="0" applyAlignment="0" applyProtection="0"/>
    <xf numFmtId="0" fontId="9" fillId="2" borderId="1" applyNumberFormat="0" applyAlignment="0" applyProtection="0"/>
    <xf numFmtId="0" fontId="10" fillId="13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1" fillId="0" borderId="0" applyFill="0" applyBorder="0">
      <alignment vertical="center"/>
    </xf>
    <xf numFmtId="0" fontId="4" fillId="0" borderId="0" applyFill="0" applyBorder="0">
      <alignment vertical="center"/>
    </xf>
    <xf numFmtId="0" fontId="16" fillId="3" borderId="1" applyNumberFormat="0" applyAlignment="0" applyProtection="0"/>
    <xf numFmtId="0" fontId="17" fillId="0" borderId="6" applyNumberFormat="0" applyFill="0" applyAlignment="0" applyProtection="0"/>
    <xf numFmtId="0" fontId="7" fillId="3" borderId="0" applyNumberFormat="0" applyBorder="0" applyAlignment="0" applyProtection="0"/>
    <xf numFmtId="0" fontId="3" fillId="3" borderId="7" applyNumberFormat="0" applyFont="0" applyAlignment="0" applyProtection="0"/>
    <xf numFmtId="0" fontId="18" fillId="2" borderId="8" applyNumberFormat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  <xf numFmtId="167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" fillId="0" borderId="0"/>
    <xf numFmtId="0" fontId="1" fillId="0" borderId="0"/>
  </cellStyleXfs>
  <cellXfs count="107">
    <xf numFmtId="168" fontId="0" fillId="0" borderId="0" xfId="0"/>
    <xf numFmtId="170" fontId="24" fillId="15" borderId="17" xfId="0" applyNumberFormat="1" applyFont="1" applyFill="1" applyBorder="1" applyAlignment="1">
      <alignment vertical="center"/>
    </xf>
    <xf numFmtId="169" fontId="3" fillId="0" borderId="0" xfId="0" applyNumberFormat="1" applyFont="1" applyFill="1" applyAlignment="1">
      <alignment vertical="center"/>
    </xf>
    <xf numFmtId="169" fontId="3" fillId="0" borderId="0" xfId="0" applyNumberFormat="1" applyFont="1" applyFill="1" applyBorder="1" applyAlignment="1">
      <alignment vertical="center"/>
    </xf>
    <xf numFmtId="170" fontId="25" fillId="0" borderId="0" xfId="0" applyNumberFormat="1" applyFont="1" applyFill="1" applyAlignment="1">
      <alignment vertical="center"/>
    </xf>
    <xf numFmtId="170" fontId="3" fillId="0" borderId="0" xfId="0" applyNumberFormat="1" applyFont="1" applyFill="1" applyAlignment="1">
      <alignment vertical="center"/>
    </xf>
    <xf numFmtId="170" fontId="26" fillId="0" borderId="0" xfId="0" applyNumberFormat="1" applyFont="1" applyFill="1" applyAlignment="1">
      <alignment horizontal="center" vertical="center"/>
    </xf>
    <xf numFmtId="170" fontId="3" fillId="0" borderId="0" xfId="0" applyNumberFormat="1" applyFont="1" applyAlignment="1">
      <alignment vertical="center"/>
    </xf>
    <xf numFmtId="170" fontId="28" fillId="14" borderId="0" xfId="0" applyNumberFormat="1" applyFont="1" applyFill="1" applyAlignment="1">
      <alignment vertical="center"/>
    </xf>
    <xf numFmtId="170" fontId="25" fillId="14" borderId="0" xfId="0" applyNumberFormat="1" applyFont="1" applyFill="1" applyAlignment="1">
      <alignment vertical="center"/>
    </xf>
    <xf numFmtId="170" fontId="29" fillId="14" borderId="0" xfId="0" applyNumberFormat="1" applyFont="1" applyFill="1" applyAlignment="1">
      <alignment horizontal="center" vertical="center"/>
    </xf>
    <xf numFmtId="170" fontId="26" fillId="0" borderId="14" xfId="0" applyNumberFormat="1" applyFont="1" applyFill="1" applyBorder="1" applyAlignment="1">
      <alignment horizontal="center" vertical="center"/>
    </xf>
    <xf numFmtId="170" fontId="26" fillId="0" borderId="13" xfId="0" applyNumberFormat="1" applyFont="1" applyFill="1" applyBorder="1" applyAlignment="1">
      <alignment horizontal="center" vertical="center"/>
    </xf>
    <xf numFmtId="170" fontId="3" fillId="0" borderId="10" xfId="0" applyNumberFormat="1" applyFont="1" applyFill="1" applyBorder="1" applyAlignment="1">
      <alignment vertical="center"/>
    </xf>
    <xf numFmtId="170" fontId="26" fillId="0" borderId="10" xfId="0" applyNumberFormat="1" applyFont="1" applyFill="1" applyBorder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170" fontId="3" fillId="0" borderId="0" xfId="0" applyNumberFormat="1" applyFont="1" applyFill="1" applyAlignment="1">
      <alignment horizontal="center" vertical="center"/>
    </xf>
    <xf numFmtId="170" fontId="3" fillId="0" borderId="0" xfId="0" applyNumberFormat="1" applyFont="1" applyFill="1" applyBorder="1" applyAlignment="1">
      <alignment vertical="center"/>
    </xf>
    <xf numFmtId="170" fontId="26" fillId="0" borderId="0" xfId="0" applyNumberFormat="1" applyFont="1" applyFill="1" applyBorder="1" applyAlignment="1">
      <alignment horizontal="center" vertical="center"/>
    </xf>
    <xf numFmtId="170" fontId="29" fillId="0" borderId="0" xfId="0" applyNumberFormat="1" applyFont="1" applyFill="1" applyAlignment="1">
      <alignment vertical="center"/>
    </xf>
    <xf numFmtId="170" fontId="29" fillId="0" borderId="0" xfId="0" applyNumberFormat="1" applyFont="1" applyFill="1" applyAlignment="1">
      <alignment horizontal="center" vertical="center"/>
    </xf>
    <xf numFmtId="170" fontId="29" fillId="0" borderId="0" xfId="0" applyNumberFormat="1" applyFont="1" applyAlignment="1">
      <alignment vertical="center"/>
    </xf>
    <xf numFmtId="170" fontId="26" fillId="0" borderId="0" xfId="0" quotePrefix="1" applyNumberFormat="1" applyFont="1" applyFill="1" applyAlignment="1">
      <alignment horizontal="center" vertical="center"/>
    </xf>
    <xf numFmtId="170" fontId="3" fillId="0" borderId="12" xfId="0" applyNumberFormat="1" applyFont="1" applyFill="1" applyBorder="1" applyAlignment="1">
      <alignment vertical="center"/>
    </xf>
    <xf numFmtId="170" fontId="26" fillId="0" borderId="12" xfId="0" quotePrefix="1" applyNumberFormat="1" applyFont="1" applyFill="1" applyBorder="1" applyAlignment="1">
      <alignment horizontal="center" vertical="center"/>
    </xf>
    <xf numFmtId="170" fontId="25" fillId="0" borderId="0" xfId="0" applyNumberFormat="1" applyFont="1" applyFill="1" applyBorder="1" applyAlignment="1">
      <alignment vertical="center"/>
    </xf>
    <xf numFmtId="170" fontId="29" fillId="0" borderId="0" xfId="0" applyNumberFormat="1" applyFont="1" applyFill="1" applyBorder="1" applyAlignment="1">
      <alignment horizontal="center" vertical="center"/>
    </xf>
    <xf numFmtId="170" fontId="25" fillId="0" borderId="0" xfId="0" applyNumberFormat="1" applyFont="1" applyFill="1" applyBorder="1" applyAlignment="1">
      <alignment horizontal="right" vertical="center" wrapText="1"/>
    </xf>
    <xf numFmtId="170" fontId="29" fillId="0" borderId="0" xfId="0" applyNumberFormat="1" applyFont="1" applyFill="1" applyBorder="1" applyAlignment="1">
      <alignment vertical="center"/>
    </xf>
    <xf numFmtId="170" fontId="25" fillId="0" borderId="0" xfId="0" applyNumberFormat="1" applyFont="1" applyFill="1" applyBorder="1" applyAlignment="1">
      <alignment horizontal="right" vertical="center"/>
    </xf>
    <xf numFmtId="170" fontId="3" fillId="0" borderId="0" xfId="0" applyNumberFormat="1" applyFont="1" applyFill="1" applyBorder="1" applyAlignment="1">
      <alignment horizontal="right" vertical="center" wrapText="1"/>
    </xf>
    <xf numFmtId="170" fontId="27" fillId="0" borderId="0" xfId="0" applyNumberFormat="1" applyFont="1" applyFill="1" applyBorder="1" applyAlignment="1">
      <alignment vertical="center"/>
    </xf>
    <xf numFmtId="170" fontId="25" fillId="0" borderId="0" xfId="0" applyNumberFormat="1" applyFont="1" applyAlignment="1">
      <alignment vertical="center"/>
    </xf>
    <xf numFmtId="170" fontId="3" fillId="0" borderId="0" xfId="0" applyNumberFormat="1" applyFont="1" applyBorder="1" applyAlignment="1">
      <alignment vertical="center"/>
    </xf>
    <xf numFmtId="170" fontId="3" fillId="0" borderId="0" xfId="0" applyNumberFormat="1" applyFont="1" applyFill="1" applyBorder="1" applyAlignment="1">
      <alignment horizontal="center" vertical="center"/>
    </xf>
    <xf numFmtId="170" fontId="25" fillId="0" borderId="12" xfId="0" applyNumberFormat="1" applyFont="1" applyBorder="1" applyAlignment="1">
      <alignment vertical="center"/>
    </xf>
    <xf numFmtId="170" fontId="26" fillId="0" borderId="12" xfId="0" applyNumberFormat="1" applyFont="1" applyFill="1" applyBorder="1" applyAlignment="1">
      <alignment horizontal="center" vertical="center"/>
    </xf>
    <xf numFmtId="170" fontId="26" fillId="0" borderId="0" xfId="0" applyNumberFormat="1" applyFont="1" applyAlignment="1">
      <alignment horizontal="center" vertical="center"/>
    </xf>
    <xf numFmtId="170" fontId="30" fillId="0" borderId="0" xfId="0" applyNumberFormat="1" applyFont="1" applyFill="1" applyAlignment="1">
      <alignment vertical="center"/>
    </xf>
    <xf numFmtId="170" fontId="26" fillId="0" borderId="0" xfId="0" applyNumberFormat="1" applyFont="1" applyBorder="1" applyAlignment="1">
      <alignment horizontal="center" vertical="center"/>
    </xf>
    <xf numFmtId="170" fontId="26" fillId="0" borderId="0" xfId="0" applyNumberFormat="1" applyFont="1" applyFill="1" applyAlignment="1">
      <alignment vertical="center"/>
    </xf>
    <xf numFmtId="170" fontId="3" fillId="0" borderId="5" xfId="0" applyNumberFormat="1" applyFont="1" applyFill="1" applyBorder="1" applyAlignment="1">
      <alignment vertical="center"/>
    </xf>
    <xf numFmtId="170" fontId="3" fillId="0" borderId="11" xfId="0" applyNumberFormat="1" applyFont="1" applyFill="1" applyBorder="1" applyAlignment="1">
      <alignment vertical="center"/>
    </xf>
    <xf numFmtId="170" fontId="25" fillId="14" borderId="0" xfId="0" applyNumberFormat="1" applyFont="1" applyFill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3" fillId="0" borderId="0" xfId="0" applyNumberFormat="1" applyFont="1" applyFill="1" applyBorder="1" applyAlignment="1">
      <alignment horizontal="right" vertical="center"/>
    </xf>
    <xf numFmtId="170" fontId="25" fillId="0" borderId="11" xfId="0" applyNumberFormat="1" applyFont="1" applyFill="1" applyBorder="1" applyAlignment="1">
      <alignment vertical="center"/>
    </xf>
    <xf numFmtId="170" fontId="3" fillId="0" borderId="10" xfId="0" applyNumberFormat="1" applyFont="1" applyFill="1" applyBorder="1" applyAlignment="1">
      <alignment horizontal="right" vertical="center"/>
    </xf>
    <xf numFmtId="170" fontId="3" fillId="0" borderId="0" xfId="0" applyNumberFormat="1" applyFont="1" applyFill="1" applyAlignment="1">
      <alignment horizontal="right" vertical="center"/>
    </xf>
    <xf numFmtId="170" fontId="25" fillId="14" borderId="0" xfId="0" applyNumberFormat="1" applyFont="1" applyFill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170" fontId="26" fillId="0" borderId="0" xfId="0" applyNumberFormat="1" applyFont="1" applyFill="1" applyBorder="1" applyAlignment="1">
      <alignment horizontal="right" vertical="center"/>
    </xf>
    <xf numFmtId="170" fontId="25" fillId="0" borderId="10" xfId="0" applyNumberFormat="1" applyFont="1" applyFill="1" applyBorder="1" applyAlignment="1">
      <alignment vertical="center"/>
    </xf>
    <xf numFmtId="170" fontId="26" fillId="0" borderId="10" xfId="0" applyNumberFormat="1" applyFont="1" applyFill="1" applyBorder="1" applyAlignment="1">
      <alignment horizontal="right" vertical="center"/>
    </xf>
    <xf numFmtId="170" fontId="26" fillId="0" borderId="0" xfId="0" applyNumberFormat="1" applyFont="1" applyFill="1" applyAlignment="1">
      <alignment horizontal="right" vertical="center"/>
    </xf>
    <xf numFmtId="170" fontId="26" fillId="0" borderId="0" xfId="0" applyNumberFormat="1" applyFont="1" applyAlignment="1">
      <alignment horizontal="right" vertical="center"/>
    </xf>
    <xf numFmtId="170" fontId="3" fillId="0" borderId="10" xfId="0" applyNumberFormat="1" applyFont="1" applyFill="1" applyBorder="1" applyAlignment="1">
      <alignment horizontal="center" vertical="center"/>
    </xf>
    <xf numFmtId="170" fontId="31" fillId="0" borderId="0" xfId="0" applyNumberFormat="1" applyFont="1" applyAlignment="1">
      <alignment horizontal="right" vertical="center"/>
    </xf>
    <xf numFmtId="170" fontId="32" fillId="0" borderId="0" xfId="0" applyNumberFormat="1" applyFont="1" applyAlignment="1">
      <alignment horizontal="right" vertical="center"/>
    </xf>
    <xf numFmtId="170" fontId="32" fillId="0" borderId="0" xfId="0" applyNumberFormat="1" applyFont="1" applyAlignment="1">
      <alignment horizontal="center" vertical="center"/>
    </xf>
    <xf numFmtId="170" fontId="31" fillId="0" borderId="0" xfId="0" applyNumberFormat="1" applyFont="1" applyAlignment="1">
      <alignment horizontal="center" vertical="center"/>
    </xf>
    <xf numFmtId="170" fontId="32" fillId="0" borderId="0" xfId="0" applyNumberFormat="1" applyFont="1" applyFill="1" applyBorder="1" applyAlignment="1">
      <alignment horizontal="right" vertical="center"/>
    </xf>
    <xf numFmtId="170" fontId="28" fillId="14" borderId="0" xfId="0" applyNumberFormat="1" applyFont="1" applyFill="1" applyBorder="1" applyAlignment="1">
      <alignment horizontal="right" vertical="center"/>
    </xf>
    <xf numFmtId="170" fontId="33" fillId="0" borderId="0" xfId="0" applyNumberFormat="1" applyFont="1" applyFill="1" applyBorder="1" applyAlignment="1">
      <alignment horizontal="center" vertical="center"/>
    </xf>
    <xf numFmtId="170" fontId="33" fillId="0" borderId="0" xfId="0" applyNumberFormat="1" applyFont="1" applyFill="1" applyAlignment="1">
      <alignment horizontal="center" vertical="center"/>
    </xf>
    <xf numFmtId="170" fontId="33" fillId="0" borderId="10" xfId="0" applyNumberFormat="1" applyFont="1" applyFill="1" applyBorder="1" applyAlignment="1">
      <alignment horizontal="center" vertical="center"/>
    </xf>
    <xf numFmtId="170" fontId="29" fillId="0" borderId="10" xfId="0" applyNumberFormat="1" applyFont="1" applyFill="1" applyBorder="1" applyAlignment="1">
      <alignment vertical="center"/>
    </xf>
    <xf numFmtId="170" fontId="33" fillId="0" borderId="11" xfId="0" applyNumberFormat="1" applyFont="1" applyFill="1" applyBorder="1" applyAlignment="1">
      <alignment horizontal="center" vertical="center"/>
    </xf>
    <xf numFmtId="170" fontId="35" fillId="14" borderId="0" xfId="0" applyNumberFormat="1" applyFont="1" applyFill="1" applyAlignment="1">
      <alignment horizontal="center" vertical="center"/>
    </xf>
    <xf numFmtId="170" fontId="33" fillId="0" borderId="0" xfId="0" applyNumberFormat="1" applyFont="1" applyAlignment="1">
      <alignment horizontal="center" vertical="center"/>
    </xf>
    <xf numFmtId="170" fontId="34" fillId="0" borderId="0" xfId="0" applyNumberFormat="1" applyFont="1" applyFill="1" applyBorder="1" applyAlignment="1">
      <alignment horizontal="right" vertical="center"/>
    </xf>
    <xf numFmtId="170" fontId="34" fillId="0" borderId="0" xfId="0" applyNumberFormat="1" applyFont="1" applyFill="1" applyAlignment="1">
      <alignment horizontal="right" vertical="center"/>
    </xf>
    <xf numFmtId="170" fontId="32" fillId="0" borderId="0" xfId="0" applyNumberFormat="1" applyFont="1" applyFill="1" applyAlignment="1">
      <alignment horizontal="right" vertical="center"/>
    </xf>
    <xf numFmtId="170" fontId="28" fillId="14" borderId="0" xfId="0" applyNumberFormat="1" applyFont="1" applyFill="1" applyAlignment="1">
      <alignment horizontal="right" vertical="center"/>
    </xf>
    <xf numFmtId="170" fontId="25" fillId="0" borderId="15" xfId="0" applyNumberFormat="1" applyFont="1" applyFill="1" applyBorder="1" applyAlignment="1">
      <alignment vertical="center"/>
    </xf>
    <xf numFmtId="170" fontId="3" fillId="0" borderId="15" xfId="0" applyNumberFormat="1" applyFont="1" applyFill="1" applyBorder="1" applyAlignment="1">
      <alignment vertical="center"/>
    </xf>
    <xf numFmtId="170" fontId="26" fillId="0" borderId="15" xfId="0" applyNumberFormat="1" applyFont="1" applyFill="1" applyBorder="1" applyAlignment="1">
      <alignment horizontal="center" vertical="center"/>
    </xf>
    <xf numFmtId="170" fontId="27" fillId="0" borderId="0" xfId="0" applyNumberFormat="1" applyFont="1" applyFill="1" applyAlignment="1">
      <alignment vertical="center"/>
    </xf>
    <xf numFmtId="170" fontId="25" fillId="0" borderId="0" xfId="0" applyNumberFormat="1" applyFont="1" applyBorder="1" applyAlignment="1">
      <alignment vertical="center"/>
    </xf>
    <xf numFmtId="170" fontId="29" fillId="0" borderId="0" xfId="0" applyNumberFormat="1" applyFont="1" applyBorder="1" applyAlignment="1">
      <alignment horizontal="center" vertical="center"/>
    </xf>
    <xf numFmtId="170" fontId="36" fillId="0" borderId="0" xfId="0" applyNumberFormat="1" applyFont="1" applyBorder="1" applyAlignment="1">
      <alignment horizontal="right" vertical="center"/>
    </xf>
    <xf numFmtId="170" fontId="26" fillId="0" borderId="0" xfId="0" applyNumberFormat="1" applyFont="1" applyBorder="1" applyAlignment="1">
      <alignment vertical="center"/>
    </xf>
    <xf numFmtId="170" fontId="29" fillId="0" borderId="0" xfId="0" applyNumberFormat="1" applyFont="1" applyBorder="1" applyAlignment="1">
      <alignment vertical="center"/>
    </xf>
    <xf numFmtId="170" fontId="25" fillId="0" borderId="0" xfId="0" applyNumberFormat="1" applyFont="1" applyFill="1" applyBorder="1" applyAlignment="1">
      <alignment horizontal="center" vertical="center"/>
    </xf>
    <xf numFmtId="170" fontId="26" fillId="0" borderId="0" xfId="0" quotePrefix="1" applyNumberFormat="1" applyFont="1" applyFill="1" applyBorder="1" applyAlignment="1">
      <alignment horizontal="center" vertical="center"/>
    </xf>
    <xf numFmtId="170" fontId="26" fillId="0" borderId="0" xfId="0" applyNumberFormat="1" applyFont="1" applyFill="1" applyBorder="1" applyAlignment="1">
      <alignment vertical="center"/>
    </xf>
    <xf numFmtId="170" fontId="3" fillId="0" borderId="0" xfId="0" applyNumberFormat="1" applyFont="1" applyBorder="1" applyAlignment="1">
      <alignment horizontal="center" vertical="center"/>
    </xf>
    <xf numFmtId="170" fontId="3" fillId="0" borderId="0" xfId="0" applyNumberFormat="1" applyFont="1" applyFill="1" applyBorder="1" applyAlignment="1">
      <alignment horizontal="left" vertical="center"/>
    </xf>
    <xf numFmtId="170" fontId="28" fillId="14" borderId="0" xfId="0" applyNumberFormat="1" applyFont="1" applyFill="1" applyAlignment="1">
      <alignment horizontal="center" vertical="center"/>
    </xf>
    <xf numFmtId="171" fontId="3" fillId="0" borderId="0" xfId="0" applyNumberFormat="1" applyFont="1" applyFill="1" applyBorder="1" applyAlignment="1">
      <alignment vertical="center"/>
    </xf>
    <xf numFmtId="172" fontId="24" fillId="15" borderId="17" xfId="0" applyNumberFormat="1" applyFont="1" applyFill="1" applyBorder="1" applyAlignment="1">
      <alignment vertical="center"/>
    </xf>
    <xf numFmtId="169" fontId="24" fillId="15" borderId="17" xfId="0" applyNumberFormat="1" applyFont="1" applyFill="1" applyBorder="1" applyAlignment="1">
      <alignment vertical="center"/>
    </xf>
    <xf numFmtId="173" fontId="3" fillId="0" borderId="15" xfId="0" applyNumberFormat="1" applyFont="1" applyFill="1" applyBorder="1" applyAlignment="1">
      <alignment horizontal="right" vertical="center"/>
    </xf>
    <xf numFmtId="173" fontId="25" fillId="0" borderId="16" xfId="0" applyNumberFormat="1" applyFont="1" applyFill="1" applyBorder="1" applyAlignment="1">
      <alignment vertical="center"/>
    </xf>
    <xf numFmtId="173" fontId="3" fillId="0" borderId="16" xfId="0" applyNumberFormat="1" applyFont="1" applyFill="1" applyBorder="1" applyAlignment="1">
      <alignment vertical="center"/>
    </xf>
    <xf numFmtId="173" fontId="26" fillId="0" borderId="16" xfId="0" applyNumberFormat="1" applyFont="1" applyFill="1" applyBorder="1" applyAlignment="1">
      <alignment horizontal="center" vertical="center"/>
    </xf>
    <xf numFmtId="173" fontId="3" fillId="0" borderId="16" xfId="0" applyNumberFormat="1" applyFont="1" applyFill="1" applyBorder="1" applyAlignment="1">
      <alignment horizontal="right" vertical="center"/>
    </xf>
    <xf numFmtId="173" fontId="27" fillId="0" borderId="16" xfId="0" applyNumberFormat="1" applyFont="1" applyFill="1" applyBorder="1" applyAlignment="1">
      <alignment vertical="center"/>
    </xf>
    <xf numFmtId="173" fontId="26" fillId="0" borderId="16" xfId="0" applyNumberFormat="1" applyFont="1" applyFill="1" applyBorder="1" applyAlignment="1">
      <alignment vertical="center"/>
    </xf>
    <xf numFmtId="172" fontId="3" fillId="0" borderId="0" xfId="0" applyNumberFormat="1" applyFont="1" applyFill="1" applyAlignment="1">
      <alignment vertical="center"/>
    </xf>
    <xf numFmtId="173" fontId="3" fillId="0" borderId="0" xfId="0" applyNumberFormat="1" applyFont="1" applyFill="1" applyAlignment="1">
      <alignment horizontal="left" vertical="center"/>
    </xf>
    <xf numFmtId="170" fontId="24" fillId="16" borderId="17" xfId="0" applyNumberFormat="1" applyFont="1" applyFill="1" applyBorder="1" applyAlignment="1">
      <alignment vertical="center"/>
    </xf>
    <xf numFmtId="170" fontId="24" fillId="0" borderId="0" xfId="0" applyNumberFormat="1" applyFont="1" applyFill="1" applyAlignment="1">
      <alignment vertical="center"/>
    </xf>
    <xf numFmtId="170" fontId="26" fillId="0" borderId="10" xfId="0" quotePrefix="1" applyNumberFormat="1" applyFont="1" applyFill="1" applyBorder="1" applyAlignment="1">
      <alignment horizontal="center" vertical="center"/>
    </xf>
    <xf numFmtId="172" fontId="3" fillId="0" borderId="5" xfId="0" applyNumberFormat="1" applyFont="1" applyFill="1" applyBorder="1" applyAlignment="1">
      <alignment vertical="center"/>
    </xf>
    <xf numFmtId="174" fontId="26" fillId="0" borderId="0" xfId="0" applyNumberFormat="1" applyFont="1" applyFill="1" applyAlignment="1">
      <alignment vertical="center"/>
    </xf>
    <xf numFmtId="170" fontId="37" fillId="0" borderId="0" xfId="0" applyNumberFormat="1" applyFont="1" applyFill="1" applyAlignment="1">
      <alignment vertical="center"/>
    </xf>
  </cellXfs>
  <cellStyles count="50">
    <cellStyle name="20% - Accent1" xfId="1" builtinId="30" hidden="1" customBuiltin="1"/>
    <cellStyle name="20% - Accent2" xfId="2" builtinId="34" hidden="1" customBuiltin="1"/>
    <cellStyle name="20% - Accent3" xfId="3" builtinId="38" hidden="1" customBuiltin="1"/>
    <cellStyle name="20% - Accent4" xfId="4" builtinId="42" hidden="1" customBuiltin="1"/>
    <cellStyle name="20% - Accent5" xfId="5" builtinId="46" hidden="1" customBuiltin="1"/>
    <cellStyle name="20% - Accent6" xfId="6" builtinId="50" hidden="1" customBuiltin="1"/>
    <cellStyle name="40% - Accent1" xfId="7" builtinId="31" hidden="1" customBuiltin="1"/>
    <cellStyle name="40% - Accent2" xfId="8" builtinId="35" hidden="1" customBuiltin="1"/>
    <cellStyle name="40% - Accent3" xfId="9" builtinId="39" hidden="1" customBuiltin="1"/>
    <cellStyle name="40% - Accent4" xfId="10" builtinId="43" hidden="1" customBuiltin="1"/>
    <cellStyle name="40% - Accent5" xfId="11" builtinId="47" hidden="1" customBuiltin="1"/>
    <cellStyle name="40% - Accent6" xfId="12" builtinId="51" hidden="1" customBuiltin="1"/>
    <cellStyle name="60% - Accent1" xfId="13" builtinId="32" hidden="1" customBuiltin="1"/>
    <cellStyle name="60% - Accent2" xfId="14" builtinId="36" hidden="1" customBuiltin="1"/>
    <cellStyle name="60% - Accent3" xfId="15" builtinId="40" hidden="1" customBuiltin="1"/>
    <cellStyle name="60% - Accent4" xfId="16" builtinId="44" hidden="1" customBuiltin="1"/>
    <cellStyle name="60% - Accent5" xfId="17" builtinId="48" hidden="1" customBuiltin="1"/>
    <cellStyle name="60% - Accent6" xfId="18" builtinId="52" hidden="1" customBuiltin="1"/>
    <cellStyle name="Accent1" xfId="19" builtinId="29" hidden="1" customBuiltin="1"/>
    <cellStyle name="Accent2" xfId="20" builtinId="33" hidden="1" customBuiltin="1"/>
    <cellStyle name="Accent3" xfId="21" builtinId="37" hidden="1" customBuiltin="1"/>
    <cellStyle name="Accent4" xfId="22" builtinId="41" hidden="1" customBuiltin="1"/>
    <cellStyle name="Accent5" xfId="23" builtinId="45" hidden="1" customBuiltin="1"/>
    <cellStyle name="Accent6" xfId="24" builtinId="49" hidden="1" customBuiltin="1"/>
    <cellStyle name="Bad" xfId="25" builtinId="27" hidden="1" customBuiltin="1"/>
    <cellStyle name="Calculation" xfId="26" builtinId="22" hidden="1" customBuiltin="1"/>
    <cellStyle name="Check Cell" xfId="27" builtinId="23" hidden="1" customBuiltin="1"/>
    <cellStyle name="Comma" xfId="44" builtinId="3" hidden="1"/>
    <cellStyle name="Comma [0]" xfId="45" builtinId="6" hidden="1"/>
    <cellStyle name="Currency" xfId="46" builtinId="4" hidden="1"/>
    <cellStyle name="Currency [0]" xfId="47" builtinId="7" hidden="1"/>
    <cellStyle name="Explanatory Text" xfId="28" builtinId="53" hidden="1" customBuiltin="1"/>
    <cellStyle name="Good" xfId="29" builtinId="26" hidden="1" customBuiltin="1"/>
    <cellStyle name="Heading 1" xfId="30" builtinId="16" hidden="1" customBuiltin="1"/>
    <cellStyle name="Heading 2" xfId="31" builtinId="17" hidden="1" customBuiltin="1"/>
    <cellStyle name="Heading 3" xfId="32" builtinId="18" hidden="1" customBuiltin="1"/>
    <cellStyle name="Heading 4" xfId="33" builtinId="19" hidden="1" customBuiltin="1"/>
    <cellStyle name="Hyperlink" xfId="43" builtinId="8" hidden="1"/>
    <cellStyle name="Input" xfId="34" builtinId="20" hidden="1" customBuiltin="1"/>
    <cellStyle name="Linked Cell" xfId="35" builtinId="24" hidden="1" customBuiltin="1"/>
    <cellStyle name="Neutral" xfId="36" builtinId="28" hidden="1" customBuiltin="1"/>
    <cellStyle name="Normal" xfId="0" builtinId="0" customBuiltin="1"/>
    <cellStyle name="Normal 2" xfId="48"/>
    <cellStyle name="Normal 3" xfId="49"/>
    <cellStyle name="Note" xfId="37" builtinId="10" hidden="1" customBuiltin="1"/>
    <cellStyle name="Output" xfId="38" builtinId="21" hidden="1" customBuiltin="1"/>
    <cellStyle name="Percent" xfId="39" builtinId="5" hidden="1" customBuiltin="1"/>
    <cellStyle name="Title" xfId="40" builtinId="15" hidden="1" customBuiltin="1"/>
    <cellStyle name="Total" xfId="41" builtinId="25" hidden="1" customBuiltin="1"/>
    <cellStyle name="Warning Text" xfId="42" builtinId="11" hidden="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A4972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761437"/>
      <rgbColor rgb="00808000"/>
      <rgbColor rgb="00800080"/>
      <rgbColor rgb="00008080"/>
      <rgbColor rgb="00FFFFFF"/>
      <rgbColor rgb="00808080"/>
      <rgbColor rgb="003A4972"/>
      <rgbColor rgb="00DFEB9E"/>
      <rgbColor rgb="002666A6"/>
      <rgbColor rgb="00AFCC0D"/>
      <rgbColor rgb="003DA8D5"/>
      <rgbColor rgb="00D8EEF7"/>
      <rgbColor rgb="008D9C00"/>
      <rgbColor rgb="00707014"/>
      <rgbColor rgb="003A4972"/>
      <rgbColor rgb="00DFEB9E"/>
      <rgbColor rgb="002666A6"/>
      <rgbColor rgb="00AFCC0D"/>
      <rgbColor rgb="003DA8D5"/>
      <rgbColor rgb="00D8EEF7"/>
      <rgbColor rgb="008D9C00"/>
      <rgbColor rgb="00707014"/>
      <rgbColor rgb="0000CCFF"/>
      <rgbColor rgb="00AFCC0D"/>
      <rgbColor rgb="003DA8D5"/>
      <rgbColor rgb="008D9C00"/>
      <rgbColor rgb="00DFEB9E"/>
      <rgbColor rgb="00707014"/>
      <rgbColor rgb="002666A6"/>
      <rgbColor rgb="00D8EEF7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E89500"/>
      <rgbColor rgb="00339966"/>
      <rgbColor rgb="00A74305"/>
      <rgbColor rgb="00F5D199"/>
      <rgbColor rgb="001B265F"/>
      <rgbColor rgb="00993366"/>
      <rgbColor rgb="006E6E00"/>
      <rgbColor rgb="00502800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5</xdr:row>
      <xdr:rowOff>0</xdr:rowOff>
    </xdr:from>
    <xdr:to>
      <xdr:col>4</xdr:col>
      <xdr:colOff>1</xdr:colOff>
      <xdr:row>12</xdr:row>
      <xdr:rowOff>17315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834" y="846667"/>
          <a:ext cx="3238500" cy="1202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T115"/>
  <sheetViews>
    <sheetView showGridLines="0" tabSelected="1" zoomScale="90" zoomScaleNormal="90" zoomScalePageLayoutView="90" workbookViewId="0">
      <pane xSplit="5" ySplit="2" topLeftCell="F3" activePane="bottomRight" state="frozen"/>
      <selection activeCell="F62" sqref="F62"/>
      <selection pane="topRight" activeCell="F62" sqref="F62"/>
      <selection pane="bottomLeft" activeCell="F62" sqref="F62"/>
      <selection pane="bottomRight"/>
    </sheetView>
  </sheetViews>
  <sheetFormatPr baseColWidth="10" defaultColWidth="9.1640625" defaultRowHeight="14" customHeight="1" x14ac:dyDescent="0"/>
  <cols>
    <col min="1" max="2" width="2.6640625" style="5" customWidth="1"/>
    <col min="3" max="3" width="35.83203125" style="7" customWidth="1"/>
    <col min="4" max="4" width="12.6640625" style="37" customWidth="1"/>
    <col min="5" max="20" width="12.6640625" style="7" customWidth="1"/>
    <col min="21" max="16384" width="9.1640625" style="5"/>
  </cols>
  <sheetData>
    <row r="1" spans="1:20" ht="14" customHeight="1">
      <c r="A1" s="4" t="str">
        <f>C19&amp;" "&amp;E20</f>
        <v>The Widget Company Inc (USD $m)</v>
      </c>
      <c r="C1" s="5"/>
      <c r="D1" s="6"/>
      <c r="E1" s="2">
        <f>E23</f>
        <v>42185</v>
      </c>
      <c r="F1" s="2">
        <f t="shared" ref="F1:T1" si="0">F23</f>
        <v>42551</v>
      </c>
      <c r="G1" s="2">
        <f t="shared" si="0"/>
        <v>42916</v>
      </c>
      <c r="H1" s="2">
        <f t="shared" si="0"/>
        <v>43281</v>
      </c>
      <c r="I1" s="2">
        <f t="shared" si="0"/>
        <v>43646</v>
      </c>
      <c r="J1" s="2">
        <f t="shared" si="0"/>
        <v>44012</v>
      </c>
      <c r="K1" s="2">
        <f t="shared" si="0"/>
        <v>44377</v>
      </c>
      <c r="L1" s="2">
        <f t="shared" si="0"/>
        <v>44742</v>
      </c>
      <c r="M1" s="2">
        <f t="shared" si="0"/>
        <v>45107</v>
      </c>
      <c r="N1" s="2">
        <f t="shared" si="0"/>
        <v>45473</v>
      </c>
      <c r="O1" s="2">
        <f t="shared" si="0"/>
        <v>45838</v>
      </c>
      <c r="P1" s="2">
        <f t="shared" si="0"/>
        <v>46203</v>
      </c>
      <c r="Q1" s="2">
        <f t="shared" si="0"/>
        <v>46568</v>
      </c>
      <c r="R1" s="2">
        <f t="shared" si="0"/>
        <v>46934</v>
      </c>
      <c r="S1" s="2">
        <f t="shared" si="0"/>
        <v>47299</v>
      </c>
      <c r="T1" s="2">
        <f t="shared" si="0"/>
        <v>47664</v>
      </c>
    </row>
    <row r="2" spans="1:20" s="77" customFormat="1" ht="14" customHeight="1" thickBot="1">
      <c r="A2" s="74" t="s">
        <v>149</v>
      </c>
      <c r="B2" s="75"/>
      <c r="C2" s="76"/>
      <c r="D2" s="76"/>
      <c r="E2" s="92">
        <f>E25</f>
        <v>0</v>
      </c>
      <c r="F2" s="92">
        <f t="shared" ref="F2:T2" si="1">F25</f>
        <v>1</v>
      </c>
      <c r="G2" s="92">
        <f t="shared" si="1"/>
        <v>2</v>
      </c>
      <c r="H2" s="92">
        <f t="shared" si="1"/>
        <v>3</v>
      </c>
      <c r="I2" s="92">
        <f t="shared" si="1"/>
        <v>4</v>
      </c>
      <c r="J2" s="92">
        <f t="shared" si="1"/>
        <v>5</v>
      </c>
      <c r="K2" s="92">
        <f t="shared" si="1"/>
        <v>6</v>
      </c>
      <c r="L2" s="92">
        <f t="shared" si="1"/>
        <v>7</v>
      </c>
      <c r="M2" s="92">
        <f t="shared" si="1"/>
        <v>8</v>
      </c>
      <c r="N2" s="92">
        <f t="shared" si="1"/>
        <v>9</v>
      </c>
      <c r="O2" s="92">
        <f t="shared" si="1"/>
        <v>10</v>
      </c>
      <c r="P2" s="92">
        <f t="shared" si="1"/>
        <v>11</v>
      </c>
      <c r="Q2" s="92">
        <f t="shared" si="1"/>
        <v>12</v>
      </c>
      <c r="R2" s="92">
        <f t="shared" si="1"/>
        <v>13</v>
      </c>
      <c r="S2" s="92">
        <f t="shared" si="1"/>
        <v>14</v>
      </c>
      <c r="T2" s="92">
        <f t="shared" si="1"/>
        <v>15</v>
      </c>
    </row>
    <row r="3" spans="1:20" s="7" customFormat="1" ht="14" customHeight="1">
      <c r="A3" s="19"/>
      <c r="B3" s="19"/>
      <c r="C3" s="5"/>
      <c r="D3" s="5"/>
      <c r="E3" s="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7" customFormat="1" ht="21">
      <c r="A4" s="19"/>
      <c r="B4" s="19"/>
      <c r="C4" s="106" t="s">
        <v>197</v>
      </c>
      <c r="D4" s="5"/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s="7" customFormat="1" ht="14" customHeight="1">
      <c r="A5" s="19"/>
      <c r="B5" s="19"/>
      <c r="C5" s="5"/>
      <c r="D5" s="5"/>
      <c r="E5" s="1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s="7" customFormat="1" ht="14" customHeight="1">
      <c r="A6" s="19"/>
      <c r="B6" s="19"/>
      <c r="C6" s="5"/>
      <c r="D6" s="5"/>
      <c r="E6" s="1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s="7" customFormat="1" ht="14" customHeight="1">
      <c r="A7" s="19"/>
      <c r="B7" s="19"/>
      <c r="C7" s="5"/>
      <c r="D7" s="5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s="7" customFormat="1" ht="14" customHeight="1">
      <c r="A8" s="19"/>
      <c r="B8" s="19"/>
      <c r="C8" s="5"/>
      <c r="D8" s="5"/>
      <c r="E8" s="1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s="7" customFormat="1" ht="14" customHeight="1">
      <c r="A9" s="19"/>
      <c r="B9" s="19"/>
      <c r="C9" s="5"/>
      <c r="D9" s="5"/>
      <c r="E9" s="1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s="7" customFormat="1" ht="14" customHeight="1">
      <c r="A10" s="19"/>
      <c r="B10" s="19"/>
      <c r="C10" s="5"/>
      <c r="D10" s="5"/>
      <c r="E10" s="1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s="7" customFormat="1" ht="14" customHeight="1">
      <c r="A11" s="19"/>
      <c r="B11" s="19"/>
      <c r="C11" s="5"/>
      <c r="D11" s="5"/>
      <c r="E11" s="1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s="7" customFormat="1" ht="14" customHeight="1">
      <c r="A12" s="19"/>
      <c r="B12" s="19"/>
      <c r="C12" s="5"/>
      <c r="D12" s="5"/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s="7" customFormat="1" ht="14" customHeight="1">
      <c r="A13" s="19"/>
      <c r="B13" s="19"/>
      <c r="C13" s="5"/>
      <c r="D13" s="5"/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s="31" customFormat="1" ht="14" customHeight="1">
      <c r="A14" s="25"/>
      <c r="B14" s="25" t="s">
        <v>137</v>
      </c>
      <c r="C14" s="17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s="31" customFormat="1" ht="14" customHeight="1">
      <c r="A15" s="28"/>
      <c r="B15" s="28"/>
      <c r="C15" s="28" t="s">
        <v>138</v>
      </c>
      <c r="D15" s="26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s="17" customFormat="1" ht="14" customHeight="1">
      <c r="A16" s="33"/>
      <c r="C16" s="17" t="s">
        <v>90</v>
      </c>
      <c r="D16" s="18"/>
      <c r="E16" s="1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</row>
    <row r="17" spans="1:20" s="17" customFormat="1" ht="14" customHeight="1">
      <c r="D17" s="18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</row>
    <row r="18" spans="1:20" s="31" customFormat="1" ht="14" customHeight="1">
      <c r="A18" s="78"/>
      <c r="B18" s="78" t="s">
        <v>0</v>
      </c>
      <c r="C18" s="17"/>
      <c r="D18" s="18"/>
      <c r="E18" s="33"/>
      <c r="F18" s="3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</row>
    <row r="19" spans="1:20" s="17" customFormat="1" ht="14" customHeight="1">
      <c r="A19" s="33"/>
      <c r="C19" s="1" t="s">
        <v>139</v>
      </c>
      <c r="D19" s="39"/>
      <c r="F19" s="39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</row>
    <row r="20" spans="1:20" s="17" customFormat="1" ht="14" customHeight="1">
      <c r="C20" s="17" t="s">
        <v>109</v>
      </c>
      <c r="D20" s="18"/>
      <c r="E20" s="1" t="s">
        <v>114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</row>
    <row r="21" spans="1:20" s="17" customFormat="1" ht="14" customHeight="1">
      <c r="A21" s="33"/>
      <c r="C21" s="33" t="s">
        <v>110</v>
      </c>
      <c r="D21" s="18"/>
      <c r="E21" s="91">
        <v>42551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 s="17" customFormat="1" ht="14" customHeight="1">
      <c r="C22" s="33"/>
      <c r="D22" s="39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 spans="1:20" s="17" customFormat="1" ht="14" customHeight="1">
      <c r="C23" s="17" t="s">
        <v>91</v>
      </c>
      <c r="D23" s="39"/>
      <c r="E23" s="3">
        <f>EOMONTH(E21,-12)</f>
        <v>42185</v>
      </c>
      <c r="F23" s="3">
        <f>EOMONTH(E23,12)</f>
        <v>42551</v>
      </c>
      <c r="G23" s="3">
        <f t="shared" ref="G23:T23" si="2">EOMONTH(F23,12)</f>
        <v>42916</v>
      </c>
      <c r="H23" s="3">
        <f t="shared" si="2"/>
        <v>43281</v>
      </c>
      <c r="I23" s="3">
        <f t="shared" si="2"/>
        <v>43646</v>
      </c>
      <c r="J23" s="3">
        <f t="shared" si="2"/>
        <v>44012</v>
      </c>
      <c r="K23" s="3">
        <f t="shared" si="2"/>
        <v>44377</v>
      </c>
      <c r="L23" s="3">
        <f t="shared" si="2"/>
        <v>44742</v>
      </c>
      <c r="M23" s="3">
        <f t="shared" si="2"/>
        <v>45107</v>
      </c>
      <c r="N23" s="3">
        <f t="shared" si="2"/>
        <v>45473</v>
      </c>
      <c r="O23" s="3">
        <f t="shared" si="2"/>
        <v>45838</v>
      </c>
      <c r="P23" s="3">
        <f t="shared" si="2"/>
        <v>46203</v>
      </c>
      <c r="Q23" s="3">
        <f t="shared" si="2"/>
        <v>46568</v>
      </c>
      <c r="R23" s="3">
        <f t="shared" si="2"/>
        <v>46934</v>
      </c>
      <c r="S23" s="3">
        <f t="shared" si="2"/>
        <v>47299</v>
      </c>
      <c r="T23" s="3">
        <f t="shared" si="2"/>
        <v>47664</v>
      </c>
    </row>
    <row r="24" spans="1:20" s="17" customFormat="1" ht="14" customHeight="1">
      <c r="C24" s="17" t="s">
        <v>51</v>
      </c>
      <c r="D24" s="39"/>
      <c r="F24" s="89">
        <f>YEAR(F23)</f>
        <v>2016</v>
      </c>
      <c r="G24" s="89">
        <f t="shared" ref="G24:T24" si="3">YEAR(G23)</f>
        <v>2017</v>
      </c>
      <c r="H24" s="89">
        <f t="shared" si="3"/>
        <v>2018</v>
      </c>
      <c r="I24" s="89">
        <f t="shared" si="3"/>
        <v>2019</v>
      </c>
      <c r="J24" s="89">
        <f t="shared" si="3"/>
        <v>2020</v>
      </c>
      <c r="K24" s="89">
        <f t="shared" si="3"/>
        <v>2021</v>
      </c>
      <c r="L24" s="89">
        <f t="shared" si="3"/>
        <v>2022</v>
      </c>
      <c r="M24" s="89">
        <f t="shared" si="3"/>
        <v>2023</v>
      </c>
      <c r="N24" s="89">
        <f t="shared" si="3"/>
        <v>2024</v>
      </c>
      <c r="O24" s="89">
        <f t="shared" si="3"/>
        <v>2025</v>
      </c>
      <c r="P24" s="89">
        <f t="shared" si="3"/>
        <v>2026</v>
      </c>
      <c r="Q24" s="89">
        <f t="shared" si="3"/>
        <v>2027</v>
      </c>
      <c r="R24" s="89">
        <f t="shared" si="3"/>
        <v>2028</v>
      </c>
      <c r="S24" s="89">
        <f t="shared" si="3"/>
        <v>2029</v>
      </c>
      <c r="T24" s="89">
        <f t="shared" si="3"/>
        <v>2030</v>
      </c>
    </row>
    <row r="25" spans="1:20" s="17" customFormat="1" ht="14" customHeight="1">
      <c r="C25" s="17" t="s">
        <v>92</v>
      </c>
      <c r="D25" s="39"/>
      <c r="E25" s="17">
        <v>0</v>
      </c>
      <c r="F25" s="17">
        <f>E25+1</f>
        <v>1</v>
      </c>
      <c r="G25" s="17">
        <f t="shared" ref="G25:T25" si="4">F25+1</f>
        <v>2</v>
      </c>
      <c r="H25" s="17">
        <f t="shared" si="4"/>
        <v>3</v>
      </c>
      <c r="I25" s="17">
        <f t="shared" si="4"/>
        <v>4</v>
      </c>
      <c r="J25" s="17">
        <f t="shared" si="4"/>
        <v>5</v>
      </c>
      <c r="K25" s="17">
        <f t="shared" si="4"/>
        <v>6</v>
      </c>
      <c r="L25" s="17">
        <f t="shared" si="4"/>
        <v>7</v>
      </c>
      <c r="M25" s="17">
        <f t="shared" si="4"/>
        <v>8</v>
      </c>
      <c r="N25" s="17">
        <f t="shared" si="4"/>
        <v>9</v>
      </c>
      <c r="O25" s="17">
        <f t="shared" si="4"/>
        <v>10</v>
      </c>
      <c r="P25" s="17">
        <f t="shared" si="4"/>
        <v>11</v>
      </c>
      <c r="Q25" s="17">
        <f t="shared" si="4"/>
        <v>12</v>
      </c>
      <c r="R25" s="17">
        <f t="shared" si="4"/>
        <v>13</v>
      </c>
      <c r="S25" s="17">
        <f t="shared" si="4"/>
        <v>14</v>
      </c>
      <c r="T25" s="17">
        <f t="shared" si="4"/>
        <v>15</v>
      </c>
    </row>
    <row r="26" spans="1:20" s="17" customFormat="1" ht="14" customHeight="1">
      <c r="C26" s="33"/>
      <c r="D26" s="39"/>
    </row>
    <row r="27" spans="1:20" s="31" customFormat="1" ht="14" customHeight="1">
      <c r="A27" s="78"/>
      <c r="B27" s="78" t="s">
        <v>50</v>
      </c>
      <c r="C27" s="78"/>
      <c r="D27" s="79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s="17" customFormat="1" ht="14" customHeight="1">
      <c r="A28" s="33"/>
      <c r="C28" s="33" t="s">
        <v>96</v>
      </c>
      <c r="D28" s="39" t="s">
        <v>94</v>
      </c>
      <c r="E28" s="80"/>
      <c r="F28" s="90">
        <v>0.04</v>
      </c>
      <c r="G28" s="90">
        <v>0.04</v>
      </c>
      <c r="H28" s="90">
        <v>0.04</v>
      </c>
      <c r="I28" s="90">
        <v>0.03</v>
      </c>
      <c r="J28" s="90">
        <v>0.03</v>
      </c>
      <c r="K28" s="90">
        <v>0.03</v>
      </c>
      <c r="L28" s="90">
        <v>0.03</v>
      </c>
      <c r="M28" s="90">
        <v>0.03</v>
      </c>
      <c r="N28" s="90">
        <v>0.03</v>
      </c>
      <c r="O28" s="90">
        <v>0.03</v>
      </c>
      <c r="P28" s="90">
        <v>0.03</v>
      </c>
      <c r="Q28" s="90">
        <v>0.03</v>
      </c>
      <c r="R28" s="90">
        <v>0.03</v>
      </c>
      <c r="S28" s="90">
        <v>0.03</v>
      </c>
      <c r="T28" s="90">
        <v>0.03</v>
      </c>
    </row>
    <row r="29" spans="1:20" s="17" customFormat="1" ht="14" customHeight="1">
      <c r="C29" s="81" t="s">
        <v>164</v>
      </c>
      <c r="D29" s="39"/>
      <c r="E29" s="33"/>
    </row>
    <row r="30" spans="1:20" s="17" customFormat="1" ht="14" customHeight="1">
      <c r="C30" s="33"/>
      <c r="D30" s="39"/>
      <c r="E30" s="33"/>
    </row>
    <row r="31" spans="1:20" s="31" customFormat="1" ht="14" customHeight="1">
      <c r="A31" s="78"/>
      <c r="B31" s="78" t="s">
        <v>29</v>
      </c>
      <c r="C31" s="78"/>
      <c r="D31" s="79"/>
      <c r="E31" s="7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s="17" customFormat="1" ht="14" customHeight="1">
      <c r="A32" s="33"/>
      <c r="C32" s="33" t="s">
        <v>57</v>
      </c>
      <c r="D32" s="18" t="s">
        <v>95</v>
      </c>
      <c r="E32" s="90">
        <v>0.3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s="31" customFormat="1" ht="14" customHeight="1">
      <c r="A33" s="78"/>
      <c r="B33" s="28"/>
      <c r="C33" s="82" t="s">
        <v>172</v>
      </c>
      <c r="D33" s="79"/>
      <c r="E33" s="7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s="31" customFormat="1" ht="14" customHeight="1">
      <c r="A34" s="78"/>
      <c r="B34" s="28"/>
      <c r="C34" s="78"/>
      <c r="D34" s="79"/>
      <c r="E34" s="7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s="17" customFormat="1" ht="14" customHeight="1">
      <c r="B35" s="78" t="s">
        <v>43</v>
      </c>
      <c r="C35" s="33"/>
      <c r="D35" s="39"/>
      <c r="E35" s="33"/>
    </row>
    <row r="36" spans="1:20" s="17" customFormat="1" ht="14" customHeight="1">
      <c r="C36" s="78" t="s">
        <v>159</v>
      </c>
      <c r="D36" s="39"/>
      <c r="E36" s="33"/>
    </row>
    <row r="37" spans="1:20" s="17" customFormat="1" ht="14" customHeight="1">
      <c r="C37" s="33" t="s">
        <v>115</v>
      </c>
      <c r="D37" s="39" t="s">
        <v>129</v>
      </c>
      <c r="E37" s="33"/>
      <c r="F37" s="1">
        <v>100</v>
      </c>
      <c r="G37" s="101">
        <v>101</v>
      </c>
      <c r="H37" s="101">
        <v>102.01</v>
      </c>
      <c r="I37" s="101">
        <v>103.0301</v>
      </c>
      <c r="J37" s="101">
        <v>104.060401</v>
      </c>
      <c r="K37" s="101">
        <v>105.10100500999999</v>
      </c>
      <c r="L37" s="101">
        <v>106.1520150601</v>
      </c>
      <c r="M37" s="101">
        <v>107.213535210701</v>
      </c>
      <c r="N37" s="101">
        <v>108.28567056280801</v>
      </c>
      <c r="O37" s="101">
        <v>109.36852726843608</v>
      </c>
      <c r="P37" s="101">
        <v>110.46221254112045</v>
      </c>
      <c r="Q37" s="101">
        <v>111.56683466653166</v>
      </c>
      <c r="R37" s="101">
        <v>112.68250301319698</v>
      </c>
      <c r="S37" s="101">
        <v>113.80932804332895</v>
      </c>
      <c r="T37" s="101">
        <v>114.94742132376224</v>
      </c>
    </row>
    <row r="38" spans="1:20" s="17" customFormat="1" ht="14" customHeight="1">
      <c r="C38" s="33" t="s">
        <v>116</v>
      </c>
      <c r="D38" s="39" t="s">
        <v>129</v>
      </c>
      <c r="E38" s="33"/>
      <c r="F38" s="1">
        <v>50</v>
      </c>
      <c r="G38" s="101">
        <v>50.5</v>
      </c>
      <c r="H38" s="101">
        <v>51.005000000000003</v>
      </c>
      <c r="I38" s="101">
        <v>51.515050000000002</v>
      </c>
      <c r="J38" s="101">
        <v>52.030200499999999</v>
      </c>
      <c r="K38" s="101">
        <v>52.550502504999997</v>
      </c>
      <c r="L38" s="101">
        <v>53.076007530049999</v>
      </c>
      <c r="M38" s="101">
        <v>53.606767605350498</v>
      </c>
      <c r="N38" s="101">
        <v>54.142835281404004</v>
      </c>
      <c r="O38" s="101">
        <v>54.684263634218041</v>
      </c>
      <c r="P38" s="101">
        <v>55.231106270560225</v>
      </c>
      <c r="Q38" s="101">
        <v>55.783417333265831</v>
      </c>
      <c r="R38" s="101">
        <v>56.341251506598489</v>
      </c>
      <c r="S38" s="101">
        <v>56.904664021664473</v>
      </c>
      <c r="T38" s="101">
        <v>57.473710661881121</v>
      </c>
    </row>
    <row r="39" spans="1:20" s="17" customFormat="1" ht="14" customHeight="1">
      <c r="C39" s="33" t="s">
        <v>117</v>
      </c>
      <c r="D39" s="39" t="s">
        <v>129</v>
      </c>
      <c r="E39" s="33"/>
      <c r="F39" s="1">
        <v>25</v>
      </c>
      <c r="G39" s="101">
        <v>25.25</v>
      </c>
      <c r="H39" s="101">
        <v>25.502500000000001</v>
      </c>
      <c r="I39" s="101">
        <v>25.757525000000001</v>
      </c>
      <c r="J39" s="101">
        <v>26.01510025</v>
      </c>
      <c r="K39" s="101">
        <v>26.275251252499999</v>
      </c>
      <c r="L39" s="101">
        <v>26.538003765025</v>
      </c>
      <c r="M39" s="101">
        <v>26.803383802675249</v>
      </c>
      <c r="N39" s="101">
        <v>27.071417640702002</v>
      </c>
      <c r="O39" s="101">
        <v>27.342131817109021</v>
      </c>
      <c r="P39" s="101">
        <v>27.615553135280113</v>
      </c>
      <c r="Q39" s="101">
        <v>27.891708666632915</v>
      </c>
      <c r="R39" s="101">
        <v>28.170625753299245</v>
      </c>
      <c r="S39" s="101">
        <v>28.452332010832237</v>
      </c>
      <c r="T39" s="101">
        <v>28.736855330940561</v>
      </c>
    </row>
    <row r="40" spans="1:20" s="17" customFormat="1" ht="14" customHeight="1">
      <c r="C40" s="33" t="s">
        <v>118</v>
      </c>
      <c r="D40" s="39" t="s">
        <v>129</v>
      </c>
      <c r="E40" s="33"/>
      <c r="F40" s="1">
        <v>60</v>
      </c>
      <c r="G40" s="101">
        <v>60.6</v>
      </c>
      <c r="H40" s="101">
        <v>61.206000000000003</v>
      </c>
      <c r="I40" s="101">
        <v>61.818060000000003</v>
      </c>
      <c r="J40" s="101">
        <v>62.436240600000005</v>
      </c>
      <c r="K40" s="101">
        <v>63.060603006000008</v>
      </c>
      <c r="L40" s="101">
        <v>63.691209036060009</v>
      </c>
      <c r="M40" s="101">
        <v>64.328121126420612</v>
      </c>
      <c r="N40" s="101">
        <v>64.971402337684822</v>
      </c>
      <c r="O40" s="101">
        <v>65.621116361061667</v>
      </c>
      <c r="P40" s="101">
        <v>66.277327524672287</v>
      </c>
      <c r="Q40" s="101">
        <v>66.940100799919009</v>
      </c>
      <c r="R40" s="101">
        <v>67.609501807918193</v>
      </c>
      <c r="S40" s="101">
        <v>68.285596825997374</v>
      </c>
      <c r="T40" s="101">
        <v>68.968452794257345</v>
      </c>
    </row>
    <row r="41" spans="1:20" s="17" customFormat="1" ht="14" customHeight="1">
      <c r="C41" s="33" t="s">
        <v>119</v>
      </c>
      <c r="D41" s="39" t="s">
        <v>129</v>
      </c>
      <c r="E41" s="33"/>
      <c r="F41" s="1">
        <v>200</v>
      </c>
      <c r="G41" s="101">
        <v>202</v>
      </c>
      <c r="H41" s="101">
        <v>204.02</v>
      </c>
      <c r="I41" s="101">
        <v>206.06020000000001</v>
      </c>
      <c r="J41" s="101">
        <v>208.120802</v>
      </c>
      <c r="K41" s="101">
        <v>210.20201001999999</v>
      </c>
      <c r="L41" s="101">
        <v>212.3040301202</v>
      </c>
      <c r="M41" s="101">
        <v>214.42707042140199</v>
      </c>
      <c r="N41" s="101">
        <v>216.57134112561602</v>
      </c>
      <c r="O41" s="101">
        <v>218.73705453687217</v>
      </c>
      <c r="P41" s="101">
        <v>220.9244250822409</v>
      </c>
      <c r="Q41" s="101">
        <v>223.13366933306332</v>
      </c>
      <c r="R41" s="101">
        <v>225.36500602639396</v>
      </c>
      <c r="S41" s="101">
        <v>227.61865608665789</v>
      </c>
      <c r="T41" s="101">
        <v>229.89484264752448</v>
      </c>
    </row>
    <row r="42" spans="1:20" s="17" customFormat="1" ht="14" customHeight="1">
      <c r="C42" s="33" t="s">
        <v>120</v>
      </c>
      <c r="D42" s="39" t="s">
        <v>129</v>
      </c>
      <c r="E42" s="33"/>
      <c r="F42" s="1">
        <v>30</v>
      </c>
      <c r="G42" s="101">
        <v>30.3</v>
      </c>
      <c r="H42" s="101">
        <v>30.603000000000002</v>
      </c>
      <c r="I42" s="101">
        <v>30.909030000000001</v>
      </c>
      <c r="J42" s="101">
        <v>31.218120300000002</v>
      </c>
      <c r="K42" s="101">
        <v>31.530301503000004</v>
      </c>
      <c r="L42" s="101">
        <v>31.845604518030004</v>
      </c>
      <c r="M42" s="101">
        <v>32.164060563210306</v>
      </c>
      <c r="N42" s="101">
        <v>32.485701168842411</v>
      </c>
      <c r="O42" s="101">
        <v>32.810558180530833</v>
      </c>
      <c r="P42" s="101">
        <v>33.138663762336144</v>
      </c>
      <c r="Q42" s="101">
        <v>33.470050399959504</v>
      </c>
      <c r="R42" s="101">
        <v>33.804750903959096</v>
      </c>
      <c r="S42" s="101">
        <v>34.142798412998687</v>
      </c>
      <c r="T42" s="101">
        <v>34.484226397128673</v>
      </c>
    </row>
    <row r="43" spans="1:20" s="17" customFormat="1" ht="14" customHeight="1">
      <c r="C43" s="33" t="s">
        <v>121</v>
      </c>
      <c r="D43" s="39" t="s">
        <v>129</v>
      </c>
      <c r="E43" s="33"/>
      <c r="F43" s="1">
        <v>75</v>
      </c>
      <c r="G43" s="101">
        <v>75.75</v>
      </c>
      <c r="H43" s="101">
        <v>76.507500000000007</v>
      </c>
      <c r="I43" s="101">
        <v>77.272575000000003</v>
      </c>
      <c r="J43" s="101">
        <v>78.04530075000001</v>
      </c>
      <c r="K43" s="101">
        <v>78.82575375750001</v>
      </c>
      <c r="L43" s="101">
        <v>79.614011295075017</v>
      </c>
      <c r="M43" s="101">
        <v>80.410151408025769</v>
      </c>
      <c r="N43" s="101">
        <v>81.214252922106027</v>
      </c>
      <c r="O43" s="101">
        <v>82.02639545132709</v>
      </c>
      <c r="P43" s="101">
        <v>82.846659405840356</v>
      </c>
      <c r="Q43" s="101">
        <v>83.675125999898754</v>
      </c>
      <c r="R43" s="101">
        <v>84.511877259897744</v>
      </c>
      <c r="S43" s="101">
        <v>85.356996032496724</v>
      </c>
      <c r="T43" s="101">
        <v>86.210565992821685</v>
      </c>
    </row>
    <row r="44" spans="1:20" s="17" customFormat="1" ht="14" customHeight="1">
      <c r="C44" s="33" t="s">
        <v>122</v>
      </c>
      <c r="D44" s="39" t="s">
        <v>129</v>
      </c>
      <c r="E44" s="33"/>
      <c r="F44" s="1">
        <v>40</v>
      </c>
      <c r="G44" s="101">
        <v>40.4</v>
      </c>
      <c r="H44" s="101">
        <v>40.804000000000002</v>
      </c>
      <c r="I44" s="101">
        <v>41.212040000000002</v>
      </c>
      <c r="J44" s="101">
        <v>41.624160400000001</v>
      </c>
      <c r="K44" s="101">
        <v>42.040402004000001</v>
      </c>
      <c r="L44" s="101">
        <v>42.460806024040004</v>
      </c>
      <c r="M44" s="101">
        <v>42.885414084280406</v>
      </c>
      <c r="N44" s="101">
        <v>43.314268225123207</v>
      </c>
      <c r="O44" s="101">
        <v>43.747410907374437</v>
      </c>
      <c r="P44" s="101">
        <v>44.184885016448185</v>
      </c>
      <c r="Q44" s="101">
        <v>44.626733866612668</v>
      </c>
      <c r="R44" s="101">
        <v>45.073001205278793</v>
      </c>
      <c r="S44" s="101">
        <v>45.52373121733158</v>
      </c>
      <c r="T44" s="101">
        <v>45.978968529504897</v>
      </c>
    </row>
    <row r="45" spans="1:20" s="17" customFormat="1" ht="14" customHeight="1">
      <c r="C45" s="33"/>
      <c r="D45" s="39"/>
      <c r="E45" s="33"/>
    </row>
    <row r="46" spans="1:20" s="31" customFormat="1" ht="14" customHeight="1">
      <c r="A46" s="78"/>
      <c r="B46" s="78" t="s">
        <v>44</v>
      </c>
      <c r="C46" s="25"/>
      <c r="D46" s="26"/>
      <c r="E46" s="83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s="31" customFormat="1" ht="14" customHeight="1">
      <c r="A47" s="78"/>
      <c r="B47" s="78"/>
      <c r="C47" s="25" t="s">
        <v>135</v>
      </c>
      <c r="D47" s="26" t="s">
        <v>136</v>
      </c>
      <c r="E47" s="83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spans="1:20" s="28" customFormat="1" ht="14" customHeight="1">
      <c r="A48" s="78"/>
      <c r="B48" s="78"/>
      <c r="C48" s="17" t="str">
        <f>C37</f>
        <v>Widget A</v>
      </c>
      <c r="D48" s="1" t="s">
        <v>126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s="28" customFormat="1" ht="14" customHeight="1">
      <c r="A49" s="78"/>
      <c r="B49" s="78"/>
      <c r="C49" s="17" t="str">
        <f t="shared" ref="C49:C55" si="5">C38</f>
        <v>Widget B</v>
      </c>
      <c r="D49" s="1" t="s">
        <v>125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s="28" customFormat="1" ht="14" customHeight="1">
      <c r="A50" s="78"/>
      <c r="B50" s="78"/>
      <c r="C50" s="17" t="str">
        <f t="shared" si="5"/>
        <v>Widget C</v>
      </c>
      <c r="D50" s="1" t="s">
        <v>124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s="28" customFormat="1" ht="14" customHeight="1">
      <c r="A51" s="78"/>
      <c r="B51" s="78"/>
      <c r="C51" s="17" t="str">
        <f t="shared" si="5"/>
        <v>Widget D</v>
      </c>
      <c r="D51" s="1" t="s">
        <v>125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s="28" customFormat="1" ht="14" customHeight="1">
      <c r="A52" s="78"/>
      <c r="B52" s="78"/>
      <c r="C52" s="17" t="str">
        <f t="shared" si="5"/>
        <v>Widget E</v>
      </c>
      <c r="D52" s="1" t="s">
        <v>126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s="28" customFormat="1" ht="14" customHeight="1">
      <c r="A53" s="78"/>
      <c r="B53" s="78"/>
      <c r="C53" s="17" t="str">
        <f t="shared" si="5"/>
        <v>Widget F</v>
      </c>
      <c r="D53" s="1" t="s">
        <v>124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s="28" customFormat="1" ht="14" customHeight="1">
      <c r="A54" s="78"/>
      <c r="B54" s="78"/>
      <c r="C54" s="17" t="str">
        <f t="shared" si="5"/>
        <v>Widget G</v>
      </c>
      <c r="D54" s="1" t="s">
        <v>125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s="28" customFormat="1" ht="14" customHeight="1">
      <c r="A55" s="78"/>
      <c r="B55" s="78"/>
      <c r="C55" s="17" t="str">
        <f t="shared" si="5"/>
        <v>Widget H</v>
      </c>
      <c r="D55" s="1" t="s">
        <v>125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s="28" customFormat="1" ht="14" customHeight="1">
      <c r="A56" s="78"/>
      <c r="B56" s="78"/>
      <c r="C56" s="25"/>
      <c r="D56" s="26"/>
      <c r="E56" s="83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s="17" customFormat="1" ht="14" customHeight="1">
      <c r="C57" s="17" t="s">
        <v>160</v>
      </c>
      <c r="D57" s="39"/>
      <c r="E57" s="1" t="s">
        <v>123</v>
      </c>
    </row>
    <row r="58" spans="1:20" ht="14" customHeight="1">
      <c r="C58" s="5"/>
    </row>
    <row r="59" spans="1:20" s="28" customFormat="1" ht="14" customHeight="1">
      <c r="A59" s="78"/>
      <c r="B59" s="78"/>
      <c r="C59" s="25" t="s">
        <v>157</v>
      </c>
      <c r="D59" s="26"/>
      <c r="E59" s="83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s="28" customFormat="1" ht="14" customHeight="1">
      <c r="A60" s="78"/>
      <c r="B60" s="78"/>
      <c r="C60" s="17" t="s">
        <v>124</v>
      </c>
      <c r="D60" s="18" t="s">
        <v>127</v>
      </c>
      <c r="E60" s="83"/>
      <c r="F60" s="1">
        <v>150</v>
      </c>
      <c r="G60" s="1">
        <v>156</v>
      </c>
      <c r="H60" s="1">
        <v>162.24</v>
      </c>
      <c r="I60" s="1">
        <v>167.10720000000001</v>
      </c>
      <c r="J60" s="1">
        <v>172.12041600000001</v>
      </c>
      <c r="K60" s="1">
        <v>177.28402848000002</v>
      </c>
      <c r="L60" s="1">
        <v>182.60254933440001</v>
      </c>
      <c r="M60" s="1">
        <v>188.08062581443201</v>
      </c>
      <c r="N60" s="1">
        <v>193.72304458886498</v>
      </c>
      <c r="O60" s="1">
        <v>199.53473592653094</v>
      </c>
      <c r="P60" s="1">
        <v>205.52077800432687</v>
      </c>
      <c r="Q60" s="1">
        <v>211.68640134445667</v>
      </c>
      <c r="R60" s="1">
        <v>218.03699338479038</v>
      </c>
      <c r="S60" s="1">
        <v>224.57810318633409</v>
      </c>
      <c r="T60" s="1">
        <v>231.31544628192412</v>
      </c>
    </row>
    <row r="61" spans="1:20" s="28" customFormat="1" ht="14" customHeight="1">
      <c r="A61" s="78"/>
      <c r="B61" s="78"/>
      <c r="C61" s="17" t="s">
        <v>125</v>
      </c>
      <c r="D61" s="18" t="s">
        <v>127</v>
      </c>
      <c r="E61" s="83"/>
      <c r="F61" s="1">
        <v>110</v>
      </c>
      <c r="G61" s="1">
        <v>114.4</v>
      </c>
      <c r="H61" s="1">
        <v>118.97600000000001</v>
      </c>
      <c r="I61" s="1">
        <v>122.54528000000002</v>
      </c>
      <c r="J61" s="1">
        <v>126.22163840000002</v>
      </c>
      <c r="K61" s="1">
        <v>130.00828755200001</v>
      </c>
      <c r="L61" s="1">
        <v>133.90853617856001</v>
      </c>
      <c r="M61" s="1">
        <v>137.9257922639168</v>
      </c>
      <c r="N61" s="1">
        <v>142.06356603183431</v>
      </c>
      <c r="O61" s="1">
        <v>146.32547301278936</v>
      </c>
      <c r="P61" s="1">
        <v>150.71523720317305</v>
      </c>
      <c r="Q61" s="1">
        <v>155.23669431926825</v>
      </c>
      <c r="R61" s="1">
        <v>159.89379514884629</v>
      </c>
      <c r="S61" s="1">
        <v>164.69060900331169</v>
      </c>
      <c r="T61" s="1">
        <v>169.63132727341105</v>
      </c>
    </row>
    <row r="62" spans="1:20" s="28" customFormat="1" ht="14" customHeight="1">
      <c r="A62" s="78"/>
      <c r="B62" s="78"/>
      <c r="C62" s="17" t="s">
        <v>126</v>
      </c>
      <c r="D62" s="18" t="s">
        <v>127</v>
      </c>
      <c r="E62" s="83"/>
      <c r="F62" s="1">
        <v>60</v>
      </c>
      <c r="G62" s="1">
        <v>62.400000000000006</v>
      </c>
      <c r="H62" s="1">
        <v>64.896000000000015</v>
      </c>
      <c r="I62" s="1">
        <v>66.842880000000022</v>
      </c>
      <c r="J62" s="1">
        <v>68.848166400000025</v>
      </c>
      <c r="K62" s="1">
        <v>70.913611392000021</v>
      </c>
      <c r="L62" s="1">
        <v>73.041019733760024</v>
      </c>
      <c r="M62" s="1">
        <v>75.232250325772824</v>
      </c>
      <c r="N62" s="1">
        <v>77.489217835546015</v>
      </c>
      <c r="O62" s="1">
        <v>79.813894370612402</v>
      </c>
      <c r="P62" s="1">
        <v>82.20831120173078</v>
      </c>
      <c r="Q62" s="1">
        <v>84.67456053778271</v>
      </c>
      <c r="R62" s="1">
        <v>87.214797353916197</v>
      </c>
      <c r="S62" s="1">
        <v>89.831241274533681</v>
      </c>
      <c r="T62" s="1">
        <v>92.52617851276969</v>
      </c>
    </row>
    <row r="63" spans="1:20" s="28" customFormat="1" ht="14" customHeight="1">
      <c r="A63" s="78"/>
      <c r="B63" s="78"/>
      <c r="C63" s="25"/>
      <c r="D63" s="26"/>
      <c r="E63" s="83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s="28" customFormat="1" ht="14" customHeight="1">
      <c r="A64" s="78"/>
      <c r="B64" s="78"/>
      <c r="C64" s="25" t="s">
        <v>158</v>
      </c>
      <c r="D64" s="26"/>
      <c r="E64" s="83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s="28" customFormat="1" ht="14" customHeight="1">
      <c r="A65" s="78"/>
      <c r="B65" s="78"/>
      <c r="C65" s="17" t="str">
        <f t="shared" ref="C65:D67" si="6">C60</f>
        <v>High value</v>
      </c>
      <c r="D65" s="18" t="str">
        <f t="shared" si="6"/>
        <v>$ / unit</v>
      </c>
      <c r="E65" s="83"/>
      <c r="F65" s="1">
        <v>180</v>
      </c>
      <c r="G65" s="1">
        <v>187.20000000000002</v>
      </c>
      <c r="H65" s="1">
        <v>194.68800000000002</v>
      </c>
      <c r="I65" s="1">
        <v>200.52864000000002</v>
      </c>
      <c r="J65" s="1">
        <v>206.54449920000002</v>
      </c>
      <c r="K65" s="1">
        <v>212.74083417600002</v>
      </c>
      <c r="L65" s="1">
        <v>219.12305920128003</v>
      </c>
      <c r="M65" s="1">
        <v>225.69675097731843</v>
      </c>
      <c r="N65" s="1">
        <v>232.46765350663799</v>
      </c>
      <c r="O65" s="1">
        <v>239.44168311183714</v>
      </c>
      <c r="P65" s="1">
        <v>246.62493360519227</v>
      </c>
      <c r="Q65" s="1">
        <v>254.02368161334803</v>
      </c>
      <c r="R65" s="1">
        <v>261.64439206174848</v>
      </c>
      <c r="S65" s="1">
        <v>269.49372382360093</v>
      </c>
      <c r="T65" s="1">
        <v>277.57853553830898</v>
      </c>
    </row>
    <row r="66" spans="1:20" s="28" customFormat="1" ht="14" customHeight="1">
      <c r="A66" s="78"/>
      <c r="B66" s="78"/>
      <c r="C66" s="17" t="str">
        <f t="shared" si="6"/>
        <v>Mid value</v>
      </c>
      <c r="D66" s="18" t="str">
        <f t="shared" si="6"/>
        <v>$ / unit</v>
      </c>
      <c r="E66" s="83"/>
      <c r="F66" s="1">
        <v>140</v>
      </c>
      <c r="G66" s="1">
        <v>145.6</v>
      </c>
      <c r="H66" s="1">
        <v>151.42400000000001</v>
      </c>
      <c r="I66" s="1">
        <v>155.96672000000001</v>
      </c>
      <c r="J66" s="1">
        <v>160.6457216</v>
      </c>
      <c r="K66" s="1">
        <v>165.46509324800002</v>
      </c>
      <c r="L66" s="1">
        <v>170.42904604544003</v>
      </c>
      <c r="M66" s="1">
        <v>175.54191742680322</v>
      </c>
      <c r="N66" s="1">
        <v>180.80817494960732</v>
      </c>
      <c r="O66" s="1">
        <v>186.23242019809555</v>
      </c>
      <c r="P66" s="1">
        <v>191.81939280403842</v>
      </c>
      <c r="Q66" s="1">
        <v>197.57397458815959</v>
      </c>
      <c r="R66" s="1">
        <v>203.50119382580439</v>
      </c>
      <c r="S66" s="1">
        <v>209.60622964057853</v>
      </c>
      <c r="T66" s="1">
        <v>215.8944165297959</v>
      </c>
    </row>
    <row r="67" spans="1:20" s="28" customFormat="1" ht="14" customHeight="1">
      <c r="A67" s="78"/>
      <c r="B67" s="78"/>
      <c r="C67" s="17" t="str">
        <f t="shared" si="6"/>
        <v>Low value</v>
      </c>
      <c r="D67" s="18" t="str">
        <f t="shared" si="6"/>
        <v>$ / unit</v>
      </c>
      <c r="E67" s="83"/>
      <c r="F67" s="1">
        <v>90</v>
      </c>
      <c r="G67" s="1">
        <v>93.600000000000009</v>
      </c>
      <c r="H67" s="1">
        <v>97.344000000000008</v>
      </c>
      <c r="I67" s="1">
        <v>100.26432000000001</v>
      </c>
      <c r="J67" s="1">
        <v>103.27224960000001</v>
      </c>
      <c r="K67" s="1">
        <v>106.37041708800001</v>
      </c>
      <c r="L67" s="1">
        <v>109.56152960064001</v>
      </c>
      <c r="M67" s="1">
        <v>112.84837548865922</v>
      </c>
      <c r="N67" s="1">
        <v>116.23382675331899</v>
      </c>
      <c r="O67" s="1">
        <v>119.72084155591857</v>
      </c>
      <c r="P67" s="1">
        <v>123.31246680259613</v>
      </c>
      <c r="Q67" s="1">
        <v>127.01184080667402</v>
      </c>
      <c r="R67" s="1">
        <v>130.82219603087424</v>
      </c>
      <c r="S67" s="1">
        <v>134.74686191180047</v>
      </c>
      <c r="T67" s="1">
        <v>138.78926776915449</v>
      </c>
    </row>
    <row r="68" spans="1:20" s="28" customFormat="1" ht="14" customHeight="1">
      <c r="A68" s="78"/>
      <c r="B68" s="78"/>
      <c r="C68" s="25"/>
      <c r="D68" s="26"/>
      <c r="E68" s="83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s="31" customFormat="1" ht="14" customHeight="1">
      <c r="A69" s="78"/>
      <c r="B69" s="78" t="s">
        <v>58</v>
      </c>
      <c r="C69" s="25"/>
      <c r="D69" s="26"/>
      <c r="E69" s="25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s="31" customFormat="1" ht="14" customHeight="1">
      <c r="A70" s="78"/>
      <c r="B70" s="78"/>
      <c r="C70" s="17" t="str">
        <f>C60</f>
        <v>High value</v>
      </c>
      <c r="D70" s="18" t="s">
        <v>95</v>
      </c>
      <c r="E70" s="17"/>
      <c r="F70" s="90">
        <v>0.6</v>
      </c>
      <c r="G70" s="90">
        <v>0.6</v>
      </c>
      <c r="H70" s="90">
        <v>0.6</v>
      </c>
      <c r="I70" s="90">
        <v>0.6</v>
      </c>
      <c r="J70" s="90">
        <v>0.6</v>
      </c>
      <c r="K70" s="90">
        <v>0.6</v>
      </c>
      <c r="L70" s="90">
        <v>0.6</v>
      </c>
      <c r="M70" s="90">
        <v>0.6</v>
      </c>
      <c r="N70" s="90">
        <v>0.6</v>
      </c>
      <c r="O70" s="90">
        <v>0.6</v>
      </c>
      <c r="P70" s="90">
        <v>0.6</v>
      </c>
      <c r="Q70" s="90">
        <v>0.6</v>
      </c>
      <c r="R70" s="90">
        <v>0.6</v>
      </c>
      <c r="S70" s="90">
        <v>0.6</v>
      </c>
      <c r="T70" s="90">
        <v>0.6</v>
      </c>
    </row>
    <row r="71" spans="1:20" s="31" customFormat="1" ht="14" customHeight="1">
      <c r="A71" s="78"/>
      <c r="B71" s="78"/>
      <c r="C71" s="17" t="str">
        <f>C61</f>
        <v>Mid value</v>
      </c>
      <c r="D71" s="18" t="s">
        <v>95</v>
      </c>
      <c r="E71" s="17"/>
      <c r="F71" s="90">
        <v>0.65</v>
      </c>
      <c r="G71" s="90">
        <v>0.65</v>
      </c>
      <c r="H71" s="90">
        <v>0.65</v>
      </c>
      <c r="I71" s="90">
        <v>0.65</v>
      </c>
      <c r="J71" s="90">
        <v>0.65</v>
      </c>
      <c r="K71" s="90">
        <v>0.65</v>
      </c>
      <c r="L71" s="90">
        <v>0.65</v>
      </c>
      <c r="M71" s="90">
        <v>0.65</v>
      </c>
      <c r="N71" s="90">
        <v>0.65</v>
      </c>
      <c r="O71" s="90">
        <v>0.65</v>
      </c>
      <c r="P71" s="90">
        <v>0.65</v>
      </c>
      <c r="Q71" s="90">
        <v>0.65</v>
      </c>
      <c r="R71" s="90">
        <v>0.65</v>
      </c>
      <c r="S71" s="90">
        <v>0.65</v>
      </c>
      <c r="T71" s="90">
        <v>0.65</v>
      </c>
    </row>
    <row r="72" spans="1:20" s="31" customFormat="1" ht="14" customHeight="1">
      <c r="A72" s="78"/>
      <c r="B72" s="78"/>
      <c r="C72" s="17" t="str">
        <f>C62</f>
        <v>Low value</v>
      </c>
      <c r="D72" s="18" t="s">
        <v>95</v>
      </c>
      <c r="E72" s="17"/>
      <c r="F72" s="90">
        <v>0.7</v>
      </c>
      <c r="G72" s="90">
        <v>0.7</v>
      </c>
      <c r="H72" s="90">
        <v>0.7</v>
      </c>
      <c r="I72" s="90">
        <v>0.7</v>
      </c>
      <c r="J72" s="90">
        <v>0.7</v>
      </c>
      <c r="K72" s="90">
        <v>0.7</v>
      </c>
      <c r="L72" s="90">
        <v>0.7</v>
      </c>
      <c r="M72" s="90">
        <v>0.7</v>
      </c>
      <c r="N72" s="90">
        <v>0.7</v>
      </c>
      <c r="O72" s="90">
        <v>0.7</v>
      </c>
      <c r="P72" s="90">
        <v>0.7</v>
      </c>
      <c r="Q72" s="90">
        <v>0.7</v>
      </c>
      <c r="R72" s="90">
        <v>0.7</v>
      </c>
      <c r="S72" s="90">
        <v>0.7</v>
      </c>
      <c r="T72" s="90">
        <v>0.7</v>
      </c>
    </row>
    <row r="73" spans="1:20" s="31" customFormat="1" ht="14" customHeight="1">
      <c r="A73" s="78"/>
      <c r="B73" s="78"/>
      <c r="C73" s="25"/>
      <c r="D73" s="26"/>
      <c r="E73" s="25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s="31" customFormat="1" ht="14" customHeight="1">
      <c r="A74" s="78"/>
      <c r="B74" s="78" t="s">
        <v>144</v>
      </c>
      <c r="C74" s="25"/>
      <c r="D74" s="26"/>
      <c r="E74" s="25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s="17" customFormat="1" ht="14" customHeight="1">
      <c r="A75" s="33"/>
      <c r="C75" s="17" t="s">
        <v>170</v>
      </c>
      <c r="D75" s="18" t="s">
        <v>87</v>
      </c>
      <c r="E75" s="1">
        <v>14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</row>
    <row r="76" spans="1:20" s="17" customFormat="1" ht="14" customHeight="1">
      <c r="A76" s="33"/>
      <c r="C76" s="17" t="s">
        <v>145</v>
      </c>
      <c r="D76" s="18" t="s">
        <v>146</v>
      </c>
      <c r="E76" s="33"/>
      <c r="F76" s="90">
        <v>0.05</v>
      </c>
      <c r="G76" s="90">
        <v>0.06</v>
      </c>
      <c r="H76" s="90">
        <v>7.0000000000000007E-2</v>
      </c>
      <c r="I76" s="90">
        <v>7.0000000000000007E-2</v>
      </c>
      <c r="J76" s="90">
        <v>7.0000000000000007E-2</v>
      </c>
      <c r="K76" s="90">
        <v>7.0000000000000007E-2</v>
      </c>
      <c r="L76" s="90">
        <v>7.0000000000000007E-2</v>
      </c>
      <c r="M76" s="90">
        <v>7.0000000000000007E-2</v>
      </c>
      <c r="N76" s="90">
        <v>7.0000000000000007E-2</v>
      </c>
      <c r="O76" s="90">
        <v>7.0000000000000007E-2</v>
      </c>
      <c r="P76" s="90">
        <v>7.0000000000000007E-2</v>
      </c>
      <c r="Q76" s="90">
        <v>7.0000000000000007E-2</v>
      </c>
      <c r="R76" s="90">
        <v>7.0000000000000007E-2</v>
      </c>
      <c r="S76" s="90">
        <v>7.0000000000000007E-2</v>
      </c>
      <c r="T76" s="90">
        <v>7.0000000000000007E-2</v>
      </c>
    </row>
    <row r="77" spans="1:20" s="17" customFormat="1" ht="14" customHeight="1">
      <c r="A77" s="33"/>
      <c r="C77" s="17" t="s">
        <v>169</v>
      </c>
      <c r="D77" s="84" t="s">
        <v>128</v>
      </c>
      <c r="E77" s="1">
        <v>750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</row>
    <row r="78" spans="1:20" s="17" customFormat="1" ht="14" customHeight="1">
      <c r="D78" s="18"/>
      <c r="E78" s="33"/>
      <c r="F78" s="33"/>
    </row>
    <row r="79" spans="1:20" s="31" customFormat="1" ht="14" customHeight="1">
      <c r="A79" s="78"/>
      <c r="B79" s="78" t="s">
        <v>36</v>
      </c>
      <c r="C79" s="25"/>
      <c r="D79" s="26"/>
      <c r="E79" s="7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s="17" customFormat="1" ht="14" customHeight="1">
      <c r="A80" s="33"/>
      <c r="C80" s="17" t="s">
        <v>142</v>
      </c>
      <c r="D80" s="18" t="s">
        <v>99</v>
      </c>
      <c r="E80" s="33"/>
      <c r="F80" s="1">
        <v>33</v>
      </c>
      <c r="G80" s="1">
        <v>33</v>
      </c>
      <c r="H80" s="1">
        <v>33</v>
      </c>
      <c r="I80" s="1">
        <v>33</v>
      </c>
      <c r="J80" s="1">
        <v>33</v>
      </c>
      <c r="K80" s="1">
        <v>33</v>
      </c>
      <c r="L80" s="1">
        <v>33</v>
      </c>
      <c r="M80" s="1">
        <v>33</v>
      </c>
      <c r="N80" s="1">
        <v>33</v>
      </c>
      <c r="O80" s="1">
        <v>33</v>
      </c>
      <c r="P80" s="1">
        <v>33</v>
      </c>
      <c r="Q80" s="1">
        <v>33</v>
      </c>
      <c r="R80" s="1">
        <v>33</v>
      </c>
      <c r="S80" s="1">
        <v>33</v>
      </c>
      <c r="T80" s="1">
        <v>33</v>
      </c>
    </row>
    <row r="81" spans="1:20" s="17" customFormat="1" ht="14" customHeight="1">
      <c r="A81" s="33"/>
      <c r="C81" s="17" t="s">
        <v>141</v>
      </c>
      <c r="D81" s="18" t="s">
        <v>99</v>
      </c>
      <c r="E81" s="33"/>
      <c r="F81" s="1">
        <v>42</v>
      </c>
      <c r="G81" s="1">
        <v>42</v>
      </c>
      <c r="H81" s="1">
        <v>42</v>
      </c>
      <c r="I81" s="1">
        <v>42</v>
      </c>
      <c r="J81" s="1">
        <v>42</v>
      </c>
      <c r="K81" s="1">
        <v>42</v>
      </c>
      <c r="L81" s="1">
        <v>42</v>
      </c>
      <c r="M81" s="1">
        <v>42</v>
      </c>
      <c r="N81" s="1">
        <v>42</v>
      </c>
      <c r="O81" s="1">
        <v>42</v>
      </c>
      <c r="P81" s="1">
        <v>42</v>
      </c>
      <c r="Q81" s="1">
        <v>42</v>
      </c>
      <c r="R81" s="1">
        <v>42</v>
      </c>
      <c r="S81" s="1">
        <v>42</v>
      </c>
      <c r="T81" s="1">
        <v>42</v>
      </c>
    </row>
    <row r="82" spans="1:20" s="17" customFormat="1" ht="14" customHeight="1">
      <c r="A82" s="33"/>
      <c r="C82" s="17" t="s">
        <v>143</v>
      </c>
      <c r="D82" s="18" t="s">
        <v>99</v>
      </c>
      <c r="E82" s="33"/>
      <c r="F82" s="1">
        <v>37</v>
      </c>
      <c r="G82" s="1">
        <v>37</v>
      </c>
      <c r="H82" s="1">
        <v>37</v>
      </c>
      <c r="I82" s="1">
        <v>37</v>
      </c>
      <c r="J82" s="1">
        <v>37</v>
      </c>
      <c r="K82" s="1">
        <v>37</v>
      </c>
      <c r="L82" s="1">
        <v>37</v>
      </c>
      <c r="M82" s="1">
        <v>37</v>
      </c>
      <c r="N82" s="1">
        <v>37</v>
      </c>
      <c r="O82" s="1">
        <v>37</v>
      </c>
      <c r="P82" s="1">
        <v>37</v>
      </c>
      <c r="Q82" s="1">
        <v>37</v>
      </c>
      <c r="R82" s="1">
        <v>37</v>
      </c>
      <c r="S82" s="1">
        <v>37</v>
      </c>
      <c r="T82" s="1">
        <v>37</v>
      </c>
    </row>
    <row r="83" spans="1:20" s="17" customFormat="1" ht="14" customHeight="1">
      <c r="C83" s="85" t="s">
        <v>175</v>
      </c>
      <c r="D83" s="18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</row>
    <row r="84" spans="1:20" s="17" customFormat="1" ht="14" customHeight="1">
      <c r="D84" s="18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</row>
    <row r="85" spans="1:20" s="31" customFormat="1" ht="14" customHeight="1">
      <c r="A85" s="78"/>
      <c r="B85" s="78" t="s">
        <v>163</v>
      </c>
      <c r="C85" s="25"/>
      <c r="D85" s="26"/>
      <c r="E85" s="7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s="17" customFormat="1" ht="14" customHeight="1">
      <c r="A86" s="33"/>
      <c r="C86" s="17" t="s">
        <v>162</v>
      </c>
      <c r="D86" s="84" t="s">
        <v>128</v>
      </c>
      <c r="E86" s="33"/>
      <c r="F86" s="1">
        <v>8840</v>
      </c>
      <c r="G86" s="1">
        <v>0</v>
      </c>
      <c r="H86" s="1">
        <v>0</v>
      </c>
      <c r="I86" s="1">
        <v>0</v>
      </c>
      <c r="J86" s="1">
        <v>0</v>
      </c>
      <c r="K86" s="1">
        <v>10447.938745088002</v>
      </c>
      <c r="L86" s="1">
        <v>0</v>
      </c>
      <c r="M86" s="1">
        <v>0</v>
      </c>
      <c r="N86" s="1">
        <v>0</v>
      </c>
      <c r="O86" s="1">
        <v>0</v>
      </c>
      <c r="P86" s="1">
        <v>12112.024517054999</v>
      </c>
      <c r="Q86" s="1">
        <v>0</v>
      </c>
      <c r="R86" s="1">
        <v>0</v>
      </c>
      <c r="S86" s="1">
        <v>0</v>
      </c>
      <c r="T86" s="1">
        <v>0</v>
      </c>
    </row>
    <row r="87" spans="1:20" s="17" customFormat="1" ht="14" customHeight="1">
      <c r="A87" s="33"/>
      <c r="C87" s="17" t="s">
        <v>161</v>
      </c>
      <c r="D87" s="84" t="s">
        <v>128</v>
      </c>
      <c r="E87" s="33"/>
      <c r="F87" s="1">
        <v>624</v>
      </c>
      <c r="G87" s="1">
        <v>648.96</v>
      </c>
      <c r="H87" s="1">
        <v>674.91840000000013</v>
      </c>
      <c r="I87" s="1">
        <v>695.16595200000006</v>
      </c>
      <c r="J87" s="1">
        <v>716.02093056000012</v>
      </c>
      <c r="K87" s="1">
        <v>737.50155847680026</v>
      </c>
      <c r="L87" s="1">
        <v>759.62660523110412</v>
      </c>
      <c r="M87" s="1">
        <v>782.41540338803725</v>
      </c>
      <c r="N87" s="1">
        <v>805.88786548967846</v>
      </c>
      <c r="O87" s="1">
        <v>830.06450145436884</v>
      </c>
      <c r="P87" s="1">
        <v>854.96643649799989</v>
      </c>
      <c r="Q87" s="1">
        <v>880.6154295929399</v>
      </c>
      <c r="R87" s="1">
        <v>907.03389248072813</v>
      </c>
      <c r="S87" s="1">
        <v>934.24490925514999</v>
      </c>
      <c r="T87" s="1">
        <v>962.27225653280459</v>
      </c>
    </row>
    <row r="88" spans="1:20" s="17" customFormat="1" ht="14" customHeight="1">
      <c r="D88" s="18"/>
      <c r="E88" s="33"/>
      <c r="F88" s="33"/>
      <c r="G88" s="33"/>
    </row>
    <row r="89" spans="1:20" s="31" customFormat="1" ht="14" customHeight="1">
      <c r="A89" s="78"/>
      <c r="B89" s="78" t="s">
        <v>59</v>
      </c>
      <c r="C89" s="25"/>
      <c r="D89" s="26"/>
      <c r="E89" s="78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s="17" customFormat="1" ht="14" customHeight="1">
      <c r="C90" s="17" t="s">
        <v>150</v>
      </c>
      <c r="D90" s="18" t="s">
        <v>93</v>
      </c>
      <c r="E90" s="1">
        <v>7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r="91" spans="1:20" s="17" customFormat="1" ht="14" customHeight="1">
      <c r="C91" s="17" t="s">
        <v>156</v>
      </c>
      <c r="D91" s="18" t="s">
        <v>94</v>
      </c>
      <c r="E91" s="90">
        <v>0.2</v>
      </c>
      <c r="F91" s="86"/>
      <c r="G91" s="78"/>
    </row>
    <row r="92" spans="1:20" s="17" customFormat="1" ht="14" customHeight="1">
      <c r="C92" s="87"/>
      <c r="D92" s="18"/>
      <c r="E92" s="33"/>
      <c r="F92" s="33"/>
      <c r="G92" s="86"/>
      <c r="J92" s="87"/>
    </row>
    <row r="93" spans="1:20" s="31" customFormat="1" ht="14" customHeight="1">
      <c r="A93" s="78"/>
      <c r="B93" s="78" t="s">
        <v>47</v>
      </c>
      <c r="C93" s="25"/>
      <c r="D93" s="26"/>
      <c r="E93" s="7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s="31" customFormat="1" ht="14" customHeight="1">
      <c r="A94" s="78"/>
      <c r="B94" s="78"/>
      <c r="C94" s="25" t="s">
        <v>151</v>
      </c>
      <c r="D94" s="26"/>
      <c r="E94" s="7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s="17" customFormat="1" ht="14" customHeight="1">
      <c r="A95" s="33"/>
      <c r="B95" s="33"/>
      <c r="C95" s="17" t="s">
        <v>152</v>
      </c>
      <c r="D95" s="18" t="s">
        <v>95</v>
      </c>
      <c r="F95" s="90">
        <v>0.04</v>
      </c>
      <c r="G95" s="90">
        <v>0.04</v>
      </c>
      <c r="H95" s="90">
        <v>0.04</v>
      </c>
      <c r="I95" s="90">
        <v>0.04</v>
      </c>
      <c r="J95" s="90">
        <v>0.04</v>
      </c>
      <c r="K95" s="90">
        <v>0.04</v>
      </c>
      <c r="L95" s="90">
        <v>0.04</v>
      </c>
      <c r="M95" s="90">
        <v>0.04</v>
      </c>
      <c r="N95" s="90">
        <v>0.04</v>
      </c>
      <c r="O95" s="90">
        <v>0.04</v>
      </c>
      <c r="P95" s="90">
        <v>0.04</v>
      </c>
      <c r="Q95" s="90">
        <v>0.04</v>
      </c>
      <c r="R95" s="90">
        <v>0.04</v>
      </c>
      <c r="S95" s="90">
        <v>0.04</v>
      </c>
      <c r="T95" s="90">
        <v>0.04</v>
      </c>
    </row>
    <row r="96" spans="1:20" s="17" customFormat="1" ht="14" customHeight="1">
      <c r="C96" s="87" t="s">
        <v>190</v>
      </c>
      <c r="D96" s="18" t="s">
        <v>95</v>
      </c>
      <c r="E96" s="33"/>
      <c r="F96" s="90">
        <v>0.09</v>
      </c>
      <c r="G96" s="90">
        <v>0.09</v>
      </c>
      <c r="H96" s="90">
        <v>0.09</v>
      </c>
      <c r="I96" s="90">
        <v>0.09</v>
      </c>
      <c r="J96" s="90">
        <v>0.09</v>
      </c>
      <c r="K96" s="90">
        <v>0.09</v>
      </c>
      <c r="L96" s="90">
        <v>0.09</v>
      </c>
      <c r="M96" s="90">
        <v>0.09</v>
      </c>
      <c r="N96" s="90">
        <v>0.09</v>
      </c>
      <c r="O96" s="90">
        <v>0.09</v>
      </c>
      <c r="P96" s="90">
        <v>0.09</v>
      </c>
      <c r="Q96" s="90">
        <v>0.09</v>
      </c>
      <c r="R96" s="90">
        <v>0.09</v>
      </c>
      <c r="S96" s="90">
        <v>0.09</v>
      </c>
      <c r="T96" s="90">
        <v>0.09</v>
      </c>
    </row>
    <row r="97" spans="1:20" s="17" customFormat="1" ht="14" customHeight="1">
      <c r="C97" s="87" t="s">
        <v>191</v>
      </c>
      <c r="D97" s="18" t="s">
        <v>95</v>
      </c>
      <c r="E97" s="33"/>
      <c r="F97" s="90">
        <v>0.1</v>
      </c>
      <c r="G97" s="90">
        <v>0.1</v>
      </c>
      <c r="H97" s="90">
        <v>0.1</v>
      </c>
      <c r="I97" s="90">
        <v>0.1</v>
      </c>
      <c r="J97" s="90">
        <v>0.1</v>
      </c>
      <c r="K97" s="90">
        <v>0.1</v>
      </c>
      <c r="L97" s="90">
        <v>0.1</v>
      </c>
      <c r="M97" s="90">
        <v>0.1</v>
      </c>
      <c r="N97" s="90">
        <v>0.1</v>
      </c>
      <c r="O97" s="90">
        <v>0.1</v>
      </c>
      <c r="P97" s="90">
        <v>0.1</v>
      </c>
      <c r="Q97" s="90">
        <v>0.1</v>
      </c>
      <c r="R97" s="90">
        <v>0.1</v>
      </c>
      <c r="S97" s="90">
        <v>0.1</v>
      </c>
      <c r="T97" s="90">
        <v>0.1</v>
      </c>
    </row>
    <row r="98" spans="1:20" s="17" customFormat="1" ht="14" customHeight="1">
      <c r="C98" s="87" t="s">
        <v>192</v>
      </c>
      <c r="D98" s="18" t="s">
        <v>95</v>
      </c>
      <c r="E98" s="33"/>
      <c r="F98" s="90">
        <v>0.11</v>
      </c>
      <c r="G98" s="90">
        <v>0.11</v>
      </c>
      <c r="H98" s="90">
        <v>0.11</v>
      </c>
      <c r="I98" s="90">
        <v>0.11</v>
      </c>
      <c r="J98" s="90">
        <v>0.11</v>
      </c>
      <c r="K98" s="90">
        <v>0.11</v>
      </c>
      <c r="L98" s="90">
        <v>0.11</v>
      </c>
      <c r="M98" s="90">
        <v>0.11</v>
      </c>
      <c r="N98" s="90">
        <v>0.11</v>
      </c>
      <c r="O98" s="90">
        <v>0.11</v>
      </c>
      <c r="P98" s="90">
        <v>0.11</v>
      </c>
      <c r="Q98" s="90">
        <v>0.11</v>
      </c>
      <c r="R98" s="90">
        <v>0.11</v>
      </c>
      <c r="S98" s="90">
        <v>0.11</v>
      </c>
      <c r="T98" s="90">
        <v>0.11</v>
      </c>
    </row>
    <row r="99" spans="1:20" s="17" customFormat="1" ht="14" customHeight="1">
      <c r="C99" s="87" t="s">
        <v>65</v>
      </c>
      <c r="D99" s="18" t="s">
        <v>95</v>
      </c>
      <c r="E99" s="33"/>
      <c r="F99" s="90">
        <v>0.13</v>
      </c>
      <c r="G99" s="90">
        <v>0.13</v>
      </c>
      <c r="H99" s="90">
        <v>0.13</v>
      </c>
      <c r="I99" s="90">
        <v>0.13</v>
      </c>
      <c r="J99" s="90">
        <v>0.13</v>
      </c>
      <c r="K99" s="90">
        <v>0.13</v>
      </c>
      <c r="L99" s="90">
        <v>0.13</v>
      </c>
      <c r="M99" s="90">
        <v>0.13</v>
      </c>
      <c r="N99" s="90">
        <v>0.13</v>
      </c>
      <c r="O99" s="90">
        <v>0.13</v>
      </c>
      <c r="P99" s="90">
        <v>0.13</v>
      </c>
      <c r="Q99" s="90">
        <v>0.13</v>
      </c>
      <c r="R99" s="90">
        <v>0.13</v>
      </c>
      <c r="S99" s="90">
        <v>0.13</v>
      </c>
      <c r="T99" s="90">
        <v>0.13</v>
      </c>
    </row>
    <row r="100" spans="1:20" s="31" customFormat="1" ht="14" customHeight="1">
      <c r="A100" s="78"/>
      <c r="B100" s="78"/>
      <c r="C100" s="25"/>
      <c r="D100" s="26"/>
      <c r="E100" s="7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s="17" customFormat="1" ht="14" customHeight="1">
      <c r="A101" s="78"/>
      <c r="B101" s="78"/>
      <c r="C101" s="25" t="s">
        <v>153</v>
      </c>
      <c r="D101" s="18"/>
      <c r="E101" s="33"/>
      <c r="F101" s="33"/>
      <c r="G101" s="33"/>
    </row>
    <row r="102" spans="1:20" s="17" customFormat="1" ht="14" customHeight="1">
      <c r="A102" s="33"/>
      <c r="B102" s="33"/>
      <c r="C102" s="17" t="s">
        <v>181</v>
      </c>
      <c r="D102" s="18" t="s">
        <v>128</v>
      </c>
      <c r="E102" s="33"/>
      <c r="F102" s="1">
        <v>4000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</row>
    <row r="103" spans="1:20" s="17" customFormat="1" ht="14" customHeight="1">
      <c r="A103" s="33"/>
      <c r="B103" s="33"/>
      <c r="C103" s="17" t="s">
        <v>182</v>
      </c>
      <c r="D103" s="18" t="s">
        <v>128</v>
      </c>
      <c r="E103" s="33"/>
      <c r="F103" s="1">
        <v>-200</v>
      </c>
      <c r="G103" s="1">
        <v>-200</v>
      </c>
      <c r="H103" s="1">
        <v>-200</v>
      </c>
      <c r="I103" s="1">
        <v>-200</v>
      </c>
      <c r="J103" s="1">
        <v>-200</v>
      </c>
      <c r="K103" s="1">
        <v>-200</v>
      </c>
      <c r="L103" s="1">
        <v>-200</v>
      </c>
      <c r="M103" s="1">
        <v>-200</v>
      </c>
      <c r="N103" s="1">
        <v>-200</v>
      </c>
      <c r="O103" s="1">
        <v>-200</v>
      </c>
      <c r="P103" s="1">
        <v>-200</v>
      </c>
      <c r="Q103" s="1">
        <v>-200</v>
      </c>
      <c r="R103" s="1">
        <v>-200</v>
      </c>
      <c r="S103" s="1">
        <v>-200</v>
      </c>
      <c r="T103" s="1">
        <v>-200</v>
      </c>
    </row>
    <row r="104" spans="1:20" s="17" customFormat="1" ht="14" customHeight="1">
      <c r="A104" s="33"/>
      <c r="B104" s="33"/>
      <c r="C104" s="17" t="s">
        <v>183</v>
      </c>
      <c r="D104" s="18" t="s">
        <v>128</v>
      </c>
      <c r="E104" s="33"/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5000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s="17" customFormat="1" ht="14" customHeight="1">
      <c r="A105" s="33"/>
      <c r="B105" s="33"/>
      <c r="C105" s="17" t="s">
        <v>185</v>
      </c>
      <c r="D105" s="18" t="s">
        <v>128</v>
      </c>
      <c r="E105" s="33"/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-250</v>
      </c>
      <c r="L105" s="1">
        <v>-250</v>
      </c>
      <c r="M105" s="1">
        <v>-250</v>
      </c>
      <c r="N105" s="1">
        <v>-250</v>
      </c>
      <c r="O105" s="1">
        <v>-250</v>
      </c>
      <c r="P105" s="1">
        <v>-250</v>
      </c>
      <c r="Q105" s="1">
        <v>-250</v>
      </c>
      <c r="R105" s="1">
        <v>-250</v>
      </c>
      <c r="S105" s="1">
        <v>-250</v>
      </c>
      <c r="T105" s="1">
        <v>-250</v>
      </c>
    </row>
    <row r="106" spans="1:20" s="17" customFormat="1" ht="14" customHeight="1">
      <c r="A106" s="33"/>
      <c r="B106" s="33"/>
      <c r="C106" s="17" t="s">
        <v>186</v>
      </c>
      <c r="D106" s="18" t="s">
        <v>128</v>
      </c>
      <c r="E106" s="33"/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6000</v>
      </c>
      <c r="Q106" s="1">
        <v>0</v>
      </c>
      <c r="R106" s="1">
        <v>0</v>
      </c>
      <c r="S106" s="1">
        <v>0</v>
      </c>
      <c r="T106" s="1">
        <v>0</v>
      </c>
    </row>
    <row r="107" spans="1:20" s="17" customFormat="1" ht="14" customHeight="1">
      <c r="A107" s="33"/>
      <c r="B107" s="33"/>
      <c r="C107" s="17" t="s">
        <v>184</v>
      </c>
      <c r="D107" s="18" t="s">
        <v>128</v>
      </c>
      <c r="E107" s="33"/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-600</v>
      </c>
      <c r="Q107" s="1">
        <v>-600</v>
      </c>
      <c r="R107" s="1">
        <v>-600</v>
      </c>
      <c r="S107" s="1">
        <v>-600</v>
      </c>
      <c r="T107" s="1">
        <v>-600</v>
      </c>
    </row>
    <row r="108" spans="1:20" s="17" customFormat="1" ht="14" customHeight="1">
      <c r="C108" s="87" t="s">
        <v>17</v>
      </c>
      <c r="D108" s="18" t="s">
        <v>128</v>
      </c>
      <c r="E108" s="33"/>
      <c r="F108" s="1">
        <v>2500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20" s="17" customFormat="1" ht="14" customHeight="1">
      <c r="C109" s="17" t="s">
        <v>180</v>
      </c>
      <c r="D109" s="18" t="s">
        <v>95</v>
      </c>
      <c r="E109" s="33"/>
      <c r="F109" s="90">
        <v>0.4</v>
      </c>
      <c r="G109" s="90">
        <v>0.5</v>
      </c>
      <c r="H109" s="90">
        <v>0.6</v>
      </c>
      <c r="I109" s="90">
        <v>0.7</v>
      </c>
      <c r="J109" s="90">
        <v>0.8</v>
      </c>
      <c r="K109" s="90">
        <v>0.8</v>
      </c>
      <c r="L109" s="90">
        <v>0.8</v>
      </c>
      <c r="M109" s="90">
        <v>0.8</v>
      </c>
      <c r="N109" s="90">
        <v>0.8</v>
      </c>
      <c r="O109" s="90">
        <v>0.8</v>
      </c>
      <c r="P109" s="90">
        <v>0.8</v>
      </c>
      <c r="Q109" s="90">
        <v>0.8</v>
      </c>
      <c r="R109" s="90">
        <v>0.8</v>
      </c>
      <c r="S109" s="90">
        <v>0.8</v>
      </c>
      <c r="T109" s="90">
        <v>0.8</v>
      </c>
    </row>
    <row r="110" spans="1:20" s="17" customFormat="1" ht="14" customHeight="1">
      <c r="D110" s="18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</row>
    <row r="111" spans="1:20" s="8" customFormat="1" ht="14" customHeight="1">
      <c r="A111" s="8" t="s">
        <v>140</v>
      </c>
      <c r="B111" s="9"/>
      <c r="D111" s="73"/>
      <c r="E111" s="88"/>
    </row>
    <row r="112" spans="1:20" s="17" customFormat="1" ht="14" customHeight="1">
      <c r="C112" s="33"/>
      <c r="D112" s="39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</row>
    <row r="113" spans="3:20" s="17" customFormat="1" ht="14" customHeight="1">
      <c r="C113" s="33"/>
      <c r="D113" s="39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</row>
    <row r="114" spans="3:20" s="17" customFormat="1" ht="14" customHeight="1">
      <c r="C114" s="33"/>
      <c r="D114" s="39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</row>
    <row r="115" spans="3:20" s="17" customFormat="1" ht="14" customHeight="1">
      <c r="C115" s="33"/>
      <c r="D115" s="39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</row>
  </sheetData>
  <phoneticPr fontId="0" type="noConversion"/>
  <dataValidations disablePrompts="1" count="2">
    <dataValidation type="list" allowBlank="1" showInputMessage="1" showErrorMessage="1" sqref="E57">
      <formula1>"Base, Growth"</formula1>
    </dataValidation>
    <dataValidation type="list" allowBlank="1" showInputMessage="1" showErrorMessage="1" sqref="D48:D55">
      <formula1>$C$60:$C$62</formula1>
    </dataValidation>
  </dataValidations>
  <pageMargins left="0.75" right="0.75" top="1" bottom="1" header="0.5" footer="0.5"/>
  <pageSetup paperSize="9" scale="64" orientation="landscape" cellComments="asDisplayed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 enableFormatConditionsCalculation="0"/>
  <dimension ref="A1:W310"/>
  <sheetViews>
    <sheetView showGridLines="0" zoomScale="90" zoomScaleNormal="90" zoomScalePageLayoutView="90" workbookViewId="0">
      <pane xSplit="5" ySplit="2" topLeftCell="F133" activePane="bottomRight" state="frozen"/>
      <selection activeCell="F62" sqref="F62"/>
      <selection pane="topRight" activeCell="F62" sqref="F62"/>
      <selection pane="bottomLeft" activeCell="F62" sqref="F62"/>
      <selection pane="bottomRight"/>
    </sheetView>
  </sheetViews>
  <sheetFormatPr baseColWidth="10" defaultColWidth="9.1640625" defaultRowHeight="14" customHeight="1" x14ac:dyDescent="0"/>
  <cols>
    <col min="1" max="2" width="2.6640625" style="7" customWidth="1"/>
    <col min="3" max="3" width="35.83203125" style="7" customWidth="1"/>
    <col min="4" max="4" width="12.6640625" style="60" customWidth="1"/>
    <col min="5" max="20" width="12.6640625" style="7" customWidth="1"/>
    <col min="21" max="21" width="9.1640625" style="7" customWidth="1"/>
    <col min="22" max="16384" width="9.1640625" style="7"/>
  </cols>
  <sheetData>
    <row r="1" spans="1:23" s="5" customFormat="1" ht="14" customHeight="1">
      <c r="A1" s="4" t="str">
        <f>Inputs!A1</f>
        <v>The Widget Company Inc (USD $m)</v>
      </c>
      <c r="D1" s="6"/>
      <c r="E1" s="2">
        <f t="shared" ref="E1:T2" si="0">ModelHeader</f>
        <v>42185</v>
      </c>
      <c r="F1" s="2">
        <f t="shared" si="0"/>
        <v>42551</v>
      </c>
      <c r="G1" s="2">
        <f t="shared" si="0"/>
        <v>42916</v>
      </c>
      <c r="H1" s="2">
        <f t="shared" si="0"/>
        <v>43281</v>
      </c>
      <c r="I1" s="2">
        <f t="shared" si="0"/>
        <v>43646</v>
      </c>
      <c r="J1" s="2">
        <f t="shared" si="0"/>
        <v>44012</v>
      </c>
      <c r="K1" s="2">
        <f t="shared" si="0"/>
        <v>44377</v>
      </c>
      <c r="L1" s="2">
        <f t="shared" si="0"/>
        <v>44742</v>
      </c>
      <c r="M1" s="2">
        <f t="shared" si="0"/>
        <v>45107</v>
      </c>
      <c r="N1" s="2">
        <f t="shared" si="0"/>
        <v>45473</v>
      </c>
      <c r="O1" s="2">
        <f t="shared" si="0"/>
        <v>45838</v>
      </c>
      <c r="P1" s="2">
        <f t="shared" si="0"/>
        <v>46203</v>
      </c>
      <c r="Q1" s="2">
        <f t="shared" si="0"/>
        <v>46568</v>
      </c>
      <c r="R1" s="2">
        <f t="shared" si="0"/>
        <v>46934</v>
      </c>
      <c r="S1" s="2">
        <f t="shared" si="0"/>
        <v>47299</v>
      </c>
      <c r="T1" s="2">
        <f t="shared" si="0"/>
        <v>47664</v>
      </c>
    </row>
    <row r="2" spans="1:23" s="97" customFormat="1" ht="14" customHeight="1" thickBot="1">
      <c r="A2" s="93" t="s">
        <v>148</v>
      </c>
      <c r="B2" s="94"/>
      <c r="C2" s="95"/>
      <c r="D2" s="95"/>
      <c r="E2" s="94">
        <f t="shared" si="0"/>
        <v>0</v>
      </c>
      <c r="F2" s="96">
        <f t="shared" si="0"/>
        <v>1</v>
      </c>
      <c r="G2" s="96">
        <f t="shared" si="0"/>
        <v>2</v>
      </c>
      <c r="H2" s="96">
        <f t="shared" si="0"/>
        <v>3</v>
      </c>
      <c r="I2" s="96">
        <f t="shared" si="0"/>
        <v>4</v>
      </c>
      <c r="J2" s="96">
        <f t="shared" si="0"/>
        <v>5</v>
      </c>
      <c r="K2" s="96">
        <f t="shared" si="0"/>
        <v>6</v>
      </c>
      <c r="L2" s="96">
        <f t="shared" si="0"/>
        <v>7</v>
      </c>
      <c r="M2" s="96">
        <f t="shared" si="0"/>
        <v>8</v>
      </c>
      <c r="N2" s="96">
        <f t="shared" si="0"/>
        <v>9</v>
      </c>
      <c r="O2" s="96">
        <f t="shared" si="0"/>
        <v>10</v>
      </c>
      <c r="P2" s="96">
        <f t="shared" si="0"/>
        <v>11</v>
      </c>
      <c r="Q2" s="96">
        <f t="shared" si="0"/>
        <v>12</v>
      </c>
      <c r="R2" s="96">
        <f t="shared" si="0"/>
        <v>13</v>
      </c>
      <c r="S2" s="96">
        <f t="shared" si="0"/>
        <v>14</v>
      </c>
      <c r="T2" s="96">
        <f t="shared" si="0"/>
        <v>15</v>
      </c>
    </row>
    <row r="3" spans="1:23" ht="14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8" customFormat="1" ht="14" customHeight="1">
      <c r="A4" s="8" t="s">
        <v>78</v>
      </c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3" ht="14" customHeight="1">
      <c r="A5" s="5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3" ht="14" customHeight="1">
      <c r="A6" s="5"/>
      <c r="B6" s="4" t="s">
        <v>131</v>
      </c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3" ht="14" customHeight="1">
      <c r="A7" s="5"/>
      <c r="B7" s="4"/>
      <c r="C7" s="4" t="str">
        <f>Inputs!C36</f>
        <v>Sales (m units)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" customHeight="1">
      <c r="A8" s="5"/>
      <c r="B8" s="4"/>
      <c r="C8" s="5" t="str">
        <f>Inputs!C37</f>
        <v>Widget A</v>
      </c>
      <c r="D8" s="11" t="str">
        <f>Inputs!D48</f>
        <v>Low value</v>
      </c>
      <c r="E8" s="5"/>
      <c r="F8" s="5">
        <f>Inputs!F37</f>
        <v>100</v>
      </c>
      <c r="G8" s="5">
        <f>Inputs!G37</f>
        <v>101</v>
      </c>
      <c r="H8" s="5">
        <f>Inputs!H37</f>
        <v>102.01</v>
      </c>
      <c r="I8" s="5">
        <f>Inputs!I37</f>
        <v>103.0301</v>
      </c>
      <c r="J8" s="5">
        <f>Inputs!J37</f>
        <v>104.060401</v>
      </c>
      <c r="K8" s="5">
        <f>Inputs!K37</f>
        <v>105.10100500999999</v>
      </c>
      <c r="L8" s="5">
        <f>Inputs!L37</f>
        <v>106.1520150601</v>
      </c>
      <c r="M8" s="5">
        <f>Inputs!M37</f>
        <v>107.213535210701</v>
      </c>
      <c r="N8" s="5">
        <f>Inputs!N37</f>
        <v>108.28567056280801</v>
      </c>
      <c r="O8" s="5">
        <f>Inputs!O37</f>
        <v>109.36852726843608</v>
      </c>
      <c r="P8" s="5">
        <f>Inputs!P37</f>
        <v>110.46221254112045</v>
      </c>
      <c r="Q8" s="5">
        <f>Inputs!Q37</f>
        <v>111.56683466653166</v>
      </c>
      <c r="R8" s="5">
        <f>Inputs!R37</f>
        <v>112.68250301319698</v>
      </c>
      <c r="S8" s="5">
        <f>Inputs!S37</f>
        <v>113.80932804332895</v>
      </c>
      <c r="T8" s="5">
        <f>Inputs!T37</f>
        <v>114.94742132376224</v>
      </c>
      <c r="U8" s="5"/>
      <c r="V8" s="5"/>
      <c r="W8" s="5"/>
    </row>
    <row r="9" spans="1:23" ht="14" customHeight="1">
      <c r="A9" s="5"/>
      <c r="B9" s="4"/>
      <c r="C9" s="5" t="str">
        <f>Inputs!C38</f>
        <v>Widget B</v>
      </c>
      <c r="D9" s="12" t="str">
        <f>Inputs!D49</f>
        <v>Mid value</v>
      </c>
      <c r="E9" s="5"/>
      <c r="F9" s="5">
        <f>Inputs!F38</f>
        <v>50</v>
      </c>
      <c r="G9" s="5">
        <f>Inputs!G38</f>
        <v>50.5</v>
      </c>
      <c r="H9" s="5">
        <f>Inputs!H38</f>
        <v>51.005000000000003</v>
      </c>
      <c r="I9" s="5">
        <f>Inputs!I38</f>
        <v>51.515050000000002</v>
      </c>
      <c r="J9" s="5">
        <f>Inputs!J38</f>
        <v>52.030200499999999</v>
      </c>
      <c r="K9" s="5">
        <f>Inputs!K38</f>
        <v>52.550502504999997</v>
      </c>
      <c r="L9" s="5">
        <f>Inputs!L38</f>
        <v>53.076007530049999</v>
      </c>
      <c r="M9" s="5">
        <f>Inputs!M38</f>
        <v>53.606767605350498</v>
      </c>
      <c r="N9" s="5">
        <f>Inputs!N38</f>
        <v>54.142835281404004</v>
      </c>
      <c r="O9" s="5">
        <f>Inputs!O38</f>
        <v>54.684263634218041</v>
      </c>
      <c r="P9" s="5">
        <f>Inputs!P38</f>
        <v>55.231106270560225</v>
      </c>
      <c r="Q9" s="5">
        <f>Inputs!Q38</f>
        <v>55.783417333265831</v>
      </c>
      <c r="R9" s="5">
        <f>Inputs!R38</f>
        <v>56.341251506598489</v>
      </c>
      <c r="S9" s="5">
        <f>Inputs!S38</f>
        <v>56.904664021664473</v>
      </c>
      <c r="T9" s="5">
        <f>Inputs!T38</f>
        <v>57.473710661881121</v>
      </c>
      <c r="U9" s="5"/>
      <c r="V9" s="5"/>
      <c r="W9" s="5"/>
    </row>
    <row r="10" spans="1:23" ht="14" customHeight="1">
      <c r="A10" s="5"/>
      <c r="B10" s="4"/>
      <c r="C10" s="5" t="str">
        <f>Inputs!C39</f>
        <v>Widget C</v>
      </c>
      <c r="D10" s="12" t="str">
        <f>Inputs!D50</f>
        <v>High value</v>
      </c>
      <c r="E10" s="5"/>
      <c r="F10" s="5">
        <f>Inputs!F39</f>
        <v>25</v>
      </c>
      <c r="G10" s="5">
        <f>Inputs!G39</f>
        <v>25.25</v>
      </c>
      <c r="H10" s="5">
        <f>Inputs!H39</f>
        <v>25.502500000000001</v>
      </c>
      <c r="I10" s="5">
        <f>Inputs!I39</f>
        <v>25.757525000000001</v>
      </c>
      <c r="J10" s="5">
        <f>Inputs!J39</f>
        <v>26.01510025</v>
      </c>
      <c r="K10" s="5">
        <f>Inputs!K39</f>
        <v>26.275251252499999</v>
      </c>
      <c r="L10" s="5">
        <f>Inputs!L39</f>
        <v>26.538003765025</v>
      </c>
      <c r="M10" s="5">
        <f>Inputs!M39</f>
        <v>26.803383802675249</v>
      </c>
      <c r="N10" s="5">
        <f>Inputs!N39</f>
        <v>27.071417640702002</v>
      </c>
      <c r="O10" s="5">
        <f>Inputs!O39</f>
        <v>27.342131817109021</v>
      </c>
      <c r="P10" s="5">
        <f>Inputs!P39</f>
        <v>27.615553135280113</v>
      </c>
      <c r="Q10" s="5">
        <f>Inputs!Q39</f>
        <v>27.891708666632915</v>
      </c>
      <c r="R10" s="5">
        <f>Inputs!R39</f>
        <v>28.170625753299245</v>
      </c>
      <c r="S10" s="5">
        <f>Inputs!S39</f>
        <v>28.452332010832237</v>
      </c>
      <c r="T10" s="5">
        <f>Inputs!T39</f>
        <v>28.736855330940561</v>
      </c>
      <c r="U10" s="5"/>
      <c r="V10" s="5"/>
      <c r="W10" s="5"/>
    </row>
    <row r="11" spans="1:23" ht="14" customHeight="1">
      <c r="A11" s="5"/>
      <c r="B11" s="4"/>
      <c r="C11" s="5" t="str">
        <f>Inputs!C40</f>
        <v>Widget D</v>
      </c>
      <c r="D11" s="12" t="str">
        <f>Inputs!D51</f>
        <v>Mid value</v>
      </c>
      <c r="E11" s="5"/>
      <c r="F11" s="5">
        <f>Inputs!F40</f>
        <v>60</v>
      </c>
      <c r="G11" s="5">
        <f>Inputs!G40</f>
        <v>60.6</v>
      </c>
      <c r="H11" s="5">
        <f>Inputs!H40</f>
        <v>61.206000000000003</v>
      </c>
      <c r="I11" s="5">
        <f>Inputs!I40</f>
        <v>61.818060000000003</v>
      </c>
      <c r="J11" s="5">
        <f>Inputs!J40</f>
        <v>62.436240600000005</v>
      </c>
      <c r="K11" s="5">
        <f>Inputs!K40</f>
        <v>63.060603006000008</v>
      </c>
      <c r="L11" s="5">
        <f>Inputs!L40</f>
        <v>63.691209036060009</v>
      </c>
      <c r="M11" s="5">
        <f>Inputs!M40</f>
        <v>64.328121126420612</v>
      </c>
      <c r="N11" s="5">
        <f>Inputs!N40</f>
        <v>64.971402337684822</v>
      </c>
      <c r="O11" s="5">
        <f>Inputs!O40</f>
        <v>65.621116361061667</v>
      </c>
      <c r="P11" s="5">
        <f>Inputs!P40</f>
        <v>66.277327524672287</v>
      </c>
      <c r="Q11" s="5">
        <f>Inputs!Q40</f>
        <v>66.940100799919009</v>
      </c>
      <c r="R11" s="5">
        <f>Inputs!R40</f>
        <v>67.609501807918193</v>
      </c>
      <c r="S11" s="5">
        <f>Inputs!S40</f>
        <v>68.285596825997374</v>
      </c>
      <c r="T11" s="5">
        <f>Inputs!T40</f>
        <v>68.968452794257345</v>
      </c>
      <c r="U11" s="5"/>
      <c r="V11" s="5"/>
      <c r="W11" s="5"/>
    </row>
    <row r="12" spans="1:23" ht="14" customHeight="1">
      <c r="A12" s="5"/>
      <c r="B12" s="4"/>
      <c r="C12" s="5" t="str">
        <f>Inputs!C41</f>
        <v>Widget E</v>
      </c>
      <c r="D12" s="12" t="str">
        <f>Inputs!D52</f>
        <v>Low value</v>
      </c>
      <c r="E12" s="5"/>
      <c r="F12" s="5">
        <f>Inputs!F41</f>
        <v>200</v>
      </c>
      <c r="G12" s="5">
        <f>Inputs!G41</f>
        <v>202</v>
      </c>
      <c r="H12" s="5">
        <f>Inputs!H41</f>
        <v>204.02</v>
      </c>
      <c r="I12" s="5">
        <f>Inputs!I41</f>
        <v>206.06020000000001</v>
      </c>
      <c r="J12" s="5">
        <f>Inputs!J41</f>
        <v>208.120802</v>
      </c>
      <c r="K12" s="5">
        <f>Inputs!K41</f>
        <v>210.20201001999999</v>
      </c>
      <c r="L12" s="5">
        <f>Inputs!L41</f>
        <v>212.3040301202</v>
      </c>
      <c r="M12" s="5">
        <f>Inputs!M41</f>
        <v>214.42707042140199</v>
      </c>
      <c r="N12" s="5">
        <f>Inputs!N41</f>
        <v>216.57134112561602</v>
      </c>
      <c r="O12" s="5">
        <f>Inputs!O41</f>
        <v>218.73705453687217</v>
      </c>
      <c r="P12" s="5">
        <f>Inputs!P41</f>
        <v>220.9244250822409</v>
      </c>
      <c r="Q12" s="5">
        <f>Inputs!Q41</f>
        <v>223.13366933306332</v>
      </c>
      <c r="R12" s="5">
        <f>Inputs!R41</f>
        <v>225.36500602639396</v>
      </c>
      <c r="S12" s="5">
        <f>Inputs!S41</f>
        <v>227.61865608665789</v>
      </c>
      <c r="T12" s="5">
        <f>Inputs!T41</f>
        <v>229.89484264752448</v>
      </c>
      <c r="U12" s="5"/>
      <c r="V12" s="5"/>
      <c r="W12" s="5"/>
    </row>
    <row r="13" spans="1:23" ht="14" customHeight="1">
      <c r="A13" s="5"/>
      <c r="B13" s="4"/>
      <c r="C13" s="5" t="str">
        <f>Inputs!C42</f>
        <v>Widget F</v>
      </c>
      <c r="D13" s="12" t="str">
        <f>Inputs!D53</f>
        <v>High value</v>
      </c>
      <c r="E13" s="5"/>
      <c r="F13" s="5">
        <f>Inputs!F42</f>
        <v>30</v>
      </c>
      <c r="G13" s="5">
        <f>Inputs!G42</f>
        <v>30.3</v>
      </c>
      <c r="H13" s="5">
        <f>Inputs!H42</f>
        <v>30.603000000000002</v>
      </c>
      <c r="I13" s="5">
        <f>Inputs!I42</f>
        <v>30.909030000000001</v>
      </c>
      <c r="J13" s="5">
        <f>Inputs!J42</f>
        <v>31.218120300000002</v>
      </c>
      <c r="K13" s="5">
        <f>Inputs!K42</f>
        <v>31.530301503000004</v>
      </c>
      <c r="L13" s="5">
        <f>Inputs!L42</f>
        <v>31.845604518030004</v>
      </c>
      <c r="M13" s="5">
        <f>Inputs!M42</f>
        <v>32.164060563210306</v>
      </c>
      <c r="N13" s="5">
        <f>Inputs!N42</f>
        <v>32.485701168842411</v>
      </c>
      <c r="O13" s="5">
        <f>Inputs!O42</f>
        <v>32.810558180530833</v>
      </c>
      <c r="P13" s="5">
        <f>Inputs!P42</f>
        <v>33.138663762336144</v>
      </c>
      <c r="Q13" s="5">
        <f>Inputs!Q42</f>
        <v>33.470050399959504</v>
      </c>
      <c r="R13" s="5">
        <f>Inputs!R42</f>
        <v>33.804750903959096</v>
      </c>
      <c r="S13" s="5">
        <f>Inputs!S42</f>
        <v>34.142798412998687</v>
      </c>
      <c r="T13" s="5">
        <f>Inputs!T42</f>
        <v>34.484226397128673</v>
      </c>
      <c r="U13" s="5"/>
      <c r="V13" s="5"/>
      <c r="W13" s="5"/>
    </row>
    <row r="14" spans="1:23" ht="14" customHeight="1">
      <c r="A14" s="5"/>
      <c r="B14" s="4"/>
      <c r="C14" s="5" t="str">
        <f>Inputs!C43</f>
        <v>Widget G</v>
      </c>
      <c r="D14" s="12" t="str">
        <f>Inputs!D54</f>
        <v>Mid value</v>
      </c>
      <c r="E14" s="5"/>
      <c r="F14" s="5">
        <f>Inputs!F43</f>
        <v>75</v>
      </c>
      <c r="G14" s="5">
        <f>Inputs!G43</f>
        <v>75.75</v>
      </c>
      <c r="H14" s="5">
        <f>Inputs!H43</f>
        <v>76.507500000000007</v>
      </c>
      <c r="I14" s="5">
        <f>Inputs!I43</f>
        <v>77.272575000000003</v>
      </c>
      <c r="J14" s="5">
        <f>Inputs!J43</f>
        <v>78.04530075000001</v>
      </c>
      <c r="K14" s="5">
        <f>Inputs!K43</f>
        <v>78.82575375750001</v>
      </c>
      <c r="L14" s="5">
        <f>Inputs!L43</f>
        <v>79.614011295075017</v>
      </c>
      <c r="M14" s="5">
        <f>Inputs!M43</f>
        <v>80.410151408025769</v>
      </c>
      <c r="N14" s="5">
        <f>Inputs!N43</f>
        <v>81.214252922106027</v>
      </c>
      <c r="O14" s="5">
        <f>Inputs!O43</f>
        <v>82.02639545132709</v>
      </c>
      <c r="P14" s="5">
        <f>Inputs!P43</f>
        <v>82.846659405840356</v>
      </c>
      <c r="Q14" s="5">
        <f>Inputs!Q43</f>
        <v>83.675125999898754</v>
      </c>
      <c r="R14" s="5">
        <f>Inputs!R43</f>
        <v>84.511877259897744</v>
      </c>
      <c r="S14" s="5">
        <f>Inputs!S43</f>
        <v>85.356996032496724</v>
      </c>
      <c r="T14" s="5">
        <f>Inputs!T43</f>
        <v>86.210565992821685</v>
      </c>
      <c r="U14" s="5"/>
      <c r="V14" s="5"/>
      <c r="W14" s="5"/>
    </row>
    <row r="15" spans="1:23" ht="14" customHeight="1">
      <c r="A15" s="5"/>
      <c r="B15" s="4"/>
      <c r="C15" s="5" t="str">
        <f>Inputs!C44</f>
        <v>Widget H</v>
      </c>
      <c r="D15" s="12" t="str">
        <f>Inputs!D55</f>
        <v>Mid value</v>
      </c>
      <c r="E15" s="5"/>
      <c r="F15" s="5">
        <f>Inputs!F44</f>
        <v>40</v>
      </c>
      <c r="G15" s="5">
        <f>Inputs!G44</f>
        <v>40.4</v>
      </c>
      <c r="H15" s="5">
        <f>Inputs!H44</f>
        <v>40.804000000000002</v>
      </c>
      <c r="I15" s="5">
        <f>Inputs!I44</f>
        <v>41.212040000000002</v>
      </c>
      <c r="J15" s="5">
        <f>Inputs!J44</f>
        <v>41.624160400000001</v>
      </c>
      <c r="K15" s="5">
        <f>Inputs!K44</f>
        <v>42.040402004000001</v>
      </c>
      <c r="L15" s="5">
        <f>Inputs!L44</f>
        <v>42.460806024040004</v>
      </c>
      <c r="M15" s="5">
        <f>Inputs!M44</f>
        <v>42.885414084280406</v>
      </c>
      <c r="N15" s="5">
        <f>Inputs!N44</f>
        <v>43.314268225123207</v>
      </c>
      <c r="O15" s="5">
        <f>Inputs!O44</f>
        <v>43.747410907374437</v>
      </c>
      <c r="P15" s="5">
        <f>Inputs!P44</f>
        <v>44.184885016448185</v>
      </c>
      <c r="Q15" s="5">
        <f>Inputs!Q44</f>
        <v>44.626733866612668</v>
      </c>
      <c r="R15" s="5">
        <f>Inputs!R44</f>
        <v>45.073001205278793</v>
      </c>
      <c r="S15" s="5">
        <f>Inputs!S44</f>
        <v>45.52373121733158</v>
      </c>
      <c r="T15" s="5">
        <f>Inputs!T44</f>
        <v>45.978968529504897</v>
      </c>
      <c r="U15" s="5"/>
      <c r="V15" s="5"/>
      <c r="W15" s="5"/>
    </row>
    <row r="16" spans="1:23" ht="14" customHeight="1">
      <c r="A16" s="5"/>
      <c r="B16" s="4"/>
      <c r="C16" s="13" t="s">
        <v>130</v>
      </c>
      <c r="D16" s="14" t="s">
        <v>129</v>
      </c>
      <c r="E16" s="13"/>
      <c r="F16" s="13">
        <f>SUM(F8:F15)</f>
        <v>580</v>
      </c>
      <c r="G16" s="13">
        <f t="shared" ref="G16:T16" si="1">SUM(G8:G15)</f>
        <v>585.80000000000007</v>
      </c>
      <c r="H16" s="13">
        <f t="shared" si="1"/>
        <v>591.65800000000002</v>
      </c>
      <c r="I16" s="13">
        <f t="shared" si="1"/>
        <v>597.57457999999997</v>
      </c>
      <c r="J16" s="13">
        <f t="shared" si="1"/>
        <v>603.55032580000011</v>
      </c>
      <c r="K16" s="13">
        <f t="shared" si="1"/>
        <v>609.58582905800006</v>
      </c>
      <c r="L16" s="13">
        <f t="shared" si="1"/>
        <v>615.68168734858011</v>
      </c>
      <c r="M16" s="13">
        <f t="shared" si="1"/>
        <v>621.83850422206581</v>
      </c>
      <c r="N16" s="13">
        <f t="shared" si="1"/>
        <v>628.0568892642865</v>
      </c>
      <c r="O16" s="13">
        <f t="shared" si="1"/>
        <v>634.3374581569293</v>
      </c>
      <c r="P16" s="13">
        <f t="shared" si="1"/>
        <v>640.68083273849868</v>
      </c>
      <c r="Q16" s="13">
        <f t="shared" si="1"/>
        <v>647.08764106588364</v>
      </c>
      <c r="R16" s="13">
        <f t="shared" si="1"/>
        <v>653.55851747654242</v>
      </c>
      <c r="S16" s="13">
        <f t="shared" si="1"/>
        <v>660.09410265130794</v>
      </c>
      <c r="T16" s="13">
        <f t="shared" si="1"/>
        <v>666.69504367782088</v>
      </c>
      <c r="U16" s="5"/>
      <c r="V16" s="5"/>
      <c r="W16" s="5"/>
    </row>
    <row r="17" spans="1:23" ht="14" customHeight="1">
      <c r="A17" s="5"/>
      <c r="B17" s="4"/>
      <c r="C17" s="5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" customHeight="1">
      <c r="A18" s="5"/>
      <c r="B18" s="4"/>
      <c r="C18" s="5" t="str">
        <f>Inputs!C$60</f>
        <v>High value</v>
      </c>
      <c r="D18" s="6" t="s">
        <v>129</v>
      </c>
      <c r="E18" s="5"/>
      <c r="F18" s="5">
        <f>SUMIF($D8:$D15,$C18,F8:F15)</f>
        <v>55</v>
      </c>
      <c r="G18" s="5">
        <f t="shared" ref="G18:T18" si="2">SUMIF($D8:$D15,$C18,G8:G15)</f>
        <v>55.55</v>
      </c>
      <c r="H18" s="5">
        <f t="shared" si="2"/>
        <v>56.105500000000006</v>
      </c>
      <c r="I18" s="5">
        <f t="shared" si="2"/>
        <v>56.666555000000002</v>
      </c>
      <c r="J18" s="5">
        <f t="shared" si="2"/>
        <v>57.233220549999999</v>
      </c>
      <c r="K18" s="5">
        <f t="shared" si="2"/>
        <v>57.805552755500003</v>
      </c>
      <c r="L18" s="5">
        <f t="shared" si="2"/>
        <v>58.383608283055004</v>
      </c>
      <c r="M18" s="5">
        <f t="shared" si="2"/>
        <v>58.967444365885555</v>
      </c>
      <c r="N18" s="5">
        <f t="shared" si="2"/>
        <v>59.557118809544413</v>
      </c>
      <c r="O18" s="5">
        <f t="shared" si="2"/>
        <v>60.152689997639854</v>
      </c>
      <c r="P18" s="5">
        <f t="shared" si="2"/>
        <v>60.75421689761626</v>
      </c>
      <c r="Q18" s="5">
        <f t="shared" si="2"/>
        <v>61.36175906659242</v>
      </c>
      <c r="R18" s="5">
        <f t="shared" si="2"/>
        <v>61.975376657258337</v>
      </c>
      <c r="S18" s="5">
        <f t="shared" si="2"/>
        <v>62.595130423830923</v>
      </c>
      <c r="T18" s="5">
        <f t="shared" si="2"/>
        <v>63.221081728069237</v>
      </c>
      <c r="U18" s="5"/>
      <c r="V18" s="5"/>
      <c r="W18" s="5"/>
    </row>
    <row r="19" spans="1:23" ht="14" customHeight="1">
      <c r="A19" s="5"/>
      <c r="B19" s="4"/>
      <c r="C19" s="5" t="str">
        <f>Inputs!C$61</f>
        <v>Mid value</v>
      </c>
      <c r="D19" s="6" t="s">
        <v>129</v>
      </c>
      <c r="E19" s="5"/>
      <c r="F19" s="5">
        <f t="shared" ref="F19:T19" si="3">SUMIF($D9:$D16,$C19,F9:F16)</f>
        <v>225</v>
      </c>
      <c r="G19" s="5">
        <f t="shared" si="3"/>
        <v>227.25</v>
      </c>
      <c r="H19" s="5">
        <f t="shared" si="3"/>
        <v>229.52250000000001</v>
      </c>
      <c r="I19" s="5">
        <f t="shared" si="3"/>
        <v>231.817725</v>
      </c>
      <c r="J19" s="5">
        <f t="shared" si="3"/>
        <v>234.13590225000002</v>
      </c>
      <c r="K19" s="5">
        <f t="shared" si="3"/>
        <v>236.47726127250002</v>
      </c>
      <c r="L19" s="5">
        <f t="shared" si="3"/>
        <v>238.84203388522505</v>
      </c>
      <c r="M19" s="5">
        <f t="shared" si="3"/>
        <v>241.23045422407728</v>
      </c>
      <c r="N19" s="5">
        <f t="shared" si="3"/>
        <v>243.64275876631808</v>
      </c>
      <c r="O19" s="5">
        <f t="shared" si="3"/>
        <v>246.07918635398124</v>
      </c>
      <c r="P19" s="5">
        <f t="shared" si="3"/>
        <v>248.53997821752105</v>
      </c>
      <c r="Q19" s="5">
        <f t="shared" si="3"/>
        <v>251.02537799969627</v>
      </c>
      <c r="R19" s="5">
        <f t="shared" si="3"/>
        <v>253.5356317796932</v>
      </c>
      <c r="S19" s="5">
        <f t="shared" si="3"/>
        <v>256.07098809749016</v>
      </c>
      <c r="T19" s="5">
        <f t="shared" si="3"/>
        <v>258.63169797846501</v>
      </c>
      <c r="U19" s="5"/>
      <c r="V19" s="5"/>
      <c r="W19" s="5"/>
    </row>
    <row r="20" spans="1:23" ht="14" customHeight="1">
      <c r="A20" s="5"/>
      <c r="B20" s="4"/>
      <c r="C20" s="5" t="str">
        <f>Inputs!C$62</f>
        <v>Low value</v>
      </c>
      <c r="D20" s="6" t="s">
        <v>129</v>
      </c>
      <c r="E20" s="5"/>
      <c r="F20" s="5">
        <f t="shared" ref="F20:T20" si="4">SUMIF($D10:$D17,$C20,F10:F17)</f>
        <v>200</v>
      </c>
      <c r="G20" s="5">
        <f t="shared" si="4"/>
        <v>202</v>
      </c>
      <c r="H20" s="5">
        <f t="shared" si="4"/>
        <v>204.02</v>
      </c>
      <c r="I20" s="5">
        <f t="shared" si="4"/>
        <v>206.06020000000001</v>
      </c>
      <c r="J20" s="5">
        <f t="shared" si="4"/>
        <v>208.120802</v>
      </c>
      <c r="K20" s="5">
        <f t="shared" si="4"/>
        <v>210.20201001999999</v>
      </c>
      <c r="L20" s="5">
        <f t="shared" si="4"/>
        <v>212.3040301202</v>
      </c>
      <c r="M20" s="5">
        <f t="shared" si="4"/>
        <v>214.42707042140199</v>
      </c>
      <c r="N20" s="5">
        <f t="shared" si="4"/>
        <v>216.57134112561602</v>
      </c>
      <c r="O20" s="5">
        <f t="shared" si="4"/>
        <v>218.73705453687217</v>
      </c>
      <c r="P20" s="5">
        <f t="shared" si="4"/>
        <v>220.9244250822409</v>
      </c>
      <c r="Q20" s="5">
        <f t="shared" si="4"/>
        <v>223.13366933306332</v>
      </c>
      <c r="R20" s="5">
        <f t="shared" si="4"/>
        <v>225.36500602639396</v>
      </c>
      <c r="S20" s="5">
        <f t="shared" si="4"/>
        <v>227.61865608665789</v>
      </c>
      <c r="T20" s="5">
        <f t="shared" si="4"/>
        <v>229.89484264752448</v>
      </c>
      <c r="U20" s="5"/>
      <c r="V20" s="5"/>
      <c r="W20" s="5"/>
    </row>
    <row r="21" spans="1:23" ht="14" customHeight="1">
      <c r="A21" s="5"/>
      <c r="B21" s="4"/>
      <c r="C21" s="5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" customHeight="1">
      <c r="A22" s="5"/>
      <c r="B22" s="4" t="s">
        <v>132</v>
      </c>
      <c r="C22" s="5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" customHeight="1">
      <c r="A23" s="5"/>
      <c r="B23" s="4"/>
      <c r="C23" s="5" t="str">
        <f>Inputs!C$57</f>
        <v>Pricing scenario used</v>
      </c>
      <c r="D23" s="6"/>
      <c r="E23" s="5" t="str">
        <f>Inputs!E$57</f>
        <v>Base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" customHeight="1">
      <c r="A24" s="5"/>
      <c r="B24" s="4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" customHeight="1">
      <c r="A25" s="5"/>
      <c r="B25" s="4"/>
      <c r="C25" s="5" t="str">
        <f>IF($E$23="Base ",Inputs!C59,Inputs!C64)</f>
        <v>Pricing (nominal) - Growth Scenario</v>
      </c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s="15" customFormat="1" ht="14" customHeight="1">
      <c r="A26" s="5"/>
      <c r="B26" s="4"/>
      <c r="C26" s="5" t="str">
        <f>IF($E$23="Base ",Inputs!C60,Inputs!C65)</f>
        <v>High value</v>
      </c>
      <c r="D26" s="6" t="str">
        <f>IF($E$23="Base ",Inputs!D60,Inputs!D65)</f>
        <v>$ / unit</v>
      </c>
      <c r="E26" s="5"/>
      <c r="F26" s="5">
        <f>IF($E$23="Base ",Inputs!F60,Inputs!F65)</f>
        <v>180</v>
      </c>
      <c r="G26" s="5">
        <f>IF($E$23="Base ",Inputs!G60,Inputs!G65)</f>
        <v>187.20000000000002</v>
      </c>
      <c r="H26" s="5">
        <f>IF($E$23="Base ",Inputs!H60,Inputs!H65)</f>
        <v>194.68800000000002</v>
      </c>
      <c r="I26" s="5">
        <f>IF($E$23="Base ",Inputs!I60,Inputs!I65)</f>
        <v>200.52864000000002</v>
      </c>
      <c r="J26" s="5">
        <f>IF($E$23="Base ",Inputs!J60,Inputs!J65)</f>
        <v>206.54449920000002</v>
      </c>
      <c r="K26" s="5">
        <f>IF($E$23="Base ",Inputs!K60,Inputs!K65)</f>
        <v>212.74083417600002</v>
      </c>
      <c r="L26" s="5">
        <f>IF($E$23="Base ",Inputs!L60,Inputs!L65)</f>
        <v>219.12305920128003</v>
      </c>
      <c r="M26" s="5">
        <f>IF($E$23="Base ",Inputs!M60,Inputs!M65)</f>
        <v>225.69675097731843</v>
      </c>
      <c r="N26" s="5">
        <f>IF($E$23="Base ",Inputs!N60,Inputs!N65)</f>
        <v>232.46765350663799</v>
      </c>
      <c r="O26" s="5">
        <f>IF($E$23="Base ",Inputs!O60,Inputs!O65)</f>
        <v>239.44168311183714</v>
      </c>
      <c r="P26" s="5">
        <f>IF($E$23="Base ",Inputs!P60,Inputs!P65)</f>
        <v>246.62493360519227</v>
      </c>
      <c r="Q26" s="5">
        <f>IF($E$23="Base ",Inputs!Q60,Inputs!Q65)</f>
        <v>254.02368161334803</v>
      </c>
      <c r="R26" s="5">
        <f>IF($E$23="Base ",Inputs!R60,Inputs!R65)</f>
        <v>261.64439206174848</v>
      </c>
      <c r="S26" s="5">
        <f>IF($E$23="Base ",Inputs!S60,Inputs!S65)</f>
        <v>269.49372382360093</v>
      </c>
      <c r="T26" s="5">
        <f>IF($E$23="Base ",Inputs!T60,Inputs!T65)</f>
        <v>277.57853553830898</v>
      </c>
      <c r="U26" s="102"/>
      <c r="V26" s="102"/>
      <c r="W26" s="102"/>
    </row>
    <row r="27" spans="1:23" s="15" customFormat="1" ht="14" customHeight="1">
      <c r="A27" s="5"/>
      <c r="B27" s="4"/>
      <c r="C27" s="5" t="str">
        <f>IF($E$23="Base ",Inputs!C61,Inputs!C66)</f>
        <v>Mid value</v>
      </c>
      <c r="D27" s="6" t="str">
        <f>IF($E$23="Base ",Inputs!D61,Inputs!D66)</f>
        <v>$ / unit</v>
      </c>
      <c r="E27" s="5"/>
      <c r="F27" s="5">
        <f>IF($E$23="Base ",Inputs!F61,Inputs!F66)</f>
        <v>140</v>
      </c>
      <c r="G27" s="5">
        <f>IF($E$23="Base ",Inputs!G61,Inputs!G66)</f>
        <v>145.6</v>
      </c>
      <c r="H27" s="5">
        <f>IF($E$23="Base ",Inputs!H61,Inputs!H66)</f>
        <v>151.42400000000001</v>
      </c>
      <c r="I27" s="5">
        <f>IF($E$23="Base ",Inputs!I61,Inputs!I66)</f>
        <v>155.96672000000001</v>
      </c>
      <c r="J27" s="5">
        <f>IF($E$23="Base ",Inputs!J61,Inputs!J66)</f>
        <v>160.6457216</v>
      </c>
      <c r="K27" s="5">
        <f>IF($E$23="Base ",Inputs!K61,Inputs!K66)</f>
        <v>165.46509324800002</v>
      </c>
      <c r="L27" s="5">
        <f>IF($E$23="Base ",Inputs!L61,Inputs!L66)</f>
        <v>170.42904604544003</v>
      </c>
      <c r="M27" s="5">
        <f>IF($E$23="Base ",Inputs!M61,Inputs!M66)</f>
        <v>175.54191742680322</v>
      </c>
      <c r="N27" s="5">
        <f>IF($E$23="Base ",Inputs!N61,Inputs!N66)</f>
        <v>180.80817494960732</v>
      </c>
      <c r="O27" s="5">
        <f>IF($E$23="Base ",Inputs!O61,Inputs!O66)</f>
        <v>186.23242019809555</v>
      </c>
      <c r="P27" s="5">
        <f>IF($E$23="Base ",Inputs!P61,Inputs!P66)</f>
        <v>191.81939280403842</v>
      </c>
      <c r="Q27" s="5">
        <f>IF($E$23="Base ",Inputs!Q61,Inputs!Q66)</f>
        <v>197.57397458815959</v>
      </c>
      <c r="R27" s="5">
        <f>IF($E$23="Base ",Inputs!R61,Inputs!R66)</f>
        <v>203.50119382580439</v>
      </c>
      <c r="S27" s="5">
        <f>IF($E$23="Base ",Inputs!S61,Inputs!S66)</f>
        <v>209.60622964057853</v>
      </c>
      <c r="T27" s="5">
        <f>IF($E$23="Base ",Inputs!T61,Inputs!T66)</f>
        <v>215.8944165297959</v>
      </c>
      <c r="U27" s="102"/>
      <c r="V27" s="102"/>
      <c r="W27" s="102"/>
    </row>
    <row r="28" spans="1:23" s="15" customFormat="1" ht="14" customHeight="1">
      <c r="A28" s="5"/>
      <c r="B28" s="4"/>
      <c r="C28" s="5" t="str">
        <f>IF($E$23="Base ",Inputs!C62,Inputs!C67)</f>
        <v>Low value</v>
      </c>
      <c r="D28" s="6" t="str">
        <f>IF($E$23="Base ",Inputs!D62,Inputs!D67)</f>
        <v>$ / unit</v>
      </c>
      <c r="E28" s="5"/>
      <c r="F28" s="5">
        <f>IF($E$23="Base ",Inputs!F62,Inputs!F67)</f>
        <v>90</v>
      </c>
      <c r="G28" s="5">
        <f>IF($E$23="Base ",Inputs!G62,Inputs!G67)</f>
        <v>93.600000000000009</v>
      </c>
      <c r="H28" s="5">
        <f>IF($E$23="Base ",Inputs!H62,Inputs!H67)</f>
        <v>97.344000000000008</v>
      </c>
      <c r="I28" s="5">
        <f>IF($E$23="Base ",Inputs!I62,Inputs!I67)</f>
        <v>100.26432000000001</v>
      </c>
      <c r="J28" s="5">
        <f>IF($E$23="Base ",Inputs!J62,Inputs!J67)</f>
        <v>103.27224960000001</v>
      </c>
      <c r="K28" s="5">
        <f>IF($E$23="Base ",Inputs!K62,Inputs!K67)</f>
        <v>106.37041708800001</v>
      </c>
      <c r="L28" s="5">
        <f>IF($E$23="Base ",Inputs!L62,Inputs!L67)</f>
        <v>109.56152960064001</v>
      </c>
      <c r="M28" s="5">
        <f>IF($E$23="Base ",Inputs!M62,Inputs!M67)</f>
        <v>112.84837548865922</v>
      </c>
      <c r="N28" s="5">
        <f>IF($E$23="Base ",Inputs!N62,Inputs!N67)</f>
        <v>116.23382675331899</v>
      </c>
      <c r="O28" s="5">
        <f>IF($E$23="Base ",Inputs!O62,Inputs!O67)</f>
        <v>119.72084155591857</v>
      </c>
      <c r="P28" s="5">
        <f>IF($E$23="Base ",Inputs!P62,Inputs!P67)</f>
        <v>123.31246680259613</v>
      </c>
      <c r="Q28" s="5">
        <f>IF($E$23="Base ",Inputs!Q62,Inputs!Q67)</f>
        <v>127.01184080667402</v>
      </c>
      <c r="R28" s="5">
        <f>IF($E$23="Base ",Inputs!R62,Inputs!R67)</f>
        <v>130.82219603087424</v>
      </c>
      <c r="S28" s="5">
        <f>IF($E$23="Base ",Inputs!S62,Inputs!S67)</f>
        <v>134.74686191180047</v>
      </c>
      <c r="T28" s="5">
        <f>IF($E$23="Base ",Inputs!T62,Inputs!T67)</f>
        <v>138.78926776915449</v>
      </c>
      <c r="U28" s="102"/>
      <c r="V28" s="102"/>
      <c r="W28" s="102"/>
    </row>
    <row r="29" spans="1:23" ht="14" customHeight="1">
      <c r="A29" s="5"/>
      <c r="B29" s="4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" customHeight="1">
      <c r="A30" s="5"/>
      <c r="B30" s="4"/>
      <c r="C30" s="5" t="str">
        <f>C26</f>
        <v>High value</v>
      </c>
      <c r="D30" s="6" t="s">
        <v>128</v>
      </c>
      <c r="E30" s="5"/>
      <c r="F30" s="5">
        <f>F18*F26</f>
        <v>9900</v>
      </c>
      <c r="G30" s="5">
        <f t="shared" ref="G30:T30" si="5">G18*G26</f>
        <v>10398.960000000001</v>
      </c>
      <c r="H30" s="5">
        <f t="shared" si="5"/>
        <v>10923.067584000002</v>
      </c>
      <c r="I30" s="5">
        <f t="shared" si="5"/>
        <v>11363.267207635201</v>
      </c>
      <c r="J30" s="5">
        <f t="shared" si="5"/>
        <v>11821.206876102899</v>
      </c>
      <c r="K30" s="5">
        <f t="shared" si="5"/>
        <v>12297.601513209847</v>
      </c>
      <c r="L30" s="5">
        <f t="shared" si="5"/>
        <v>12793.194854192205</v>
      </c>
      <c r="M30" s="5">
        <f t="shared" si="5"/>
        <v>13308.760606816151</v>
      </c>
      <c r="N30" s="5">
        <f t="shared" si="5"/>
        <v>13845.103659270842</v>
      </c>
      <c r="O30" s="5">
        <f t="shared" si="5"/>
        <v>14403.061336739458</v>
      </c>
      <c r="P30" s="5">
        <f t="shared" si="5"/>
        <v>14983.50470861006</v>
      </c>
      <c r="Q30" s="5">
        <f t="shared" si="5"/>
        <v>15587.339948367046</v>
      </c>
      <c r="R30" s="5">
        <f t="shared" si="5"/>
        <v>16215.509748286235</v>
      </c>
      <c r="S30" s="5">
        <f t="shared" si="5"/>
        <v>16868.99479114217</v>
      </c>
      <c r="T30" s="5">
        <f t="shared" si="5"/>
        <v>17548.815281225205</v>
      </c>
      <c r="U30" s="5"/>
      <c r="V30" s="5"/>
      <c r="W30" s="5"/>
    </row>
    <row r="31" spans="1:23" ht="14" customHeight="1">
      <c r="A31" s="5"/>
      <c r="B31" s="4"/>
      <c r="C31" s="5" t="str">
        <f>C27</f>
        <v>Mid value</v>
      </c>
      <c r="D31" s="6" t="s">
        <v>128</v>
      </c>
      <c r="E31" s="5"/>
      <c r="F31" s="5">
        <f t="shared" ref="F31:T31" si="6">F19*F27</f>
        <v>31500</v>
      </c>
      <c r="G31" s="5">
        <f t="shared" si="6"/>
        <v>33087.599999999999</v>
      </c>
      <c r="H31" s="5">
        <f t="shared" si="6"/>
        <v>34755.215040000003</v>
      </c>
      <c r="I31" s="5">
        <f t="shared" si="6"/>
        <v>36155.850206112002</v>
      </c>
      <c r="J31" s="5">
        <f t="shared" si="6"/>
        <v>37612.930969418318</v>
      </c>
      <c r="K31" s="5">
        <f t="shared" si="6"/>
        <v>39128.732087485878</v>
      </c>
      <c r="L31" s="5">
        <f t="shared" si="6"/>
        <v>40705.619990611565</v>
      </c>
      <c r="M31" s="5">
        <f t="shared" si="6"/>
        <v>42346.056476233207</v>
      </c>
      <c r="N31" s="5">
        <f t="shared" si="6"/>
        <v>44052.602552225413</v>
      </c>
      <c r="O31" s="5">
        <f t="shared" si="6"/>
        <v>45827.922435080094</v>
      </c>
      <c r="P31" s="5">
        <f t="shared" si="6"/>
        <v>47674.787709213822</v>
      </c>
      <c r="Q31" s="5">
        <f t="shared" si="6"/>
        <v>49596.081653895148</v>
      </c>
      <c r="R31" s="5">
        <f t="shared" si="6"/>
        <v>51594.80374454712</v>
      </c>
      <c r="S31" s="5">
        <f t="shared" si="6"/>
        <v>53674.074335452373</v>
      </c>
      <c r="T31" s="5">
        <f t="shared" si="6"/>
        <v>55837.139531171102</v>
      </c>
      <c r="U31" s="5"/>
      <c r="V31" s="5"/>
      <c r="W31" s="5"/>
    </row>
    <row r="32" spans="1:23" ht="14" customHeight="1">
      <c r="A32" s="5"/>
      <c r="B32" s="4"/>
      <c r="C32" s="5" t="str">
        <f>C28</f>
        <v>Low value</v>
      </c>
      <c r="D32" s="6" t="s">
        <v>128</v>
      </c>
      <c r="E32" s="5"/>
      <c r="F32" s="5">
        <f t="shared" ref="F32:T32" si="7">F20*F28</f>
        <v>18000</v>
      </c>
      <c r="G32" s="5">
        <f t="shared" si="7"/>
        <v>18907.2</v>
      </c>
      <c r="H32" s="5">
        <f t="shared" si="7"/>
        <v>19860.122880000003</v>
      </c>
      <c r="I32" s="5">
        <f t="shared" si="7"/>
        <v>20660.485832064005</v>
      </c>
      <c r="J32" s="5">
        <f t="shared" si="7"/>
        <v>21493.103411096181</v>
      </c>
      <c r="K32" s="5">
        <f t="shared" si="7"/>
        <v>22359.275478563355</v>
      </c>
      <c r="L32" s="5">
        <f t="shared" si="7"/>
        <v>23260.35428034946</v>
      </c>
      <c r="M32" s="5">
        <f t="shared" si="7"/>
        <v>24197.746557847546</v>
      </c>
      <c r="N32" s="5">
        <f t="shared" si="7"/>
        <v>25172.915744128801</v>
      </c>
      <c r="O32" s="5">
        <f t="shared" si="7"/>
        <v>26187.384248617192</v>
      </c>
      <c r="P32" s="5">
        <f t="shared" si="7"/>
        <v>27242.735833836468</v>
      </c>
      <c r="Q32" s="5">
        <f t="shared" si="7"/>
        <v>28340.618087940078</v>
      </c>
      <c r="R32" s="5">
        <f t="shared" si="7"/>
        <v>29482.744996884063</v>
      </c>
      <c r="S32" s="5">
        <f t="shared" si="7"/>
        <v>30670.899620258493</v>
      </c>
      <c r="T32" s="5">
        <f t="shared" si="7"/>
        <v>31906.936874954914</v>
      </c>
      <c r="U32" s="5"/>
      <c r="V32" s="5"/>
      <c r="W32" s="5"/>
    </row>
    <row r="33" spans="1:23" ht="14" customHeight="1">
      <c r="A33" s="5"/>
      <c r="B33" s="4"/>
      <c r="C33" s="13" t="s">
        <v>133</v>
      </c>
      <c r="D33" s="14" t="s">
        <v>128</v>
      </c>
      <c r="E33" s="13"/>
      <c r="F33" s="13">
        <f>SUM(F30:F32)</f>
        <v>59400</v>
      </c>
      <c r="G33" s="13">
        <f t="shared" ref="G33:T33" si="8">SUM(G30:G32)</f>
        <v>62393.759999999995</v>
      </c>
      <c r="H33" s="13">
        <f t="shared" si="8"/>
        <v>65538.405504000009</v>
      </c>
      <c r="I33" s="13">
        <f t="shared" si="8"/>
        <v>68179.603245811217</v>
      </c>
      <c r="J33" s="13">
        <f t="shared" si="8"/>
        <v>70927.241256617403</v>
      </c>
      <c r="K33" s="13">
        <f t="shared" si="8"/>
        <v>73785.609079259084</v>
      </c>
      <c r="L33" s="13">
        <f t="shared" si="8"/>
        <v>76759.169125153232</v>
      </c>
      <c r="M33" s="13">
        <f t="shared" si="8"/>
        <v>79852.5636408969</v>
      </c>
      <c r="N33" s="13">
        <f t="shared" si="8"/>
        <v>83070.621955625058</v>
      </c>
      <c r="O33" s="13">
        <f t="shared" si="8"/>
        <v>86418.368020436741</v>
      </c>
      <c r="P33" s="13">
        <f t="shared" si="8"/>
        <v>89901.028251660347</v>
      </c>
      <c r="Q33" s="13">
        <f t="shared" si="8"/>
        <v>93524.039690202277</v>
      </c>
      <c r="R33" s="13">
        <f t="shared" si="8"/>
        <v>97293.058489717427</v>
      </c>
      <c r="S33" s="13">
        <f t="shared" si="8"/>
        <v>101213.96874685305</v>
      </c>
      <c r="T33" s="13">
        <f t="shared" si="8"/>
        <v>105292.89168735122</v>
      </c>
      <c r="U33" s="5"/>
      <c r="V33" s="5"/>
      <c r="W33" s="5"/>
    </row>
    <row r="34" spans="1:23" ht="14" customHeight="1">
      <c r="A34" s="5"/>
      <c r="B34" s="4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" customHeight="1">
      <c r="A35" s="5"/>
      <c r="B35" s="4" t="s">
        <v>30</v>
      </c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" customHeight="1">
      <c r="A36" s="5"/>
      <c r="B36" s="4"/>
      <c r="C36" s="5" t="str">
        <f>Inputs!C$70</f>
        <v>High value</v>
      </c>
      <c r="D36" s="16" t="str">
        <f>Inputs!D$70</f>
        <v>%</v>
      </c>
      <c r="E36" s="5"/>
      <c r="F36" s="99">
        <f>Inputs!F$70</f>
        <v>0.6</v>
      </c>
      <c r="G36" s="99">
        <f>Inputs!G$70</f>
        <v>0.6</v>
      </c>
      <c r="H36" s="99">
        <f>Inputs!H$70</f>
        <v>0.6</v>
      </c>
      <c r="I36" s="99">
        <f>Inputs!I$70</f>
        <v>0.6</v>
      </c>
      <c r="J36" s="99">
        <f>Inputs!J$70</f>
        <v>0.6</v>
      </c>
      <c r="K36" s="99">
        <f>Inputs!K$70</f>
        <v>0.6</v>
      </c>
      <c r="L36" s="99">
        <f>Inputs!L$70</f>
        <v>0.6</v>
      </c>
      <c r="M36" s="99">
        <f>Inputs!M$70</f>
        <v>0.6</v>
      </c>
      <c r="N36" s="99">
        <f>Inputs!N$70</f>
        <v>0.6</v>
      </c>
      <c r="O36" s="99">
        <f>Inputs!O$70</f>
        <v>0.6</v>
      </c>
      <c r="P36" s="99">
        <f>Inputs!P$70</f>
        <v>0.6</v>
      </c>
      <c r="Q36" s="99">
        <f>Inputs!Q$70</f>
        <v>0.6</v>
      </c>
      <c r="R36" s="99">
        <f>Inputs!R$70</f>
        <v>0.6</v>
      </c>
      <c r="S36" s="99">
        <f>Inputs!S$70</f>
        <v>0.6</v>
      </c>
      <c r="T36" s="99">
        <f>Inputs!T$70</f>
        <v>0.6</v>
      </c>
      <c r="U36" s="5"/>
      <c r="V36" s="5"/>
      <c r="W36" s="5"/>
    </row>
    <row r="37" spans="1:23" ht="14" customHeight="1">
      <c r="A37" s="5"/>
      <c r="B37" s="4"/>
      <c r="C37" s="5" t="str">
        <f>Inputs!C$71</f>
        <v>Mid value</v>
      </c>
      <c r="D37" s="6" t="str">
        <f>Inputs!D$71</f>
        <v>%</v>
      </c>
      <c r="E37" s="5"/>
      <c r="F37" s="99">
        <f>Inputs!F$71</f>
        <v>0.65</v>
      </c>
      <c r="G37" s="99">
        <f>Inputs!G$71</f>
        <v>0.65</v>
      </c>
      <c r="H37" s="99">
        <f>Inputs!H$71</f>
        <v>0.65</v>
      </c>
      <c r="I37" s="99">
        <f>Inputs!I$71</f>
        <v>0.65</v>
      </c>
      <c r="J37" s="99">
        <f>Inputs!J$71</f>
        <v>0.65</v>
      </c>
      <c r="K37" s="99">
        <f>Inputs!K$71</f>
        <v>0.65</v>
      </c>
      <c r="L37" s="99">
        <f>Inputs!L$71</f>
        <v>0.65</v>
      </c>
      <c r="M37" s="99">
        <f>Inputs!M$71</f>
        <v>0.65</v>
      </c>
      <c r="N37" s="99">
        <f>Inputs!N$71</f>
        <v>0.65</v>
      </c>
      <c r="O37" s="99">
        <f>Inputs!O$71</f>
        <v>0.65</v>
      </c>
      <c r="P37" s="99">
        <f>Inputs!P$71</f>
        <v>0.65</v>
      </c>
      <c r="Q37" s="99">
        <f>Inputs!Q$71</f>
        <v>0.65</v>
      </c>
      <c r="R37" s="99">
        <f>Inputs!R$71</f>
        <v>0.65</v>
      </c>
      <c r="S37" s="99">
        <f>Inputs!S$71</f>
        <v>0.65</v>
      </c>
      <c r="T37" s="99">
        <f>Inputs!T$71</f>
        <v>0.65</v>
      </c>
      <c r="U37" s="5"/>
      <c r="V37" s="5"/>
      <c r="W37" s="5"/>
    </row>
    <row r="38" spans="1:23" ht="14" customHeight="1">
      <c r="A38" s="5"/>
      <c r="B38" s="4"/>
      <c r="C38" s="5" t="str">
        <f>Inputs!C$72</f>
        <v>Low value</v>
      </c>
      <c r="D38" s="6" t="str">
        <f>Inputs!D$72</f>
        <v>%</v>
      </c>
      <c r="E38" s="5"/>
      <c r="F38" s="99">
        <f>Inputs!F$72</f>
        <v>0.7</v>
      </c>
      <c r="G38" s="99">
        <f>Inputs!G$72</f>
        <v>0.7</v>
      </c>
      <c r="H38" s="99">
        <f>Inputs!H$72</f>
        <v>0.7</v>
      </c>
      <c r="I38" s="99">
        <f>Inputs!I$72</f>
        <v>0.7</v>
      </c>
      <c r="J38" s="99">
        <f>Inputs!J$72</f>
        <v>0.7</v>
      </c>
      <c r="K38" s="99">
        <f>Inputs!K$72</f>
        <v>0.7</v>
      </c>
      <c r="L38" s="99">
        <f>Inputs!L$72</f>
        <v>0.7</v>
      </c>
      <c r="M38" s="99">
        <f>Inputs!M$72</f>
        <v>0.7</v>
      </c>
      <c r="N38" s="99">
        <f>Inputs!N$72</f>
        <v>0.7</v>
      </c>
      <c r="O38" s="99">
        <f>Inputs!O$72</f>
        <v>0.7</v>
      </c>
      <c r="P38" s="99">
        <f>Inputs!P$72</f>
        <v>0.7</v>
      </c>
      <c r="Q38" s="99">
        <f>Inputs!Q$72</f>
        <v>0.7</v>
      </c>
      <c r="R38" s="99">
        <f>Inputs!R$72</f>
        <v>0.7</v>
      </c>
      <c r="S38" s="99">
        <f>Inputs!S$72</f>
        <v>0.7</v>
      </c>
      <c r="T38" s="99">
        <f>Inputs!T$72</f>
        <v>0.7</v>
      </c>
      <c r="U38" s="5"/>
      <c r="V38" s="5"/>
      <c r="W38" s="5"/>
    </row>
    <row r="39" spans="1:23" ht="14" customHeight="1">
      <c r="A39" s="5"/>
      <c r="B39" s="4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" customHeight="1">
      <c r="A40" s="5"/>
      <c r="B40" s="4"/>
      <c r="C40" s="5" t="str">
        <f>C36</f>
        <v>High value</v>
      </c>
      <c r="D40" s="6" t="s">
        <v>128</v>
      </c>
      <c r="E40" s="5"/>
      <c r="F40" s="5">
        <f>F30*F36</f>
        <v>5940</v>
      </c>
      <c r="G40" s="5">
        <f t="shared" ref="G40:T40" si="9">G30*G36</f>
        <v>6239.3760000000002</v>
      </c>
      <c r="H40" s="5">
        <f t="shared" si="9"/>
        <v>6553.8405504000011</v>
      </c>
      <c r="I40" s="5">
        <f t="shared" si="9"/>
        <v>6817.9603245811204</v>
      </c>
      <c r="J40" s="5">
        <f t="shared" si="9"/>
        <v>7092.724125661739</v>
      </c>
      <c r="K40" s="5">
        <f t="shared" si="9"/>
        <v>7378.5609079259084</v>
      </c>
      <c r="L40" s="5">
        <f t="shared" si="9"/>
        <v>7675.9169125153221</v>
      </c>
      <c r="M40" s="5">
        <f t="shared" si="9"/>
        <v>7985.2563640896906</v>
      </c>
      <c r="N40" s="5">
        <f t="shared" si="9"/>
        <v>8307.0621955625047</v>
      </c>
      <c r="O40" s="5">
        <f t="shared" si="9"/>
        <v>8641.8368020436737</v>
      </c>
      <c r="P40" s="5">
        <f t="shared" si="9"/>
        <v>8990.1028251660355</v>
      </c>
      <c r="Q40" s="5">
        <f t="shared" si="9"/>
        <v>9352.4039690202262</v>
      </c>
      <c r="R40" s="5">
        <f t="shared" si="9"/>
        <v>9729.3058489717405</v>
      </c>
      <c r="S40" s="5">
        <f t="shared" si="9"/>
        <v>10121.396874685301</v>
      </c>
      <c r="T40" s="5">
        <f t="shared" si="9"/>
        <v>10529.289168735122</v>
      </c>
      <c r="U40" s="5"/>
      <c r="V40" s="5"/>
      <c r="W40" s="5"/>
    </row>
    <row r="41" spans="1:23" ht="14" customHeight="1">
      <c r="A41" s="5"/>
      <c r="B41" s="4"/>
      <c r="C41" s="5" t="str">
        <f>C37</f>
        <v>Mid value</v>
      </c>
      <c r="D41" s="6" t="s">
        <v>128</v>
      </c>
      <c r="E41" s="5"/>
      <c r="F41" s="5">
        <f t="shared" ref="F41:T41" si="10">F31*F37</f>
        <v>20475</v>
      </c>
      <c r="G41" s="5">
        <f t="shared" si="10"/>
        <v>21506.94</v>
      </c>
      <c r="H41" s="5">
        <f t="shared" si="10"/>
        <v>22590.889776000004</v>
      </c>
      <c r="I41" s="5">
        <f t="shared" si="10"/>
        <v>23501.302633972802</v>
      </c>
      <c r="J41" s="5">
        <f t="shared" si="10"/>
        <v>24448.405130121908</v>
      </c>
      <c r="K41" s="5">
        <f t="shared" si="10"/>
        <v>25433.675856865822</v>
      </c>
      <c r="L41" s="5">
        <f t="shared" si="10"/>
        <v>26458.652993897518</v>
      </c>
      <c r="M41" s="5">
        <f t="shared" si="10"/>
        <v>27524.936709551584</v>
      </c>
      <c r="N41" s="5">
        <f t="shared" si="10"/>
        <v>28634.191658946518</v>
      </c>
      <c r="O41" s="5">
        <f t="shared" si="10"/>
        <v>29788.149582802063</v>
      </c>
      <c r="P41" s="5">
        <f t="shared" si="10"/>
        <v>30988.612010988985</v>
      </c>
      <c r="Q41" s="5">
        <f t="shared" si="10"/>
        <v>32237.453075031848</v>
      </c>
      <c r="R41" s="5">
        <f t="shared" si="10"/>
        <v>33536.622433955628</v>
      </c>
      <c r="S41" s="5">
        <f t="shared" si="10"/>
        <v>34888.148318044041</v>
      </c>
      <c r="T41" s="5">
        <f t="shared" si="10"/>
        <v>36294.140695261216</v>
      </c>
      <c r="U41" s="5"/>
      <c r="V41" s="5"/>
      <c r="W41" s="5"/>
    </row>
    <row r="42" spans="1:23" ht="14" customHeight="1">
      <c r="A42" s="5"/>
      <c r="B42" s="4"/>
      <c r="C42" s="5" t="str">
        <f>C38</f>
        <v>Low value</v>
      </c>
      <c r="D42" s="6" t="s">
        <v>128</v>
      </c>
      <c r="E42" s="5"/>
      <c r="F42" s="5">
        <f t="shared" ref="F42:T42" si="11">F32*F38</f>
        <v>12600</v>
      </c>
      <c r="G42" s="5">
        <f t="shared" si="11"/>
        <v>13235.039999999999</v>
      </c>
      <c r="H42" s="5">
        <f t="shared" si="11"/>
        <v>13902.086016000001</v>
      </c>
      <c r="I42" s="5">
        <f t="shared" si="11"/>
        <v>14462.340082444802</v>
      </c>
      <c r="J42" s="5">
        <f t="shared" si="11"/>
        <v>15045.172387767325</v>
      </c>
      <c r="K42" s="5">
        <f t="shared" si="11"/>
        <v>15651.492834994348</v>
      </c>
      <c r="L42" s="5">
        <f t="shared" si="11"/>
        <v>16282.247996244621</v>
      </c>
      <c r="M42" s="5">
        <f t="shared" si="11"/>
        <v>16938.422590493283</v>
      </c>
      <c r="N42" s="5">
        <f t="shared" si="11"/>
        <v>17621.041020890159</v>
      </c>
      <c r="O42" s="5">
        <f t="shared" si="11"/>
        <v>18331.168974032033</v>
      </c>
      <c r="P42" s="5">
        <f t="shared" si="11"/>
        <v>19069.915083685526</v>
      </c>
      <c r="Q42" s="5">
        <f t="shared" si="11"/>
        <v>19838.432661558054</v>
      </c>
      <c r="R42" s="5">
        <f t="shared" si="11"/>
        <v>20637.921497818843</v>
      </c>
      <c r="S42" s="5">
        <f t="shared" si="11"/>
        <v>21469.629734180944</v>
      </c>
      <c r="T42" s="5">
        <f t="shared" si="11"/>
        <v>22334.855812468439</v>
      </c>
      <c r="U42" s="5"/>
      <c r="V42" s="5"/>
      <c r="W42" s="5"/>
    </row>
    <row r="43" spans="1:23" ht="14" customHeight="1">
      <c r="A43" s="5"/>
      <c r="B43" s="4"/>
      <c r="C43" s="13" t="s">
        <v>134</v>
      </c>
      <c r="D43" s="14" t="s">
        <v>128</v>
      </c>
      <c r="E43" s="13"/>
      <c r="F43" s="13">
        <f>SUM(F40:F42)</f>
        <v>39015</v>
      </c>
      <c r="G43" s="13">
        <f t="shared" ref="G43:T43" si="12">SUM(G40:G42)</f>
        <v>40981.356</v>
      </c>
      <c r="H43" s="13">
        <f t="shared" si="12"/>
        <v>43046.816342400009</v>
      </c>
      <c r="I43" s="13">
        <f t="shared" si="12"/>
        <v>44781.603040998722</v>
      </c>
      <c r="J43" s="13">
        <f t="shared" si="12"/>
        <v>46586.301643550971</v>
      </c>
      <c r="K43" s="13">
        <f t="shared" si="12"/>
        <v>48463.729599786078</v>
      </c>
      <c r="L43" s="13">
        <f t="shared" si="12"/>
        <v>50416.817902657465</v>
      </c>
      <c r="M43" s="13">
        <f t="shared" si="12"/>
        <v>52448.615664134559</v>
      </c>
      <c r="N43" s="13">
        <f t="shared" si="12"/>
        <v>54562.29487539918</v>
      </c>
      <c r="O43" s="13">
        <f t="shared" si="12"/>
        <v>56761.155358877775</v>
      </c>
      <c r="P43" s="13">
        <f t="shared" si="12"/>
        <v>59048.629919840547</v>
      </c>
      <c r="Q43" s="13">
        <f t="shared" si="12"/>
        <v>61428.289705610121</v>
      </c>
      <c r="R43" s="13">
        <f t="shared" si="12"/>
        <v>63903.849780746212</v>
      </c>
      <c r="S43" s="13">
        <f t="shared" si="12"/>
        <v>66479.174926910287</v>
      </c>
      <c r="T43" s="13">
        <f t="shared" si="12"/>
        <v>69158.285676464773</v>
      </c>
      <c r="U43" s="5"/>
      <c r="V43" s="5"/>
      <c r="W43" s="5"/>
    </row>
    <row r="44" spans="1:23" ht="14" customHeight="1">
      <c r="A44" s="5"/>
      <c r="B44" s="4"/>
      <c r="C44" s="17"/>
      <c r="D44" s="1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s="21" customFormat="1" ht="14" customHeight="1">
      <c r="A45" s="19"/>
      <c r="B45" s="4" t="s">
        <v>45</v>
      </c>
      <c r="C45" s="19"/>
      <c r="D45" s="20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s="21" customFormat="1" ht="14" customHeight="1">
      <c r="A46" s="19"/>
      <c r="B46" s="19"/>
      <c r="C46" s="19"/>
      <c r="D46" s="20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ht="14" customHeight="1">
      <c r="A47" s="5"/>
      <c r="B47" s="5"/>
      <c r="C47" s="5" t="s">
        <v>1</v>
      </c>
      <c r="D47" s="22" t="s">
        <v>128</v>
      </c>
      <c r="E47" s="5"/>
      <c r="F47" s="5">
        <f>F33</f>
        <v>59400</v>
      </c>
      <c r="G47" s="5">
        <f t="shared" ref="G47:T47" si="13">G33</f>
        <v>62393.759999999995</v>
      </c>
      <c r="H47" s="5">
        <f t="shared" si="13"/>
        <v>65538.405504000009</v>
      </c>
      <c r="I47" s="5">
        <f t="shared" si="13"/>
        <v>68179.603245811217</v>
      </c>
      <c r="J47" s="5">
        <f t="shared" si="13"/>
        <v>70927.241256617403</v>
      </c>
      <c r="K47" s="5">
        <f t="shared" si="13"/>
        <v>73785.609079259084</v>
      </c>
      <c r="L47" s="5">
        <f t="shared" si="13"/>
        <v>76759.169125153232</v>
      </c>
      <c r="M47" s="5">
        <f t="shared" si="13"/>
        <v>79852.5636408969</v>
      </c>
      <c r="N47" s="5">
        <f t="shared" si="13"/>
        <v>83070.621955625058</v>
      </c>
      <c r="O47" s="5">
        <f t="shared" si="13"/>
        <v>86418.368020436741</v>
      </c>
      <c r="P47" s="5">
        <f t="shared" si="13"/>
        <v>89901.028251660347</v>
      </c>
      <c r="Q47" s="5">
        <f t="shared" si="13"/>
        <v>93524.039690202277</v>
      </c>
      <c r="R47" s="5">
        <f t="shared" si="13"/>
        <v>97293.058489717427</v>
      </c>
      <c r="S47" s="5">
        <f t="shared" si="13"/>
        <v>101213.96874685305</v>
      </c>
      <c r="T47" s="5">
        <f t="shared" si="13"/>
        <v>105292.89168735122</v>
      </c>
      <c r="U47" s="5"/>
      <c r="V47" s="5"/>
      <c r="W47" s="5"/>
    </row>
    <row r="48" spans="1:23" ht="14" customHeight="1">
      <c r="A48" s="5"/>
      <c r="B48" s="5"/>
      <c r="C48" s="5" t="s">
        <v>88</v>
      </c>
      <c r="D48" s="22" t="s">
        <v>128</v>
      </c>
      <c r="E48" s="5"/>
      <c r="F48" s="5">
        <f>-F43</f>
        <v>-39015</v>
      </c>
      <c r="G48" s="5">
        <f t="shared" ref="G48:T48" si="14">-G43</f>
        <v>-40981.356</v>
      </c>
      <c r="H48" s="5">
        <f t="shared" si="14"/>
        <v>-43046.816342400009</v>
      </c>
      <c r="I48" s="5">
        <f t="shared" si="14"/>
        <v>-44781.603040998722</v>
      </c>
      <c r="J48" s="5">
        <f t="shared" si="14"/>
        <v>-46586.301643550971</v>
      </c>
      <c r="K48" s="5">
        <f t="shared" si="14"/>
        <v>-48463.729599786078</v>
      </c>
      <c r="L48" s="5">
        <f t="shared" si="14"/>
        <v>-50416.817902657465</v>
      </c>
      <c r="M48" s="5">
        <f t="shared" si="14"/>
        <v>-52448.615664134559</v>
      </c>
      <c r="N48" s="5">
        <f t="shared" si="14"/>
        <v>-54562.29487539918</v>
      </c>
      <c r="O48" s="5">
        <f t="shared" si="14"/>
        <v>-56761.155358877775</v>
      </c>
      <c r="P48" s="5">
        <f t="shared" si="14"/>
        <v>-59048.629919840547</v>
      </c>
      <c r="Q48" s="5">
        <f t="shared" si="14"/>
        <v>-61428.289705610121</v>
      </c>
      <c r="R48" s="5">
        <f t="shared" si="14"/>
        <v>-63903.849780746212</v>
      </c>
      <c r="S48" s="5">
        <f t="shared" si="14"/>
        <v>-66479.174926910287</v>
      </c>
      <c r="T48" s="5">
        <f t="shared" si="14"/>
        <v>-69158.285676464773</v>
      </c>
      <c r="U48" s="5"/>
      <c r="V48" s="5"/>
      <c r="W48" s="5"/>
    </row>
    <row r="49" spans="1:23" ht="14" customHeight="1" thickBot="1">
      <c r="A49" s="5"/>
      <c r="B49" s="5"/>
      <c r="C49" s="23" t="s">
        <v>89</v>
      </c>
      <c r="D49" s="24" t="s">
        <v>128</v>
      </c>
      <c r="E49" s="23"/>
      <c r="F49" s="23">
        <f t="shared" ref="F49:O49" si="15">F47+F48</f>
        <v>20385</v>
      </c>
      <c r="G49" s="23">
        <f t="shared" si="15"/>
        <v>21412.403999999995</v>
      </c>
      <c r="H49" s="23">
        <f t="shared" si="15"/>
        <v>22491.589161600001</v>
      </c>
      <c r="I49" s="23">
        <f t="shared" si="15"/>
        <v>23398.000204812495</v>
      </c>
      <c r="J49" s="23">
        <f t="shared" si="15"/>
        <v>24340.939613066432</v>
      </c>
      <c r="K49" s="23">
        <f t="shared" si="15"/>
        <v>25321.879479473006</v>
      </c>
      <c r="L49" s="23">
        <f t="shared" si="15"/>
        <v>26342.351222495767</v>
      </c>
      <c r="M49" s="23">
        <f t="shared" si="15"/>
        <v>27403.947976762342</v>
      </c>
      <c r="N49" s="23">
        <f t="shared" si="15"/>
        <v>28508.327080225878</v>
      </c>
      <c r="O49" s="23">
        <f t="shared" si="15"/>
        <v>29657.212661558966</v>
      </c>
      <c r="P49" s="23">
        <f>P47+P48</f>
        <v>30852.398331819801</v>
      </c>
      <c r="Q49" s="23">
        <f>Q47+Q48</f>
        <v>32095.749984592156</v>
      </c>
      <c r="R49" s="23">
        <f>R47+R48</f>
        <v>33389.208708971215</v>
      </c>
      <c r="S49" s="23">
        <f>S47+S48</f>
        <v>34734.793819942759</v>
      </c>
      <c r="T49" s="23">
        <f>T47+T48</f>
        <v>36134.606010886448</v>
      </c>
      <c r="U49" s="5"/>
      <c r="V49" s="5"/>
      <c r="W49" s="5"/>
    </row>
    <row r="50" spans="1:23" ht="14" customHeight="1" thickTop="1">
      <c r="A50" s="5"/>
      <c r="B50" s="5"/>
      <c r="C50" s="5"/>
      <c r="D50" s="6"/>
      <c r="E50" s="5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5"/>
      <c r="V50" s="5"/>
      <c r="W50" s="5"/>
    </row>
    <row r="51" spans="1:23" ht="14" customHeight="1">
      <c r="A51" s="5"/>
      <c r="B51" s="25"/>
      <c r="C51" s="25"/>
      <c r="D51" s="26"/>
      <c r="E51" s="25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5"/>
      <c r="V51" s="5"/>
      <c r="W51" s="5"/>
    </row>
    <row r="52" spans="1:23" s="31" customFormat="1" ht="14" customHeight="1">
      <c r="A52" s="28"/>
      <c r="B52" s="25" t="s">
        <v>49</v>
      </c>
      <c r="C52" s="25"/>
      <c r="D52" s="26"/>
      <c r="E52" s="25"/>
      <c r="F52" s="29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3" ht="14" customHeight="1">
      <c r="A53" s="5"/>
      <c r="B53" s="4" t="s">
        <v>1</v>
      </c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" customHeight="1">
      <c r="C54" s="5" t="s">
        <v>97</v>
      </c>
      <c r="D54" s="16" t="s">
        <v>87</v>
      </c>
      <c r="E54" s="5">
        <f>Inputs!E$75</f>
        <v>14</v>
      </c>
      <c r="F54" s="5">
        <f>E54*(1+Inputs!F$28)</f>
        <v>14.56</v>
      </c>
      <c r="G54" s="5">
        <f>F54*(1+Inputs!G$28)</f>
        <v>15.1424</v>
      </c>
      <c r="H54" s="5">
        <f>G54*(1+Inputs!H$28)</f>
        <v>15.748096</v>
      </c>
      <c r="I54" s="5">
        <f>H54*(1+Inputs!I$28)</f>
        <v>16.220538879999999</v>
      </c>
      <c r="J54" s="5">
        <f>I54*(1+Inputs!J$28)</f>
        <v>16.7071550464</v>
      </c>
      <c r="K54" s="5">
        <f>J54*(1+Inputs!K$28)</f>
        <v>17.208369697792001</v>
      </c>
      <c r="L54" s="5">
        <f>K54*(1+Inputs!L$28)</f>
        <v>17.724620788725762</v>
      </c>
      <c r="M54" s="5">
        <f>L54*(1+Inputs!M$28)</f>
        <v>18.256359412387535</v>
      </c>
      <c r="N54" s="5">
        <f>M54*(1+Inputs!N$28)</f>
        <v>18.804050194759164</v>
      </c>
      <c r="O54" s="5">
        <f>N54*(1+Inputs!O$28)</f>
        <v>19.368171700601938</v>
      </c>
      <c r="P54" s="5">
        <f>O54*(1+Inputs!P$28)</f>
        <v>19.949216851619997</v>
      </c>
      <c r="Q54" s="5">
        <f>P54*(1+Inputs!Q$28)</f>
        <v>20.547693357168598</v>
      </c>
      <c r="R54" s="5">
        <f>Q54*(1+Inputs!R$28)</f>
        <v>21.164124157883656</v>
      </c>
      <c r="S54" s="5">
        <f>R54*(1+Inputs!S$28)</f>
        <v>21.799047882620165</v>
      </c>
      <c r="T54" s="5">
        <f>S54*(1+Inputs!T$28)</f>
        <v>22.453019319098772</v>
      </c>
      <c r="U54" s="5"/>
      <c r="V54" s="5"/>
      <c r="W54" s="5"/>
    </row>
    <row r="55" spans="1:23" ht="14" customHeight="1">
      <c r="C55" s="13" t="s">
        <v>177</v>
      </c>
      <c r="D55" s="14" t="s">
        <v>128</v>
      </c>
      <c r="E55" s="13"/>
      <c r="F55" s="13">
        <f>F54*F16</f>
        <v>8444.8000000000011</v>
      </c>
      <c r="G55" s="13">
        <f t="shared" ref="G55:T55" si="16">G54*G16</f>
        <v>8870.4179200000017</v>
      </c>
      <c r="H55" s="13">
        <f t="shared" si="16"/>
        <v>9317.4869831680007</v>
      </c>
      <c r="I55" s="13">
        <f t="shared" si="16"/>
        <v>9692.9817085896702</v>
      </c>
      <c r="J55" s="13">
        <f t="shared" si="16"/>
        <v>10083.608871445836</v>
      </c>
      <c r="K55" s="13">
        <f t="shared" si="16"/>
        <v>10489.978308965103</v>
      </c>
      <c r="L55" s="13">
        <f t="shared" si="16"/>
        <v>10912.724434816399</v>
      </c>
      <c r="M55" s="13">
        <f t="shared" si="16"/>
        <v>11352.507229539497</v>
      </c>
      <c r="N55" s="13">
        <f t="shared" si="16"/>
        <v>11810.013270889942</v>
      </c>
      <c r="O55" s="13">
        <f t="shared" si="16"/>
        <v>12285.956805706805</v>
      </c>
      <c r="P55" s="13">
        <f t="shared" si="16"/>
        <v>12781.080864976791</v>
      </c>
      <c r="Q55" s="13">
        <f t="shared" si="16"/>
        <v>13296.158423835355</v>
      </c>
      <c r="R55" s="13">
        <f t="shared" si="16"/>
        <v>13831.993608315919</v>
      </c>
      <c r="S55" s="13">
        <f t="shared" si="16"/>
        <v>14389.422950731052</v>
      </c>
      <c r="T55" s="13">
        <f t="shared" si="16"/>
        <v>14969.316695645512</v>
      </c>
      <c r="U55" s="5"/>
      <c r="V55" s="5"/>
      <c r="W55" s="5"/>
    </row>
    <row r="56" spans="1:23" ht="14" customHeight="1"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" customHeight="1">
      <c r="B57" s="32" t="s">
        <v>2</v>
      </c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s="15" customFormat="1" ht="14" customHeight="1">
      <c r="A58" s="7"/>
      <c r="B58" s="7"/>
      <c r="C58" s="5" t="str">
        <f>Inputs!C$76</f>
        <v>Marketing costs</v>
      </c>
      <c r="D58" s="6" t="str">
        <f>Inputs!D$76</f>
        <v>% of sales</v>
      </c>
      <c r="E58" s="5"/>
      <c r="F58" s="99">
        <f>Inputs!F76</f>
        <v>0.05</v>
      </c>
      <c r="G58" s="99">
        <f>Inputs!G76</f>
        <v>0.06</v>
      </c>
      <c r="H58" s="99">
        <f>Inputs!H76</f>
        <v>7.0000000000000007E-2</v>
      </c>
      <c r="I58" s="99">
        <f>Inputs!I76</f>
        <v>7.0000000000000007E-2</v>
      </c>
      <c r="J58" s="99">
        <f>Inputs!J76</f>
        <v>7.0000000000000007E-2</v>
      </c>
      <c r="K58" s="99">
        <f>Inputs!K76</f>
        <v>7.0000000000000007E-2</v>
      </c>
      <c r="L58" s="99">
        <f>Inputs!L76</f>
        <v>7.0000000000000007E-2</v>
      </c>
      <c r="M58" s="99">
        <f>Inputs!M76</f>
        <v>7.0000000000000007E-2</v>
      </c>
      <c r="N58" s="99">
        <f>Inputs!N76</f>
        <v>7.0000000000000007E-2</v>
      </c>
      <c r="O58" s="99">
        <f>Inputs!O76</f>
        <v>7.0000000000000007E-2</v>
      </c>
      <c r="P58" s="99">
        <f>Inputs!P76</f>
        <v>7.0000000000000007E-2</v>
      </c>
      <c r="Q58" s="99">
        <f>Inputs!Q76</f>
        <v>7.0000000000000007E-2</v>
      </c>
      <c r="R58" s="99">
        <f>Inputs!R76</f>
        <v>7.0000000000000007E-2</v>
      </c>
      <c r="S58" s="99">
        <f>Inputs!S76</f>
        <v>7.0000000000000007E-2</v>
      </c>
      <c r="T58" s="99">
        <f>Inputs!T76</f>
        <v>7.0000000000000007E-2</v>
      </c>
      <c r="U58" s="102"/>
      <c r="V58" s="102"/>
      <c r="W58" s="102"/>
    </row>
    <row r="59" spans="1:23" ht="14" customHeight="1">
      <c r="C59" s="5" t="str">
        <f>C47</f>
        <v>Sales</v>
      </c>
      <c r="D59" s="6"/>
      <c r="E59" s="5"/>
      <c r="F59" s="5">
        <f t="shared" ref="F59:T59" si="17">F47</f>
        <v>59400</v>
      </c>
      <c r="G59" s="5">
        <f t="shared" si="17"/>
        <v>62393.759999999995</v>
      </c>
      <c r="H59" s="5">
        <f t="shared" si="17"/>
        <v>65538.405504000009</v>
      </c>
      <c r="I59" s="5">
        <f t="shared" si="17"/>
        <v>68179.603245811217</v>
      </c>
      <c r="J59" s="5">
        <f t="shared" si="17"/>
        <v>70927.241256617403</v>
      </c>
      <c r="K59" s="5">
        <f t="shared" si="17"/>
        <v>73785.609079259084</v>
      </c>
      <c r="L59" s="5">
        <f t="shared" si="17"/>
        <v>76759.169125153232</v>
      </c>
      <c r="M59" s="5">
        <f t="shared" si="17"/>
        <v>79852.5636408969</v>
      </c>
      <c r="N59" s="5">
        <f t="shared" si="17"/>
        <v>83070.621955625058</v>
      </c>
      <c r="O59" s="5">
        <f t="shared" si="17"/>
        <v>86418.368020436741</v>
      </c>
      <c r="P59" s="5">
        <f t="shared" si="17"/>
        <v>89901.028251660347</v>
      </c>
      <c r="Q59" s="5">
        <f t="shared" si="17"/>
        <v>93524.039690202277</v>
      </c>
      <c r="R59" s="5">
        <f t="shared" si="17"/>
        <v>97293.058489717427</v>
      </c>
      <c r="S59" s="5">
        <f t="shared" si="17"/>
        <v>101213.96874685305</v>
      </c>
      <c r="T59" s="5">
        <f t="shared" si="17"/>
        <v>105292.89168735122</v>
      </c>
      <c r="U59" s="5"/>
      <c r="V59" s="5"/>
      <c r="W59" s="5"/>
    </row>
    <row r="60" spans="1:23" ht="14" customHeight="1">
      <c r="C60" s="13" t="s">
        <v>178</v>
      </c>
      <c r="D60" s="14"/>
      <c r="E60" s="13"/>
      <c r="F60" s="13">
        <f>F58*F59</f>
        <v>2970</v>
      </c>
      <c r="G60" s="13">
        <f t="shared" ref="G60:O60" si="18">G58*G59</f>
        <v>3743.6255999999994</v>
      </c>
      <c r="H60" s="13">
        <f t="shared" si="18"/>
        <v>4587.6883852800011</v>
      </c>
      <c r="I60" s="13">
        <f t="shared" si="18"/>
        <v>4772.572227206786</v>
      </c>
      <c r="J60" s="13">
        <f t="shared" si="18"/>
        <v>4964.9068879632187</v>
      </c>
      <c r="K60" s="13">
        <f t="shared" si="18"/>
        <v>5164.9926355481366</v>
      </c>
      <c r="L60" s="13">
        <f t="shared" si="18"/>
        <v>5373.1418387607264</v>
      </c>
      <c r="M60" s="13">
        <f t="shared" si="18"/>
        <v>5589.6794548627831</v>
      </c>
      <c r="N60" s="13">
        <f t="shared" si="18"/>
        <v>5814.9435368937548</v>
      </c>
      <c r="O60" s="13">
        <f t="shared" si="18"/>
        <v>6049.2857614305722</v>
      </c>
      <c r="P60" s="13">
        <f>P58*P59</f>
        <v>6293.071977616225</v>
      </c>
      <c r="Q60" s="13">
        <f>Q58*Q59</f>
        <v>6546.6827783141598</v>
      </c>
      <c r="R60" s="13">
        <f>R58*R59</f>
        <v>6810.5140942802209</v>
      </c>
      <c r="S60" s="13">
        <f>S58*S59</f>
        <v>7084.9778122797143</v>
      </c>
      <c r="T60" s="13">
        <f>T58*T59</f>
        <v>7370.5024181145864</v>
      </c>
      <c r="U60" s="5"/>
      <c r="V60" s="5"/>
      <c r="W60" s="5"/>
    </row>
    <row r="61" spans="1:23" ht="14" customHeight="1"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" customHeight="1">
      <c r="B62" s="32" t="s">
        <v>153</v>
      </c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s="33" customFormat="1" ht="14" customHeight="1">
      <c r="C63" s="17" t="s">
        <v>171</v>
      </c>
      <c r="D63" s="34" t="s">
        <v>128</v>
      </c>
      <c r="E63" s="17">
        <f>Inputs!E$77</f>
        <v>750</v>
      </c>
      <c r="F63" s="17">
        <f>E63*(1+Inputs!$F$28)</f>
        <v>780</v>
      </c>
      <c r="G63" s="17">
        <f>F63*(1+Inputs!$F$28)</f>
        <v>811.2</v>
      </c>
      <c r="H63" s="17">
        <f>G63*(1+Inputs!$F$28)</f>
        <v>843.64800000000002</v>
      </c>
      <c r="I63" s="17">
        <f>H63*(1+Inputs!$F$28)</f>
        <v>877.39392000000009</v>
      </c>
      <c r="J63" s="17">
        <f>I63*(1+Inputs!$F$28)</f>
        <v>912.4896768000001</v>
      </c>
      <c r="K63" s="17">
        <f>J63*(1+Inputs!$F$28)</f>
        <v>948.98926387200015</v>
      </c>
      <c r="L63" s="17">
        <f>K63*(1+Inputs!$F$28)</f>
        <v>986.94883442688024</v>
      </c>
      <c r="M63" s="17">
        <f>L63*(1+Inputs!$F$28)</f>
        <v>1026.4267878039554</v>
      </c>
      <c r="N63" s="17">
        <f>M63*(1+Inputs!$F$28)</f>
        <v>1067.4838593161137</v>
      </c>
      <c r="O63" s="17">
        <f>N63*(1+Inputs!$F$28)</f>
        <v>1110.1832136887583</v>
      </c>
      <c r="P63" s="17">
        <f>O63*(1+Inputs!$F$28)</f>
        <v>1154.5905422363087</v>
      </c>
      <c r="Q63" s="17">
        <f>P63*(1+Inputs!$F$28)</f>
        <v>1200.7741639257611</v>
      </c>
      <c r="R63" s="17">
        <f>Q63*(1+Inputs!$F$28)</f>
        <v>1248.8051304827916</v>
      </c>
      <c r="S63" s="17">
        <f>R63*(1+Inputs!$F$28)</f>
        <v>1298.7573357021033</v>
      </c>
      <c r="T63" s="17">
        <f>S63*(1+Inputs!$F$28)</f>
        <v>1350.7076291301876</v>
      </c>
      <c r="U63" s="17"/>
      <c r="V63" s="17"/>
      <c r="W63" s="17"/>
    </row>
    <row r="64" spans="1:23" ht="14" customHeight="1"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" customHeight="1" thickBot="1">
      <c r="B65" s="35" t="s">
        <v>98</v>
      </c>
      <c r="C65" s="23"/>
      <c r="D65" s="36"/>
      <c r="E65" s="23"/>
      <c r="F65" s="23">
        <f t="shared" ref="F65:O65" si="19">F63+F60+F55</f>
        <v>12194.800000000001</v>
      </c>
      <c r="G65" s="23">
        <f t="shared" si="19"/>
        <v>13425.24352</v>
      </c>
      <c r="H65" s="23">
        <f t="shared" si="19"/>
        <v>14748.823368448002</v>
      </c>
      <c r="I65" s="23">
        <f t="shared" si="19"/>
        <v>15342.947855796458</v>
      </c>
      <c r="J65" s="23">
        <f t="shared" si="19"/>
        <v>15961.005436209056</v>
      </c>
      <c r="K65" s="23">
        <f t="shared" si="19"/>
        <v>16603.960208385241</v>
      </c>
      <c r="L65" s="23">
        <f t="shared" si="19"/>
        <v>17272.815108004004</v>
      </c>
      <c r="M65" s="23">
        <f t="shared" si="19"/>
        <v>17968.613472206234</v>
      </c>
      <c r="N65" s="23">
        <f t="shared" si="19"/>
        <v>18692.440667099811</v>
      </c>
      <c r="O65" s="23">
        <f t="shared" si="19"/>
        <v>19445.425780826135</v>
      </c>
      <c r="P65" s="23">
        <f>P63+P60+P55</f>
        <v>20228.743384829326</v>
      </c>
      <c r="Q65" s="23">
        <f>Q63+Q60+Q55</f>
        <v>21043.615366075275</v>
      </c>
      <c r="R65" s="23">
        <f>R63+R60+R55</f>
        <v>21891.312833078933</v>
      </c>
      <c r="S65" s="23">
        <f>S63+S60+S55</f>
        <v>22773.158098712869</v>
      </c>
      <c r="T65" s="23">
        <f>T63+T60+T55</f>
        <v>23690.526742890288</v>
      </c>
      <c r="U65" s="5"/>
      <c r="V65" s="5"/>
      <c r="W65" s="5"/>
    </row>
    <row r="66" spans="1:23" ht="14" customHeight="1" thickTop="1"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s="8" customFormat="1" ht="14" customHeight="1">
      <c r="A67" s="8" t="s">
        <v>111</v>
      </c>
      <c r="B67" s="9"/>
      <c r="C67" s="9"/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3" ht="14" customHeight="1">
      <c r="D68" s="37"/>
    </row>
    <row r="69" spans="1:23" ht="14" customHeight="1">
      <c r="C69" s="7" t="s">
        <v>176</v>
      </c>
      <c r="D69" s="37"/>
      <c r="F69" s="5">
        <f>F1-E1</f>
        <v>366</v>
      </c>
      <c r="G69" s="5">
        <f t="shared" ref="G69:T69" si="20">G1-F1</f>
        <v>365</v>
      </c>
      <c r="H69" s="5">
        <f t="shared" si="20"/>
        <v>365</v>
      </c>
      <c r="I69" s="5">
        <f t="shared" si="20"/>
        <v>365</v>
      </c>
      <c r="J69" s="5">
        <f t="shared" si="20"/>
        <v>366</v>
      </c>
      <c r="K69" s="5">
        <f t="shared" si="20"/>
        <v>365</v>
      </c>
      <c r="L69" s="5">
        <f t="shared" si="20"/>
        <v>365</v>
      </c>
      <c r="M69" s="5">
        <f t="shared" si="20"/>
        <v>365</v>
      </c>
      <c r="N69" s="5">
        <f t="shared" si="20"/>
        <v>366</v>
      </c>
      <c r="O69" s="5">
        <f t="shared" si="20"/>
        <v>365</v>
      </c>
      <c r="P69" s="5">
        <f t="shared" si="20"/>
        <v>365</v>
      </c>
      <c r="Q69" s="5">
        <f t="shared" si="20"/>
        <v>365</v>
      </c>
      <c r="R69" s="5">
        <f t="shared" si="20"/>
        <v>366</v>
      </c>
      <c r="S69" s="5">
        <f t="shared" si="20"/>
        <v>365</v>
      </c>
      <c r="T69" s="5">
        <f t="shared" si="20"/>
        <v>365</v>
      </c>
      <c r="U69" s="5"/>
      <c r="V69" s="5"/>
      <c r="W69" s="5"/>
    </row>
    <row r="70" spans="1:23" ht="14" customHeight="1">
      <c r="D70" s="3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s="19" customFormat="1" ht="14" customHeight="1">
      <c r="B71" s="4" t="s">
        <v>9</v>
      </c>
      <c r="D71" s="26"/>
      <c r="E71" s="28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3" s="38" customFormat="1" ht="14" customHeight="1">
      <c r="A72" s="19"/>
      <c r="B72" s="4"/>
      <c r="C72" s="5" t="str">
        <f>C$47</f>
        <v>Sales</v>
      </c>
      <c r="D72" s="22" t="str">
        <f>D$47</f>
        <v>$m</v>
      </c>
      <c r="E72" s="5"/>
      <c r="F72" s="5">
        <f t="shared" ref="F72:T72" si="21">F$47</f>
        <v>59400</v>
      </c>
      <c r="G72" s="5">
        <f t="shared" si="21"/>
        <v>62393.759999999995</v>
      </c>
      <c r="H72" s="5">
        <f t="shared" si="21"/>
        <v>65538.405504000009</v>
      </c>
      <c r="I72" s="5">
        <f t="shared" si="21"/>
        <v>68179.603245811217</v>
      </c>
      <c r="J72" s="5">
        <f t="shared" si="21"/>
        <v>70927.241256617403</v>
      </c>
      <c r="K72" s="5">
        <f t="shared" si="21"/>
        <v>73785.609079259084</v>
      </c>
      <c r="L72" s="5">
        <f t="shared" si="21"/>
        <v>76759.169125153232</v>
      </c>
      <c r="M72" s="5">
        <f t="shared" si="21"/>
        <v>79852.5636408969</v>
      </c>
      <c r="N72" s="5">
        <f t="shared" si="21"/>
        <v>83070.621955625058</v>
      </c>
      <c r="O72" s="5">
        <f t="shared" si="21"/>
        <v>86418.368020436741</v>
      </c>
      <c r="P72" s="5">
        <f t="shared" si="21"/>
        <v>89901.028251660347</v>
      </c>
      <c r="Q72" s="5">
        <f t="shared" si="21"/>
        <v>93524.039690202277</v>
      </c>
      <c r="R72" s="5">
        <f t="shared" si="21"/>
        <v>97293.058489717427</v>
      </c>
      <c r="S72" s="5">
        <f t="shared" si="21"/>
        <v>101213.96874685305</v>
      </c>
      <c r="T72" s="5">
        <f t="shared" si="21"/>
        <v>105292.89168735122</v>
      </c>
    </row>
    <row r="73" spans="1:23" ht="14" customHeight="1">
      <c r="A73" s="5"/>
      <c r="B73" s="5"/>
      <c r="C73" s="5" t="str">
        <f>Inputs!C$80</f>
        <v>Days receivable</v>
      </c>
      <c r="D73" s="6" t="str">
        <f>Inputs!D$80</f>
        <v>days</v>
      </c>
      <c r="E73" s="5"/>
      <c r="F73" s="5">
        <f>Inputs!F$80</f>
        <v>33</v>
      </c>
      <c r="G73" s="5">
        <f>Inputs!G$80</f>
        <v>33</v>
      </c>
      <c r="H73" s="5">
        <f>Inputs!H$80</f>
        <v>33</v>
      </c>
      <c r="I73" s="5">
        <f>Inputs!I$80</f>
        <v>33</v>
      </c>
      <c r="J73" s="5">
        <f>Inputs!J$80</f>
        <v>33</v>
      </c>
      <c r="K73" s="5">
        <f>Inputs!K$80</f>
        <v>33</v>
      </c>
      <c r="L73" s="5">
        <f>Inputs!L$80</f>
        <v>33</v>
      </c>
      <c r="M73" s="5">
        <f>Inputs!M$80</f>
        <v>33</v>
      </c>
      <c r="N73" s="5">
        <f>Inputs!N$80</f>
        <v>33</v>
      </c>
      <c r="O73" s="5">
        <f>Inputs!O$80</f>
        <v>33</v>
      </c>
      <c r="P73" s="5">
        <f>Inputs!P$80</f>
        <v>33</v>
      </c>
      <c r="Q73" s="5">
        <f>Inputs!Q$80</f>
        <v>33</v>
      </c>
      <c r="R73" s="5">
        <f>Inputs!R$80</f>
        <v>33</v>
      </c>
      <c r="S73" s="5">
        <f>Inputs!S$80</f>
        <v>33</v>
      </c>
      <c r="T73" s="5">
        <f>Inputs!T$80</f>
        <v>33</v>
      </c>
      <c r="U73" s="5"/>
      <c r="V73" s="5"/>
      <c r="W73" s="5"/>
    </row>
    <row r="74" spans="1:23" ht="14" customHeight="1">
      <c r="C74" s="13" t="s">
        <v>10</v>
      </c>
      <c r="D74" s="103" t="s">
        <v>128</v>
      </c>
      <c r="E74" s="13"/>
      <c r="F74" s="13">
        <f>F72*(F73/F$69)</f>
        <v>5355.7377049180332</v>
      </c>
      <c r="G74" s="13">
        <f t="shared" ref="G74:T74" si="22">G72*(G73/G$69)</f>
        <v>5641.0796712328765</v>
      </c>
      <c r="H74" s="13">
        <f t="shared" si="22"/>
        <v>5925.3900866630147</v>
      </c>
      <c r="I74" s="13">
        <f t="shared" si="22"/>
        <v>6164.1833071555347</v>
      </c>
      <c r="J74" s="13">
        <f t="shared" si="22"/>
        <v>6395.0791296950119</v>
      </c>
      <c r="K74" s="13">
        <f t="shared" si="22"/>
        <v>6671.0276701795883</v>
      </c>
      <c r="L74" s="13">
        <f t="shared" si="22"/>
        <v>6939.8700852878264</v>
      </c>
      <c r="M74" s="13">
        <f t="shared" si="22"/>
        <v>7219.5468497249258</v>
      </c>
      <c r="N74" s="13">
        <f t="shared" si="22"/>
        <v>7489.974110753079</v>
      </c>
      <c r="O74" s="13">
        <f t="shared" si="22"/>
        <v>7813.1675196559245</v>
      </c>
      <c r="P74" s="13">
        <f t="shared" si="22"/>
        <v>8128.0381706980588</v>
      </c>
      <c r="Q74" s="13">
        <f t="shared" si="22"/>
        <v>8455.5981089771922</v>
      </c>
      <c r="R74" s="13">
        <f t="shared" si="22"/>
        <v>8772.3249457941947</v>
      </c>
      <c r="S74" s="13">
        <f t="shared" si="22"/>
        <v>9150.851968893563</v>
      </c>
      <c r="T74" s="13">
        <f t="shared" si="22"/>
        <v>9519.6313032399739</v>
      </c>
      <c r="U74" s="5"/>
      <c r="V74" s="5"/>
      <c r="W74" s="5"/>
    </row>
    <row r="75" spans="1:23" ht="14" customHeight="1"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s="15" customFormat="1" ht="14" customHeight="1">
      <c r="A76" s="7"/>
      <c r="B76" s="7"/>
      <c r="C76" s="5" t="str">
        <f>C$48</f>
        <v>Cost of sales</v>
      </c>
      <c r="D76" s="6" t="str">
        <f>D$48</f>
        <v>$m</v>
      </c>
      <c r="E76" s="5"/>
      <c r="F76" s="5">
        <f t="shared" ref="F76:T76" si="23">-F$48</f>
        <v>39015</v>
      </c>
      <c r="G76" s="5">
        <f t="shared" si="23"/>
        <v>40981.356</v>
      </c>
      <c r="H76" s="5">
        <f t="shared" si="23"/>
        <v>43046.816342400009</v>
      </c>
      <c r="I76" s="5">
        <f t="shared" si="23"/>
        <v>44781.603040998722</v>
      </c>
      <c r="J76" s="5">
        <f t="shared" si="23"/>
        <v>46586.301643550971</v>
      </c>
      <c r="K76" s="5">
        <f t="shared" si="23"/>
        <v>48463.729599786078</v>
      </c>
      <c r="L76" s="5">
        <f t="shared" si="23"/>
        <v>50416.817902657465</v>
      </c>
      <c r="M76" s="5">
        <f t="shared" si="23"/>
        <v>52448.615664134559</v>
      </c>
      <c r="N76" s="5">
        <f t="shared" si="23"/>
        <v>54562.29487539918</v>
      </c>
      <c r="O76" s="5">
        <f t="shared" si="23"/>
        <v>56761.155358877775</v>
      </c>
      <c r="P76" s="5">
        <f t="shared" si="23"/>
        <v>59048.629919840547</v>
      </c>
      <c r="Q76" s="5">
        <f t="shared" si="23"/>
        <v>61428.289705610121</v>
      </c>
      <c r="R76" s="5">
        <f t="shared" si="23"/>
        <v>63903.849780746212</v>
      </c>
      <c r="S76" s="5">
        <f t="shared" si="23"/>
        <v>66479.174926910287</v>
      </c>
      <c r="T76" s="5">
        <f t="shared" si="23"/>
        <v>69158.285676464773</v>
      </c>
      <c r="U76" s="102"/>
      <c r="V76" s="102"/>
      <c r="W76" s="102"/>
    </row>
    <row r="77" spans="1:23" ht="14" customHeight="1">
      <c r="C77" s="5" t="str">
        <f>Inputs!C$81</f>
        <v>Inventory days</v>
      </c>
      <c r="D77" s="6" t="str">
        <f>Inputs!D$81</f>
        <v>days</v>
      </c>
      <c r="E77" s="5"/>
      <c r="F77" s="5">
        <f>Inputs!F$81</f>
        <v>42</v>
      </c>
      <c r="G77" s="5">
        <f>Inputs!G$81</f>
        <v>42</v>
      </c>
      <c r="H77" s="5">
        <f>Inputs!H$81</f>
        <v>42</v>
      </c>
      <c r="I77" s="5">
        <f>Inputs!I$81</f>
        <v>42</v>
      </c>
      <c r="J77" s="5">
        <f>Inputs!J$81</f>
        <v>42</v>
      </c>
      <c r="K77" s="5">
        <f>Inputs!K$81</f>
        <v>42</v>
      </c>
      <c r="L77" s="5">
        <f>Inputs!L$81</f>
        <v>42</v>
      </c>
      <c r="M77" s="5">
        <f>Inputs!M$81</f>
        <v>42</v>
      </c>
      <c r="N77" s="5">
        <f>Inputs!N$81</f>
        <v>42</v>
      </c>
      <c r="O77" s="5">
        <f>Inputs!O$81</f>
        <v>42</v>
      </c>
      <c r="P77" s="5">
        <f>Inputs!P$81</f>
        <v>42</v>
      </c>
      <c r="Q77" s="5">
        <f>Inputs!Q$81</f>
        <v>42</v>
      </c>
      <c r="R77" s="5">
        <f>Inputs!R$81</f>
        <v>42</v>
      </c>
      <c r="S77" s="5">
        <f>Inputs!S$81</f>
        <v>42</v>
      </c>
      <c r="T77" s="5">
        <f>Inputs!T$81</f>
        <v>42</v>
      </c>
      <c r="U77" s="5"/>
      <c r="V77" s="5"/>
      <c r="W77" s="5"/>
    </row>
    <row r="78" spans="1:23" ht="14" customHeight="1">
      <c r="C78" s="13" t="s">
        <v>32</v>
      </c>
      <c r="D78" s="14" t="s">
        <v>128</v>
      </c>
      <c r="E78" s="13"/>
      <c r="F78" s="13">
        <f t="shared" ref="F78:T78" si="24">F76*(F77/F$69)</f>
        <v>4477.1311475409839</v>
      </c>
      <c r="G78" s="13">
        <f t="shared" si="24"/>
        <v>4715.6628821917811</v>
      </c>
      <c r="H78" s="13">
        <f t="shared" si="24"/>
        <v>4953.3322914542478</v>
      </c>
      <c r="I78" s="13">
        <f t="shared" si="24"/>
        <v>5152.951582799853</v>
      </c>
      <c r="J78" s="13">
        <f t="shared" si="24"/>
        <v>5345.9690410632265</v>
      </c>
      <c r="K78" s="13">
        <f t="shared" si="24"/>
        <v>5576.6483375096304</v>
      </c>
      <c r="L78" s="13">
        <f t="shared" si="24"/>
        <v>5801.38726551127</v>
      </c>
      <c r="M78" s="13">
        <f t="shared" si="24"/>
        <v>6035.1831723113737</v>
      </c>
      <c r="N78" s="13">
        <f t="shared" si="24"/>
        <v>6261.2469529146601</v>
      </c>
      <c r="O78" s="13">
        <f t="shared" si="24"/>
        <v>6531.4206166379909</v>
      </c>
      <c r="P78" s="13">
        <f t="shared" si="24"/>
        <v>6794.6368674885016</v>
      </c>
      <c r="Q78" s="13">
        <f t="shared" si="24"/>
        <v>7068.4607332482874</v>
      </c>
      <c r="R78" s="13">
        <f t="shared" si="24"/>
        <v>7333.2286633643198</v>
      </c>
      <c r="S78" s="13">
        <f t="shared" si="24"/>
        <v>7649.6584847403619</v>
      </c>
      <c r="T78" s="13">
        <f t="shared" si="24"/>
        <v>7957.9397216753987</v>
      </c>
      <c r="U78" s="5"/>
      <c r="V78" s="5"/>
      <c r="W78" s="5"/>
    </row>
    <row r="79" spans="1:23" ht="14" customHeight="1"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s="19" customFormat="1" ht="14" customHeight="1">
      <c r="B80" s="4" t="s">
        <v>12</v>
      </c>
      <c r="D80" s="26"/>
      <c r="E80" s="28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3" s="15" customFormat="1" ht="14" customHeight="1">
      <c r="A81" s="7"/>
      <c r="B81" s="7"/>
      <c r="C81" s="5" t="str">
        <f>C$48</f>
        <v>Cost of sales</v>
      </c>
      <c r="D81" s="6" t="str">
        <f>D$48</f>
        <v>$m</v>
      </c>
      <c r="E81" s="5"/>
      <c r="F81" s="5">
        <f t="shared" ref="F81:T81" si="25">-F$48</f>
        <v>39015</v>
      </c>
      <c r="G81" s="5">
        <f t="shared" si="25"/>
        <v>40981.356</v>
      </c>
      <c r="H81" s="5">
        <f t="shared" si="25"/>
        <v>43046.816342400009</v>
      </c>
      <c r="I81" s="5">
        <f t="shared" si="25"/>
        <v>44781.603040998722</v>
      </c>
      <c r="J81" s="5">
        <f t="shared" si="25"/>
        <v>46586.301643550971</v>
      </c>
      <c r="K81" s="5">
        <f t="shared" si="25"/>
        <v>48463.729599786078</v>
      </c>
      <c r="L81" s="5">
        <f t="shared" si="25"/>
        <v>50416.817902657465</v>
      </c>
      <c r="M81" s="5">
        <f t="shared" si="25"/>
        <v>52448.615664134559</v>
      </c>
      <c r="N81" s="5">
        <f t="shared" si="25"/>
        <v>54562.29487539918</v>
      </c>
      <c r="O81" s="5">
        <f t="shared" si="25"/>
        <v>56761.155358877775</v>
      </c>
      <c r="P81" s="5">
        <f t="shared" si="25"/>
        <v>59048.629919840547</v>
      </c>
      <c r="Q81" s="5">
        <f t="shared" si="25"/>
        <v>61428.289705610121</v>
      </c>
      <c r="R81" s="5">
        <f t="shared" si="25"/>
        <v>63903.849780746212</v>
      </c>
      <c r="S81" s="5">
        <f t="shared" si="25"/>
        <v>66479.174926910287</v>
      </c>
      <c r="T81" s="5">
        <f t="shared" si="25"/>
        <v>69158.285676464773</v>
      </c>
      <c r="U81" s="102"/>
      <c r="V81" s="102"/>
      <c r="W81" s="102"/>
    </row>
    <row r="82" spans="1:23" s="15" customFormat="1" ht="14" customHeight="1">
      <c r="A82" s="7"/>
      <c r="B82" s="7"/>
      <c r="C82" s="5" t="s">
        <v>98</v>
      </c>
      <c r="D82" s="6" t="s">
        <v>128</v>
      </c>
      <c r="E82" s="5"/>
      <c r="F82" s="5">
        <f>F65</f>
        <v>12194.800000000001</v>
      </c>
      <c r="G82" s="5">
        <f t="shared" ref="G82:T82" si="26">G65</f>
        <v>13425.24352</v>
      </c>
      <c r="H82" s="5">
        <f t="shared" si="26"/>
        <v>14748.823368448002</v>
      </c>
      <c r="I82" s="5">
        <f t="shared" si="26"/>
        <v>15342.947855796458</v>
      </c>
      <c r="J82" s="5">
        <f t="shared" si="26"/>
        <v>15961.005436209056</v>
      </c>
      <c r="K82" s="5">
        <f t="shared" si="26"/>
        <v>16603.960208385241</v>
      </c>
      <c r="L82" s="5">
        <f t="shared" si="26"/>
        <v>17272.815108004004</v>
      </c>
      <c r="M82" s="5">
        <f t="shared" si="26"/>
        <v>17968.613472206234</v>
      </c>
      <c r="N82" s="5">
        <f t="shared" si="26"/>
        <v>18692.440667099811</v>
      </c>
      <c r="O82" s="5">
        <f t="shared" si="26"/>
        <v>19445.425780826135</v>
      </c>
      <c r="P82" s="5">
        <f t="shared" si="26"/>
        <v>20228.743384829326</v>
      </c>
      <c r="Q82" s="5">
        <f t="shared" si="26"/>
        <v>21043.615366075275</v>
      </c>
      <c r="R82" s="5">
        <f t="shared" si="26"/>
        <v>21891.312833078933</v>
      </c>
      <c r="S82" s="5">
        <f t="shared" si="26"/>
        <v>22773.158098712869</v>
      </c>
      <c r="T82" s="5">
        <f t="shared" si="26"/>
        <v>23690.526742890288</v>
      </c>
      <c r="U82" s="102"/>
      <c r="V82" s="102"/>
      <c r="W82" s="102"/>
    </row>
    <row r="83" spans="1:23" ht="14" customHeight="1">
      <c r="C83" s="5" t="str">
        <f>Inputs!C$82</f>
        <v>Days payable</v>
      </c>
      <c r="D83" s="6" t="str">
        <f>Inputs!D$82</f>
        <v>days</v>
      </c>
      <c r="E83" s="5"/>
      <c r="F83" s="5">
        <f>Inputs!F$82</f>
        <v>37</v>
      </c>
      <c r="G83" s="5">
        <f>Inputs!G$82</f>
        <v>37</v>
      </c>
      <c r="H83" s="5">
        <f>Inputs!H$82</f>
        <v>37</v>
      </c>
      <c r="I83" s="5">
        <f>Inputs!I$82</f>
        <v>37</v>
      </c>
      <c r="J83" s="5">
        <f>Inputs!J$82</f>
        <v>37</v>
      </c>
      <c r="K83" s="5">
        <f>Inputs!K$82</f>
        <v>37</v>
      </c>
      <c r="L83" s="5">
        <f>Inputs!L$82</f>
        <v>37</v>
      </c>
      <c r="M83" s="5">
        <f>Inputs!M$82</f>
        <v>37</v>
      </c>
      <c r="N83" s="5">
        <f>Inputs!N$82</f>
        <v>37</v>
      </c>
      <c r="O83" s="5">
        <f>Inputs!O$82</f>
        <v>37</v>
      </c>
      <c r="P83" s="5">
        <f>Inputs!P$82</f>
        <v>37</v>
      </c>
      <c r="Q83" s="5">
        <f>Inputs!Q$82</f>
        <v>37</v>
      </c>
      <c r="R83" s="5">
        <f>Inputs!R$82</f>
        <v>37</v>
      </c>
      <c r="S83" s="5">
        <f>Inputs!S$82</f>
        <v>37</v>
      </c>
      <c r="T83" s="5">
        <f>Inputs!T$82</f>
        <v>37</v>
      </c>
      <c r="U83" s="5"/>
      <c r="V83" s="5"/>
      <c r="W83" s="5"/>
    </row>
    <row r="84" spans="1:23" ht="14" customHeight="1">
      <c r="C84" s="13" t="s">
        <v>13</v>
      </c>
      <c r="D84" s="14" t="s">
        <v>128</v>
      </c>
      <c r="E84" s="13"/>
      <c r="F84" s="13">
        <f>(F81+F82)*(F83/F$69)</f>
        <v>5176.9469945355195</v>
      </c>
      <c r="G84" s="13">
        <f t="shared" ref="G84:T84" si="27">(G81+G82)*(G83/G$69)</f>
        <v>5515.1895403835624</v>
      </c>
      <c r="H84" s="13">
        <f t="shared" si="27"/>
        <v>5858.736080277743</v>
      </c>
      <c r="I84" s="13">
        <f t="shared" si="27"/>
        <v>6094.817488168278</v>
      </c>
      <c r="J84" s="13">
        <f t="shared" si="27"/>
        <v>6323.0884206314777</v>
      </c>
      <c r="K84" s="13">
        <f t="shared" si="27"/>
        <v>6595.9028024721611</v>
      </c>
      <c r="L84" s="13">
        <f t="shared" si="27"/>
        <v>6861.6888257382852</v>
      </c>
      <c r="M84" s="13">
        <f t="shared" si="27"/>
        <v>7138.1848713550935</v>
      </c>
      <c r="N84" s="13">
        <f t="shared" si="27"/>
        <v>7405.5333745149255</v>
      </c>
      <c r="O84" s="13">
        <f t="shared" si="27"/>
        <v>7725.0506908740945</v>
      </c>
      <c r="P84" s="13">
        <f t="shared" si="27"/>
        <v>8036.3364719802339</v>
      </c>
      <c r="Q84" s="13">
        <f t="shared" si="27"/>
        <v>8360.1657195955067</v>
      </c>
      <c r="R84" s="13">
        <f t="shared" si="27"/>
        <v>8673.2814664249472</v>
      </c>
      <c r="S84" s="13">
        <f t="shared" si="27"/>
        <v>9047.4967724604303</v>
      </c>
      <c r="T84" s="13">
        <f t="shared" si="27"/>
        <v>9412.0713959346231</v>
      </c>
      <c r="U84" s="5"/>
      <c r="V84" s="5"/>
      <c r="W84" s="5"/>
    </row>
    <row r="85" spans="1:23" ht="14" customHeight="1"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" customHeight="1">
      <c r="B86" s="4" t="s">
        <v>79</v>
      </c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" customHeight="1">
      <c r="C87" s="5" t="s">
        <v>80</v>
      </c>
      <c r="D87" s="6" t="s">
        <v>128</v>
      </c>
      <c r="E87" s="5">
        <v>0</v>
      </c>
      <c r="F87" s="5">
        <f>F78-F77-F84</f>
        <v>-741.8158469945356</v>
      </c>
      <c r="G87" s="5">
        <f t="shared" ref="G87:T87" si="28">G78-G77-G84</f>
        <v>-841.52665819178128</v>
      </c>
      <c r="H87" s="5">
        <f t="shared" si="28"/>
        <v>-947.40378882349523</v>
      </c>
      <c r="I87" s="5">
        <f t="shared" si="28"/>
        <v>-983.86590536842505</v>
      </c>
      <c r="J87" s="5">
        <f t="shared" si="28"/>
        <v>-1019.1193795682511</v>
      </c>
      <c r="K87" s="5">
        <f t="shared" si="28"/>
        <v>-1061.2544649625306</v>
      </c>
      <c r="L87" s="5">
        <f t="shared" si="28"/>
        <v>-1102.3015602270152</v>
      </c>
      <c r="M87" s="5">
        <f t="shared" si="28"/>
        <v>-1145.0016990437198</v>
      </c>
      <c r="N87" s="5">
        <f t="shared" si="28"/>
        <v>-1186.2864216002654</v>
      </c>
      <c r="O87" s="5">
        <f t="shared" si="28"/>
        <v>-1235.6300742361036</v>
      </c>
      <c r="P87" s="5">
        <f t="shared" si="28"/>
        <v>-1283.6996044917323</v>
      </c>
      <c r="Q87" s="5">
        <f t="shared" si="28"/>
        <v>-1333.7049863472193</v>
      </c>
      <c r="R87" s="5">
        <f t="shared" si="28"/>
        <v>-1382.0528030606274</v>
      </c>
      <c r="S87" s="5">
        <f t="shared" si="28"/>
        <v>-1439.8382877200684</v>
      </c>
      <c r="T87" s="5">
        <f t="shared" si="28"/>
        <v>-1496.1316742592244</v>
      </c>
      <c r="U87" s="5"/>
      <c r="V87" s="5"/>
      <c r="W87" s="5"/>
    </row>
    <row r="88" spans="1:23" ht="14" customHeight="1">
      <c r="C88" s="5" t="s">
        <v>81</v>
      </c>
      <c r="D88" s="6" t="s">
        <v>128</v>
      </c>
      <c r="E88" s="5"/>
      <c r="F88" s="5">
        <f t="shared" ref="F88:O88" si="29">E87-F87</f>
        <v>741.8158469945356</v>
      </c>
      <c r="G88" s="5">
        <f t="shared" si="29"/>
        <v>99.710811197245675</v>
      </c>
      <c r="H88" s="5">
        <f t="shared" si="29"/>
        <v>105.87713063171395</v>
      </c>
      <c r="I88" s="5">
        <f t="shared" si="29"/>
        <v>36.462116544929813</v>
      </c>
      <c r="J88" s="5">
        <f t="shared" si="29"/>
        <v>35.253474199826087</v>
      </c>
      <c r="K88" s="5">
        <f t="shared" si="29"/>
        <v>42.135085394279486</v>
      </c>
      <c r="L88" s="5">
        <f t="shared" si="29"/>
        <v>41.047095264484597</v>
      </c>
      <c r="M88" s="5">
        <f t="shared" si="29"/>
        <v>42.700138816704566</v>
      </c>
      <c r="N88" s="5">
        <f t="shared" si="29"/>
        <v>41.284722556545603</v>
      </c>
      <c r="O88" s="5">
        <f t="shared" si="29"/>
        <v>49.343652635838225</v>
      </c>
      <c r="P88" s="5">
        <f>O87-P87</f>
        <v>48.069530255628706</v>
      </c>
      <c r="Q88" s="5">
        <f>P87-Q87</f>
        <v>50.00538185548703</v>
      </c>
      <c r="R88" s="5">
        <f>Q87-R87</f>
        <v>48.347816713408065</v>
      </c>
      <c r="S88" s="5">
        <f>R87-S87</f>
        <v>57.785484659440954</v>
      </c>
      <c r="T88" s="5">
        <f>S87-T87</f>
        <v>56.293386539156018</v>
      </c>
      <c r="U88" s="5"/>
      <c r="V88" s="5"/>
      <c r="W88" s="5"/>
    </row>
    <row r="89" spans="1:23" ht="14" customHeight="1">
      <c r="C89" s="5"/>
      <c r="D89" s="1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s="8" customFormat="1" ht="14" customHeight="1">
      <c r="A90" s="8" t="s">
        <v>101</v>
      </c>
      <c r="B90" s="9"/>
      <c r="C90" s="9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3" ht="14" customHeight="1">
      <c r="D91" s="37"/>
    </row>
    <row r="92" spans="1:23" ht="14" customHeight="1">
      <c r="A92" s="5"/>
      <c r="B92" s="4" t="s">
        <v>34</v>
      </c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3" ht="14" customHeight="1">
      <c r="A93" s="5"/>
      <c r="B93" s="5"/>
      <c r="C93" s="5" t="s">
        <v>166</v>
      </c>
      <c r="D93" s="6"/>
      <c r="E93" s="5"/>
      <c r="F93" s="5">
        <f t="shared" ref="F93:O93" si="30">E120</f>
        <v>0</v>
      </c>
      <c r="G93" s="5">
        <f t="shared" si="30"/>
        <v>8112</v>
      </c>
      <c r="H93" s="5">
        <f t="shared" si="30"/>
        <v>7316.2514285714278</v>
      </c>
      <c r="I93" s="5">
        <f t="shared" si="30"/>
        <v>6450.0443428571425</v>
      </c>
      <c r="J93" s="5">
        <f t="shared" si="30"/>
        <v>5504.7753874285718</v>
      </c>
      <c r="K93" s="5">
        <f t="shared" si="30"/>
        <v>4478.0727061942862</v>
      </c>
      <c r="L93" s="5">
        <f t="shared" si="30"/>
        <v>12322.869354598402</v>
      </c>
      <c r="M93" s="5">
        <f t="shared" si="30"/>
        <v>9633.3342182072338</v>
      </c>
      <c r="N93" s="5">
        <f t="shared" si="30"/>
        <v>6854.8142509175641</v>
      </c>
      <c r="O93" s="5">
        <f t="shared" si="30"/>
        <v>3984.6399078024397</v>
      </c>
      <c r="P93" s="5">
        <f>O120</f>
        <v>1020.0615575870952</v>
      </c>
      <c r="Q93" s="5">
        <f>P120</f>
        <v>8339.9823803913787</v>
      </c>
      <c r="R93" s="5">
        <f>Q120</f>
        <v>3447.7254750080419</v>
      </c>
      <c r="S93" s="5">
        <f>R120</f>
        <v>0</v>
      </c>
      <c r="T93" s="5">
        <f>S120</f>
        <v>0</v>
      </c>
      <c r="U93" s="5"/>
      <c r="V93" s="5"/>
      <c r="W93" s="5"/>
    </row>
    <row r="94" spans="1:23" ht="14" customHeight="1">
      <c r="A94" s="5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" customHeight="1">
      <c r="A95" s="5"/>
      <c r="B95" s="5"/>
      <c r="C95" s="5" t="str">
        <f>Inputs!C$86</f>
        <v>One-off capex</v>
      </c>
      <c r="D95" s="6" t="str">
        <f>Inputs!D$86</f>
        <v>$m</v>
      </c>
      <c r="E95" s="5"/>
      <c r="F95" s="5">
        <f>Inputs!F$86</f>
        <v>8840</v>
      </c>
      <c r="G95" s="5">
        <f>Inputs!G$86</f>
        <v>0</v>
      </c>
      <c r="H95" s="5">
        <f>Inputs!H$86</f>
        <v>0</v>
      </c>
      <c r="I95" s="5">
        <f>Inputs!I$86</f>
        <v>0</v>
      </c>
      <c r="J95" s="5">
        <f>Inputs!J$86</f>
        <v>0</v>
      </c>
      <c r="K95" s="5">
        <f>Inputs!K$86</f>
        <v>10447.938745088002</v>
      </c>
      <c r="L95" s="5">
        <f>Inputs!L$86</f>
        <v>0</v>
      </c>
      <c r="M95" s="5">
        <f>Inputs!M$86</f>
        <v>0</v>
      </c>
      <c r="N95" s="5">
        <f>Inputs!N$86</f>
        <v>0</v>
      </c>
      <c r="O95" s="5">
        <f>Inputs!O$86</f>
        <v>0</v>
      </c>
      <c r="P95" s="5">
        <f>Inputs!P$86</f>
        <v>12112.024517054999</v>
      </c>
      <c r="Q95" s="5">
        <f>Inputs!Q$86</f>
        <v>0</v>
      </c>
      <c r="R95" s="5">
        <f>Inputs!R$86</f>
        <v>0</v>
      </c>
      <c r="S95" s="5">
        <f>Inputs!S$86</f>
        <v>0</v>
      </c>
      <c r="T95" s="5">
        <f>Inputs!T$86</f>
        <v>0</v>
      </c>
      <c r="U95" s="5"/>
      <c r="V95" s="5"/>
      <c r="W95" s="5"/>
    </row>
    <row r="96" spans="1:23" ht="14" customHeight="1">
      <c r="A96" s="5"/>
      <c r="B96" s="5"/>
      <c r="C96" s="5" t="str">
        <f>Inputs!C$87</f>
        <v>Regular capex</v>
      </c>
      <c r="D96" s="6" t="str">
        <f>Inputs!D$87</f>
        <v>$m</v>
      </c>
      <c r="E96" s="5"/>
      <c r="F96" s="5">
        <f>Inputs!F$87</f>
        <v>624</v>
      </c>
      <c r="G96" s="5">
        <f>Inputs!G$87</f>
        <v>648.96</v>
      </c>
      <c r="H96" s="5">
        <f>Inputs!H$87</f>
        <v>674.91840000000013</v>
      </c>
      <c r="I96" s="5">
        <f>Inputs!I$87</f>
        <v>695.16595200000006</v>
      </c>
      <c r="J96" s="5">
        <f>Inputs!J$87</f>
        <v>716.02093056000012</v>
      </c>
      <c r="K96" s="5">
        <f>Inputs!K$87</f>
        <v>737.50155847680026</v>
      </c>
      <c r="L96" s="5">
        <f>Inputs!L$87</f>
        <v>759.62660523110412</v>
      </c>
      <c r="M96" s="5">
        <f>Inputs!M$87</f>
        <v>782.41540338803725</v>
      </c>
      <c r="N96" s="5">
        <f>Inputs!N$87</f>
        <v>805.88786548967846</v>
      </c>
      <c r="O96" s="5">
        <f>Inputs!O$87</f>
        <v>830.06450145436884</v>
      </c>
      <c r="P96" s="5">
        <f>Inputs!P$87</f>
        <v>854.96643649799989</v>
      </c>
      <c r="Q96" s="5">
        <f>Inputs!Q$87</f>
        <v>880.6154295929399</v>
      </c>
      <c r="R96" s="5">
        <f>Inputs!R$87</f>
        <v>907.03389248072813</v>
      </c>
      <c r="S96" s="5">
        <f>Inputs!S$87</f>
        <v>934.24490925514999</v>
      </c>
      <c r="T96" s="5">
        <f>Inputs!T$87</f>
        <v>962.27225653280459</v>
      </c>
      <c r="U96" s="5"/>
      <c r="V96" s="5"/>
      <c r="W96" s="5"/>
    </row>
    <row r="97" spans="1:23" ht="14" customHeight="1">
      <c r="A97" s="5"/>
      <c r="B97" s="5"/>
      <c r="C97" s="13" t="s">
        <v>102</v>
      </c>
      <c r="D97" s="14" t="s">
        <v>128</v>
      </c>
      <c r="E97" s="13"/>
      <c r="F97" s="13">
        <f>SUM(F95:F96)</f>
        <v>9464</v>
      </c>
      <c r="G97" s="13">
        <f t="shared" ref="G97:T97" si="31">SUM(G95:G96)</f>
        <v>648.96</v>
      </c>
      <c r="H97" s="13">
        <f t="shared" si="31"/>
        <v>674.91840000000013</v>
      </c>
      <c r="I97" s="13">
        <f t="shared" si="31"/>
        <v>695.16595200000006</v>
      </c>
      <c r="J97" s="13">
        <f t="shared" si="31"/>
        <v>716.02093056000012</v>
      </c>
      <c r="K97" s="13">
        <f t="shared" si="31"/>
        <v>11185.440303564803</v>
      </c>
      <c r="L97" s="13">
        <f t="shared" si="31"/>
        <v>759.62660523110412</v>
      </c>
      <c r="M97" s="13">
        <f t="shared" si="31"/>
        <v>782.41540338803725</v>
      </c>
      <c r="N97" s="13">
        <f t="shared" si="31"/>
        <v>805.88786548967846</v>
      </c>
      <c r="O97" s="13">
        <f t="shared" si="31"/>
        <v>830.06450145436884</v>
      </c>
      <c r="P97" s="13">
        <f t="shared" si="31"/>
        <v>12966.990953552999</v>
      </c>
      <c r="Q97" s="13">
        <f t="shared" si="31"/>
        <v>880.6154295929399</v>
      </c>
      <c r="R97" s="13">
        <f t="shared" si="31"/>
        <v>907.03389248072813</v>
      </c>
      <c r="S97" s="13">
        <f t="shared" si="31"/>
        <v>934.24490925514999</v>
      </c>
      <c r="T97" s="13">
        <f t="shared" si="31"/>
        <v>962.27225653280459</v>
      </c>
      <c r="U97" s="5"/>
      <c r="V97" s="5"/>
      <c r="W97" s="5"/>
    </row>
    <row r="98" spans="1:23" ht="14" customHeight="1">
      <c r="A98" s="5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" customHeight="1">
      <c r="A99" s="5"/>
      <c r="B99" s="5"/>
      <c r="C99" s="5" t="str">
        <f>Inputs!C$90</f>
        <v>PP&amp;E - accounting (straight line)</v>
      </c>
      <c r="D99" s="6" t="str">
        <f>Inputs!D$90</f>
        <v>years</v>
      </c>
      <c r="E99" s="5">
        <f>Inputs!E$90</f>
        <v>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" customHeight="1">
      <c r="A100" s="5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" customHeight="1">
      <c r="A101" s="5"/>
      <c r="B101" s="5"/>
      <c r="C101" s="40" t="s">
        <v>196</v>
      </c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" customHeight="1">
      <c r="A102" s="5"/>
      <c r="B102" s="5"/>
      <c r="C102" s="5" t="s">
        <v>51</v>
      </c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" customHeight="1">
      <c r="A103" s="5"/>
      <c r="B103" s="5"/>
      <c r="C103" s="100">
        <v>1</v>
      </c>
      <c r="D103" s="6"/>
      <c r="E103" s="5"/>
      <c r="F103" s="5">
        <f t="shared" ref="F103:F117" si="32">(F$2&gt;=$C103)*(INDEX($F$97:$T$97,$C103)/$E$99)</f>
        <v>1352</v>
      </c>
      <c r="G103" s="5">
        <f t="shared" ref="G103:T117" si="33">(G$2&gt;=$C103)*(INDEX($F$97:$T$97,$C103)/$E$99)</f>
        <v>1352</v>
      </c>
      <c r="H103" s="5">
        <f t="shared" si="33"/>
        <v>1352</v>
      </c>
      <c r="I103" s="5">
        <f t="shared" si="33"/>
        <v>1352</v>
      </c>
      <c r="J103" s="5">
        <f t="shared" si="33"/>
        <v>1352</v>
      </c>
      <c r="K103" s="5">
        <f t="shared" si="33"/>
        <v>1352</v>
      </c>
      <c r="L103" s="5">
        <f t="shared" si="33"/>
        <v>1352</v>
      </c>
      <c r="M103" s="5">
        <f t="shared" si="33"/>
        <v>1352</v>
      </c>
      <c r="N103" s="5">
        <f t="shared" si="33"/>
        <v>1352</v>
      </c>
      <c r="O103" s="5">
        <f t="shared" si="33"/>
        <v>1352</v>
      </c>
      <c r="P103" s="5">
        <f t="shared" si="33"/>
        <v>1352</v>
      </c>
      <c r="Q103" s="5">
        <f t="shared" si="33"/>
        <v>1352</v>
      </c>
      <c r="R103" s="5">
        <f t="shared" si="33"/>
        <v>1352</v>
      </c>
      <c r="S103" s="5">
        <f t="shared" si="33"/>
        <v>1352</v>
      </c>
      <c r="T103" s="5">
        <f t="shared" si="33"/>
        <v>1352</v>
      </c>
      <c r="U103" s="5"/>
      <c r="V103" s="5"/>
      <c r="W103" s="5"/>
    </row>
    <row r="104" spans="1:23" ht="14" customHeight="1">
      <c r="A104" s="5"/>
      <c r="B104" s="5"/>
      <c r="C104" s="100">
        <f t="shared" ref="C104:C117" si="34">C103+1</f>
        <v>2</v>
      </c>
      <c r="D104" s="6"/>
      <c r="E104" s="5"/>
      <c r="F104" s="5">
        <f t="shared" si="32"/>
        <v>0</v>
      </c>
      <c r="G104" s="5">
        <f t="shared" si="33"/>
        <v>92.708571428571432</v>
      </c>
      <c r="H104" s="5">
        <f t="shared" si="33"/>
        <v>92.708571428571432</v>
      </c>
      <c r="I104" s="5">
        <f t="shared" si="33"/>
        <v>92.708571428571432</v>
      </c>
      <c r="J104" s="5">
        <f t="shared" si="33"/>
        <v>92.708571428571432</v>
      </c>
      <c r="K104" s="5">
        <f t="shared" si="33"/>
        <v>92.708571428571432</v>
      </c>
      <c r="L104" s="5">
        <f t="shared" si="33"/>
        <v>92.708571428571432</v>
      </c>
      <c r="M104" s="5">
        <f t="shared" si="33"/>
        <v>92.708571428571432</v>
      </c>
      <c r="N104" s="5">
        <f t="shared" si="33"/>
        <v>92.708571428571432</v>
      </c>
      <c r="O104" s="5">
        <f t="shared" si="33"/>
        <v>92.708571428571432</v>
      </c>
      <c r="P104" s="5">
        <f t="shared" si="33"/>
        <v>92.708571428571432</v>
      </c>
      <c r="Q104" s="5">
        <f t="shared" si="33"/>
        <v>92.708571428571432</v>
      </c>
      <c r="R104" s="5">
        <f t="shared" si="33"/>
        <v>92.708571428571432</v>
      </c>
      <c r="S104" s="5">
        <f t="shared" si="33"/>
        <v>92.708571428571432</v>
      </c>
      <c r="T104" s="5">
        <f t="shared" si="33"/>
        <v>92.708571428571432</v>
      </c>
      <c r="U104" s="5"/>
      <c r="V104" s="5"/>
      <c r="W104" s="5"/>
    </row>
    <row r="105" spans="1:23" ht="14" customHeight="1">
      <c r="A105" s="5"/>
      <c r="B105" s="5"/>
      <c r="C105" s="100">
        <f t="shared" si="34"/>
        <v>3</v>
      </c>
      <c r="D105" s="6"/>
      <c r="E105" s="5"/>
      <c r="F105" s="5">
        <f t="shared" si="32"/>
        <v>0</v>
      </c>
      <c r="G105" s="5">
        <f t="shared" si="33"/>
        <v>0</v>
      </c>
      <c r="H105" s="5">
        <f t="shared" si="33"/>
        <v>96.416914285714299</v>
      </c>
      <c r="I105" s="5">
        <f t="shared" si="33"/>
        <v>96.416914285714299</v>
      </c>
      <c r="J105" s="5">
        <f t="shared" si="33"/>
        <v>96.416914285714299</v>
      </c>
      <c r="K105" s="5">
        <f t="shared" si="33"/>
        <v>96.416914285714299</v>
      </c>
      <c r="L105" s="5">
        <f t="shared" si="33"/>
        <v>96.416914285714299</v>
      </c>
      <c r="M105" s="5">
        <f t="shared" si="33"/>
        <v>96.416914285714299</v>
      </c>
      <c r="N105" s="5">
        <f t="shared" si="33"/>
        <v>96.416914285714299</v>
      </c>
      <c r="O105" s="5">
        <f t="shared" si="33"/>
        <v>96.416914285714299</v>
      </c>
      <c r="P105" s="5">
        <f t="shared" si="33"/>
        <v>96.416914285714299</v>
      </c>
      <c r="Q105" s="5">
        <f t="shared" si="33"/>
        <v>96.416914285714299</v>
      </c>
      <c r="R105" s="5">
        <f t="shared" si="33"/>
        <v>96.416914285714299</v>
      </c>
      <c r="S105" s="5">
        <f t="shared" si="33"/>
        <v>96.416914285714299</v>
      </c>
      <c r="T105" s="5">
        <f t="shared" si="33"/>
        <v>96.416914285714299</v>
      </c>
      <c r="U105" s="5"/>
      <c r="V105" s="5"/>
      <c r="W105" s="5"/>
    </row>
    <row r="106" spans="1:23" ht="14" customHeight="1">
      <c r="A106" s="5"/>
      <c r="B106" s="5"/>
      <c r="C106" s="100">
        <f t="shared" si="34"/>
        <v>4</v>
      </c>
      <c r="D106" s="6"/>
      <c r="E106" s="5"/>
      <c r="F106" s="5">
        <f t="shared" si="32"/>
        <v>0</v>
      </c>
      <c r="G106" s="5">
        <f t="shared" si="33"/>
        <v>0</v>
      </c>
      <c r="H106" s="5">
        <f t="shared" si="33"/>
        <v>0</v>
      </c>
      <c r="I106" s="5">
        <f t="shared" si="33"/>
        <v>99.309421714285719</v>
      </c>
      <c r="J106" s="5">
        <f t="shared" si="33"/>
        <v>99.309421714285719</v>
      </c>
      <c r="K106" s="5">
        <f t="shared" si="33"/>
        <v>99.309421714285719</v>
      </c>
      <c r="L106" s="5">
        <f t="shared" si="33"/>
        <v>99.309421714285719</v>
      </c>
      <c r="M106" s="5">
        <f t="shared" si="33"/>
        <v>99.309421714285719</v>
      </c>
      <c r="N106" s="5">
        <f t="shared" si="33"/>
        <v>99.309421714285719</v>
      </c>
      <c r="O106" s="5">
        <f t="shared" si="33"/>
        <v>99.309421714285719</v>
      </c>
      <c r="P106" s="5">
        <f t="shared" si="33"/>
        <v>99.309421714285719</v>
      </c>
      <c r="Q106" s="5">
        <f t="shared" si="33"/>
        <v>99.309421714285719</v>
      </c>
      <c r="R106" s="5">
        <f t="shared" si="33"/>
        <v>99.309421714285719</v>
      </c>
      <c r="S106" s="5">
        <f t="shared" si="33"/>
        <v>99.309421714285719</v>
      </c>
      <c r="T106" s="5">
        <f t="shared" si="33"/>
        <v>99.309421714285719</v>
      </c>
      <c r="U106" s="5"/>
      <c r="V106" s="5"/>
      <c r="W106" s="5"/>
    </row>
    <row r="107" spans="1:23" ht="14" customHeight="1">
      <c r="A107" s="5"/>
      <c r="B107" s="5"/>
      <c r="C107" s="100">
        <f t="shared" si="34"/>
        <v>5</v>
      </c>
      <c r="D107" s="6"/>
      <c r="E107" s="5"/>
      <c r="F107" s="5">
        <f t="shared" si="32"/>
        <v>0</v>
      </c>
      <c r="G107" s="5">
        <f t="shared" si="33"/>
        <v>0</v>
      </c>
      <c r="H107" s="5">
        <f t="shared" si="33"/>
        <v>0</v>
      </c>
      <c r="I107" s="5">
        <f t="shared" si="33"/>
        <v>0</v>
      </c>
      <c r="J107" s="5">
        <f t="shared" si="33"/>
        <v>102.28870436571431</v>
      </c>
      <c r="K107" s="5">
        <f t="shared" si="33"/>
        <v>102.28870436571431</v>
      </c>
      <c r="L107" s="5">
        <f t="shared" si="33"/>
        <v>102.28870436571431</v>
      </c>
      <c r="M107" s="5">
        <f t="shared" si="33"/>
        <v>102.28870436571431</v>
      </c>
      <c r="N107" s="5">
        <f t="shared" si="33"/>
        <v>102.28870436571431</v>
      </c>
      <c r="O107" s="5">
        <f t="shared" si="33"/>
        <v>102.28870436571431</v>
      </c>
      <c r="P107" s="5">
        <f t="shared" si="33"/>
        <v>102.28870436571431</v>
      </c>
      <c r="Q107" s="5">
        <f t="shared" si="33"/>
        <v>102.28870436571431</v>
      </c>
      <c r="R107" s="5">
        <f t="shared" si="33"/>
        <v>102.28870436571431</v>
      </c>
      <c r="S107" s="5">
        <f t="shared" si="33"/>
        <v>102.28870436571431</v>
      </c>
      <c r="T107" s="5">
        <f t="shared" si="33"/>
        <v>102.28870436571431</v>
      </c>
      <c r="U107" s="5"/>
      <c r="V107" s="5"/>
      <c r="W107" s="5"/>
    </row>
    <row r="108" spans="1:23" ht="14" customHeight="1">
      <c r="A108" s="5"/>
      <c r="B108" s="5"/>
      <c r="C108" s="100">
        <f t="shared" si="34"/>
        <v>6</v>
      </c>
      <c r="D108" s="6"/>
      <c r="E108" s="5"/>
      <c r="F108" s="5">
        <f t="shared" si="32"/>
        <v>0</v>
      </c>
      <c r="G108" s="5">
        <f t="shared" si="33"/>
        <v>0</v>
      </c>
      <c r="H108" s="5">
        <f t="shared" si="33"/>
        <v>0</v>
      </c>
      <c r="I108" s="5">
        <f t="shared" si="33"/>
        <v>0</v>
      </c>
      <c r="J108" s="5">
        <f t="shared" si="33"/>
        <v>0</v>
      </c>
      <c r="K108" s="5">
        <f t="shared" si="33"/>
        <v>1597.9200433664005</v>
      </c>
      <c r="L108" s="5">
        <f t="shared" si="33"/>
        <v>1597.9200433664005</v>
      </c>
      <c r="M108" s="5">
        <f t="shared" si="33"/>
        <v>1597.9200433664005</v>
      </c>
      <c r="N108" s="5">
        <f t="shared" si="33"/>
        <v>1597.9200433664005</v>
      </c>
      <c r="O108" s="5">
        <f t="shared" si="33"/>
        <v>1597.9200433664005</v>
      </c>
      <c r="P108" s="5">
        <f t="shared" si="33"/>
        <v>1597.9200433664005</v>
      </c>
      <c r="Q108" s="5">
        <f t="shared" si="33"/>
        <v>1597.9200433664005</v>
      </c>
      <c r="R108" s="5">
        <f t="shared" si="33"/>
        <v>1597.9200433664005</v>
      </c>
      <c r="S108" s="5">
        <f t="shared" si="33"/>
        <v>1597.9200433664005</v>
      </c>
      <c r="T108" s="5">
        <f t="shared" si="33"/>
        <v>1597.9200433664005</v>
      </c>
      <c r="U108" s="5"/>
      <c r="V108" s="5"/>
      <c r="W108" s="5"/>
    </row>
    <row r="109" spans="1:23" ht="14" customHeight="1">
      <c r="A109" s="5"/>
      <c r="B109" s="5"/>
      <c r="C109" s="100">
        <f t="shared" si="34"/>
        <v>7</v>
      </c>
      <c r="D109" s="6"/>
      <c r="E109" s="5"/>
      <c r="F109" s="5">
        <f t="shared" si="32"/>
        <v>0</v>
      </c>
      <c r="G109" s="5">
        <f t="shared" si="33"/>
        <v>0</v>
      </c>
      <c r="H109" s="5">
        <f t="shared" si="33"/>
        <v>0</v>
      </c>
      <c r="I109" s="5">
        <f t="shared" si="33"/>
        <v>0</v>
      </c>
      <c r="J109" s="5">
        <f t="shared" si="33"/>
        <v>0</v>
      </c>
      <c r="K109" s="5">
        <f t="shared" si="33"/>
        <v>0</v>
      </c>
      <c r="L109" s="5">
        <f t="shared" si="33"/>
        <v>108.51808646158631</v>
      </c>
      <c r="M109" s="5">
        <f t="shared" si="33"/>
        <v>108.51808646158631</v>
      </c>
      <c r="N109" s="5">
        <f t="shared" si="33"/>
        <v>108.51808646158631</v>
      </c>
      <c r="O109" s="5">
        <f t="shared" si="33"/>
        <v>108.51808646158631</v>
      </c>
      <c r="P109" s="5">
        <f t="shared" si="33"/>
        <v>108.51808646158631</v>
      </c>
      <c r="Q109" s="5">
        <f t="shared" si="33"/>
        <v>108.51808646158631</v>
      </c>
      <c r="R109" s="5">
        <f t="shared" si="33"/>
        <v>108.51808646158631</v>
      </c>
      <c r="S109" s="5">
        <f t="shared" si="33"/>
        <v>108.51808646158631</v>
      </c>
      <c r="T109" s="5">
        <f t="shared" si="33"/>
        <v>108.51808646158631</v>
      </c>
      <c r="U109" s="5"/>
      <c r="V109" s="5"/>
      <c r="W109" s="5"/>
    </row>
    <row r="110" spans="1:23" ht="14" customHeight="1">
      <c r="A110" s="5"/>
      <c r="B110" s="5"/>
      <c r="C110" s="100">
        <f t="shared" si="34"/>
        <v>8</v>
      </c>
      <c r="D110" s="6"/>
      <c r="E110" s="5"/>
      <c r="F110" s="5">
        <f t="shared" si="32"/>
        <v>0</v>
      </c>
      <c r="G110" s="5">
        <f t="shared" si="33"/>
        <v>0</v>
      </c>
      <c r="H110" s="5">
        <f t="shared" si="33"/>
        <v>0</v>
      </c>
      <c r="I110" s="5">
        <f t="shared" si="33"/>
        <v>0</v>
      </c>
      <c r="J110" s="5">
        <f t="shared" si="33"/>
        <v>0</v>
      </c>
      <c r="K110" s="5">
        <f t="shared" si="33"/>
        <v>0</v>
      </c>
      <c r="L110" s="5">
        <f t="shared" si="33"/>
        <v>0</v>
      </c>
      <c r="M110" s="5">
        <f t="shared" si="33"/>
        <v>111.77362905543389</v>
      </c>
      <c r="N110" s="5">
        <f t="shared" si="33"/>
        <v>111.77362905543389</v>
      </c>
      <c r="O110" s="5">
        <f t="shared" si="33"/>
        <v>111.77362905543389</v>
      </c>
      <c r="P110" s="5">
        <f t="shared" si="33"/>
        <v>111.77362905543389</v>
      </c>
      <c r="Q110" s="5">
        <f t="shared" si="33"/>
        <v>111.77362905543389</v>
      </c>
      <c r="R110" s="5">
        <f t="shared" si="33"/>
        <v>111.77362905543389</v>
      </c>
      <c r="S110" s="5">
        <f t="shared" si="33"/>
        <v>111.77362905543389</v>
      </c>
      <c r="T110" s="5">
        <f t="shared" si="33"/>
        <v>111.77362905543389</v>
      </c>
      <c r="U110" s="5"/>
      <c r="V110" s="5"/>
      <c r="W110" s="5"/>
    </row>
    <row r="111" spans="1:23" ht="14" customHeight="1">
      <c r="A111" s="5"/>
      <c r="B111" s="5"/>
      <c r="C111" s="100">
        <f t="shared" si="34"/>
        <v>9</v>
      </c>
      <c r="D111" s="6"/>
      <c r="E111" s="5"/>
      <c r="F111" s="5">
        <f t="shared" si="32"/>
        <v>0</v>
      </c>
      <c r="G111" s="5">
        <f t="shared" si="33"/>
        <v>0</v>
      </c>
      <c r="H111" s="5">
        <f t="shared" si="33"/>
        <v>0</v>
      </c>
      <c r="I111" s="5">
        <f t="shared" si="33"/>
        <v>0</v>
      </c>
      <c r="J111" s="5">
        <f t="shared" si="33"/>
        <v>0</v>
      </c>
      <c r="K111" s="5">
        <f t="shared" si="33"/>
        <v>0</v>
      </c>
      <c r="L111" s="5">
        <f t="shared" si="33"/>
        <v>0</v>
      </c>
      <c r="M111" s="5">
        <f t="shared" si="33"/>
        <v>0</v>
      </c>
      <c r="N111" s="5">
        <f t="shared" si="33"/>
        <v>115.12683792709693</v>
      </c>
      <c r="O111" s="5">
        <f t="shared" si="33"/>
        <v>115.12683792709693</v>
      </c>
      <c r="P111" s="5">
        <f t="shared" si="33"/>
        <v>115.12683792709693</v>
      </c>
      <c r="Q111" s="5">
        <f t="shared" si="33"/>
        <v>115.12683792709693</v>
      </c>
      <c r="R111" s="5">
        <f t="shared" si="33"/>
        <v>115.12683792709693</v>
      </c>
      <c r="S111" s="5">
        <f t="shared" si="33"/>
        <v>115.12683792709693</v>
      </c>
      <c r="T111" s="5">
        <f t="shared" si="33"/>
        <v>115.12683792709693</v>
      </c>
      <c r="U111" s="5"/>
      <c r="V111" s="5"/>
      <c r="W111" s="5"/>
    </row>
    <row r="112" spans="1:23" ht="14" customHeight="1">
      <c r="A112" s="5"/>
      <c r="B112" s="5"/>
      <c r="C112" s="100">
        <f t="shared" si="34"/>
        <v>10</v>
      </c>
      <c r="D112" s="6"/>
      <c r="E112" s="5"/>
      <c r="F112" s="5">
        <f t="shared" si="32"/>
        <v>0</v>
      </c>
      <c r="G112" s="5">
        <f t="shared" si="33"/>
        <v>0</v>
      </c>
      <c r="H112" s="5">
        <f t="shared" si="33"/>
        <v>0</v>
      </c>
      <c r="I112" s="5">
        <f t="shared" si="33"/>
        <v>0</v>
      </c>
      <c r="J112" s="5">
        <f t="shared" si="33"/>
        <v>0</v>
      </c>
      <c r="K112" s="5">
        <f t="shared" si="33"/>
        <v>0</v>
      </c>
      <c r="L112" s="5">
        <f t="shared" si="33"/>
        <v>0</v>
      </c>
      <c r="M112" s="5">
        <f t="shared" si="33"/>
        <v>0</v>
      </c>
      <c r="N112" s="5">
        <f t="shared" si="33"/>
        <v>0</v>
      </c>
      <c r="O112" s="5">
        <f t="shared" si="33"/>
        <v>118.58064306490984</v>
      </c>
      <c r="P112" s="5">
        <f t="shared" si="33"/>
        <v>118.58064306490984</v>
      </c>
      <c r="Q112" s="5">
        <f t="shared" si="33"/>
        <v>118.58064306490984</v>
      </c>
      <c r="R112" s="5">
        <f t="shared" si="33"/>
        <v>118.58064306490984</v>
      </c>
      <c r="S112" s="5">
        <f t="shared" si="33"/>
        <v>118.58064306490984</v>
      </c>
      <c r="T112" s="5">
        <f t="shared" si="33"/>
        <v>118.58064306490984</v>
      </c>
      <c r="U112" s="5"/>
      <c r="V112" s="5"/>
      <c r="W112" s="5"/>
    </row>
    <row r="113" spans="1:23" ht="14" customHeight="1">
      <c r="A113" s="5"/>
      <c r="B113" s="5"/>
      <c r="C113" s="100">
        <f t="shared" si="34"/>
        <v>11</v>
      </c>
      <c r="D113" s="6"/>
      <c r="E113" s="5"/>
      <c r="F113" s="5">
        <f t="shared" si="32"/>
        <v>0</v>
      </c>
      <c r="G113" s="5">
        <f t="shared" si="33"/>
        <v>0</v>
      </c>
      <c r="H113" s="5">
        <f t="shared" si="33"/>
        <v>0</v>
      </c>
      <c r="I113" s="5">
        <f t="shared" si="33"/>
        <v>0</v>
      </c>
      <c r="J113" s="5">
        <f t="shared" si="33"/>
        <v>0</v>
      </c>
      <c r="K113" s="5">
        <f t="shared" si="33"/>
        <v>0</v>
      </c>
      <c r="L113" s="5">
        <f t="shared" si="33"/>
        <v>0</v>
      </c>
      <c r="M113" s="5">
        <f t="shared" si="33"/>
        <v>0</v>
      </c>
      <c r="N113" s="5">
        <f t="shared" si="33"/>
        <v>0</v>
      </c>
      <c r="O113" s="5">
        <f t="shared" si="33"/>
        <v>0</v>
      </c>
      <c r="P113" s="5">
        <f t="shared" si="33"/>
        <v>1852.4272790789998</v>
      </c>
      <c r="Q113" s="5">
        <f t="shared" si="33"/>
        <v>1852.4272790789998</v>
      </c>
      <c r="R113" s="5">
        <f t="shared" si="33"/>
        <v>1852.4272790789998</v>
      </c>
      <c r="S113" s="5">
        <f t="shared" si="33"/>
        <v>1852.4272790789998</v>
      </c>
      <c r="T113" s="5">
        <f t="shared" si="33"/>
        <v>1852.4272790789998</v>
      </c>
      <c r="U113" s="5"/>
      <c r="V113" s="5"/>
      <c r="W113" s="5"/>
    </row>
    <row r="114" spans="1:23" ht="14" customHeight="1">
      <c r="A114" s="5"/>
      <c r="B114" s="5"/>
      <c r="C114" s="100">
        <f t="shared" si="34"/>
        <v>12</v>
      </c>
      <c r="D114" s="6"/>
      <c r="E114" s="5"/>
      <c r="F114" s="5">
        <f t="shared" si="32"/>
        <v>0</v>
      </c>
      <c r="G114" s="5">
        <f t="shared" si="33"/>
        <v>0</v>
      </c>
      <c r="H114" s="5">
        <f t="shared" si="33"/>
        <v>0</v>
      </c>
      <c r="I114" s="5">
        <f t="shared" si="33"/>
        <v>0</v>
      </c>
      <c r="J114" s="5">
        <f t="shared" si="33"/>
        <v>0</v>
      </c>
      <c r="K114" s="5">
        <f t="shared" si="33"/>
        <v>0</v>
      </c>
      <c r="L114" s="5">
        <f t="shared" si="33"/>
        <v>0</v>
      </c>
      <c r="M114" s="5">
        <f t="shared" si="33"/>
        <v>0</v>
      </c>
      <c r="N114" s="5">
        <f t="shared" si="33"/>
        <v>0</v>
      </c>
      <c r="O114" s="5">
        <f t="shared" si="33"/>
        <v>0</v>
      </c>
      <c r="P114" s="5">
        <f t="shared" si="33"/>
        <v>0</v>
      </c>
      <c r="Q114" s="5">
        <f t="shared" si="33"/>
        <v>125.80220422756284</v>
      </c>
      <c r="R114" s="5">
        <f t="shared" si="33"/>
        <v>125.80220422756284</v>
      </c>
      <c r="S114" s="5">
        <f t="shared" si="33"/>
        <v>125.80220422756284</v>
      </c>
      <c r="T114" s="5">
        <f t="shared" si="33"/>
        <v>125.80220422756284</v>
      </c>
      <c r="U114" s="5"/>
      <c r="V114" s="5"/>
      <c r="W114" s="5"/>
    </row>
    <row r="115" spans="1:23" ht="14" customHeight="1">
      <c r="A115" s="5"/>
      <c r="B115" s="5"/>
      <c r="C115" s="100">
        <f t="shared" si="34"/>
        <v>13</v>
      </c>
      <c r="D115" s="6"/>
      <c r="E115" s="5"/>
      <c r="F115" s="5">
        <f t="shared" si="32"/>
        <v>0</v>
      </c>
      <c r="G115" s="5">
        <f t="shared" si="33"/>
        <v>0</v>
      </c>
      <c r="H115" s="5">
        <f t="shared" si="33"/>
        <v>0</v>
      </c>
      <c r="I115" s="5">
        <f t="shared" si="33"/>
        <v>0</v>
      </c>
      <c r="J115" s="5">
        <f t="shared" si="33"/>
        <v>0</v>
      </c>
      <c r="K115" s="5">
        <f t="shared" si="33"/>
        <v>0</v>
      </c>
      <c r="L115" s="5">
        <f t="shared" si="33"/>
        <v>0</v>
      </c>
      <c r="M115" s="5">
        <f t="shared" si="33"/>
        <v>0</v>
      </c>
      <c r="N115" s="5">
        <f t="shared" si="33"/>
        <v>0</v>
      </c>
      <c r="O115" s="5">
        <f t="shared" si="33"/>
        <v>0</v>
      </c>
      <c r="P115" s="5">
        <f t="shared" si="33"/>
        <v>0</v>
      </c>
      <c r="Q115" s="5">
        <f t="shared" si="33"/>
        <v>0</v>
      </c>
      <c r="R115" s="5">
        <f t="shared" si="33"/>
        <v>129.57627035438972</v>
      </c>
      <c r="S115" s="5">
        <f t="shared" si="33"/>
        <v>129.57627035438972</v>
      </c>
      <c r="T115" s="5">
        <f t="shared" si="33"/>
        <v>129.57627035438972</v>
      </c>
      <c r="U115" s="5"/>
      <c r="V115" s="5"/>
      <c r="W115" s="5"/>
    </row>
    <row r="116" spans="1:23" ht="14" customHeight="1">
      <c r="A116" s="5"/>
      <c r="B116" s="5"/>
      <c r="C116" s="100">
        <f t="shared" si="34"/>
        <v>14</v>
      </c>
      <c r="D116" s="6"/>
      <c r="E116" s="5"/>
      <c r="F116" s="5">
        <f t="shared" si="32"/>
        <v>0</v>
      </c>
      <c r="G116" s="5">
        <f t="shared" si="33"/>
        <v>0</v>
      </c>
      <c r="H116" s="5">
        <f t="shared" si="33"/>
        <v>0</v>
      </c>
      <c r="I116" s="5">
        <f t="shared" si="33"/>
        <v>0</v>
      </c>
      <c r="J116" s="5">
        <f t="shared" si="33"/>
        <v>0</v>
      </c>
      <c r="K116" s="5">
        <f t="shared" si="33"/>
        <v>0</v>
      </c>
      <c r="L116" s="5">
        <f t="shared" si="33"/>
        <v>0</v>
      </c>
      <c r="M116" s="5">
        <f t="shared" si="33"/>
        <v>0</v>
      </c>
      <c r="N116" s="5">
        <f t="shared" si="33"/>
        <v>0</v>
      </c>
      <c r="O116" s="5">
        <f t="shared" si="33"/>
        <v>0</v>
      </c>
      <c r="P116" s="5">
        <f t="shared" si="33"/>
        <v>0</v>
      </c>
      <c r="Q116" s="5">
        <f t="shared" si="33"/>
        <v>0</v>
      </c>
      <c r="R116" s="5">
        <f t="shared" si="33"/>
        <v>0</v>
      </c>
      <c r="S116" s="5">
        <f t="shared" si="33"/>
        <v>133.46355846502144</v>
      </c>
      <c r="T116" s="5">
        <f t="shared" si="33"/>
        <v>133.46355846502144</v>
      </c>
      <c r="U116" s="5"/>
      <c r="V116" s="5"/>
      <c r="W116" s="5"/>
    </row>
    <row r="117" spans="1:23" ht="14" customHeight="1">
      <c r="A117" s="5"/>
      <c r="B117" s="5"/>
      <c r="C117" s="100">
        <f t="shared" si="34"/>
        <v>15</v>
      </c>
      <c r="D117" s="6"/>
      <c r="E117" s="5"/>
      <c r="F117" s="5">
        <f t="shared" si="32"/>
        <v>0</v>
      </c>
      <c r="G117" s="5">
        <f t="shared" si="33"/>
        <v>0</v>
      </c>
      <c r="H117" s="5">
        <f t="shared" si="33"/>
        <v>0</v>
      </c>
      <c r="I117" s="5">
        <f t="shared" si="33"/>
        <v>0</v>
      </c>
      <c r="J117" s="5">
        <f t="shared" si="33"/>
        <v>0</v>
      </c>
      <c r="K117" s="5">
        <f t="shared" si="33"/>
        <v>0</v>
      </c>
      <c r="L117" s="5">
        <f t="shared" si="33"/>
        <v>0</v>
      </c>
      <c r="M117" s="5">
        <f t="shared" si="33"/>
        <v>0</v>
      </c>
      <c r="N117" s="5">
        <f t="shared" si="33"/>
        <v>0</v>
      </c>
      <c r="O117" s="5">
        <f t="shared" si="33"/>
        <v>0</v>
      </c>
      <c r="P117" s="5">
        <f t="shared" si="33"/>
        <v>0</v>
      </c>
      <c r="Q117" s="5">
        <f t="shared" si="33"/>
        <v>0</v>
      </c>
      <c r="R117" s="5">
        <f t="shared" si="33"/>
        <v>0</v>
      </c>
      <c r="S117" s="5">
        <f t="shared" si="33"/>
        <v>0</v>
      </c>
      <c r="T117" s="5">
        <f t="shared" si="33"/>
        <v>137.46746521897208</v>
      </c>
      <c r="U117" s="5"/>
      <c r="V117" s="5"/>
      <c r="W117" s="5"/>
    </row>
    <row r="118" spans="1:23" ht="14" customHeight="1">
      <c r="A118" s="5"/>
      <c r="B118" s="5"/>
      <c r="C118" s="13" t="s">
        <v>27</v>
      </c>
      <c r="D118" s="14"/>
      <c r="E118" s="13"/>
      <c r="F118" s="13">
        <f>MIN(SUM(F103:F117),F93+F97)</f>
        <v>1352</v>
      </c>
      <c r="G118" s="13">
        <f t="shared" ref="G118:T118" si="35">MIN(SUM(G103:G117),G93+G97)</f>
        <v>1444.7085714285715</v>
      </c>
      <c r="H118" s="13">
        <f t="shared" si="35"/>
        <v>1541.1254857142858</v>
      </c>
      <c r="I118" s="13">
        <f t="shared" si="35"/>
        <v>1640.4349074285715</v>
      </c>
      <c r="J118" s="13">
        <f t="shared" si="35"/>
        <v>1742.7236117942857</v>
      </c>
      <c r="K118" s="13">
        <f t="shared" si="35"/>
        <v>3340.6436551606862</v>
      </c>
      <c r="L118" s="13">
        <f t="shared" si="35"/>
        <v>3449.1617416222725</v>
      </c>
      <c r="M118" s="13">
        <f t="shared" si="35"/>
        <v>3560.9353706777065</v>
      </c>
      <c r="N118" s="13">
        <f t="shared" si="35"/>
        <v>3676.0622086048033</v>
      </c>
      <c r="O118" s="13">
        <f t="shared" si="35"/>
        <v>3794.6428516697133</v>
      </c>
      <c r="P118" s="13">
        <f t="shared" si="35"/>
        <v>5647.0701307487134</v>
      </c>
      <c r="Q118" s="13">
        <f t="shared" si="35"/>
        <v>5772.8723349762759</v>
      </c>
      <c r="R118" s="13">
        <f t="shared" si="35"/>
        <v>4354.7593674887703</v>
      </c>
      <c r="S118" s="13">
        <f t="shared" si="35"/>
        <v>934.24490925514999</v>
      </c>
      <c r="T118" s="13">
        <f t="shared" si="35"/>
        <v>962.27225653280459</v>
      </c>
      <c r="U118" s="5"/>
      <c r="V118" s="5"/>
      <c r="W118" s="5"/>
    </row>
    <row r="119" spans="1:23" ht="14" customHeight="1">
      <c r="A119" s="5"/>
      <c r="B119" s="5"/>
      <c r="C119" s="5"/>
      <c r="D119" s="6"/>
      <c r="E119" s="5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5"/>
      <c r="V119" s="5"/>
      <c r="W119" s="5"/>
    </row>
    <row r="120" spans="1:23" ht="14" customHeight="1" thickBot="1">
      <c r="C120" s="42" t="s">
        <v>165</v>
      </c>
      <c r="D120" s="42"/>
      <c r="E120" s="42">
        <v>0</v>
      </c>
      <c r="F120" s="42">
        <f t="shared" ref="F120:T120" si="36">F93+F97-F118</f>
        <v>8112</v>
      </c>
      <c r="G120" s="42">
        <f t="shared" si="36"/>
        <v>7316.2514285714278</v>
      </c>
      <c r="H120" s="42">
        <f t="shared" si="36"/>
        <v>6450.0443428571425</v>
      </c>
      <c r="I120" s="42">
        <f t="shared" si="36"/>
        <v>5504.7753874285718</v>
      </c>
      <c r="J120" s="42">
        <f t="shared" si="36"/>
        <v>4478.0727061942862</v>
      </c>
      <c r="K120" s="42">
        <f t="shared" si="36"/>
        <v>12322.869354598402</v>
      </c>
      <c r="L120" s="42">
        <f t="shared" si="36"/>
        <v>9633.3342182072338</v>
      </c>
      <c r="M120" s="42">
        <f t="shared" si="36"/>
        <v>6854.8142509175641</v>
      </c>
      <c r="N120" s="42">
        <f t="shared" si="36"/>
        <v>3984.6399078024397</v>
      </c>
      <c r="O120" s="42">
        <f t="shared" si="36"/>
        <v>1020.0615575870952</v>
      </c>
      <c r="P120" s="42">
        <f t="shared" si="36"/>
        <v>8339.9823803913787</v>
      </c>
      <c r="Q120" s="42">
        <f t="shared" si="36"/>
        <v>3447.7254750080419</v>
      </c>
      <c r="R120" s="42">
        <f t="shared" si="36"/>
        <v>0</v>
      </c>
      <c r="S120" s="42">
        <f t="shared" si="36"/>
        <v>0</v>
      </c>
      <c r="T120" s="42">
        <f t="shared" si="36"/>
        <v>0</v>
      </c>
      <c r="U120" s="5"/>
      <c r="V120" s="5"/>
      <c r="W120" s="5"/>
    </row>
    <row r="121" spans="1:23" ht="14" customHeight="1"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s="19" customFormat="1" ht="14" customHeight="1">
      <c r="B122" s="4" t="s">
        <v>35</v>
      </c>
      <c r="D122" s="20"/>
    </row>
    <row r="123" spans="1:23" ht="14" customHeight="1"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" customHeight="1">
      <c r="C124" s="5" t="s">
        <v>167</v>
      </c>
      <c r="D124" s="6"/>
      <c r="E124" s="5"/>
      <c r="F124" s="5">
        <f>F93</f>
        <v>0</v>
      </c>
      <c r="G124" s="5">
        <f t="shared" ref="G124:T124" si="37">G93</f>
        <v>8112</v>
      </c>
      <c r="H124" s="5">
        <f t="shared" si="37"/>
        <v>7316.2514285714278</v>
      </c>
      <c r="I124" s="5">
        <f t="shared" si="37"/>
        <v>6450.0443428571425</v>
      </c>
      <c r="J124" s="5">
        <f t="shared" si="37"/>
        <v>5504.7753874285718</v>
      </c>
      <c r="K124" s="5">
        <f t="shared" si="37"/>
        <v>4478.0727061942862</v>
      </c>
      <c r="L124" s="5">
        <f t="shared" si="37"/>
        <v>12322.869354598402</v>
      </c>
      <c r="M124" s="5">
        <f t="shared" si="37"/>
        <v>9633.3342182072338</v>
      </c>
      <c r="N124" s="5">
        <f t="shared" si="37"/>
        <v>6854.8142509175641</v>
      </c>
      <c r="O124" s="5">
        <f t="shared" si="37"/>
        <v>3984.6399078024397</v>
      </c>
      <c r="P124" s="5">
        <f t="shared" si="37"/>
        <v>1020.0615575870952</v>
      </c>
      <c r="Q124" s="5">
        <f t="shared" si="37"/>
        <v>8339.9823803913787</v>
      </c>
      <c r="R124" s="5">
        <f t="shared" si="37"/>
        <v>3447.7254750080419</v>
      </c>
      <c r="S124" s="5">
        <f t="shared" si="37"/>
        <v>0</v>
      </c>
      <c r="T124" s="5">
        <f t="shared" si="37"/>
        <v>0</v>
      </c>
      <c r="U124" s="5"/>
      <c r="V124" s="5"/>
      <c r="W124" s="5"/>
    </row>
    <row r="125" spans="1:23" ht="14" customHeight="1">
      <c r="C125" s="5" t="s">
        <v>25</v>
      </c>
      <c r="D125" s="6"/>
      <c r="E125" s="5"/>
      <c r="F125" s="5">
        <f t="shared" ref="F125:T125" si="38">F97</f>
        <v>9464</v>
      </c>
      <c r="G125" s="5">
        <f t="shared" si="38"/>
        <v>648.96</v>
      </c>
      <c r="H125" s="5">
        <f t="shared" si="38"/>
        <v>674.91840000000013</v>
      </c>
      <c r="I125" s="5">
        <f t="shared" si="38"/>
        <v>695.16595200000006</v>
      </c>
      <c r="J125" s="5">
        <f t="shared" si="38"/>
        <v>716.02093056000012</v>
      </c>
      <c r="K125" s="5">
        <f t="shared" si="38"/>
        <v>11185.440303564803</v>
      </c>
      <c r="L125" s="5">
        <f t="shared" si="38"/>
        <v>759.62660523110412</v>
      </c>
      <c r="M125" s="5">
        <f t="shared" si="38"/>
        <v>782.41540338803725</v>
      </c>
      <c r="N125" s="5">
        <f t="shared" si="38"/>
        <v>805.88786548967846</v>
      </c>
      <c r="O125" s="5">
        <f t="shared" si="38"/>
        <v>830.06450145436884</v>
      </c>
      <c r="P125" s="5">
        <f t="shared" si="38"/>
        <v>12966.990953552999</v>
      </c>
      <c r="Q125" s="5">
        <f t="shared" si="38"/>
        <v>880.6154295929399</v>
      </c>
      <c r="R125" s="5">
        <f t="shared" si="38"/>
        <v>907.03389248072813</v>
      </c>
      <c r="S125" s="5">
        <f t="shared" si="38"/>
        <v>934.24490925514999</v>
      </c>
      <c r="T125" s="5">
        <f t="shared" si="38"/>
        <v>962.27225653280459</v>
      </c>
      <c r="U125" s="5"/>
      <c r="V125" s="5"/>
      <c r="W125" s="5"/>
    </row>
    <row r="126" spans="1:23" ht="14" customHeight="1">
      <c r="C126" s="5" t="s">
        <v>26</v>
      </c>
      <c r="D126" s="6"/>
      <c r="E126" s="5"/>
      <c r="F126" s="5">
        <f>Inputs!$E$91*(F124+F125)</f>
        <v>1892.8000000000002</v>
      </c>
      <c r="G126" s="5">
        <f>Inputs!$E$91*(G124+G125)</f>
        <v>1752.192</v>
      </c>
      <c r="H126" s="5">
        <f>Inputs!$E$91*(H124+H125)</f>
        <v>1598.2339657142857</v>
      </c>
      <c r="I126" s="5">
        <f>Inputs!$E$91*(I124+I125)</f>
        <v>1429.0420589714286</v>
      </c>
      <c r="J126" s="5">
        <f>Inputs!$E$91*(J124+J125)</f>
        <v>1244.1592635977145</v>
      </c>
      <c r="K126" s="5">
        <f>Inputs!$E$91*(K124+K125)</f>
        <v>3132.702601951818</v>
      </c>
      <c r="L126" s="5">
        <f>Inputs!$E$91*(L124+L125)</f>
        <v>2616.4991919659014</v>
      </c>
      <c r="M126" s="5">
        <f>Inputs!$E$91*(M124+M125)</f>
        <v>2083.1499243190542</v>
      </c>
      <c r="N126" s="5">
        <f>Inputs!$E$91*(N124+N125)</f>
        <v>1532.1404232814486</v>
      </c>
      <c r="O126" s="5">
        <f>Inputs!$E$91*(O124+O125)</f>
        <v>962.94088185136172</v>
      </c>
      <c r="P126" s="5">
        <f>Inputs!$E$91*(P124+P125)</f>
        <v>2797.4105022280187</v>
      </c>
      <c r="Q126" s="5">
        <f>Inputs!$E$91*(Q124+Q125)</f>
        <v>1844.1195619968637</v>
      </c>
      <c r="R126" s="5">
        <f>Inputs!$E$91*(R124+R125)</f>
        <v>870.95187349775415</v>
      </c>
      <c r="S126" s="5">
        <f>Inputs!$E$91*(S124+S125)</f>
        <v>186.84898185103</v>
      </c>
      <c r="T126" s="5">
        <f>Inputs!$E$91*(T124+T125)</f>
        <v>192.45445130656094</v>
      </c>
      <c r="U126" s="5"/>
      <c r="V126" s="5"/>
      <c r="W126" s="5"/>
    </row>
    <row r="127" spans="1:23" ht="14" customHeight="1" thickBot="1">
      <c r="C127" s="42" t="s">
        <v>168</v>
      </c>
      <c r="D127" s="42"/>
      <c r="E127" s="42">
        <v>0</v>
      </c>
      <c r="F127" s="42">
        <f t="shared" ref="F127:T127" si="39">F124+F125-F126</f>
        <v>7571.2</v>
      </c>
      <c r="G127" s="42">
        <f t="shared" si="39"/>
        <v>7008.7679999999991</v>
      </c>
      <c r="H127" s="42">
        <f t="shared" si="39"/>
        <v>6392.9358628571426</v>
      </c>
      <c r="I127" s="42">
        <f t="shared" si="39"/>
        <v>5716.1682358857142</v>
      </c>
      <c r="J127" s="42">
        <f t="shared" si="39"/>
        <v>4976.6370543908579</v>
      </c>
      <c r="K127" s="42">
        <f t="shared" si="39"/>
        <v>12530.81040780727</v>
      </c>
      <c r="L127" s="42">
        <f t="shared" si="39"/>
        <v>10465.996767863606</v>
      </c>
      <c r="M127" s="42">
        <f t="shared" si="39"/>
        <v>8332.5996972762168</v>
      </c>
      <c r="N127" s="42">
        <f t="shared" si="39"/>
        <v>6128.5616931257946</v>
      </c>
      <c r="O127" s="42">
        <f t="shared" si="39"/>
        <v>3851.7635274054469</v>
      </c>
      <c r="P127" s="42">
        <f t="shared" si="39"/>
        <v>11189.642008912075</v>
      </c>
      <c r="Q127" s="42">
        <f t="shared" si="39"/>
        <v>7376.4782479874539</v>
      </c>
      <c r="R127" s="42">
        <f t="shared" si="39"/>
        <v>3483.8074939910161</v>
      </c>
      <c r="S127" s="42">
        <f t="shared" si="39"/>
        <v>747.39592740412002</v>
      </c>
      <c r="T127" s="42">
        <f t="shared" si="39"/>
        <v>769.81780522624365</v>
      </c>
      <c r="U127" s="5"/>
      <c r="V127" s="5"/>
      <c r="W127" s="5"/>
    </row>
    <row r="128" spans="1:23" ht="14" customHeight="1"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s="8" customFormat="1" ht="14" customHeight="1">
      <c r="A129" s="8" t="s">
        <v>47</v>
      </c>
      <c r="B129" s="9"/>
      <c r="C129" s="9"/>
      <c r="D129" s="43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3" ht="14" customHeight="1">
      <c r="D130" s="44"/>
    </row>
    <row r="131" spans="1:23" ht="14" customHeight="1">
      <c r="B131" s="32" t="s">
        <v>179</v>
      </c>
      <c r="D131" s="44"/>
    </row>
    <row r="132" spans="1:23" ht="14" customHeight="1">
      <c r="B132" s="32"/>
      <c r="D132" s="44"/>
    </row>
    <row r="133" spans="1:23" ht="14" customHeight="1">
      <c r="A133" s="5"/>
      <c r="B133" s="5"/>
      <c r="C133" s="4" t="s">
        <v>187</v>
      </c>
      <c r="D133" s="4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" customHeight="1">
      <c r="A134" s="5"/>
      <c r="B134" s="5"/>
      <c r="C134" s="5" t="s">
        <v>66</v>
      </c>
      <c r="D134" s="48"/>
      <c r="E134" s="17"/>
      <c r="F134" s="5">
        <f t="shared" ref="F134:O134" si="40">E137</f>
        <v>0</v>
      </c>
      <c r="G134" s="5">
        <f t="shared" si="40"/>
        <v>3800</v>
      </c>
      <c r="H134" s="5">
        <f t="shared" si="40"/>
        <v>3600</v>
      </c>
      <c r="I134" s="5">
        <f t="shared" si="40"/>
        <v>3400</v>
      </c>
      <c r="J134" s="5">
        <f t="shared" si="40"/>
        <v>3200</v>
      </c>
      <c r="K134" s="5">
        <f t="shared" si="40"/>
        <v>3000</v>
      </c>
      <c r="L134" s="5">
        <f t="shared" si="40"/>
        <v>2800</v>
      </c>
      <c r="M134" s="5">
        <f t="shared" si="40"/>
        <v>2600</v>
      </c>
      <c r="N134" s="5">
        <f t="shared" si="40"/>
        <v>2400</v>
      </c>
      <c r="O134" s="5">
        <f t="shared" si="40"/>
        <v>2200</v>
      </c>
      <c r="P134" s="5">
        <f>O137</f>
        <v>2000</v>
      </c>
      <c r="Q134" s="5">
        <f>P137</f>
        <v>1800</v>
      </c>
      <c r="R134" s="5">
        <f>Q137</f>
        <v>1600</v>
      </c>
      <c r="S134" s="5">
        <f>R137</f>
        <v>1400</v>
      </c>
      <c r="T134" s="5">
        <f>S137</f>
        <v>1200</v>
      </c>
      <c r="U134" s="5"/>
      <c r="V134" s="5"/>
      <c r="W134" s="5"/>
    </row>
    <row r="135" spans="1:23" s="15" customFormat="1" ht="14" customHeight="1">
      <c r="A135" s="5"/>
      <c r="B135" s="5"/>
      <c r="C135" s="5" t="str">
        <f>Inputs!C$102</f>
        <v>Term loan 1 drawdown (start of year)</v>
      </c>
      <c r="D135" s="45"/>
      <c r="E135" s="5"/>
      <c r="F135" s="17">
        <f>Inputs!F$102</f>
        <v>4000</v>
      </c>
      <c r="G135" s="17">
        <f>Inputs!G$102</f>
        <v>0</v>
      </c>
      <c r="H135" s="17">
        <f>Inputs!H$102</f>
        <v>0</v>
      </c>
      <c r="I135" s="17">
        <f>Inputs!I$102</f>
        <v>0</v>
      </c>
      <c r="J135" s="17">
        <f>Inputs!J$102</f>
        <v>0</v>
      </c>
      <c r="K135" s="17">
        <f>Inputs!K$102</f>
        <v>0</v>
      </c>
      <c r="L135" s="17">
        <f>Inputs!L$102</f>
        <v>0</v>
      </c>
      <c r="M135" s="17">
        <f>Inputs!M$102</f>
        <v>0</v>
      </c>
      <c r="N135" s="17">
        <f>Inputs!N$102</f>
        <v>0</v>
      </c>
      <c r="O135" s="17">
        <f>Inputs!O$102</f>
        <v>0</v>
      </c>
      <c r="P135" s="17">
        <f>Inputs!P$102</f>
        <v>0</v>
      </c>
      <c r="Q135" s="17">
        <f>Inputs!Q$102</f>
        <v>0</v>
      </c>
      <c r="R135" s="17">
        <f>Inputs!R$102</f>
        <v>0</v>
      </c>
      <c r="S135" s="17">
        <f>Inputs!S$102</f>
        <v>0</v>
      </c>
      <c r="T135" s="17">
        <f>Inputs!T$102</f>
        <v>0</v>
      </c>
      <c r="U135" s="102"/>
      <c r="V135" s="102"/>
      <c r="W135" s="102"/>
    </row>
    <row r="136" spans="1:23" s="15" customFormat="1" ht="14" customHeight="1">
      <c r="A136" s="5"/>
      <c r="B136" s="5"/>
      <c r="C136" s="5" t="str">
        <f>Inputs!C$103</f>
        <v>Term loan 1 repayment (end of year)</v>
      </c>
      <c r="D136" s="45"/>
      <c r="E136" s="5"/>
      <c r="F136" s="41">
        <f>Inputs!F$103</f>
        <v>-200</v>
      </c>
      <c r="G136" s="41">
        <f>Inputs!G$103</f>
        <v>-200</v>
      </c>
      <c r="H136" s="41">
        <f>Inputs!H$103</f>
        <v>-200</v>
      </c>
      <c r="I136" s="41">
        <f>Inputs!I$103</f>
        <v>-200</v>
      </c>
      <c r="J136" s="41">
        <f>Inputs!J$103</f>
        <v>-200</v>
      </c>
      <c r="K136" s="41">
        <f>Inputs!K$103</f>
        <v>-200</v>
      </c>
      <c r="L136" s="41">
        <f>Inputs!L$103</f>
        <v>-200</v>
      </c>
      <c r="M136" s="41">
        <f>Inputs!M$103</f>
        <v>-200</v>
      </c>
      <c r="N136" s="41">
        <f>Inputs!N$103</f>
        <v>-200</v>
      </c>
      <c r="O136" s="41">
        <f>Inputs!O$103</f>
        <v>-200</v>
      </c>
      <c r="P136" s="41">
        <f>Inputs!P$103</f>
        <v>-200</v>
      </c>
      <c r="Q136" s="41">
        <f>Inputs!Q$103</f>
        <v>-200</v>
      </c>
      <c r="R136" s="41">
        <f>Inputs!R$103</f>
        <v>-200</v>
      </c>
      <c r="S136" s="41">
        <f>Inputs!S$103</f>
        <v>-200</v>
      </c>
      <c r="T136" s="41">
        <f>Inputs!T$103</f>
        <v>-200</v>
      </c>
      <c r="U136" s="102"/>
      <c r="V136" s="102"/>
      <c r="W136" s="102"/>
    </row>
    <row r="137" spans="1:23" ht="14" customHeight="1">
      <c r="C137" s="13" t="s">
        <v>68</v>
      </c>
      <c r="D137" s="47"/>
      <c r="E137" s="13">
        <v>0</v>
      </c>
      <c r="F137" s="17">
        <f t="shared" ref="F137:O137" si="41">SUM(F134:F136)</f>
        <v>3800</v>
      </c>
      <c r="G137" s="5">
        <f t="shared" si="41"/>
        <v>3600</v>
      </c>
      <c r="H137" s="5">
        <f t="shared" si="41"/>
        <v>3400</v>
      </c>
      <c r="I137" s="5">
        <f t="shared" si="41"/>
        <v>3200</v>
      </c>
      <c r="J137" s="5">
        <f t="shared" si="41"/>
        <v>3000</v>
      </c>
      <c r="K137" s="5">
        <f t="shared" si="41"/>
        <v>2800</v>
      </c>
      <c r="L137" s="5">
        <f t="shared" si="41"/>
        <v>2600</v>
      </c>
      <c r="M137" s="5">
        <f t="shared" si="41"/>
        <v>2400</v>
      </c>
      <c r="N137" s="5">
        <f t="shared" si="41"/>
        <v>2200</v>
      </c>
      <c r="O137" s="5">
        <f t="shared" si="41"/>
        <v>2000</v>
      </c>
      <c r="P137" s="5">
        <f>SUM(P134:P136)</f>
        <v>1800</v>
      </c>
      <c r="Q137" s="5">
        <f>SUM(Q134:Q136)</f>
        <v>1600</v>
      </c>
      <c r="R137" s="5">
        <f>SUM(R134:R136)</f>
        <v>1400</v>
      </c>
      <c r="S137" s="5">
        <f>SUM(S134:S136)</f>
        <v>1200</v>
      </c>
      <c r="T137" s="5">
        <f>SUM(T134:T136)</f>
        <v>1000</v>
      </c>
      <c r="U137" s="5"/>
      <c r="V137" s="5"/>
      <c r="W137" s="5"/>
    </row>
    <row r="138" spans="1:23" ht="14" customHeight="1">
      <c r="C138" s="5"/>
      <c r="D138" s="4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" customHeight="1">
      <c r="A139" s="5"/>
      <c r="B139" s="5"/>
      <c r="C139" s="4" t="s">
        <v>188</v>
      </c>
      <c r="D139" s="4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" customHeight="1">
      <c r="A140" s="5"/>
      <c r="B140" s="5"/>
      <c r="C140" s="5" t="s">
        <v>66</v>
      </c>
      <c r="D140" s="48"/>
      <c r="E140" s="17"/>
      <c r="F140" s="5">
        <f t="shared" ref="F140:T140" si="42">E143</f>
        <v>0</v>
      </c>
      <c r="G140" s="5">
        <f t="shared" si="42"/>
        <v>0</v>
      </c>
      <c r="H140" s="5">
        <f t="shared" si="42"/>
        <v>0</v>
      </c>
      <c r="I140" s="5">
        <f t="shared" si="42"/>
        <v>0</v>
      </c>
      <c r="J140" s="5">
        <f t="shared" si="42"/>
        <v>0</v>
      </c>
      <c r="K140" s="5">
        <f t="shared" si="42"/>
        <v>0</v>
      </c>
      <c r="L140" s="5">
        <f t="shared" si="42"/>
        <v>4750</v>
      </c>
      <c r="M140" s="5">
        <f t="shared" si="42"/>
        <v>4500</v>
      </c>
      <c r="N140" s="5">
        <f t="shared" si="42"/>
        <v>4250</v>
      </c>
      <c r="O140" s="5">
        <f t="shared" si="42"/>
        <v>4000</v>
      </c>
      <c r="P140" s="5">
        <f t="shared" si="42"/>
        <v>3750</v>
      </c>
      <c r="Q140" s="5">
        <f t="shared" si="42"/>
        <v>3500</v>
      </c>
      <c r="R140" s="5">
        <f t="shared" si="42"/>
        <v>3250</v>
      </c>
      <c r="S140" s="5">
        <f t="shared" si="42"/>
        <v>3000</v>
      </c>
      <c r="T140" s="5">
        <f t="shared" si="42"/>
        <v>2750</v>
      </c>
      <c r="U140" s="5"/>
      <c r="V140" s="5"/>
      <c r="W140" s="5"/>
    </row>
    <row r="141" spans="1:23" s="15" customFormat="1" ht="14" customHeight="1">
      <c r="A141" s="5"/>
      <c r="B141" s="5"/>
      <c r="C141" s="5" t="str">
        <f>Inputs!C$104</f>
        <v>Term loan 2 drawdown (start of year)</v>
      </c>
      <c r="D141" s="45"/>
      <c r="E141" s="5"/>
      <c r="F141" s="17">
        <f>Inputs!F$104</f>
        <v>0</v>
      </c>
      <c r="G141" s="17">
        <f>Inputs!G$104</f>
        <v>0</v>
      </c>
      <c r="H141" s="17">
        <f>Inputs!H$104</f>
        <v>0</v>
      </c>
      <c r="I141" s="17">
        <f>Inputs!I$104</f>
        <v>0</v>
      </c>
      <c r="J141" s="17">
        <f>Inputs!J$104</f>
        <v>0</v>
      </c>
      <c r="K141" s="17">
        <f>Inputs!K$104</f>
        <v>5000</v>
      </c>
      <c r="L141" s="17">
        <f>Inputs!L$104</f>
        <v>0</v>
      </c>
      <c r="M141" s="17">
        <f>Inputs!M$104</f>
        <v>0</v>
      </c>
      <c r="N141" s="17">
        <f>Inputs!N$104</f>
        <v>0</v>
      </c>
      <c r="O141" s="17">
        <f>Inputs!O$104</f>
        <v>0</v>
      </c>
      <c r="P141" s="17">
        <f>Inputs!P$104</f>
        <v>0</v>
      </c>
      <c r="Q141" s="17">
        <f>Inputs!Q$104</f>
        <v>0</v>
      </c>
      <c r="R141" s="17">
        <f>Inputs!R$104</f>
        <v>0</v>
      </c>
      <c r="S141" s="17">
        <f>Inputs!S$104</f>
        <v>0</v>
      </c>
      <c r="T141" s="17">
        <f>Inputs!T$104</f>
        <v>0</v>
      </c>
      <c r="U141" s="102"/>
      <c r="V141" s="102"/>
      <c r="W141" s="102"/>
    </row>
    <row r="142" spans="1:23" s="15" customFormat="1" ht="14" customHeight="1">
      <c r="A142" s="5"/>
      <c r="B142" s="5"/>
      <c r="C142" s="5" t="str">
        <f>Inputs!C$105</f>
        <v>Term loan 2 repayment (end of year)</v>
      </c>
      <c r="D142" s="45"/>
      <c r="E142" s="5"/>
      <c r="F142" s="41">
        <f>Inputs!F$105</f>
        <v>0</v>
      </c>
      <c r="G142" s="41">
        <f>Inputs!G$105</f>
        <v>0</v>
      </c>
      <c r="H142" s="41">
        <f>Inputs!H$105</f>
        <v>0</v>
      </c>
      <c r="I142" s="41">
        <f>Inputs!I$105</f>
        <v>0</v>
      </c>
      <c r="J142" s="41">
        <f>Inputs!J$105</f>
        <v>0</v>
      </c>
      <c r="K142" s="41">
        <f>Inputs!K$105</f>
        <v>-250</v>
      </c>
      <c r="L142" s="41">
        <f>Inputs!L$105</f>
        <v>-250</v>
      </c>
      <c r="M142" s="41">
        <f>Inputs!M$105</f>
        <v>-250</v>
      </c>
      <c r="N142" s="41">
        <f>Inputs!N$105</f>
        <v>-250</v>
      </c>
      <c r="O142" s="41">
        <f>Inputs!O$105</f>
        <v>-250</v>
      </c>
      <c r="P142" s="41">
        <f>Inputs!P$105</f>
        <v>-250</v>
      </c>
      <c r="Q142" s="41">
        <f>Inputs!Q$105</f>
        <v>-250</v>
      </c>
      <c r="R142" s="41">
        <f>Inputs!R$105</f>
        <v>-250</v>
      </c>
      <c r="S142" s="41">
        <f>Inputs!S$105</f>
        <v>-250</v>
      </c>
      <c r="T142" s="41">
        <f>Inputs!T$105</f>
        <v>-250</v>
      </c>
      <c r="U142" s="102"/>
      <c r="V142" s="102"/>
      <c r="W142" s="102"/>
    </row>
    <row r="143" spans="1:23" ht="14" customHeight="1">
      <c r="C143" s="13" t="s">
        <v>68</v>
      </c>
      <c r="D143" s="47"/>
      <c r="E143" s="13">
        <v>0</v>
      </c>
      <c r="F143" s="17">
        <f t="shared" ref="F143:O143" si="43">SUM(F140:F142)</f>
        <v>0</v>
      </c>
      <c r="G143" s="5">
        <f t="shared" si="43"/>
        <v>0</v>
      </c>
      <c r="H143" s="5">
        <f t="shared" si="43"/>
        <v>0</v>
      </c>
      <c r="I143" s="5">
        <f t="shared" si="43"/>
        <v>0</v>
      </c>
      <c r="J143" s="5">
        <f t="shared" si="43"/>
        <v>0</v>
      </c>
      <c r="K143" s="5">
        <f t="shared" si="43"/>
        <v>4750</v>
      </c>
      <c r="L143" s="5">
        <f t="shared" si="43"/>
        <v>4500</v>
      </c>
      <c r="M143" s="5">
        <f t="shared" si="43"/>
        <v>4250</v>
      </c>
      <c r="N143" s="5">
        <f t="shared" si="43"/>
        <v>4000</v>
      </c>
      <c r="O143" s="5">
        <f t="shared" si="43"/>
        <v>3750</v>
      </c>
      <c r="P143" s="5">
        <f>SUM(P140:P142)</f>
        <v>3500</v>
      </c>
      <c r="Q143" s="5">
        <f>SUM(Q140:Q142)</f>
        <v>3250</v>
      </c>
      <c r="R143" s="5">
        <f>SUM(R140:R142)</f>
        <v>3000</v>
      </c>
      <c r="S143" s="5">
        <f>SUM(S140:S142)</f>
        <v>2750</v>
      </c>
      <c r="T143" s="5">
        <f>SUM(T140:T142)</f>
        <v>2500</v>
      </c>
      <c r="U143" s="5"/>
      <c r="V143" s="5"/>
      <c r="W143" s="5"/>
    </row>
    <row r="144" spans="1:23" ht="14" customHeight="1">
      <c r="C144" s="5"/>
      <c r="D144" s="4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" customHeight="1">
      <c r="A145" s="5"/>
      <c r="B145" s="5"/>
      <c r="C145" s="4" t="s">
        <v>189</v>
      </c>
      <c r="D145" s="4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" customHeight="1">
      <c r="A146" s="5"/>
      <c r="B146" s="5"/>
      <c r="C146" s="5" t="s">
        <v>66</v>
      </c>
      <c r="D146" s="48"/>
      <c r="E146" s="17"/>
      <c r="F146" s="5">
        <f t="shared" ref="F146:T146" si="44">E149</f>
        <v>0</v>
      </c>
      <c r="G146" s="5">
        <f t="shared" si="44"/>
        <v>0</v>
      </c>
      <c r="H146" s="5">
        <f t="shared" si="44"/>
        <v>0</v>
      </c>
      <c r="I146" s="5">
        <f t="shared" si="44"/>
        <v>0</v>
      </c>
      <c r="J146" s="5">
        <f t="shared" si="44"/>
        <v>0</v>
      </c>
      <c r="K146" s="5">
        <f t="shared" si="44"/>
        <v>0</v>
      </c>
      <c r="L146" s="5">
        <f t="shared" si="44"/>
        <v>0</v>
      </c>
      <c r="M146" s="5">
        <f t="shared" si="44"/>
        <v>0</v>
      </c>
      <c r="N146" s="5">
        <f t="shared" si="44"/>
        <v>0</v>
      </c>
      <c r="O146" s="5">
        <f t="shared" si="44"/>
        <v>0</v>
      </c>
      <c r="P146" s="5">
        <f t="shared" si="44"/>
        <v>0</v>
      </c>
      <c r="Q146" s="5">
        <f t="shared" si="44"/>
        <v>5400</v>
      </c>
      <c r="R146" s="5">
        <f t="shared" si="44"/>
        <v>4800</v>
      </c>
      <c r="S146" s="5">
        <f t="shared" si="44"/>
        <v>4200</v>
      </c>
      <c r="T146" s="5">
        <f t="shared" si="44"/>
        <v>3600</v>
      </c>
      <c r="U146" s="5"/>
      <c r="V146" s="5"/>
      <c r="W146" s="5"/>
    </row>
    <row r="147" spans="1:23" s="15" customFormat="1" ht="14" customHeight="1">
      <c r="A147" s="5"/>
      <c r="B147" s="5"/>
      <c r="C147" s="5" t="str">
        <f>Inputs!C$106</f>
        <v>Term loan 3 drawdown (start of year)</v>
      </c>
      <c r="D147" s="45"/>
      <c r="E147" s="5"/>
      <c r="F147" s="17">
        <f>Inputs!F$106</f>
        <v>0</v>
      </c>
      <c r="G147" s="17">
        <f>Inputs!G$106</f>
        <v>0</v>
      </c>
      <c r="H147" s="17">
        <f>Inputs!H$106</f>
        <v>0</v>
      </c>
      <c r="I147" s="17">
        <f>Inputs!I$106</f>
        <v>0</v>
      </c>
      <c r="J147" s="17">
        <f>Inputs!J$106</f>
        <v>0</v>
      </c>
      <c r="K147" s="17">
        <f>Inputs!K$106</f>
        <v>0</v>
      </c>
      <c r="L147" s="17">
        <f>Inputs!L$106</f>
        <v>0</v>
      </c>
      <c r="M147" s="17">
        <f>Inputs!M$106</f>
        <v>0</v>
      </c>
      <c r="N147" s="17">
        <f>Inputs!N$106</f>
        <v>0</v>
      </c>
      <c r="O147" s="17">
        <f>Inputs!O$106</f>
        <v>0</v>
      </c>
      <c r="P147" s="17">
        <f>Inputs!P$106</f>
        <v>6000</v>
      </c>
      <c r="Q147" s="17">
        <f>Inputs!Q$106</f>
        <v>0</v>
      </c>
      <c r="R147" s="17">
        <f>Inputs!R$106</f>
        <v>0</v>
      </c>
      <c r="S147" s="17">
        <f>Inputs!S$106</f>
        <v>0</v>
      </c>
      <c r="T147" s="17">
        <f>Inputs!T$106</f>
        <v>0</v>
      </c>
      <c r="U147" s="102"/>
      <c r="V147" s="102"/>
      <c r="W147" s="102"/>
    </row>
    <row r="148" spans="1:23" s="15" customFormat="1" ht="14" customHeight="1">
      <c r="A148" s="5"/>
      <c r="B148" s="5"/>
      <c r="C148" s="5" t="str">
        <f>Inputs!C$107</f>
        <v>Term loan 3 repayment (end of year)</v>
      </c>
      <c r="D148" s="45"/>
      <c r="E148" s="5"/>
      <c r="F148" s="41">
        <f>Inputs!F$107</f>
        <v>0</v>
      </c>
      <c r="G148" s="41">
        <f>Inputs!G$107</f>
        <v>0</v>
      </c>
      <c r="H148" s="41">
        <f>Inputs!H$107</f>
        <v>0</v>
      </c>
      <c r="I148" s="41">
        <f>Inputs!I$107</f>
        <v>0</v>
      </c>
      <c r="J148" s="41">
        <f>Inputs!J$107</f>
        <v>0</v>
      </c>
      <c r="K148" s="41">
        <f>Inputs!K$107</f>
        <v>0</v>
      </c>
      <c r="L148" s="41">
        <f>Inputs!L$107</f>
        <v>0</v>
      </c>
      <c r="M148" s="41">
        <f>Inputs!M$107</f>
        <v>0</v>
      </c>
      <c r="N148" s="41">
        <f>Inputs!N$107</f>
        <v>0</v>
      </c>
      <c r="O148" s="41">
        <f>Inputs!O$107</f>
        <v>0</v>
      </c>
      <c r="P148" s="41">
        <f>Inputs!P$107</f>
        <v>-600</v>
      </c>
      <c r="Q148" s="41">
        <f>Inputs!Q$107</f>
        <v>-600</v>
      </c>
      <c r="R148" s="41">
        <f>Inputs!R$107</f>
        <v>-600</v>
      </c>
      <c r="S148" s="41">
        <f>Inputs!S$107</f>
        <v>-600</v>
      </c>
      <c r="T148" s="41">
        <f>Inputs!T$107</f>
        <v>-600</v>
      </c>
      <c r="U148" s="102"/>
      <c r="V148" s="102"/>
      <c r="W148" s="102"/>
    </row>
    <row r="149" spans="1:23" ht="14" customHeight="1">
      <c r="C149" s="13" t="s">
        <v>68</v>
      </c>
      <c r="D149" s="47"/>
      <c r="E149" s="13">
        <v>0</v>
      </c>
      <c r="F149" s="17">
        <f t="shared" ref="F149:O149" si="45">SUM(F146:F148)</f>
        <v>0</v>
      </c>
      <c r="G149" s="5">
        <f t="shared" si="45"/>
        <v>0</v>
      </c>
      <c r="H149" s="5">
        <f t="shared" si="45"/>
        <v>0</v>
      </c>
      <c r="I149" s="5">
        <f t="shared" si="45"/>
        <v>0</v>
      </c>
      <c r="J149" s="5">
        <f t="shared" si="45"/>
        <v>0</v>
      </c>
      <c r="K149" s="5">
        <f t="shared" si="45"/>
        <v>0</v>
      </c>
      <c r="L149" s="5">
        <f t="shared" si="45"/>
        <v>0</v>
      </c>
      <c r="M149" s="5">
        <f t="shared" si="45"/>
        <v>0</v>
      </c>
      <c r="N149" s="5">
        <f t="shared" si="45"/>
        <v>0</v>
      </c>
      <c r="O149" s="5">
        <f t="shared" si="45"/>
        <v>0</v>
      </c>
      <c r="P149" s="5">
        <f>SUM(P146:P148)</f>
        <v>5400</v>
      </c>
      <c r="Q149" s="5">
        <f>SUM(Q146:Q148)</f>
        <v>4800</v>
      </c>
      <c r="R149" s="5">
        <f>SUM(R146:R148)</f>
        <v>4200</v>
      </c>
      <c r="S149" s="5">
        <f>SUM(S146:S148)</f>
        <v>3600</v>
      </c>
      <c r="T149" s="5">
        <f>SUM(T146:T148)</f>
        <v>3000</v>
      </c>
      <c r="U149" s="5"/>
      <c r="V149" s="5"/>
      <c r="W149" s="5"/>
    </row>
    <row r="150" spans="1:23" ht="14" customHeight="1">
      <c r="C150" s="5"/>
      <c r="D150" s="4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" customHeight="1">
      <c r="C151" s="5"/>
      <c r="D151" s="4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" customHeight="1">
      <c r="C152" s="5"/>
      <c r="D152" s="4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" customHeight="1">
      <c r="A153" s="5"/>
      <c r="B153" s="4" t="s">
        <v>61</v>
      </c>
      <c r="C153" s="5"/>
      <c r="D153" s="4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3" s="15" customFormat="1" ht="14" customHeight="1">
      <c r="A154" s="5"/>
      <c r="B154" s="5"/>
      <c r="C154" s="5" t="s">
        <v>24</v>
      </c>
      <c r="D154" s="45"/>
      <c r="E154" s="5"/>
      <c r="F154" s="5">
        <f>Outputs!E$28</f>
        <v>0</v>
      </c>
      <c r="G154" s="5">
        <f>Outputs!F$28</f>
        <v>13770.18950819672</v>
      </c>
      <c r="H154" s="5">
        <f>Outputs!G$28</f>
        <v>9989.7951719124394</v>
      </c>
      <c r="I154" s="5">
        <f>Outputs!H$28</f>
        <v>6534.9850042101589</v>
      </c>
      <c r="J154" s="5">
        <f>Outputs!I$28</f>
        <v>3995.6036470839326</v>
      </c>
      <c r="K154" s="5">
        <f>Outputs!J$28</f>
        <v>2250.3693947985621</v>
      </c>
      <c r="L154" s="5">
        <f>Outputs!K$28</f>
        <v>5215.8088955000812</v>
      </c>
      <c r="M154" s="5">
        <f>Outputs!L$28</f>
        <v>2774.7166201914979</v>
      </c>
      <c r="N154" s="5">
        <f>Outputs!M$28</f>
        <v>2402.2194592892929</v>
      </c>
      <c r="O154" s="5">
        <f>Outputs!N$28</f>
        <v>2424.9784645638329</v>
      </c>
      <c r="P154" s="5">
        <f>Outputs!O$28</f>
        <v>2528.3684002912205</v>
      </c>
      <c r="Q154" s="5">
        <f>Outputs!P$28</f>
        <v>6321.0562235917723</v>
      </c>
      <c r="R154" s="5">
        <f>Outputs!Q$28</f>
        <v>3537.2127753523864</v>
      </c>
      <c r="S154" s="5">
        <f>Outputs!R$28</f>
        <v>2946.641318359344</v>
      </c>
      <c r="T154" s="5">
        <f>Outputs!S$28</f>
        <v>2519.1767239155897</v>
      </c>
      <c r="U154" s="102"/>
      <c r="V154" s="102"/>
      <c r="W154" s="102"/>
    </row>
    <row r="155" spans="1:23" s="15" customFormat="1" ht="14" customHeight="1">
      <c r="A155" s="5"/>
      <c r="B155" s="5"/>
      <c r="C155" s="5" t="str">
        <f>Outputs!C$77</f>
        <v>Cash Flows from Operating Activities</v>
      </c>
      <c r="D155" s="45"/>
      <c r="E155" s="5"/>
      <c r="F155" s="17">
        <f>Outputs!F$77</f>
        <v>7186.3158469945347</v>
      </c>
      <c r="G155" s="17">
        <f>Outputs!G$77</f>
        <v>5760.4408356281547</v>
      </c>
      <c r="H155" s="17">
        <f>Outputs!H$77</f>
        <v>5872.7489386129528</v>
      </c>
      <c r="I155" s="17">
        <f>Outputs!I$77</f>
        <v>6288.5278674029432</v>
      </c>
      <c r="J155" s="17">
        <f>Outputs!J$77</f>
        <v>6740.2223963488814</v>
      </c>
      <c r="K155" s="17">
        <f>Outputs!K$77</f>
        <v>8093.2347791370557</v>
      </c>
      <c r="L155" s="17">
        <f>Outputs!L$77</f>
        <v>8348.147600226308</v>
      </c>
      <c r="M155" s="17">
        <f>Outputs!M$77</f>
        <v>8903.9652728669298</v>
      </c>
      <c r="N155" s="17">
        <f>Outputs!N$77</f>
        <v>9366.784998040197</v>
      </c>
      <c r="O155" s="17">
        <f>Outputs!O$77</f>
        <v>9836.7990354379199</v>
      </c>
      <c r="P155" s="17">
        <f>Outputs!P$77</f>
        <v>11159.921764114641</v>
      </c>
      <c r="Q155" s="17">
        <f>Outputs!Q$77</f>
        <v>11534.392223577235</v>
      </c>
      <c r="R155" s="17">
        <f>Outputs!R$77</f>
        <v>11338.959923963617</v>
      </c>
      <c r="S155" s="17">
        <f>Outputs!S$77</f>
        <v>9764.9973919634594</v>
      </c>
      <c r="T155" s="17">
        <f>Outputs!T$77</f>
        <v>10046.928703020571</v>
      </c>
      <c r="U155" s="102"/>
      <c r="V155" s="102"/>
      <c r="W155" s="102"/>
    </row>
    <row r="156" spans="1:23" s="15" customFormat="1" ht="14" customHeight="1">
      <c r="A156" s="5"/>
      <c r="B156" s="5"/>
      <c r="C156" s="5" t="str">
        <f>Outputs!C$81</f>
        <v>Cash Flows from Investing Activities</v>
      </c>
      <c r="D156" s="45"/>
      <c r="E156" s="5"/>
      <c r="F156" s="17">
        <f>Outputs!F$81</f>
        <v>9464</v>
      </c>
      <c r="G156" s="17">
        <f>Outputs!G$81</f>
        <v>648.96</v>
      </c>
      <c r="H156" s="17">
        <f>Outputs!H$81</f>
        <v>674.91840000000013</v>
      </c>
      <c r="I156" s="17">
        <f>Outputs!I$81</f>
        <v>695.16595200000006</v>
      </c>
      <c r="J156" s="17">
        <f>Outputs!J$81</f>
        <v>716.02093056000012</v>
      </c>
      <c r="K156" s="17">
        <f>Outputs!K$81</f>
        <v>11185.440303564803</v>
      </c>
      <c r="L156" s="17">
        <f>Outputs!L$81</f>
        <v>759.62660523110412</v>
      </c>
      <c r="M156" s="17">
        <f>Outputs!M$81</f>
        <v>782.41540338803725</v>
      </c>
      <c r="N156" s="17">
        <f>Outputs!N$81</f>
        <v>805.88786548967846</v>
      </c>
      <c r="O156" s="17">
        <f>Outputs!O$81</f>
        <v>830.06450145436884</v>
      </c>
      <c r="P156" s="17">
        <f>Outputs!P$81</f>
        <v>12966.990953552999</v>
      </c>
      <c r="Q156" s="17">
        <f>Outputs!Q$81</f>
        <v>880.6154295929399</v>
      </c>
      <c r="R156" s="17">
        <f>Outputs!R$81</f>
        <v>907.03389248072813</v>
      </c>
      <c r="S156" s="17">
        <f>Outputs!S$81</f>
        <v>934.24490925514999</v>
      </c>
      <c r="T156" s="17">
        <f>Outputs!T$81</f>
        <v>962.27225653280459</v>
      </c>
      <c r="U156" s="102"/>
      <c r="V156" s="102"/>
      <c r="W156" s="102"/>
    </row>
    <row r="157" spans="1:23" ht="14" customHeight="1" thickBot="1">
      <c r="A157" s="5"/>
      <c r="B157" s="5"/>
      <c r="C157" s="46" t="s">
        <v>69</v>
      </c>
      <c r="D157" s="42"/>
      <c r="E157" s="42"/>
      <c r="F157" s="42">
        <f t="shared" ref="F157:T157" si="46">SUM(F154:F156)</f>
        <v>16650.315846994534</v>
      </c>
      <c r="G157" s="42">
        <f t="shared" si="46"/>
        <v>20179.590343824872</v>
      </c>
      <c r="H157" s="42">
        <f t="shared" si="46"/>
        <v>16537.462510525391</v>
      </c>
      <c r="I157" s="42">
        <f t="shared" si="46"/>
        <v>13518.678823613101</v>
      </c>
      <c r="J157" s="42">
        <f t="shared" si="46"/>
        <v>11451.846973992815</v>
      </c>
      <c r="K157" s="42">
        <f t="shared" si="46"/>
        <v>21529.044477500422</v>
      </c>
      <c r="L157" s="42">
        <f t="shared" si="46"/>
        <v>14323.583100957494</v>
      </c>
      <c r="M157" s="42">
        <f t="shared" si="46"/>
        <v>12461.097296446464</v>
      </c>
      <c r="N157" s="42">
        <f t="shared" si="46"/>
        <v>12574.892322819169</v>
      </c>
      <c r="O157" s="42">
        <f t="shared" si="46"/>
        <v>13091.842001456123</v>
      </c>
      <c r="P157" s="42">
        <f t="shared" si="46"/>
        <v>26655.281117958861</v>
      </c>
      <c r="Q157" s="42">
        <f t="shared" si="46"/>
        <v>18736.063876761949</v>
      </c>
      <c r="R157" s="42">
        <f t="shared" si="46"/>
        <v>15783.206591796732</v>
      </c>
      <c r="S157" s="42">
        <f t="shared" si="46"/>
        <v>13645.883619577955</v>
      </c>
      <c r="T157" s="42">
        <f t="shared" si="46"/>
        <v>13528.377683468963</v>
      </c>
      <c r="U157" s="5"/>
      <c r="V157" s="5"/>
      <c r="W157" s="5"/>
    </row>
    <row r="158" spans="1:23" ht="14" customHeight="1">
      <c r="A158" s="5"/>
      <c r="B158" s="5"/>
      <c r="C158" s="5"/>
      <c r="D158" s="4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" customHeight="1">
      <c r="A159" s="5"/>
      <c r="B159" s="4" t="s">
        <v>72</v>
      </c>
      <c r="C159" s="5"/>
      <c r="D159" s="4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s="15" customFormat="1" ht="14" customHeight="1">
      <c r="A160" s="5"/>
      <c r="B160" s="5"/>
      <c r="C160" s="5" t="str">
        <f>Inputs!C$108</f>
        <v>Equity contribution</v>
      </c>
      <c r="D160" s="45"/>
      <c r="E160" s="5"/>
      <c r="F160" s="17">
        <f>Inputs!F$108</f>
        <v>2500</v>
      </c>
      <c r="G160" s="17">
        <f>Inputs!G$108</f>
        <v>0</v>
      </c>
      <c r="H160" s="17">
        <f>Inputs!H$108</f>
        <v>0</v>
      </c>
      <c r="I160" s="17">
        <f>Inputs!I$108</f>
        <v>0</v>
      </c>
      <c r="J160" s="17">
        <f>Inputs!J$108</f>
        <v>0</v>
      </c>
      <c r="K160" s="17">
        <f>Inputs!K$108</f>
        <v>0</v>
      </c>
      <c r="L160" s="17">
        <f>Inputs!L$108</f>
        <v>0</v>
      </c>
      <c r="M160" s="17">
        <f>Inputs!M$108</f>
        <v>0</v>
      </c>
      <c r="N160" s="17">
        <f>Inputs!N$108</f>
        <v>0</v>
      </c>
      <c r="O160" s="17">
        <f>Inputs!O$108</f>
        <v>0</v>
      </c>
      <c r="P160" s="17">
        <f>Inputs!P$108</f>
        <v>0</v>
      </c>
      <c r="Q160" s="17">
        <f>Inputs!Q$108</f>
        <v>0</v>
      </c>
      <c r="R160" s="17">
        <f>Inputs!R$108</f>
        <v>0</v>
      </c>
      <c r="S160" s="17">
        <f>Inputs!S$108</f>
        <v>0</v>
      </c>
      <c r="T160" s="17">
        <f>Inputs!T$108</f>
        <v>0</v>
      </c>
      <c r="U160" s="102"/>
      <c r="V160" s="102"/>
      <c r="W160" s="102"/>
    </row>
    <row r="161" spans="1:23" s="15" customFormat="1" ht="14" customHeight="1">
      <c r="A161" s="5"/>
      <c r="B161" s="5"/>
      <c r="C161" s="5" t="s">
        <v>194</v>
      </c>
      <c r="D161" s="45"/>
      <c r="E161" s="5"/>
      <c r="F161" s="17">
        <f t="shared" ref="F161:T161" si="47">F135+F141+F147+F136+F142+F148</f>
        <v>3800</v>
      </c>
      <c r="G161" s="17">
        <f t="shared" si="47"/>
        <v>-200</v>
      </c>
      <c r="H161" s="17">
        <f t="shared" si="47"/>
        <v>-200</v>
      </c>
      <c r="I161" s="17">
        <f t="shared" si="47"/>
        <v>-200</v>
      </c>
      <c r="J161" s="17">
        <f t="shared" si="47"/>
        <v>-200</v>
      </c>
      <c r="K161" s="17">
        <f t="shared" si="47"/>
        <v>4550</v>
      </c>
      <c r="L161" s="17">
        <f t="shared" si="47"/>
        <v>-450</v>
      </c>
      <c r="M161" s="17">
        <f t="shared" si="47"/>
        <v>-450</v>
      </c>
      <c r="N161" s="17">
        <f t="shared" si="47"/>
        <v>-450</v>
      </c>
      <c r="O161" s="17">
        <f t="shared" si="47"/>
        <v>-450</v>
      </c>
      <c r="P161" s="17">
        <f t="shared" si="47"/>
        <v>4950</v>
      </c>
      <c r="Q161" s="17">
        <f t="shared" si="47"/>
        <v>-1050</v>
      </c>
      <c r="R161" s="17">
        <f t="shared" si="47"/>
        <v>-1050</v>
      </c>
      <c r="S161" s="17">
        <f t="shared" si="47"/>
        <v>-1050</v>
      </c>
      <c r="T161" s="17">
        <f t="shared" si="47"/>
        <v>-1050</v>
      </c>
      <c r="U161" s="102"/>
      <c r="V161" s="102"/>
      <c r="W161" s="102"/>
    </row>
    <row r="162" spans="1:23" ht="14" customHeight="1">
      <c r="A162" s="5"/>
      <c r="B162" s="5"/>
      <c r="C162" s="13" t="s">
        <v>73</v>
      </c>
      <c r="D162" s="47"/>
      <c r="E162" s="13"/>
      <c r="F162" s="13">
        <f t="shared" ref="F162:T162" si="48">SUM(F160:F161)</f>
        <v>6300</v>
      </c>
      <c r="G162" s="13">
        <f t="shared" si="48"/>
        <v>-200</v>
      </c>
      <c r="H162" s="13">
        <f t="shared" si="48"/>
        <v>-200</v>
      </c>
      <c r="I162" s="13">
        <f t="shared" si="48"/>
        <v>-200</v>
      </c>
      <c r="J162" s="13">
        <f t="shared" si="48"/>
        <v>-200</v>
      </c>
      <c r="K162" s="13">
        <f t="shared" si="48"/>
        <v>4550</v>
      </c>
      <c r="L162" s="13">
        <f t="shared" si="48"/>
        <v>-450</v>
      </c>
      <c r="M162" s="13">
        <f t="shared" si="48"/>
        <v>-450</v>
      </c>
      <c r="N162" s="13">
        <f t="shared" si="48"/>
        <v>-450</v>
      </c>
      <c r="O162" s="13">
        <f t="shared" si="48"/>
        <v>-450</v>
      </c>
      <c r="P162" s="13">
        <f t="shared" si="48"/>
        <v>4950</v>
      </c>
      <c r="Q162" s="13">
        <f t="shared" si="48"/>
        <v>-1050</v>
      </c>
      <c r="R162" s="13">
        <f t="shared" si="48"/>
        <v>-1050</v>
      </c>
      <c r="S162" s="13">
        <f t="shared" si="48"/>
        <v>-1050</v>
      </c>
      <c r="T162" s="13">
        <f t="shared" si="48"/>
        <v>-1050</v>
      </c>
      <c r="U162" s="5"/>
      <c r="V162" s="5"/>
      <c r="W162" s="5"/>
    </row>
    <row r="163" spans="1:23" ht="14" customHeight="1">
      <c r="A163" s="5"/>
      <c r="B163" s="5"/>
      <c r="C163" s="5"/>
      <c r="D163" s="4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" customHeight="1">
      <c r="A164" s="5"/>
      <c r="B164" s="5"/>
      <c r="C164" s="4" t="s">
        <v>70</v>
      </c>
      <c r="D164" s="45"/>
      <c r="E164" s="5"/>
      <c r="F164" s="17">
        <f t="shared" ref="F164:T164" si="49">F157+F162</f>
        <v>22950.315846994534</v>
      </c>
      <c r="G164" s="17">
        <f t="shared" si="49"/>
        <v>19979.590343824872</v>
      </c>
      <c r="H164" s="17">
        <f t="shared" si="49"/>
        <v>16337.462510525391</v>
      </c>
      <c r="I164" s="17">
        <f t="shared" si="49"/>
        <v>13318.678823613101</v>
      </c>
      <c r="J164" s="17">
        <f t="shared" si="49"/>
        <v>11251.846973992815</v>
      </c>
      <c r="K164" s="17">
        <f t="shared" si="49"/>
        <v>26079.044477500422</v>
      </c>
      <c r="L164" s="17">
        <f t="shared" si="49"/>
        <v>13873.583100957494</v>
      </c>
      <c r="M164" s="17">
        <f t="shared" si="49"/>
        <v>12011.097296446464</v>
      </c>
      <c r="N164" s="17">
        <f t="shared" si="49"/>
        <v>12124.892322819169</v>
      </c>
      <c r="O164" s="17">
        <f t="shared" si="49"/>
        <v>12641.842001456123</v>
      </c>
      <c r="P164" s="17">
        <f t="shared" si="49"/>
        <v>31605.281117958861</v>
      </c>
      <c r="Q164" s="17">
        <f t="shared" si="49"/>
        <v>17686.063876761949</v>
      </c>
      <c r="R164" s="17">
        <f t="shared" si="49"/>
        <v>14733.206591796732</v>
      </c>
      <c r="S164" s="17">
        <f t="shared" si="49"/>
        <v>12595.883619577955</v>
      </c>
      <c r="T164" s="17">
        <f t="shared" si="49"/>
        <v>12478.377683468963</v>
      </c>
      <c r="U164" s="5"/>
      <c r="V164" s="5"/>
      <c r="W164" s="5"/>
    </row>
    <row r="165" spans="1:23" ht="14" customHeight="1">
      <c r="A165" s="5"/>
      <c r="B165" s="25"/>
      <c r="C165" s="25"/>
      <c r="D165" s="25"/>
      <c r="E165" s="25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5"/>
      <c r="V165" s="5"/>
      <c r="W165" s="5"/>
    </row>
    <row r="166" spans="1:23" ht="14" customHeight="1">
      <c r="A166" s="5"/>
      <c r="B166" s="25" t="s">
        <v>195</v>
      </c>
      <c r="C166" s="17"/>
      <c r="D166" s="45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5"/>
      <c r="V166" s="5"/>
      <c r="W166" s="5"/>
    </row>
    <row r="167" spans="1:23" ht="14" customHeight="1">
      <c r="C167" s="5" t="s">
        <v>66</v>
      </c>
      <c r="D167" s="45"/>
      <c r="E167" s="17"/>
      <c r="F167" s="5">
        <f t="shared" ref="F167:O167" si="50">E170</f>
        <v>0</v>
      </c>
      <c r="G167" s="5">
        <f t="shared" si="50"/>
        <v>0</v>
      </c>
      <c r="H167" s="5">
        <f t="shared" si="50"/>
        <v>0</v>
      </c>
      <c r="I167" s="5">
        <f t="shared" si="50"/>
        <v>0</v>
      </c>
      <c r="J167" s="5">
        <f t="shared" si="50"/>
        <v>0</v>
      </c>
      <c r="K167" s="5">
        <f t="shared" si="50"/>
        <v>0</v>
      </c>
      <c r="L167" s="5">
        <f t="shared" si="50"/>
        <v>0</v>
      </c>
      <c r="M167" s="5">
        <f t="shared" si="50"/>
        <v>0</v>
      </c>
      <c r="N167" s="5">
        <f t="shared" si="50"/>
        <v>0</v>
      </c>
      <c r="O167" s="5">
        <f t="shared" si="50"/>
        <v>0</v>
      </c>
      <c r="P167" s="5">
        <f>O170</f>
        <v>0</v>
      </c>
      <c r="Q167" s="5">
        <f>P170</f>
        <v>0</v>
      </c>
      <c r="R167" s="5">
        <f>Q170</f>
        <v>0</v>
      </c>
      <c r="S167" s="5">
        <f>R170</f>
        <v>0</v>
      </c>
      <c r="T167" s="5">
        <f>S170</f>
        <v>0</v>
      </c>
      <c r="U167" s="5"/>
      <c r="V167" s="5"/>
      <c r="W167" s="5"/>
    </row>
    <row r="168" spans="1:23" ht="14" customHeight="1">
      <c r="C168" s="5" t="s">
        <v>14</v>
      </c>
      <c r="D168" s="45"/>
      <c r="E168" s="5"/>
      <c r="F168" s="5">
        <f>-F164*(F164&lt;0)</f>
        <v>0</v>
      </c>
      <c r="G168" s="5">
        <f t="shared" ref="G168:T168" si="51">-G164*(G164&lt;0)</f>
        <v>0</v>
      </c>
      <c r="H168" s="5">
        <f t="shared" si="51"/>
        <v>0</v>
      </c>
      <c r="I168" s="5">
        <f t="shared" si="51"/>
        <v>0</v>
      </c>
      <c r="J168" s="5">
        <f t="shared" si="51"/>
        <v>0</v>
      </c>
      <c r="K168" s="5">
        <f t="shared" si="51"/>
        <v>0</v>
      </c>
      <c r="L168" s="5">
        <f t="shared" si="51"/>
        <v>0</v>
      </c>
      <c r="M168" s="5">
        <f t="shared" si="51"/>
        <v>0</v>
      </c>
      <c r="N168" s="5">
        <f t="shared" si="51"/>
        <v>0</v>
      </c>
      <c r="O168" s="5">
        <f t="shared" si="51"/>
        <v>0</v>
      </c>
      <c r="P168" s="5">
        <f t="shared" si="51"/>
        <v>0</v>
      </c>
      <c r="Q168" s="5">
        <f t="shared" si="51"/>
        <v>0</v>
      </c>
      <c r="R168" s="5">
        <f t="shared" si="51"/>
        <v>0</v>
      </c>
      <c r="S168" s="5">
        <f t="shared" si="51"/>
        <v>0</v>
      </c>
      <c r="T168" s="5">
        <f t="shared" si="51"/>
        <v>0</v>
      </c>
      <c r="U168" s="5"/>
      <c r="V168" s="5"/>
      <c r="W168" s="5"/>
    </row>
    <row r="169" spans="1:23" ht="14" customHeight="1">
      <c r="C169" s="5" t="s">
        <v>67</v>
      </c>
      <c r="D169" s="45"/>
      <c r="E169" s="5"/>
      <c r="F169" s="17">
        <f>AND(F164&gt;0,F167&gt;0)*(0-MIN(F167,F164))</f>
        <v>0</v>
      </c>
      <c r="G169" s="17">
        <f t="shared" ref="G169:T169" si="52">AND(G164&gt;0,G167&gt;0)*(0-MIN(G167,G164))</f>
        <v>0</v>
      </c>
      <c r="H169" s="17">
        <f t="shared" si="52"/>
        <v>0</v>
      </c>
      <c r="I169" s="17">
        <f t="shared" si="52"/>
        <v>0</v>
      </c>
      <c r="J169" s="17">
        <f t="shared" si="52"/>
        <v>0</v>
      </c>
      <c r="K169" s="17">
        <f t="shared" si="52"/>
        <v>0</v>
      </c>
      <c r="L169" s="17">
        <f t="shared" si="52"/>
        <v>0</v>
      </c>
      <c r="M169" s="17">
        <f t="shared" si="52"/>
        <v>0</v>
      </c>
      <c r="N169" s="17">
        <f t="shared" si="52"/>
        <v>0</v>
      </c>
      <c r="O169" s="17">
        <f t="shared" si="52"/>
        <v>0</v>
      </c>
      <c r="P169" s="17">
        <f t="shared" si="52"/>
        <v>0</v>
      </c>
      <c r="Q169" s="17">
        <f t="shared" si="52"/>
        <v>0</v>
      </c>
      <c r="R169" s="17">
        <f t="shared" si="52"/>
        <v>0</v>
      </c>
      <c r="S169" s="17">
        <f t="shared" si="52"/>
        <v>0</v>
      </c>
      <c r="T169" s="17">
        <f t="shared" si="52"/>
        <v>0</v>
      </c>
      <c r="U169" s="5"/>
      <c r="V169" s="5"/>
      <c r="W169" s="5"/>
    </row>
    <row r="170" spans="1:23" ht="14" customHeight="1">
      <c r="C170" s="13" t="s">
        <v>68</v>
      </c>
      <c r="D170" s="47"/>
      <c r="E170" s="13">
        <v>0</v>
      </c>
      <c r="F170" s="13">
        <f t="shared" ref="F170:O170" si="53">SUM(F167:F169)</f>
        <v>0</v>
      </c>
      <c r="G170" s="13">
        <f t="shared" si="53"/>
        <v>0</v>
      </c>
      <c r="H170" s="13">
        <f t="shared" si="53"/>
        <v>0</v>
      </c>
      <c r="I170" s="13">
        <f t="shared" si="53"/>
        <v>0</v>
      </c>
      <c r="J170" s="13">
        <f t="shared" si="53"/>
        <v>0</v>
      </c>
      <c r="K170" s="13">
        <f t="shared" si="53"/>
        <v>0</v>
      </c>
      <c r="L170" s="13">
        <f t="shared" si="53"/>
        <v>0</v>
      </c>
      <c r="M170" s="13">
        <f t="shared" si="53"/>
        <v>0</v>
      </c>
      <c r="N170" s="13">
        <f t="shared" si="53"/>
        <v>0</v>
      </c>
      <c r="O170" s="13">
        <f t="shared" si="53"/>
        <v>0</v>
      </c>
      <c r="P170" s="13">
        <f>SUM(P167:P169)</f>
        <v>0</v>
      </c>
      <c r="Q170" s="13">
        <f>SUM(Q167:Q169)</f>
        <v>0</v>
      </c>
      <c r="R170" s="13">
        <f>SUM(R167:R169)</f>
        <v>0</v>
      </c>
      <c r="S170" s="13">
        <f>SUM(S167:S169)</f>
        <v>0</v>
      </c>
      <c r="T170" s="13">
        <f>SUM(T167:T169)</f>
        <v>0</v>
      </c>
      <c r="U170" s="5"/>
      <c r="V170" s="5"/>
      <c r="W170" s="5"/>
    </row>
    <row r="171" spans="1:23" ht="14" customHeight="1">
      <c r="C171" s="5"/>
      <c r="D171" s="4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" customHeight="1">
      <c r="B172" s="32" t="s">
        <v>16</v>
      </c>
      <c r="C172" s="5"/>
      <c r="D172" s="4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" customHeight="1">
      <c r="C173" s="5" t="s">
        <v>54</v>
      </c>
      <c r="D173" s="45"/>
      <c r="E173" s="5"/>
      <c r="F173" s="5">
        <f>SUM(F164,F168:F169)*Inputs!F109</f>
        <v>9180.1263387978142</v>
      </c>
      <c r="G173" s="5">
        <f>SUM(G164,G168:G169)*Inputs!G109</f>
        <v>9989.7951719124358</v>
      </c>
      <c r="H173" s="5">
        <f>SUM(H164,H168:H169)*Inputs!H109</f>
        <v>9802.4775063152338</v>
      </c>
      <c r="I173" s="5">
        <f>SUM(I164,I168:I169)*Inputs!I109</f>
        <v>9323.0751765291698</v>
      </c>
      <c r="J173" s="5">
        <f>SUM(J164,J168:J169)*Inputs!J109</f>
        <v>9001.477579194252</v>
      </c>
      <c r="K173" s="5">
        <f>SUM(K164,K168:K169)*Inputs!K109</f>
        <v>20863.235582000339</v>
      </c>
      <c r="L173" s="5">
        <f>SUM(L164,L168:L169)*Inputs!L109</f>
        <v>11098.866480765995</v>
      </c>
      <c r="M173" s="5">
        <f>SUM(M164,M168:M169)*Inputs!M109</f>
        <v>9608.8778371571716</v>
      </c>
      <c r="N173" s="5">
        <f>SUM(N164,N168:N169)*Inputs!N109</f>
        <v>9699.9138582553351</v>
      </c>
      <c r="O173" s="5">
        <f>SUM(O164,O168:O169)*Inputs!O109</f>
        <v>10113.4736011649</v>
      </c>
      <c r="P173" s="5">
        <f>SUM(P164,P168:P169)*Inputs!P109</f>
        <v>25284.224894367089</v>
      </c>
      <c r="Q173" s="5">
        <f>SUM(Q164,Q168:Q169)*Inputs!Q109</f>
        <v>14148.85110140956</v>
      </c>
      <c r="R173" s="5">
        <f>SUM(R164,R168:R169)*Inputs!R109</f>
        <v>11786.565273437387</v>
      </c>
      <c r="S173" s="5">
        <f>SUM(S164,S168:S169)*Inputs!S109</f>
        <v>10076.706895662364</v>
      </c>
      <c r="T173" s="5">
        <f>SUM(T164,T168:T169)*Inputs!T109</f>
        <v>9982.7021467751711</v>
      </c>
      <c r="U173" s="5"/>
      <c r="V173" s="5"/>
      <c r="W173" s="5"/>
    </row>
    <row r="174" spans="1:23" ht="14" customHeight="1">
      <c r="B174" s="21"/>
      <c r="C174" s="5"/>
      <c r="D174" s="4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s="8" customFormat="1" ht="14" customHeight="1">
      <c r="A175" s="8" t="s">
        <v>82</v>
      </c>
      <c r="B175" s="9"/>
      <c r="C175" s="9"/>
      <c r="D175" s="4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3" ht="14" customHeight="1">
      <c r="D176" s="50"/>
    </row>
    <row r="177" spans="1:23" ht="14" customHeight="1">
      <c r="C177" s="32" t="s">
        <v>152</v>
      </c>
      <c r="D177" s="50"/>
    </row>
    <row r="178" spans="1:23" ht="14" customHeight="1">
      <c r="A178" s="5"/>
      <c r="B178" s="5"/>
      <c r="C178" s="40" t="s">
        <v>193</v>
      </c>
      <c r="D178" s="5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" customHeight="1">
      <c r="A179" s="5"/>
      <c r="B179" s="5"/>
      <c r="C179" s="5" t="s">
        <v>24</v>
      </c>
      <c r="D179" s="51"/>
      <c r="E179" s="5"/>
      <c r="F179" s="5">
        <f>Outputs!E$28</f>
        <v>0</v>
      </c>
      <c r="G179" s="5">
        <f>Outputs!F$28</f>
        <v>13770.18950819672</v>
      </c>
      <c r="H179" s="5">
        <f>Outputs!G$28</f>
        <v>9989.7951719124394</v>
      </c>
      <c r="I179" s="5">
        <f>Outputs!H$28</f>
        <v>6534.9850042101589</v>
      </c>
      <c r="J179" s="5">
        <f>Outputs!I$28</f>
        <v>3995.6036470839326</v>
      </c>
      <c r="K179" s="5">
        <f>Outputs!J$28</f>
        <v>2250.3693947985621</v>
      </c>
      <c r="L179" s="5">
        <f>Outputs!K$28</f>
        <v>5215.8088955000812</v>
      </c>
      <c r="M179" s="5">
        <f>Outputs!L$28</f>
        <v>2774.7166201914979</v>
      </c>
      <c r="N179" s="5">
        <f>Outputs!M$28</f>
        <v>2402.2194592892929</v>
      </c>
      <c r="O179" s="5">
        <f>Outputs!N$28</f>
        <v>2424.9784645638329</v>
      </c>
      <c r="P179" s="5">
        <f>Outputs!O$28</f>
        <v>2528.3684002912205</v>
      </c>
      <c r="Q179" s="5">
        <f>Outputs!P$28</f>
        <v>6321.0562235917723</v>
      </c>
      <c r="R179" s="5">
        <f>Outputs!Q$28</f>
        <v>3537.2127753523864</v>
      </c>
      <c r="S179" s="5">
        <f>Outputs!R$28</f>
        <v>2946.641318359344</v>
      </c>
      <c r="T179" s="5">
        <f>Outputs!S$28</f>
        <v>2519.1767239155897</v>
      </c>
      <c r="U179" s="5"/>
      <c r="V179" s="5"/>
      <c r="W179" s="5"/>
    </row>
    <row r="180" spans="1:23" s="15" customFormat="1" ht="14" customHeight="1">
      <c r="A180" s="5"/>
      <c r="B180" s="5"/>
      <c r="C180" s="5" t="str">
        <f>Inputs!C$95</f>
        <v>Cash on hand</v>
      </c>
      <c r="D180" s="6" t="str">
        <f>Inputs!D$95</f>
        <v>%</v>
      </c>
      <c r="E180" s="17"/>
      <c r="F180" s="104">
        <f>Inputs!F$95</f>
        <v>0.04</v>
      </c>
      <c r="G180" s="104">
        <f>Inputs!G$95</f>
        <v>0.04</v>
      </c>
      <c r="H180" s="104">
        <f>Inputs!H$95</f>
        <v>0.04</v>
      </c>
      <c r="I180" s="104">
        <f>Inputs!I$95</f>
        <v>0.04</v>
      </c>
      <c r="J180" s="104">
        <f>Inputs!J$95</f>
        <v>0.04</v>
      </c>
      <c r="K180" s="104">
        <f>Inputs!K$95</f>
        <v>0.04</v>
      </c>
      <c r="L180" s="104">
        <f>Inputs!L$95</f>
        <v>0.04</v>
      </c>
      <c r="M180" s="104">
        <f>Inputs!M$95</f>
        <v>0.04</v>
      </c>
      <c r="N180" s="104">
        <f>Inputs!N$95</f>
        <v>0.04</v>
      </c>
      <c r="O180" s="104">
        <f>Inputs!O$95</f>
        <v>0.04</v>
      </c>
      <c r="P180" s="104">
        <f>Inputs!P$95</f>
        <v>0.04</v>
      </c>
      <c r="Q180" s="104">
        <f>Inputs!Q$95</f>
        <v>0.04</v>
      </c>
      <c r="R180" s="104">
        <f>Inputs!R$95</f>
        <v>0.04</v>
      </c>
      <c r="S180" s="104">
        <f>Inputs!S$95</f>
        <v>0.04</v>
      </c>
      <c r="T180" s="104">
        <f>Inputs!T$95</f>
        <v>0.04</v>
      </c>
      <c r="U180" s="102"/>
      <c r="V180" s="102"/>
      <c r="W180" s="102"/>
    </row>
    <row r="181" spans="1:23" ht="14" customHeight="1">
      <c r="A181" s="5"/>
      <c r="B181" s="4"/>
      <c r="C181" s="52" t="s">
        <v>71</v>
      </c>
      <c r="D181" s="53"/>
      <c r="E181" s="13"/>
      <c r="F181" s="17">
        <f>F179*F180</f>
        <v>0</v>
      </c>
      <c r="G181" s="5">
        <f t="shared" ref="G181:T181" si="54">G179*G180</f>
        <v>550.80758032786878</v>
      </c>
      <c r="H181" s="5">
        <f t="shared" si="54"/>
        <v>399.59180687649757</v>
      </c>
      <c r="I181" s="5">
        <f t="shared" si="54"/>
        <v>261.39940016840637</v>
      </c>
      <c r="J181" s="5">
        <f t="shared" si="54"/>
        <v>159.82414588335732</v>
      </c>
      <c r="K181" s="5">
        <f t="shared" si="54"/>
        <v>90.014775791942483</v>
      </c>
      <c r="L181" s="5">
        <f t="shared" si="54"/>
        <v>208.63235582000326</v>
      </c>
      <c r="M181" s="5">
        <f t="shared" si="54"/>
        <v>110.98866480765992</v>
      </c>
      <c r="N181" s="5">
        <f t="shared" si="54"/>
        <v>96.088778371571721</v>
      </c>
      <c r="O181" s="5">
        <f t="shared" si="54"/>
        <v>96.999138582553314</v>
      </c>
      <c r="P181" s="5">
        <f t="shared" si="54"/>
        <v>101.13473601164883</v>
      </c>
      <c r="Q181" s="5">
        <f t="shared" si="54"/>
        <v>252.84224894367091</v>
      </c>
      <c r="R181" s="5">
        <f t="shared" si="54"/>
        <v>141.48851101409545</v>
      </c>
      <c r="S181" s="5">
        <f t="shared" si="54"/>
        <v>117.86565273437377</v>
      </c>
      <c r="T181" s="5">
        <f t="shared" si="54"/>
        <v>100.76706895662359</v>
      </c>
      <c r="U181" s="5"/>
      <c r="V181" s="5"/>
      <c r="W181" s="5"/>
    </row>
    <row r="182" spans="1:23" ht="14" customHeight="1">
      <c r="A182" s="5"/>
      <c r="B182" s="5"/>
      <c r="C182" s="5"/>
      <c r="D182" s="5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" customHeight="1">
      <c r="A183" s="5"/>
      <c r="B183" s="5"/>
      <c r="C183" s="4" t="s">
        <v>187</v>
      </c>
      <c r="D183" s="5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" customHeight="1">
      <c r="A184" s="5"/>
      <c r="B184" s="5"/>
      <c r="C184" s="40" t="s">
        <v>154</v>
      </c>
      <c r="D184" s="5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" customHeight="1">
      <c r="A185" s="5"/>
      <c r="B185" s="5"/>
      <c r="C185" s="5" t="str">
        <f>C$134</f>
        <v>Opening balance</v>
      </c>
      <c r="D185" s="54"/>
      <c r="E185" s="5"/>
      <c r="F185" s="5">
        <f t="shared" ref="F185:T185" si="55">F$134</f>
        <v>0</v>
      </c>
      <c r="G185" s="5">
        <f t="shared" si="55"/>
        <v>3800</v>
      </c>
      <c r="H185" s="5">
        <f t="shared" si="55"/>
        <v>3600</v>
      </c>
      <c r="I185" s="5">
        <f t="shared" si="55"/>
        <v>3400</v>
      </c>
      <c r="J185" s="5">
        <f t="shared" si="55"/>
        <v>3200</v>
      </c>
      <c r="K185" s="5">
        <f t="shared" si="55"/>
        <v>3000</v>
      </c>
      <c r="L185" s="5">
        <f t="shared" si="55"/>
        <v>2800</v>
      </c>
      <c r="M185" s="5">
        <f t="shared" si="55"/>
        <v>2600</v>
      </c>
      <c r="N185" s="5">
        <f t="shared" si="55"/>
        <v>2400</v>
      </c>
      <c r="O185" s="5">
        <f t="shared" si="55"/>
        <v>2200</v>
      </c>
      <c r="P185" s="5">
        <f t="shared" si="55"/>
        <v>2000</v>
      </c>
      <c r="Q185" s="5">
        <f t="shared" si="55"/>
        <v>1800</v>
      </c>
      <c r="R185" s="5">
        <f t="shared" si="55"/>
        <v>1600</v>
      </c>
      <c r="S185" s="5">
        <f t="shared" si="55"/>
        <v>1400</v>
      </c>
      <c r="T185" s="5">
        <f t="shared" si="55"/>
        <v>1200</v>
      </c>
      <c r="U185" s="5"/>
      <c r="V185" s="5"/>
      <c r="W185" s="5"/>
    </row>
    <row r="186" spans="1:23" ht="14" customHeight="1">
      <c r="A186" s="5"/>
      <c r="B186" s="5"/>
      <c r="C186" s="5" t="str">
        <f>C$135</f>
        <v>Term loan 1 drawdown (start of year)</v>
      </c>
      <c r="D186" s="54"/>
      <c r="E186" s="5"/>
      <c r="F186" s="5">
        <f t="shared" ref="F186:T186" si="56">F$135</f>
        <v>4000</v>
      </c>
      <c r="G186" s="5">
        <f t="shared" si="56"/>
        <v>0</v>
      </c>
      <c r="H186" s="5">
        <f t="shared" si="56"/>
        <v>0</v>
      </c>
      <c r="I186" s="5">
        <f t="shared" si="56"/>
        <v>0</v>
      </c>
      <c r="J186" s="5">
        <f t="shared" si="56"/>
        <v>0</v>
      </c>
      <c r="K186" s="5">
        <f t="shared" si="56"/>
        <v>0</v>
      </c>
      <c r="L186" s="5">
        <f t="shared" si="56"/>
        <v>0</v>
      </c>
      <c r="M186" s="5">
        <f t="shared" si="56"/>
        <v>0</v>
      </c>
      <c r="N186" s="5">
        <f t="shared" si="56"/>
        <v>0</v>
      </c>
      <c r="O186" s="5">
        <f t="shared" si="56"/>
        <v>0</v>
      </c>
      <c r="P186" s="5">
        <f t="shared" si="56"/>
        <v>0</v>
      </c>
      <c r="Q186" s="5">
        <f t="shared" si="56"/>
        <v>0</v>
      </c>
      <c r="R186" s="5">
        <f t="shared" si="56"/>
        <v>0</v>
      </c>
      <c r="S186" s="5">
        <f t="shared" si="56"/>
        <v>0</v>
      </c>
      <c r="T186" s="5">
        <f t="shared" si="56"/>
        <v>0</v>
      </c>
      <c r="U186" s="5"/>
      <c r="V186" s="5"/>
      <c r="W186" s="5"/>
    </row>
    <row r="187" spans="1:23" ht="14" customHeight="1">
      <c r="A187" s="5"/>
      <c r="B187" s="5"/>
      <c r="C187" s="5" t="str">
        <f>Inputs!C$96</f>
        <v>Term loan 1 interest</v>
      </c>
      <c r="D187" s="6" t="str">
        <f>Inputs!D$96</f>
        <v>%</v>
      </c>
      <c r="E187" s="17"/>
      <c r="F187" s="104">
        <f>Inputs!F$96</f>
        <v>0.09</v>
      </c>
      <c r="G187" s="104">
        <f>Inputs!G$96</f>
        <v>0.09</v>
      </c>
      <c r="H187" s="104">
        <f>Inputs!H$96</f>
        <v>0.09</v>
      </c>
      <c r="I187" s="104">
        <f>Inputs!I$96</f>
        <v>0.09</v>
      </c>
      <c r="J187" s="104">
        <f>Inputs!J$96</f>
        <v>0.09</v>
      </c>
      <c r="K187" s="104">
        <f>Inputs!K$96</f>
        <v>0.09</v>
      </c>
      <c r="L187" s="104">
        <f>Inputs!L$96</f>
        <v>0.09</v>
      </c>
      <c r="M187" s="104">
        <f>Inputs!M$96</f>
        <v>0.09</v>
      </c>
      <c r="N187" s="104">
        <f>Inputs!N$96</f>
        <v>0.09</v>
      </c>
      <c r="O187" s="104">
        <f>Inputs!O$96</f>
        <v>0.09</v>
      </c>
      <c r="P187" s="104">
        <f>Inputs!P$96</f>
        <v>0.09</v>
      </c>
      <c r="Q187" s="104">
        <f>Inputs!Q$96</f>
        <v>0.09</v>
      </c>
      <c r="R187" s="104">
        <f>Inputs!R$96</f>
        <v>0.09</v>
      </c>
      <c r="S187" s="104">
        <f>Inputs!S$96</f>
        <v>0.09</v>
      </c>
      <c r="T187" s="104">
        <f>Inputs!T$96</f>
        <v>0.09</v>
      </c>
      <c r="U187" s="5"/>
      <c r="V187" s="5"/>
      <c r="W187" s="5"/>
    </row>
    <row r="188" spans="1:23" ht="14" customHeight="1">
      <c r="A188" s="5"/>
      <c r="B188" s="5"/>
      <c r="C188" s="52" t="s">
        <v>55</v>
      </c>
      <c r="D188" s="53"/>
      <c r="E188" s="13"/>
      <c r="F188" s="13">
        <f t="shared" ref="F188:L188" si="57">-SUM(F185:F186)*F187</f>
        <v>-360</v>
      </c>
      <c r="G188" s="13">
        <f t="shared" si="57"/>
        <v>-342</v>
      </c>
      <c r="H188" s="13">
        <f t="shared" si="57"/>
        <v>-324</v>
      </c>
      <c r="I188" s="13">
        <f t="shared" si="57"/>
        <v>-306</v>
      </c>
      <c r="J188" s="13">
        <f t="shared" si="57"/>
        <v>-288</v>
      </c>
      <c r="K188" s="13">
        <f t="shared" si="57"/>
        <v>-270</v>
      </c>
      <c r="L188" s="13">
        <f t="shared" si="57"/>
        <v>-252</v>
      </c>
      <c r="M188" s="13">
        <f t="shared" ref="M188:T188" si="58">-SUM(M185:M186)*M187</f>
        <v>-234</v>
      </c>
      <c r="N188" s="13">
        <f t="shared" si="58"/>
        <v>-216</v>
      </c>
      <c r="O188" s="13">
        <f t="shared" si="58"/>
        <v>-198</v>
      </c>
      <c r="P188" s="13">
        <f t="shared" si="58"/>
        <v>-180</v>
      </c>
      <c r="Q188" s="13">
        <f t="shared" si="58"/>
        <v>-162</v>
      </c>
      <c r="R188" s="13">
        <f t="shared" si="58"/>
        <v>-144</v>
      </c>
      <c r="S188" s="13">
        <f t="shared" si="58"/>
        <v>-126</v>
      </c>
      <c r="T188" s="13">
        <f t="shared" si="58"/>
        <v>-108</v>
      </c>
      <c r="U188" s="5"/>
      <c r="V188" s="5"/>
      <c r="W188" s="5"/>
    </row>
    <row r="189" spans="1:23" ht="14" customHeight="1">
      <c r="A189" s="5"/>
      <c r="B189" s="5"/>
      <c r="C189" s="5"/>
      <c r="D189" s="5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" customHeight="1">
      <c r="A190" s="5"/>
      <c r="B190" s="5"/>
      <c r="C190" s="4" t="s">
        <v>188</v>
      </c>
      <c r="D190" s="5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" customHeight="1">
      <c r="A191" s="5"/>
      <c r="B191" s="5"/>
      <c r="C191" s="40" t="s">
        <v>154</v>
      </c>
      <c r="D191" s="5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" customHeight="1">
      <c r="A192" s="5"/>
      <c r="B192" s="5"/>
      <c r="C192" s="5" t="str">
        <f>C$140</f>
        <v>Opening balance</v>
      </c>
      <c r="D192" s="54"/>
      <c r="E192" s="5"/>
      <c r="F192" s="5">
        <f t="shared" ref="F192:T192" si="59">F$140</f>
        <v>0</v>
      </c>
      <c r="G192" s="5">
        <f t="shared" si="59"/>
        <v>0</v>
      </c>
      <c r="H192" s="5">
        <f t="shared" si="59"/>
        <v>0</v>
      </c>
      <c r="I192" s="5">
        <f t="shared" si="59"/>
        <v>0</v>
      </c>
      <c r="J192" s="5">
        <f t="shared" si="59"/>
        <v>0</v>
      </c>
      <c r="K192" s="5">
        <f t="shared" si="59"/>
        <v>0</v>
      </c>
      <c r="L192" s="5">
        <f t="shared" si="59"/>
        <v>4750</v>
      </c>
      <c r="M192" s="5">
        <f t="shared" si="59"/>
        <v>4500</v>
      </c>
      <c r="N192" s="5">
        <f t="shared" si="59"/>
        <v>4250</v>
      </c>
      <c r="O192" s="5">
        <f t="shared" si="59"/>
        <v>4000</v>
      </c>
      <c r="P192" s="5">
        <f t="shared" si="59"/>
        <v>3750</v>
      </c>
      <c r="Q192" s="5">
        <f t="shared" si="59"/>
        <v>3500</v>
      </c>
      <c r="R192" s="5">
        <f t="shared" si="59"/>
        <v>3250</v>
      </c>
      <c r="S192" s="5">
        <f t="shared" si="59"/>
        <v>3000</v>
      </c>
      <c r="T192" s="5">
        <f t="shared" si="59"/>
        <v>2750</v>
      </c>
      <c r="U192" s="5"/>
      <c r="V192" s="5"/>
      <c r="W192" s="5"/>
    </row>
    <row r="193" spans="1:23" ht="14" customHeight="1">
      <c r="A193" s="5"/>
      <c r="B193" s="5"/>
      <c r="C193" s="5" t="str">
        <f>C$141</f>
        <v>Term loan 2 drawdown (start of year)</v>
      </c>
      <c r="D193" s="54"/>
      <c r="E193" s="5"/>
      <c r="F193" s="5">
        <f t="shared" ref="F193:T193" si="60">F$141</f>
        <v>0</v>
      </c>
      <c r="G193" s="5">
        <f t="shared" si="60"/>
        <v>0</v>
      </c>
      <c r="H193" s="5">
        <f t="shared" si="60"/>
        <v>0</v>
      </c>
      <c r="I193" s="5">
        <f t="shared" si="60"/>
        <v>0</v>
      </c>
      <c r="J193" s="5">
        <f t="shared" si="60"/>
        <v>0</v>
      </c>
      <c r="K193" s="5">
        <f t="shared" si="60"/>
        <v>5000</v>
      </c>
      <c r="L193" s="5">
        <f t="shared" si="60"/>
        <v>0</v>
      </c>
      <c r="M193" s="5">
        <f t="shared" si="60"/>
        <v>0</v>
      </c>
      <c r="N193" s="5">
        <f t="shared" si="60"/>
        <v>0</v>
      </c>
      <c r="O193" s="5">
        <f t="shared" si="60"/>
        <v>0</v>
      </c>
      <c r="P193" s="5">
        <f t="shared" si="60"/>
        <v>0</v>
      </c>
      <c r="Q193" s="5">
        <f t="shared" si="60"/>
        <v>0</v>
      </c>
      <c r="R193" s="5">
        <f t="shared" si="60"/>
        <v>0</v>
      </c>
      <c r="S193" s="5">
        <f t="shared" si="60"/>
        <v>0</v>
      </c>
      <c r="T193" s="5">
        <f t="shared" si="60"/>
        <v>0</v>
      </c>
      <c r="U193" s="5"/>
      <c r="V193" s="5"/>
      <c r="W193" s="5"/>
    </row>
    <row r="194" spans="1:23" ht="14" customHeight="1">
      <c r="A194" s="5"/>
      <c r="B194" s="5"/>
      <c r="C194" s="5" t="str">
        <f>Inputs!C$97</f>
        <v>Term loan 2 interest</v>
      </c>
      <c r="D194" s="6" t="str">
        <f>Inputs!D$97</f>
        <v>%</v>
      </c>
      <c r="E194" s="17"/>
      <c r="F194" s="104">
        <f>Inputs!F$97</f>
        <v>0.1</v>
      </c>
      <c r="G194" s="104">
        <f>Inputs!G$97</f>
        <v>0.1</v>
      </c>
      <c r="H194" s="104">
        <f>Inputs!H$97</f>
        <v>0.1</v>
      </c>
      <c r="I194" s="104">
        <f>Inputs!I$97</f>
        <v>0.1</v>
      </c>
      <c r="J194" s="104">
        <f>Inputs!J$97</f>
        <v>0.1</v>
      </c>
      <c r="K194" s="104">
        <f>Inputs!K$97</f>
        <v>0.1</v>
      </c>
      <c r="L194" s="104">
        <f>Inputs!L$97</f>
        <v>0.1</v>
      </c>
      <c r="M194" s="104">
        <f>Inputs!M$97</f>
        <v>0.1</v>
      </c>
      <c r="N194" s="104">
        <f>Inputs!N$97</f>
        <v>0.1</v>
      </c>
      <c r="O194" s="104">
        <f>Inputs!O$97</f>
        <v>0.1</v>
      </c>
      <c r="P194" s="104">
        <f>Inputs!P$97</f>
        <v>0.1</v>
      </c>
      <c r="Q194" s="104">
        <f>Inputs!Q$97</f>
        <v>0.1</v>
      </c>
      <c r="R194" s="104">
        <f>Inputs!R$97</f>
        <v>0.1</v>
      </c>
      <c r="S194" s="104">
        <f>Inputs!S$97</f>
        <v>0.1</v>
      </c>
      <c r="T194" s="104">
        <f>Inputs!T$97</f>
        <v>0.1</v>
      </c>
      <c r="U194" s="5"/>
      <c r="V194" s="5"/>
      <c r="W194" s="5"/>
    </row>
    <row r="195" spans="1:23" ht="14" customHeight="1">
      <c r="A195" s="5"/>
      <c r="B195" s="5"/>
      <c r="C195" s="52" t="s">
        <v>55</v>
      </c>
      <c r="D195" s="53"/>
      <c r="E195" s="13"/>
      <c r="F195" s="13">
        <f t="shared" ref="F195:L195" si="61">-SUM(F192:F193)*F194</f>
        <v>0</v>
      </c>
      <c r="G195" s="13">
        <f t="shared" si="61"/>
        <v>0</v>
      </c>
      <c r="H195" s="13">
        <f t="shared" si="61"/>
        <v>0</v>
      </c>
      <c r="I195" s="13">
        <f t="shared" si="61"/>
        <v>0</v>
      </c>
      <c r="J195" s="13">
        <f t="shared" si="61"/>
        <v>0</v>
      </c>
      <c r="K195" s="13">
        <f t="shared" si="61"/>
        <v>-500</v>
      </c>
      <c r="L195" s="13">
        <f t="shared" si="61"/>
        <v>-475</v>
      </c>
      <c r="M195" s="13">
        <f t="shared" ref="M195:T195" si="62">-SUM(M192:M193)*M194</f>
        <v>-450</v>
      </c>
      <c r="N195" s="13">
        <f t="shared" si="62"/>
        <v>-425</v>
      </c>
      <c r="O195" s="13">
        <f t="shared" si="62"/>
        <v>-400</v>
      </c>
      <c r="P195" s="13">
        <f t="shared" si="62"/>
        <v>-375</v>
      </c>
      <c r="Q195" s="13">
        <f t="shared" si="62"/>
        <v>-350</v>
      </c>
      <c r="R195" s="13">
        <f t="shared" si="62"/>
        <v>-325</v>
      </c>
      <c r="S195" s="13">
        <f t="shared" si="62"/>
        <v>-300</v>
      </c>
      <c r="T195" s="13">
        <f t="shared" si="62"/>
        <v>-275</v>
      </c>
      <c r="U195" s="5"/>
      <c r="V195" s="5"/>
      <c r="W195" s="5"/>
    </row>
    <row r="196" spans="1:23" ht="14" customHeight="1">
      <c r="A196" s="5"/>
      <c r="B196" s="5"/>
      <c r="C196" s="5"/>
      <c r="D196" s="5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" customHeight="1">
      <c r="A197" s="5"/>
      <c r="B197" s="5"/>
      <c r="C197" s="4" t="s">
        <v>189</v>
      </c>
      <c r="D197" s="5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" customHeight="1">
      <c r="A198" s="5"/>
      <c r="B198" s="5"/>
      <c r="C198" s="40" t="s">
        <v>154</v>
      </c>
      <c r="D198" s="5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" customHeight="1">
      <c r="A199" s="5"/>
      <c r="B199" s="5"/>
      <c r="C199" s="5" t="str">
        <f>C$146</f>
        <v>Opening balance</v>
      </c>
      <c r="D199" s="54"/>
      <c r="E199" s="5"/>
      <c r="F199" s="5">
        <f t="shared" ref="F199:T199" si="63">F$146</f>
        <v>0</v>
      </c>
      <c r="G199" s="5">
        <f t="shared" si="63"/>
        <v>0</v>
      </c>
      <c r="H199" s="5">
        <f t="shared" si="63"/>
        <v>0</v>
      </c>
      <c r="I199" s="5">
        <f t="shared" si="63"/>
        <v>0</v>
      </c>
      <c r="J199" s="5">
        <f t="shared" si="63"/>
        <v>0</v>
      </c>
      <c r="K199" s="5">
        <f t="shared" si="63"/>
        <v>0</v>
      </c>
      <c r="L199" s="5">
        <f t="shared" si="63"/>
        <v>0</v>
      </c>
      <c r="M199" s="5">
        <f t="shared" si="63"/>
        <v>0</v>
      </c>
      <c r="N199" s="5">
        <f t="shared" si="63"/>
        <v>0</v>
      </c>
      <c r="O199" s="5">
        <f t="shared" si="63"/>
        <v>0</v>
      </c>
      <c r="P199" s="5">
        <f t="shared" si="63"/>
        <v>0</v>
      </c>
      <c r="Q199" s="5">
        <f t="shared" si="63"/>
        <v>5400</v>
      </c>
      <c r="R199" s="5">
        <f t="shared" si="63"/>
        <v>4800</v>
      </c>
      <c r="S199" s="5">
        <f t="shared" si="63"/>
        <v>4200</v>
      </c>
      <c r="T199" s="5">
        <f t="shared" si="63"/>
        <v>3600</v>
      </c>
      <c r="U199" s="5"/>
      <c r="V199" s="5"/>
      <c r="W199" s="5"/>
    </row>
    <row r="200" spans="1:23" ht="14" customHeight="1">
      <c r="A200" s="5"/>
      <c r="B200" s="5"/>
      <c r="C200" s="5" t="str">
        <f>C$147</f>
        <v>Term loan 3 drawdown (start of year)</v>
      </c>
      <c r="D200" s="54"/>
      <c r="E200" s="5"/>
      <c r="F200" s="5">
        <f t="shared" ref="F200:T200" si="64">F$147</f>
        <v>0</v>
      </c>
      <c r="G200" s="5">
        <f t="shared" si="64"/>
        <v>0</v>
      </c>
      <c r="H200" s="5">
        <f t="shared" si="64"/>
        <v>0</v>
      </c>
      <c r="I200" s="5">
        <f t="shared" si="64"/>
        <v>0</v>
      </c>
      <c r="J200" s="5">
        <f t="shared" si="64"/>
        <v>0</v>
      </c>
      <c r="K200" s="5">
        <f t="shared" si="64"/>
        <v>0</v>
      </c>
      <c r="L200" s="5">
        <f t="shared" si="64"/>
        <v>0</v>
      </c>
      <c r="M200" s="5">
        <f t="shared" si="64"/>
        <v>0</v>
      </c>
      <c r="N200" s="5">
        <f t="shared" si="64"/>
        <v>0</v>
      </c>
      <c r="O200" s="5">
        <f t="shared" si="64"/>
        <v>0</v>
      </c>
      <c r="P200" s="5">
        <f t="shared" si="64"/>
        <v>6000</v>
      </c>
      <c r="Q200" s="5">
        <f t="shared" si="64"/>
        <v>0</v>
      </c>
      <c r="R200" s="5">
        <f t="shared" si="64"/>
        <v>0</v>
      </c>
      <c r="S200" s="5">
        <f t="shared" si="64"/>
        <v>0</v>
      </c>
      <c r="T200" s="5">
        <f t="shared" si="64"/>
        <v>0</v>
      </c>
      <c r="U200" s="5"/>
      <c r="V200" s="5"/>
      <c r="W200" s="5"/>
    </row>
    <row r="201" spans="1:23" ht="14" customHeight="1">
      <c r="A201" s="5"/>
      <c r="B201" s="5"/>
      <c r="C201" s="5" t="str">
        <f>Inputs!C$98</f>
        <v>Term loan 3 interest</v>
      </c>
      <c r="D201" s="6" t="str">
        <f>Inputs!D$98</f>
        <v>%</v>
      </c>
      <c r="E201" s="17"/>
      <c r="F201" s="104">
        <f>Inputs!F$98</f>
        <v>0.11</v>
      </c>
      <c r="G201" s="104">
        <f>Inputs!G$98</f>
        <v>0.11</v>
      </c>
      <c r="H201" s="104">
        <f>Inputs!H$98</f>
        <v>0.11</v>
      </c>
      <c r="I201" s="104">
        <f>Inputs!I$98</f>
        <v>0.11</v>
      </c>
      <c r="J201" s="104">
        <f>Inputs!J$98</f>
        <v>0.11</v>
      </c>
      <c r="K201" s="104">
        <f>Inputs!K$98</f>
        <v>0.11</v>
      </c>
      <c r="L201" s="104">
        <f>Inputs!L$98</f>
        <v>0.11</v>
      </c>
      <c r="M201" s="104">
        <f>Inputs!M$98</f>
        <v>0.11</v>
      </c>
      <c r="N201" s="104">
        <f>Inputs!N$98</f>
        <v>0.11</v>
      </c>
      <c r="O201" s="104">
        <f>Inputs!O$98</f>
        <v>0.11</v>
      </c>
      <c r="P201" s="104">
        <f>Inputs!P$98</f>
        <v>0.11</v>
      </c>
      <c r="Q201" s="104">
        <f>Inputs!Q$98</f>
        <v>0.11</v>
      </c>
      <c r="R201" s="104">
        <f>Inputs!R$98</f>
        <v>0.11</v>
      </c>
      <c r="S201" s="104">
        <f>Inputs!S$98</f>
        <v>0.11</v>
      </c>
      <c r="T201" s="104">
        <f>Inputs!T$98</f>
        <v>0.11</v>
      </c>
      <c r="U201" s="5"/>
      <c r="V201" s="5"/>
      <c r="W201" s="5"/>
    </row>
    <row r="202" spans="1:23" ht="14" customHeight="1">
      <c r="A202" s="5"/>
      <c r="B202" s="5"/>
      <c r="C202" s="52" t="s">
        <v>55</v>
      </c>
      <c r="D202" s="53"/>
      <c r="E202" s="13"/>
      <c r="F202" s="13">
        <f t="shared" ref="F202:O202" si="65">-SUM(F199:F200)*F201</f>
        <v>0</v>
      </c>
      <c r="G202" s="13">
        <f t="shared" si="65"/>
        <v>0</v>
      </c>
      <c r="H202" s="13">
        <f t="shared" si="65"/>
        <v>0</v>
      </c>
      <c r="I202" s="13">
        <f t="shared" si="65"/>
        <v>0</v>
      </c>
      <c r="J202" s="13">
        <f t="shared" si="65"/>
        <v>0</v>
      </c>
      <c r="K202" s="13">
        <f t="shared" si="65"/>
        <v>0</v>
      </c>
      <c r="L202" s="13">
        <f t="shared" si="65"/>
        <v>0</v>
      </c>
      <c r="M202" s="13">
        <f t="shared" si="65"/>
        <v>0</v>
      </c>
      <c r="N202" s="13">
        <f t="shared" si="65"/>
        <v>0</v>
      </c>
      <c r="O202" s="13">
        <f t="shared" si="65"/>
        <v>0</v>
      </c>
      <c r="P202" s="13">
        <f>-SUM(P192:P193)*P201</f>
        <v>-412.5</v>
      </c>
      <c r="Q202" s="13">
        <f>-SUM(Q192:Q193)*Q201</f>
        <v>-385</v>
      </c>
      <c r="R202" s="13">
        <f>-SUM(R192:R193)*R201</f>
        <v>-357.5</v>
      </c>
      <c r="S202" s="13">
        <f>-SUM(S192:S193)*S201</f>
        <v>-330</v>
      </c>
      <c r="T202" s="13">
        <f>-SUM(T192:T193)*T201</f>
        <v>-302.5</v>
      </c>
      <c r="U202" s="5"/>
      <c r="V202" s="5"/>
      <c r="W202" s="5"/>
    </row>
    <row r="203" spans="1:23" ht="14" customHeight="1">
      <c r="A203" s="5"/>
      <c r="B203" s="5"/>
      <c r="C203" s="5"/>
      <c r="D203" s="5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" customHeight="1">
      <c r="A204" s="5"/>
      <c r="B204" s="5"/>
      <c r="C204" s="4" t="s">
        <v>65</v>
      </c>
      <c r="D204" s="5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" customHeight="1">
      <c r="A205" s="5"/>
      <c r="B205" s="5"/>
      <c r="C205" s="40" t="s">
        <v>193</v>
      </c>
      <c r="D205" s="5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s="15" customFormat="1" ht="14" customHeight="1">
      <c r="A206" s="5"/>
      <c r="B206" s="5"/>
      <c r="C206" s="5" t="str">
        <f>C$167</f>
        <v>Opening balance</v>
      </c>
      <c r="D206" s="54"/>
      <c r="E206" s="5"/>
      <c r="F206" s="5">
        <f t="shared" ref="F206:T206" si="66">F$167</f>
        <v>0</v>
      </c>
      <c r="G206" s="5">
        <f t="shared" si="66"/>
        <v>0</v>
      </c>
      <c r="H206" s="5">
        <f t="shared" si="66"/>
        <v>0</v>
      </c>
      <c r="I206" s="5">
        <f t="shared" si="66"/>
        <v>0</v>
      </c>
      <c r="J206" s="5">
        <f t="shared" si="66"/>
        <v>0</v>
      </c>
      <c r="K206" s="5">
        <f t="shared" si="66"/>
        <v>0</v>
      </c>
      <c r="L206" s="5">
        <f t="shared" si="66"/>
        <v>0</v>
      </c>
      <c r="M206" s="5">
        <f t="shared" si="66"/>
        <v>0</v>
      </c>
      <c r="N206" s="5">
        <f t="shared" si="66"/>
        <v>0</v>
      </c>
      <c r="O206" s="5">
        <f t="shared" si="66"/>
        <v>0</v>
      </c>
      <c r="P206" s="5">
        <f t="shared" si="66"/>
        <v>0</v>
      </c>
      <c r="Q206" s="5">
        <f t="shared" si="66"/>
        <v>0</v>
      </c>
      <c r="R206" s="5">
        <f t="shared" si="66"/>
        <v>0</v>
      </c>
      <c r="S206" s="5">
        <f t="shared" si="66"/>
        <v>0</v>
      </c>
      <c r="T206" s="5">
        <f t="shared" si="66"/>
        <v>0</v>
      </c>
      <c r="U206" s="102"/>
      <c r="V206" s="102"/>
      <c r="W206" s="102"/>
    </row>
    <row r="207" spans="1:23" s="15" customFormat="1" ht="14" customHeight="1">
      <c r="A207" s="5"/>
      <c r="B207" s="5"/>
      <c r="C207" s="5" t="str">
        <f>Inputs!C$99</f>
        <v>Revolver facility</v>
      </c>
      <c r="D207" s="6" t="str">
        <f>Inputs!D$99</f>
        <v>%</v>
      </c>
      <c r="E207" s="5"/>
      <c r="F207" s="104">
        <f>Inputs!F$99</f>
        <v>0.13</v>
      </c>
      <c r="G207" s="104">
        <f>Inputs!G$99</f>
        <v>0.13</v>
      </c>
      <c r="H207" s="104">
        <f>Inputs!H$99</f>
        <v>0.13</v>
      </c>
      <c r="I207" s="104">
        <f>Inputs!I$99</f>
        <v>0.13</v>
      </c>
      <c r="J207" s="104">
        <f>Inputs!J$99</f>
        <v>0.13</v>
      </c>
      <c r="K207" s="104">
        <f>Inputs!K$99</f>
        <v>0.13</v>
      </c>
      <c r="L207" s="104">
        <f>Inputs!L$99</f>
        <v>0.13</v>
      </c>
      <c r="M207" s="104">
        <f>Inputs!M$99</f>
        <v>0.13</v>
      </c>
      <c r="N207" s="104">
        <f>Inputs!N$99</f>
        <v>0.13</v>
      </c>
      <c r="O207" s="104">
        <f>Inputs!O$99</f>
        <v>0.13</v>
      </c>
      <c r="P207" s="104">
        <f>Inputs!P$99</f>
        <v>0.13</v>
      </c>
      <c r="Q207" s="104">
        <f>Inputs!Q$99</f>
        <v>0.13</v>
      </c>
      <c r="R207" s="104">
        <f>Inputs!R$99</f>
        <v>0.13</v>
      </c>
      <c r="S207" s="104">
        <f>Inputs!S$99</f>
        <v>0.13</v>
      </c>
      <c r="T207" s="104">
        <f>Inputs!T$99</f>
        <v>0.13</v>
      </c>
      <c r="U207" s="102"/>
      <c r="V207" s="102"/>
      <c r="W207" s="102"/>
    </row>
    <row r="208" spans="1:23" ht="14" customHeight="1">
      <c r="A208" s="5"/>
      <c r="B208" s="5"/>
      <c r="C208" s="52" t="s">
        <v>55</v>
      </c>
      <c r="D208" s="53"/>
      <c r="E208" s="13"/>
      <c r="F208" s="13">
        <f>-F206*F207</f>
        <v>0</v>
      </c>
      <c r="G208" s="13">
        <f t="shared" ref="G208:T208" si="67">-G206*G207</f>
        <v>0</v>
      </c>
      <c r="H208" s="13">
        <f t="shared" si="67"/>
        <v>0</v>
      </c>
      <c r="I208" s="13">
        <f t="shared" si="67"/>
        <v>0</v>
      </c>
      <c r="J208" s="13">
        <f t="shared" si="67"/>
        <v>0</v>
      </c>
      <c r="K208" s="13">
        <f t="shared" si="67"/>
        <v>0</v>
      </c>
      <c r="L208" s="13">
        <f t="shared" si="67"/>
        <v>0</v>
      </c>
      <c r="M208" s="13">
        <f t="shared" si="67"/>
        <v>0</v>
      </c>
      <c r="N208" s="13">
        <f t="shared" si="67"/>
        <v>0</v>
      </c>
      <c r="O208" s="13">
        <f t="shared" si="67"/>
        <v>0</v>
      </c>
      <c r="P208" s="13">
        <f t="shared" si="67"/>
        <v>0</v>
      </c>
      <c r="Q208" s="13">
        <f t="shared" si="67"/>
        <v>0</v>
      </c>
      <c r="R208" s="13">
        <f t="shared" si="67"/>
        <v>0</v>
      </c>
      <c r="S208" s="13">
        <f t="shared" si="67"/>
        <v>0</v>
      </c>
      <c r="T208" s="13">
        <f t="shared" si="67"/>
        <v>0</v>
      </c>
      <c r="U208" s="5"/>
      <c r="V208" s="5"/>
      <c r="W208" s="5"/>
    </row>
    <row r="209" spans="1:23" ht="14" customHeight="1">
      <c r="A209" s="5"/>
      <c r="B209" s="17"/>
      <c r="C209" s="5"/>
      <c r="D209" s="5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" customHeight="1">
      <c r="A210" s="5"/>
      <c r="B210" s="25"/>
      <c r="C210" s="52" t="s">
        <v>38</v>
      </c>
      <c r="D210" s="13"/>
      <c r="E210" s="13"/>
      <c r="F210" s="13">
        <f>F181+F188+F195+F202+F208</f>
        <v>-360</v>
      </c>
      <c r="G210" s="13">
        <f t="shared" ref="G210:T210" si="68">G181+G188+G195+G202+G208</f>
        <v>208.80758032786878</v>
      </c>
      <c r="H210" s="13">
        <f t="shared" si="68"/>
        <v>75.591806876497571</v>
      </c>
      <c r="I210" s="13">
        <f t="shared" si="68"/>
        <v>-44.600599831593627</v>
      </c>
      <c r="J210" s="13">
        <f t="shared" si="68"/>
        <v>-128.17585411664268</v>
      </c>
      <c r="K210" s="13">
        <f t="shared" si="68"/>
        <v>-679.9852242080575</v>
      </c>
      <c r="L210" s="13">
        <f t="shared" si="68"/>
        <v>-518.36764417999677</v>
      </c>
      <c r="M210" s="13">
        <f t="shared" si="68"/>
        <v>-573.01133519234008</v>
      </c>
      <c r="N210" s="13">
        <f t="shared" si="68"/>
        <v>-544.91122162842828</v>
      </c>
      <c r="O210" s="13">
        <f t="shared" si="68"/>
        <v>-501.00086141744669</v>
      </c>
      <c r="P210" s="13">
        <f t="shared" si="68"/>
        <v>-866.36526398835122</v>
      </c>
      <c r="Q210" s="13">
        <f t="shared" si="68"/>
        <v>-644.15775105632906</v>
      </c>
      <c r="R210" s="13">
        <f t="shared" si="68"/>
        <v>-685.01148898590452</v>
      </c>
      <c r="S210" s="13">
        <f t="shared" si="68"/>
        <v>-638.13434726562627</v>
      </c>
      <c r="T210" s="13">
        <f t="shared" si="68"/>
        <v>-584.73293104337642</v>
      </c>
      <c r="U210" s="5"/>
      <c r="V210" s="5"/>
      <c r="W210" s="5"/>
    </row>
    <row r="211" spans="1:23" ht="14" customHeight="1">
      <c r="C211" s="5"/>
      <c r="D211" s="5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s="8" customFormat="1" ht="14" customHeight="1">
      <c r="A212" s="8" t="s">
        <v>60</v>
      </c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3" ht="14" customHeight="1">
      <c r="D213" s="37"/>
    </row>
    <row r="214" spans="1:23" s="15" customFormat="1" ht="14" customHeight="1">
      <c r="A214" s="5"/>
      <c r="B214" s="4"/>
      <c r="C214" s="5" t="str">
        <f>Inputs!C$32</f>
        <v>Company tax rate (%)</v>
      </c>
      <c r="D214" s="6" t="str">
        <f>Inputs!D$32</f>
        <v>%</v>
      </c>
      <c r="E214" s="99">
        <f>Inputs!E$32</f>
        <v>0.3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102"/>
      <c r="V214" s="102"/>
      <c r="W214" s="102"/>
    </row>
    <row r="215" spans="1:23" s="15" customFormat="1" ht="14" customHeight="1">
      <c r="A215" s="5"/>
      <c r="B215" s="4"/>
      <c r="C215" s="4" t="str">
        <f>Inputs!C$33</f>
        <v>Note - this model does not deal with tax losses</v>
      </c>
      <c r="D215" s="6"/>
      <c r="E215" s="9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102"/>
      <c r="V215" s="102"/>
      <c r="W215" s="102"/>
    </row>
    <row r="216" spans="1:23" ht="14" customHeight="1">
      <c r="A216" s="5"/>
      <c r="B216" s="5"/>
      <c r="C216" s="5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" customHeight="1">
      <c r="A217" s="5"/>
      <c r="B217" s="4" t="s">
        <v>63</v>
      </c>
      <c r="C217" s="5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" customHeight="1">
      <c r="A218" s="5"/>
      <c r="B218" s="4"/>
      <c r="C218" s="5" t="str">
        <f>Outputs!B20</f>
        <v>Profit/(Loss) before tax</v>
      </c>
      <c r="D218" s="16"/>
      <c r="E218" s="5"/>
      <c r="F218" s="5">
        <f>Outputs!F20</f>
        <v>6478.1999999999989</v>
      </c>
      <c r="G218" s="5">
        <f>Outputs!G20</f>
        <v>6751.2594888992908</v>
      </c>
      <c r="H218" s="5">
        <f>Outputs!H20</f>
        <v>6277.2321143142108</v>
      </c>
      <c r="I218" s="5">
        <f>Outputs!I20</f>
        <v>6370.0168417558743</v>
      </c>
      <c r="J218" s="5">
        <f>Outputs!J20</f>
        <v>6509.0347109464474</v>
      </c>
      <c r="K218" s="5">
        <f>Outputs!K20</f>
        <v>4697.2903917190215</v>
      </c>
      <c r="L218" s="5">
        <f>Outputs!L20</f>
        <v>5102.0067286894928</v>
      </c>
      <c r="M218" s="5">
        <f>Outputs!M20</f>
        <v>5301.3877986860607</v>
      </c>
      <c r="N218" s="5">
        <f>Outputs!N20</f>
        <v>5594.9129828928353</v>
      </c>
      <c r="O218" s="5">
        <f>Outputs!O20</f>
        <v>5916.1431676456705</v>
      </c>
      <c r="P218" s="5">
        <f>Outputs!P20</f>
        <v>4110.2195522534103</v>
      </c>
      <c r="Q218" s="5">
        <f>Outputs!Q20</f>
        <v>4635.1045324842717</v>
      </c>
      <c r="R218" s="5">
        <f>Outputs!R20</f>
        <v>6458.1250194176073</v>
      </c>
      <c r="S218" s="5">
        <f>Outputs!S20</f>
        <v>10389.256464709113</v>
      </c>
      <c r="T218" s="5">
        <f>Outputs!T20</f>
        <v>10897.07408041998</v>
      </c>
      <c r="U218" s="5"/>
      <c r="V218" s="5"/>
      <c r="W218" s="5"/>
    </row>
    <row r="219" spans="1:23" ht="14" customHeight="1">
      <c r="A219" s="5"/>
      <c r="B219" s="5"/>
      <c r="C219" s="5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" customHeight="1">
      <c r="A220" s="5"/>
      <c r="B220" s="4"/>
      <c r="C220" s="52" t="s">
        <v>86</v>
      </c>
      <c r="D220" s="56"/>
      <c r="E220" s="13"/>
      <c r="F220" s="13">
        <f>-$E214*F218</f>
        <v>-1943.4599999999996</v>
      </c>
      <c r="G220" s="13">
        <f t="shared" ref="G220:T220" si="69">-$E214*G218</f>
        <v>-2025.3778466697872</v>
      </c>
      <c r="H220" s="13">
        <f t="shared" si="69"/>
        <v>-1883.1696342942632</v>
      </c>
      <c r="I220" s="13">
        <f t="shared" si="69"/>
        <v>-1911.0050525267623</v>
      </c>
      <c r="J220" s="13">
        <f t="shared" si="69"/>
        <v>-1952.710413283934</v>
      </c>
      <c r="K220" s="13">
        <f t="shared" si="69"/>
        <v>-1409.1871175157064</v>
      </c>
      <c r="L220" s="13">
        <f t="shared" si="69"/>
        <v>-1530.6020186068479</v>
      </c>
      <c r="M220" s="13">
        <f t="shared" si="69"/>
        <v>-1590.4163396058182</v>
      </c>
      <c r="N220" s="13">
        <f t="shared" si="69"/>
        <v>-1678.4738948678505</v>
      </c>
      <c r="O220" s="13">
        <f t="shared" si="69"/>
        <v>-1774.8429502937011</v>
      </c>
      <c r="P220" s="13">
        <f t="shared" si="69"/>
        <v>-1233.0658656760231</v>
      </c>
      <c r="Q220" s="13">
        <f t="shared" si="69"/>
        <v>-1390.5313597452814</v>
      </c>
      <c r="R220" s="13">
        <f t="shared" si="69"/>
        <v>-1937.4375058252822</v>
      </c>
      <c r="S220" s="13">
        <f t="shared" si="69"/>
        <v>-3116.776939412734</v>
      </c>
      <c r="T220" s="13">
        <f t="shared" si="69"/>
        <v>-3269.1222241259939</v>
      </c>
      <c r="U220" s="5"/>
      <c r="V220" s="5"/>
      <c r="W220" s="5"/>
    </row>
    <row r="221" spans="1:23" ht="14" customHeight="1">
      <c r="A221" s="5"/>
      <c r="B221" s="5"/>
      <c r="C221" s="5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" customHeight="1">
      <c r="A222" s="5"/>
      <c r="B222" s="4" t="s">
        <v>100</v>
      </c>
      <c r="C222" s="5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" customHeight="1">
      <c r="A223" s="5"/>
      <c r="B223" s="4"/>
      <c r="C223" s="5" t="s">
        <v>64</v>
      </c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s="15" customFormat="1" ht="14" customHeight="1">
      <c r="A224" s="5"/>
      <c r="B224" s="5"/>
      <c r="C224" s="5" t="str">
        <f>C118</f>
        <v>Accounting depreciation</v>
      </c>
      <c r="D224" s="16"/>
      <c r="E224" s="5"/>
      <c r="F224" s="5">
        <f t="shared" ref="F224:T224" si="70">-F118</f>
        <v>-1352</v>
      </c>
      <c r="G224" s="5">
        <f t="shared" si="70"/>
        <v>-1444.7085714285715</v>
      </c>
      <c r="H224" s="5">
        <f t="shared" si="70"/>
        <v>-1541.1254857142858</v>
      </c>
      <c r="I224" s="5">
        <f t="shared" si="70"/>
        <v>-1640.4349074285715</v>
      </c>
      <c r="J224" s="5">
        <f t="shared" si="70"/>
        <v>-1742.7236117942857</v>
      </c>
      <c r="K224" s="5">
        <f t="shared" si="70"/>
        <v>-3340.6436551606862</v>
      </c>
      <c r="L224" s="5">
        <f t="shared" si="70"/>
        <v>-3449.1617416222725</v>
      </c>
      <c r="M224" s="5">
        <f t="shared" si="70"/>
        <v>-3560.9353706777065</v>
      </c>
      <c r="N224" s="5">
        <f t="shared" si="70"/>
        <v>-3676.0622086048033</v>
      </c>
      <c r="O224" s="5">
        <f t="shared" si="70"/>
        <v>-3794.6428516697133</v>
      </c>
      <c r="P224" s="5">
        <f t="shared" si="70"/>
        <v>-5647.0701307487134</v>
      </c>
      <c r="Q224" s="5">
        <f t="shared" si="70"/>
        <v>-5772.8723349762759</v>
      </c>
      <c r="R224" s="5">
        <f t="shared" si="70"/>
        <v>-4354.7593674887703</v>
      </c>
      <c r="S224" s="5">
        <f t="shared" si="70"/>
        <v>-934.24490925514999</v>
      </c>
      <c r="T224" s="5">
        <f t="shared" si="70"/>
        <v>-962.27225653280459</v>
      </c>
      <c r="U224" s="102"/>
      <c r="V224" s="102"/>
      <c r="W224" s="102"/>
    </row>
    <row r="225" spans="1:23" s="15" customFormat="1" ht="14" customHeight="1">
      <c r="A225" s="5"/>
      <c r="B225" s="5"/>
      <c r="C225" s="5" t="str">
        <f>C126</f>
        <v>Tax depreciation</v>
      </c>
      <c r="D225" s="16"/>
      <c r="E225" s="5"/>
      <c r="F225" s="17">
        <f t="shared" ref="F225:T225" si="71">-F126</f>
        <v>-1892.8000000000002</v>
      </c>
      <c r="G225" s="41">
        <f t="shared" si="71"/>
        <v>-1752.192</v>
      </c>
      <c r="H225" s="41">
        <f t="shared" si="71"/>
        <v>-1598.2339657142857</v>
      </c>
      <c r="I225" s="41">
        <f t="shared" si="71"/>
        <v>-1429.0420589714286</v>
      </c>
      <c r="J225" s="41">
        <f t="shared" si="71"/>
        <v>-1244.1592635977145</v>
      </c>
      <c r="K225" s="41">
        <f t="shared" si="71"/>
        <v>-3132.702601951818</v>
      </c>
      <c r="L225" s="41">
        <f t="shared" si="71"/>
        <v>-2616.4991919659014</v>
      </c>
      <c r="M225" s="41">
        <f t="shared" si="71"/>
        <v>-2083.1499243190542</v>
      </c>
      <c r="N225" s="41">
        <f t="shared" si="71"/>
        <v>-1532.1404232814486</v>
      </c>
      <c r="O225" s="41">
        <f t="shared" si="71"/>
        <v>-962.94088185136172</v>
      </c>
      <c r="P225" s="41">
        <f t="shared" si="71"/>
        <v>-2797.4105022280187</v>
      </c>
      <c r="Q225" s="41">
        <f t="shared" si="71"/>
        <v>-1844.1195619968637</v>
      </c>
      <c r="R225" s="41">
        <f t="shared" si="71"/>
        <v>-870.95187349775415</v>
      </c>
      <c r="S225" s="41">
        <f t="shared" si="71"/>
        <v>-186.84898185103</v>
      </c>
      <c r="T225" s="41">
        <f t="shared" si="71"/>
        <v>-192.45445130656094</v>
      </c>
      <c r="U225" s="102"/>
      <c r="V225" s="102"/>
      <c r="W225" s="102"/>
    </row>
    <row r="226" spans="1:23" ht="14" customHeight="1">
      <c r="A226" s="5"/>
      <c r="B226" s="5"/>
      <c r="C226" s="13" t="s">
        <v>62</v>
      </c>
      <c r="D226" s="56"/>
      <c r="E226" s="13"/>
      <c r="F226" s="13">
        <f>F224-F225</f>
        <v>540.80000000000018</v>
      </c>
      <c r="G226" s="5">
        <f t="shared" ref="G226:T226" si="72">G224-G225</f>
        <v>307.48342857142848</v>
      </c>
      <c r="H226" s="5">
        <f t="shared" si="72"/>
        <v>57.108479999999872</v>
      </c>
      <c r="I226" s="5">
        <f t="shared" si="72"/>
        <v>-211.39284845714292</v>
      </c>
      <c r="J226" s="5">
        <f t="shared" si="72"/>
        <v>-498.56434819657125</v>
      </c>
      <c r="K226" s="5">
        <f t="shared" si="72"/>
        <v>-207.9410532088682</v>
      </c>
      <c r="L226" s="5">
        <f t="shared" si="72"/>
        <v>-832.66254965637108</v>
      </c>
      <c r="M226" s="5">
        <f t="shared" si="72"/>
        <v>-1477.7854463586523</v>
      </c>
      <c r="N226" s="5">
        <f t="shared" si="72"/>
        <v>-2143.9217853233549</v>
      </c>
      <c r="O226" s="5">
        <f t="shared" si="72"/>
        <v>-2831.7019698183517</v>
      </c>
      <c r="P226" s="5">
        <f t="shared" si="72"/>
        <v>-2849.6596285206947</v>
      </c>
      <c r="Q226" s="5">
        <f t="shared" si="72"/>
        <v>-3928.7527729794119</v>
      </c>
      <c r="R226" s="5">
        <f t="shared" si="72"/>
        <v>-3483.8074939910161</v>
      </c>
      <c r="S226" s="5">
        <f t="shared" si="72"/>
        <v>-747.39592740412002</v>
      </c>
      <c r="T226" s="5">
        <f t="shared" si="72"/>
        <v>-769.81780522624365</v>
      </c>
      <c r="U226" s="5"/>
      <c r="V226" s="5"/>
      <c r="W226" s="5"/>
    </row>
    <row r="227" spans="1:23" ht="14" customHeight="1">
      <c r="A227" s="5"/>
      <c r="B227" s="5"/>
      <c r="C227" s="5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" customHeight="1">
      <c r="A228" s="5"/>
      <c r="B228" s="5"/>
      <c r="C228" s="5" t="s">
        <v>37</v>
      </c>
      <c r="D228" s="16"/>
      <c r="E228" s="5"/>
      <c r="F228" s="5">
        <f t="shared" ref="F228:T228" si="73">F218+F226</f>
        <v>7018.9999999999991</v>
      </c>
      <c r="G228" s="5">
        <f t="shared" si="73"/>
        <v>7058.7429174707195</v>
      </c>
      <c r="H228" s="5">
        <f t="shared" si="73"/>
        <v>6334.3405943142106</v>
      </c>
      <c r="I228" s="5">
        <f t="shared" si="73"/>
        <v>6158.6239932987319</v>
      </c>
      <c r="J228" s="5">
        <f t="shared" si="73"/>
        <v>6010.4703627498766</v>
      </c>
      <c r="K228" s="5">
        <f t="shared" si="73"/>
        <v>4489.3493385101538</v>
      </c>
      <c r="L228" s="5">
        <f t="shared" si="73"/>
        <v>4269.3441790331217</v>
      </c>
      <c r="M228" s="5">
        <f t="shared" si="73"/>
        <v>3823.6023523274084</v>
      </c>
      <c r="N228" s="5">
        <f t="shared" si="73"/>
        <v>3450.9911975694804</v>
      </c>
      <c r="O228" s="5">
        <f t="shared" si="73"/>
        <v>3084.4411978273188</v>
      </c>
      <c r="P228" s="5">
        <f t="shared" si="73"/>
        <v>1260.5599237327156</v>
      </c>
      <c r="Q228" s="5">
        <f t="shared" si="73"/>
        <v>706.35175950485973</v>
      </c>
      <c r="R228" s="5">
        <f t="shared" si="73"/>
        <v>2974.3175254265911</v>
      </c>
      <c r="S228" s="5">
        <f t="shared" si="73"/>
        <v>9641.8605373049922</v>
      </c>
      <c r="T228" s="5">
        <f t="shared" si="73"/>
        <v>10127.256275193737</v>
      </c>
      <c r="U228" s="5"/>
      <c r="V228" s="5"/>
      <c r="W228" s="5"/>
    </row>
    <row r="229" spans="1:23" ht="14" customHeight="1">
      <c r="C229" s="13" t="s">
        <v>28</v>
      </c>
      <c r="D229" s="56"/>
      <c r="E229" s="13"/>
      <c r="F229" s="13">
        <f>-F228*$E214</f>
        <v>-2105.6999999999998</v>
      </c>
      <c r="G229" s="13">
        <f t="shared" ref="G229:T229" si="74">-G228*$E214</f>
        <v>-2117.6228752412158</v>
      </c>
      <c r="H229" s="13">
        <f t="shared" si="74"/>
        <v>-1900.3021782942631</v>
      </c>
      <c r="I229" s="13">
        <f t="shared" si="74"/>
        <v>-1847.5871979896194</v>
      </c>
      <c r="J229" s="13">
        <f t="shared" si="74"/>
        <v>-1803.1411088249629</v>
      </c>
      <c r="K229" s="13">
        <f t="shared" si="74"/>
        <v>-1346.804801553046</v>
      </c>
      <c r="L229" s="13">
        <f t="shared" si="74"/>
        <v>-1280.8032537099364</v>
      </c>
      <c r="M229" s="13">
        <f t="shared" si="74"/>
        <v>-1147.0807056982226</v>
      </c>
      <c r="N229" s="13">
        <f t="shared" si="74"/>
        <v>-1035.297359270844</v>
      </c>
      <c r="O229" s="13">
        <f t="shared" si="74"/>
        <v>-925.33235934819561</v>
      </c>
      <c r="P229" s="13">
        <f t="shared" si="74"/>
        <v>-378.16797711981468</v>
      </c>
      <c r="Q229" s="13">
        <f t="shared" si="74"/>
        <v>-211.90552785145792</v>
      </c>
      <c r="R229" s="13">
        <f t="shared" si="74"/>
        <v>-892.29525762797732</v>
      </c>
      <c r="S229" s="13">
        <f t="shared" si="74"/>
        <v>-2892.5581611914977</v>
      </c>
      <c r="T229" s="13">
        <f t="shared" si="74"/>
        <v>-3038.1768825581207</v>
      </c>
      <c r="U229" s="5"/>
      <c r="V229" s="5"/>
      <c r="W229" s="5"/>
    </row>
    <row r="230" spans="1:23" ht="14" customHeight="1">
      <c r="C230" s="5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" customHeight="1">
      <c r="B231" s="32" t="s">
        <v>85</v>
      </c>
      <c r="C231" s="5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" customHeight="1">
      <c r="B232" s="32"/>
      <c r="C232" s="5" t="s">
        <v>66</v>
      </c>
      <c r="D232" s="16"/>
      <c r="E232" s="5"/>
      <c r="F232" s="5">
        <f t="shared" ref="F232:O232" si="75">E234</f>
        <v>0</v>
      </c>
      <c r="G232" s="5">
        <f t="shared" si="75"/>
        <v>540.80000000000018</v>
      </c>
      <c r="H232" s="5">
        <f t="shared" si="75"/>
        <v>848.28342857142889</v>
      </c>
      <c r="I232" s="5">
        <f t="shared" si="75"/>
        <v>905.39190857142876</v>
      </c>
      <c r="J232" s="5">
        <f t="shared" si="75"/>
        <v>693.99906011428629</v>
      </c>
      <c r="K232" s="5">
        <f t="shared" si="75"/>
        <v>195.4347119177155</v>
      </c>
      <c r="L232" s="5">
        <f t="shared" si="75"/>
        <v>-12.506341291152239</v>
      </c>
      <c r="M232" s="5">
        <f t="shared" si="75"/>
        <v>-845.16889094752332</v>
      </c>
      <c r="N232" s="5">
        <f t="shared" si="75"/>
        <v>-2322.9543373061756</v>
      </c>
      <c r="O232" s="5">
        <f t="shared" si="75"/>
        <v>-4466.8761226295301</v>
      </c>
      <c r="P232" s="5">
        <f>O234</f>
        <v>-7298.5780924478822</v>
      </c>
      <c r="Q232" s="5">
        <f>P234</f>
        <v>-10148.237720968576</v>
      </c>
      <c r="R232" s="5">
        <f>Q234</f>
        <v>-14076.990493947989</v>
      </c>
      <c r="S232" s="5">
        <f>R234</f>
        <v>-17560.797987939004</v>
      </c>
      <c r="T232" s="5">
        <f>S234</f>
        <v>-18308.193915343123</v>
      </c>
      <c r="U232" s="5"/>
      <c r="V232" s="5"/>
      <c r="W232" s="5"/>
    </row>
    <row r="233" spans="1:23" ht="14" customHeight="1">
      <c r="C233" s="5" t="s">
        <v>62</v>
      </c>
      <c r="D233" s="16"/>
      <c r="E233" s="5"/>
      <c r="F233" s="17">
        <f>F228-F218</f>
        <v>540.80000000000018</v>
      </c>
      <c r="G233" s="41">
        <f t="shared" ref="G233:T233" si="76">G228-G218</f>
        <v>307.4834285714287</v>
      </c>
      <c r="H233" s="41">
        <f t="shared" si="76"/>
        <v>57.108479999999872</v>
      </c>
      <c r="I233" s="41">
        <f t="shared" si="76"/>
        <v>-211.39284845714246</v>
      </c>
      <c r="J233" s="41">
        <f t="shared" si="76"/>
        <v>-498.56434819657079</v>
      </c>
      <c r="K233" s="41">
        <f t="shared" si="76"/>
        <v>-207.94105320886774</v>
      </c>
      <c r="L233" s="41">
        <f t="shared" si="76"/>
        <v>-832.66254965637108</v>
      </c>
      <c r="M233" s="41">
        <f t="shared" si="76"/>
        <v>-1477.7854463586523</v>
      </c>
      <c r="N233" s="41">
        <f t="shared" si="76"/>
        <v>-2143.9217853233549</v>
      </c>
      <c r="O233" s="41">
        <f t="shared" si="76"/>
        <v>-2831.7019698183517</v>
      </c>
      <c r="P233" s="41">
        <f t="shared" si="76"/>
        <v>-2849.6596285206947</v>
      </c>
      <c r="Q233" s="41">
        <f t="shared" si="76"/>
        <v>-3928.7527729794119</v>
      </c>
      <c r="R233" s="41">
        <f t="shared" si="76"/>
        <v>-3483.8074939910161</v>
      </c>
      <c r="S233" s="41">
        <f t="shared" si="76"/>
        <v>-747.39592740412081</v>
      </c>
      <c r="T233" s="41">
        <f t="shared" si="76"/>
        <v>-769.81780522624285</v>
      </c>
      <c r="U233" s="5"/>
      <c r="V233" s="5"/>
      <c r="W233" s="5"/>
    </row>
    <row r="234" spans="1:23" ht="14" customHeight="1">
      <c r="C234" s="13" t="s">
        <v>84</v>
      </c>
      <c r="D234" s="56"/>
      <c r="E234" s="13">
        <v>0</v>
      </c>
      <c r="F234" s="13">
        <f t="shared" ref="F234:O234" si="77">F232+F233</f>
        <v>540.80000000000018</v>
      </c>
      <c r="G234" s="5">
        <f t="shared" si="77"/>
        <v>848.28342857142889</v>
      </c>
      <c r="H234" s="5">
        <f t="shared" si="77"/>
        <v>905.39190857142876</v>
      </c>
      <c r="I234" s="5">
        <f t="shared" si="77"/>
        <v>693.99906011428629</v>
      </c>
      <c r="J234" s="5">
        <f t="shared" si="77"/>
        <v>195.4347119177155</v>
      </c>
      <c r="K234" s="5">
        <f t="shared" si="77"/>
        <v>-12.506341291152239</v>
      </c>
      <c r="L234" s="5">
        <f t="shared" si="77"/>
        <v>-845.16889094752332</v>
      </c>
      <c r="M234" s="5">
        <f t="shared" si="77"/>
        <v>-2322.9543373061756</v>
      </c>
      <c r="N234" s="5">
        <f t="shared" si="77"/>
        <v>-4466.8761226295301</v>
      </c>
      <c r="O234" s="5">
        <f t="shared" si="77"/>
        <v>-7298.5780924478822</v>
      </c>
      <c r="P234" s="5">
        <f>P232+P233</f>
        <v>-10148.237720968576</v>
      </c>
      <c r="Q234" s="5">
        <f>Q232+Q233</f>
        <v>-14076.990493947989</v>
      </c>
      <c r="R234" s="5">
        <f>R232+R233</f>
        <v>-17560.797987939004</v>
      </c>
      <c r="S234" s="5">
        <f>S232+S233</f>
        <v>-18308.193915343123</v>
      </c>
      <c r="T234" s="5">
        <f>T232+T233</f>
        <v>-19078.011720569368</v>
      </c>
      <c r="U234" s="5"/>
      <c r="V234" s="5"/>
      <c r="W234" s="5"/>
    </row>
    <row r="235" spans="1:23" ht="14" customHeight="1">
      <c r="C235" s="5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4" customHeight="1">
      <c r="C236" s="5" t="s">
        <v>174</v>
      </c>
      <c r="D236" s="16"/>
      <c r="E236" s="5"/>
      <c r="F236" s="5">
        <f>-$E214*F234</f>
        <v>-162.24000000000004</v>
      </c>
      <c r="G236" s="5">
        <f t="shared" ref="G236:T236" si="78">-$E214*G234</f>
        <v>-254.48502857142864</v>
      </c>
      <c r="H236" s="5">
        <f t="shared" si="78"/>
        <v>-271.61757257142864</v>
      </c>
      <c r="I236" s="5">
        <f t="shared" si="78"/>
        <v>-208.19971803428589</v>
      </c>
      <c r="J236" s="5">
        <f t="shared" si="78"/>
        <v>-58.630413575314648</v>
      </c>
      <c r="K236" s="5">
        <f t="shared" si="78"/>
        <v>3.7519023873456714</v>
      </c>
      <c r="L236" s="5">
        <f t="shared" si="78"/>
        <v>253.55066728425697</v>
      </c>
      <c r="M236" s="5">
        <f t="shared" si="78"/>
        <v>696.88630119185268</v>
      </c>
      <c r="N236" s="5">
        <f t="shared" si="78"/>
        <v>1340.0628367888589</v>
      </c>
      <c r="O236" s="5">
        <f t="shared" si="78"/>
        <v>2189.5734277343645</v>
      </c>
      <c r="P236" s="5">
        <f t="shared" si="78"/>
        <v>3044.4713162905728</v>
      </c>
      <c r="Q236" s="5">
        <f t="shared" si="78"/>
        <v>4223.0971481843962</v>
      </c>
      <c r="R236" s="5">
        <f t="shared" si="78"/>
        <v>5268.2393963817012</v>
      </c>
      <c r="S236" s="5">
        <f t="shared" si="78"/>
        <v>5492.4581746029371</v>
      </c>
      <c r="T236" s="5">
        <f t="shared" si="78"/>
        <v>5723.4035161708098</v>
      </c>
      <c r="U236" s="5"/>
      <c r="V236" s="5"/>
      <c r="W236" s="5"/>
    </row>
    <row r="237" spans="1:23" ht="14" customHeight="1">
      <c r="C237" s="5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4" customHeight="1">
      <c r="C238" s="17" t="s">
        <v>173</v>
      </c>
      <c r="D238" s="34"/>
      <c r="E238" s="17"/>
      <c r="F238" s="17">
        <f>-F236*(F236&lt;0)</f>
        <v>162.24000000000004</v>
      </c>
      <c r="G238" s="17">
        <f t="shared" ref="G238:T238" si="79">-G236*(G236&lt;0)</f>
        <v>254.48502857142864</v>
      </c>
      <c r="H238" s="17">
        <f t="shared" si="79"/>
        <v>271.61757257142864</v>
      </c>
      <c r="I238" s="17">
        <f t="shared" si="79"/>
        <v>208.19971803428589</v>
      </c>
      <c r="J238" s="17">
        <f t="shared" si="79"/>
        <v>58.630413575314648</v>
      </c>
      <c r="K238" s="17">
        <f t="shared" si="79"/>
        <v>0</v>
      </c>
      <c r="L238" s="17">
        <f t="shared" si="79"/>
        <v>0</v>
      </c>
      <c r="M238" s="17">
        <f t="shared" si="79"/>
        <v>0</v>
      </c>
      <c r="N238" s="17">
        <f t="shared" si="79"/>
        <v>0</v>
      </c>
      <c r="O238" s="17">
        <f t="shared" si="79"/>
        <v>0</v>
      </c>
      <c r="P238" s="17">
        <f t="shared" si="79"/>
        <v>0</v>
      </c>
      <c r="Q238" s="17">
        <f t="shared" si="79"/>
        <v>0</v>
      </c>
      <c r="R238" s="17">
        <f t="shared" si="79"/>
        <v>0</v>
      </c>
      <c r="S238" s="17">
        <f t="shared" si="79"/>
        <v>0</v>
      </c>
      <c r="T238" s="17">
        <f t="shared" si="79"/>
        <v>0</v>
      </c>
      <c r="U238" s="5"/>
      <c r="V238" s="5"/>
      <c r="W238" s="5"/>
    </row>
    <row r="239" spans="1:23" ht="14" customHeight="1">
      <c r="B239" s="32"/>
      <c r="C239" s="17" t="s">
        <v>155</v>
      </c>
      <c r="D239" s="34"/>
      <c r="E239" s="17"/>
      <c r="F239" s="17">
        <f>F236*(F236&gt;0)</f>
        <v>0</v>
      </c>
      <c r="G239" s="17">
        <f t="shared" ref="G239:T239" si="80">G236*(G236&gt;0)</f>
        <v>0</v>
      </c>
      <c r="H239" s="17">
        <f t="shared" si="80"/>
        <v>0</v>
      </c>
      <c r="I239" s="17">
        <f t="shared" si="80"/>
        <v>0</v>
      </c>
      <c r="J239" s="17">
        <f t="shared" si="80"/>
        <v>0</v>
      </c>
      <c r="K239" s="17">
        <f t="shared" si="80"/>
        <v>3.7519023873456714</v>
      </c>
      <c r="L239" s="17">
        <f t="shared" si="80"/>
        <v>253.55066728425697</v>
      </c>
      <c r="M239" s="17">
        <f t="shared" si="80"/>
        <v>696.88630119185268</v>
      </c>
      <c r="N239" s="17">
        <f t="shared" si="80"/>
        <v>1340.0628367888589</v>
      </c>
      <c r="O239" s="17">
        <f t="shared" si="80"/>
        <v>2189.5734277343645</v>
      </c>
      <c r="P239" s="17">
        <f t="shared" si="80"/>
        <v>3044.4713162905728</v>
      </c>
      <c r="Q239" s="17">
        <f t="shared" si="80"/>
        <v>4223.0971481843962</v>
      </c>
      <c r="R239" s="17">
        <f t="shared" si="80"/>
        <v>5268.2393963817012</v>
      </c>
      <c r="S239" s="17">
        <f t="shared" si="80"/>
        <v>5492.4581746029371</v>
      </c>
      <c r="T239" s="17">
        <f t="shared" si="80"/>
        <v>5723.4035161708098</v>
      </c>
      <c r="U239" s="5"/>
      <c r="V239" s="5"/>
      <c r="W239" s="5"/>
    </row>
    <row r="240" spans="1:23" ht="14" customHeight="1">
      <c r="B240" s="32"/>
      <c r="C240" s="5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0" s="8" customFormat="1" ht="14" customHeight="1">
      <c r="A241" s="8" t="s">
        <v>140</v>
      </c>
      <c r="B241" s="9"/>
      <c r="C241" s="9"/>
      <c r="D241" s="4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4" customHeight="1">
      <c r="D242" s="55"/>
    </row>
    <row r="243" spans="1:20" ht="14" customHeight="1">
      <c r="D243" s="55"/>
    </row>
    <row r="244" spans="1:20" ht="14" customHeight="1">
      <c r="D244" s="55"/>
    </row>
    <row r="245" spans="1:20" ht="14" customHeight="1">
      <c r="D245" s="57"/>
    </row>
    <row r="246" spans="1:20" ht="14" customHeight="1">
      <c r="D246" s="57"/>
    </row>
    <row r="247" spans="1:20" ht="14" customHeight="1">
      <c r="D247" s="57"/>
    </row>
    <row r="248" spans="1:20" ht="14" customHeight="1">
      <c r="D248" s="57"/>
    </row>
    <row r="249" spans="1:20" ht="14" customHeight="1">
      <c r="D249" s="57"/>
    </row>
    <row r="250" spans="1:20" ht="14" customHeight="1">
      <c r="D250" s="57"/>
    </row>
    <row r="251" spans="1:20" ht="14" customHeight="1">
      <c r="D251" s="57"/>
    </row>
    <row r="252" spans="1:20" ht="14" customHeight="1">
      <c r="D252" s="57"/>
    </row>
    <row r="253" spans="1:20" ht="14" customHeight="1">
      <c r="D253" s="57"/>
    </row>
    <row r="254" spans="1:20" ht="14" customHeight="1">
      <c r="D254" s="57"/>
    </row>
    <row r="255" spans="1:20" ht="14" customHeight="1">
      <c r="D255" s="57"/>
    </row>
    <row r="256" spans="1:20" ht="14" customHeight="1">
      <c r="D256" s="57"/>
    </row>
    <row r="257" spans="4:4" ht="14" customHeight="1">
      <c r="D257" s="57"/>
    </row>
    <row r="258" spans="4:4" ht="14" customHeight="1">
      <c r="D258" s="57"/>
    </row>
    <row r="259" spans="4:4" ht="14" customHeight="1">
      <c r="D259" s="58"/>
    </row>
    <row r="260" spans="4:4" ht="14" customHeight="1">
      <c r="D260" s="58"/>
    </row>
    <row r="261" spans="4:4" ht="14" customHeight="1">
      <c r="D261" s="58"/>
    </row>
    <row r="262" spans="4:4" ht="14" customHeight="1">
      <c r="D262" s="58"/>
    </row>
    <row r="263" spans="4:4" ht="14" customHeight="1">
      <c r="D263" s="58"/>
    </row>
    <row r="264" spans="4:4" ht="14" customHeight="1">
      <c r="D264" s="58"/>
    </row>
    <row r="265" spans="4:4" ht="14" customHeight="1">
      <c r="D265" s="58"/>
    </row>
    <row r="266" spans="4:4" ht="14" customHeight="1">
      <c r="D266" s="58"/>
    </row>
    <row r="267" spans="4:4" ht="14" customHeight="1">
      <c r="D267" s="58"/>
    </row>
    <row r="268" spans="4:4" ht="14" customHeight="1">
      <c r="D268" s="58"/>
    </row>
    <row r="269" spans="4:4" ht="14" customHeight="1">
      <c r="D269" s="58"/>
    </row>
    <row r="270" spans="4:4" ht="14" customHeight="1">
      <c r="D270" s="58"/>
    </row>
    <row r="271" spans="4:4" ht="14" customHeight="1">
      <c r="D271" s="58"/>
    </row>
    <row r="272" spans="4:4" ht="14" customHeight="1">
      <c r="D272" s="58"/>
    </row>
    <row r="273" spans="4:4" ht="14" customHeight="1">
      <c r="D273" s="58"/>
    </row>
    <row r="274" spans="4:4" ht="14" customHeight="1">
      <c r="D274" s="58"/>
    </row>
    <row r="275" spans="4:4" ht="14" customHeight="1">
      <c r="D275" s="58"/>
    </row>
    <row r="276" spans="4:4" ht="14" customHeight="1">
      <c r="D276" s="58"/>
    </row>
    <row r="277" spans="4:4" ht="14" customHeight="1">
      <c r="D277" s="58"/>
    </row>
    <row r="278" spans="4:4" ht="14" customHeight="1">
      <c r="D278" s="58"/>
    </row>
    <row r="279" spans="4:4" ht="14" customHeight="1">
      <c r="D279" s="58"/>
    </row>
    <row r="280" spans="4:4" ht="14" customHeight="1">
      <c r="D280" s="58"/>
    </row>
    <row r="281" spans="4:4" ht="14" customHeight="1">
      <c r="D281" s="58"/>
    </row>
    <row r="282" spans="4:4" ht="14" customHeight="1">
      <c r="D282" s="58"/>
    </row>
    <row r="283" spans="4:4" ht="14" customHeight="1">
      <c r="D283" s="59"/>
    </row>
    <row r="284" spans="4:4" ht="14" customHeight="1">
      <c r="D284" s="59"/>
    </row>
    <row r="285" spans="4:4" ht="14" customHeight="1">
      <c r="D285" s="59"/>
    </row>
    <row r="286" spans="4:4" ht="14" customHeight="1">
      <c r="D286" s="59"/>
    </row>
    <row r="287" spans="4:4" ht="14" customHeight="1">
      <c r="D287" s="59"/>
    </row>
    <row r="288" spans="4:4" ht="14" customHeight="1">
      <c r="D288" s="59"/>
    </row>
    <row r="289" spans="4:7" ht="14" customHeight="1">
      <c r="D289" s="59"/>
    </row>
    <row r="290" spans="4:7" ht="14" customHeight="1">
      <c r="D290" s="59"/>
    </row>
    <row r="291" spans="4:7" ht="14" customHeight="1">
      <c r="D291" s="59"/>
    </row>
    <row r="292" spans="4:7" ht="14" customHeight="1">
      <c r="D292" s="59"/>
    </row>
    <row r="293" spans="4:7" ht="14" customHeight="1">
      <c r="D293" s="59"/>
    </row>
    <row r="294" spans="4:7" ht="14" customHeight="1">
      <c r="D294" s="59"/>
    </row>
    <row r="295" spans="4:7" ht="14" customHeight="1">
      <c r="D295" s="59"/>
    </row>
    <row r="296" spans="4:7" ht="14" customHeight="1">
      <c r="D296" s="59"/>
    </row>
    <row r="297" spans="4:7" ht="14" customHeight="1">
      <c r="D297" s="59"/>
    </row>
    <row r="298" spans="4:7" ht="14" customHeight="1">
      <c r="D298" s="59"/>
    </row>
    <row r="299" spans="4:7" ht="14" customHeight="1">
      <c r="D299" s="59"/>
    </row>
    <row r="300" spans="4:7" ht="14" customHeight="1">
      <c r="D300" s="59"/>
    </row>
    <row r="301" spans="4:7" ht="14" customHeight="1">
      <c r="D301" s="59"/>
    </row>
    <row r="302" spans="4:7" ht="14" customHeight="1">
      <c r="F302" s="17"/>
      <c r="G302" s="17"/>
    </row>
    <row r="303" spans="4:7" ht="14" customHeight="1">
      <c r="F303" s="17"/>
      <c r="G303" s="17"/>
    </row>
    <row r="304" spans="4:7" ht="14" customHeight="1">
      <c r="F304" s="17"/>
      <c r="G304" s="17"/>
    </row>
    <row r="305" spans="6:7" ht="14" customHeight="1">
      <c r="F305" s="17"/>
      <c r="G305" s="17"/>
    </row>
    <row r="306" spans="6:7" ht="14" customHeight="1">
      <c r="F306" s="17"/>
      <c r="G306" s="17"/>
    </row>
    <row r="307" spans="6:7" ht="14" customHeight="1">
      <c r="F307" s="17"/>
      <c r="G307" s="17"/>
    </row>
    <row r="308" spans="6:7" ht="14" customHeight="1">
      <c r="F308" s="33"/>
      <c r="G308" s="33"/>
    </row>
    <row r="309" spans="6:7" ht="14" customHeight="1">
      <c r="F309" s="33"/>
      <c r="G309" s="33"/>
    </row>
    <row r="310" spans="6:7" ht="14" customHeight="1">
      <c r="F310" s="33"/>
      <c r="G310" s="17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64" orientation="landscape" cellComments="asDisplayed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pageSetUpPr fitToPage="1"/>
  </sheetPr>
  <dimension ref="A1:V94"/>
  <sheetViews>
    <sheetView showGridLines="0" zoomScale="90" zoomScaleNormal="90" zoomScalePageLayoutView="90" workbookViewId="0">
      <pane xSplit="5" ySplit="2" topLeftCell="F3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1640625" defaultRowHeight="14" customHeight="1" x14ac:dyDescent="0"/>
  <cols>
    <col min="1" max="2" width="2.6640625" style="7" customWidth="1"/>
    <col min="3" max="3" width="35.83203125" style="7" customWidth="1"/>
    <col min="4" max="4" width="12.6640625" style="58" customWidth="1"/>
    <col min="5" max="20" width="12.6640625" style="7" customWidth="1"/>
    <col min="21" max="16384" width="9.1640625" style="7"/>
  </cols>
  <sheetData>
    <row r="1" spans="1:22" s="5" customFormat="1" ht="14" customHeight="1">
      <c r="A1" s="4" t="str">
        <f>Inputs!A1</f>
        <v>The Widget Company Inc (USD $m)</v>
      </c>
      <c r="D1" s="16"/>
      <c r="E1" s="2">
        <f t="shared" ref="E1:T2" si="0">ModelHeader</f>
        <v>42185</v>
      </c>
      <c r="F1" s="2">
        <f t="shared" si="0"/>
        <v>42551</v>
      </c>
      <c r="G1" s="2">
        <f t="shared" si="0"/>
        <v>42916</v>
      </c>
      <c r="H1" s="2">
        <f t="shared" si="0"/>
        <v>43281</v>
      </c>
      <c r="I1" s="2">
        <f t="shared" si="0"/>
        <v>43646</v>
      </c>
      <c r="J1" s="2">
        <f t="shared" si="0"/>
        <v>44012</v>
      </c>
      <c r="K1" s="2">
        <f t="shared" si="0"/>
        <v>44377</v>
      </c>
      <c r="L1" s="2">
        <f t="shared" si="0"/>
        <v>44742</v>
      </c>
      <c r="M1" s="2">
        <f t="shared" si="0"/>
        <v>45107</v>
      </c>
      <c r="N1" s="2">
        <f t="shared" si="0"/>
        <v>45473</v>
      </c>
      <c r="O1" s="2">
        <f t="shared" si="0"/>
        <v>45838</v>
      </c>
      <c r="P1" s="2">
        <f t="shared" si="0"/>
        <v>46203</v>
      </c>
      <c r="Q1" s="2">
        <f t="shared" si="0"/>
        <v>46568</v>
      </c>
      <c r="R1" s="2">
        <f t="shared" si="0"/>
        <v>46934</v>
      </c>
      <c r="S1" s="2">
        <f t="shared" si="0"/>
        <v>47299</v>
      </c>
      <c r="T1" s="2">
        <f t="shared" si="0"/>
        <v>47664</v>
      </c>
    </row>
    <row r="2" spans="1:22" s="97" customFormat="1" ht="14" customHeight="1" thickBot="1">
      <c r="A2" s="93" t="s">
        <v>147</v>
      </c>
      <c r="B2" s="94"/>
      <c r="C2" s="95"/>
      <c r="D2" s="98"/>
      <c r="E2" s="94">
        <f t="shared" si="0"/>
        <v>0</v>
      </c>
      <c r="F2" s="96">
        <f t="shared" si="0"/>
        <v>1</v>
      </c>
      <c r="G2" s="96">
        <f t="shared" si="0"/>
        <v>2</v>
      </c>
      <c r="H2" s="96">
        <f t="shared" si="0"/>
        <v>3</v>
      </c>
      <c r="I2" s="96">
        <f t="shared" si="0"/>
        <v>4</v>
      </c>
      <c r="J2" s="96">
        <f t="shared" si="0"/>
        <v>5</v>
      </c>
      <c r="K2" s="96">
        <f t="shared" si="0"/>
        <v>6</v>
      </c>
      <c r="L2" s="96">
        <f t="shared" si="0"/>
        <v>7</v>
      </c>
      <c r="M2" s="96">
        <f t="shared" si="0"/>
        <v>8</v>
      </c>
      <c r="N2" s="96">
        <f t="shared" si="0"/>
        <v>9</v>
      </c>
      <c r="O2" s="96">
        <f t="shared" si="0"/>
        <v>10</v>
      </c>
      <c r="P2" s="96">
        <f t="shared" si="0"/>
        <v>11</v>
      </c>
      <c r="Q2" s="96">
        <f t="shared" si="0"/>
        <v>12</v>
      </c>
      <c r="R2" s="96">
        <f t="shared" si="0"/>
        <v>13</v>
      </c>
      <c r="S2" s="96">
        <f t="shared" si="0"/>
        <v>14</v>
      </c>
      <c r="T2" s="96">
        <f t="shared" si="0"/>
        <v>15</v>
      </c>
    </row>
    <row r="3" spans="1:22" ht="14" customHeight="1">
      <c r="A3" s="5"/>
      <c r="B3" s="5"/>
      <c r="C3" s="5"/>
      <c r="D3" s="6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s="8" customFormat="1" ht="14" customHeight="1">
      <c r="A4" s="8" t="s">
        <v>112</v>
      </c>
      <c r="B4" s="9"/>
      <c r="D4" s="62"/>
    </row>
    <row r="5" spans="1:22" ht="14" customHeight="1">
      <c r="A5" s="5"/>
      <c r="B5" s="5"/>
      <c r="C5" s="5"/>
      <c r="D5" s="6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2" ht="14" customHeight="1">
      <c r="A6" s="5"/>
      <c r="B6" s="4" t="s">
        <v>1</v>
      </c>
      <c r="C6" s="28"/>
      <c r="D6" s="63"/>
      <c r="E6" s="28"/>
      <c r="F6" s="17">
        <f>Calculations!F47</f>
        <v>59400</v>
      </c>
      <c r="G6" s="17">
        <f>Calculations!G47</f>
        <v>62393.759999999995</v>
      </c>
      <c r="H6" s="17">
        <f>Calculations!H47</f>
        <v>65538.405504000009</v>
      </c>
      <c r="I6" s="17">
        <f>Calculations!I47</f>
        <v>68179.603245811217</v>
      </c>
      <c r="J6" s="17">
        <f>Calculations!J47</f>
        <v>70927.241256617403</v>
      </c>
      <c r="K6" s="17">
        <f>Calculations!K47</f>
        <v>73785.609079259084</v>
      </c>
      <c r="L6" s="17">
        <f>Calculations!L47</f>
        <v>76759.169125153232</v>
      </c>
      <c r="M6" s="17">
        <f>Calculations!M47</f>
        <v>79852.5636408969</v>
      </c>
      <c r="N6" s="17">
        <f>Calculations!N47</f>
        <v>83070.621955625058</v>
      </c>
      <c r="O6" s="17">
        <f>Calculations!O47</f>
        <v>86418.368020436741</v>
      </c>
      <c r="P6" s="17">
        <f>Calculations!P47</f>
        <v>89901.028251660347</v>
      </c>
      <c r="Q6" s="17">
        <f>Calculations!Q47</f>
        <v>93524.039690202277</v>
      </c>
      <c r="R6" s="17">
        <f>Calculations!R47</f>
        <v>97293.058489717427</v>
      </c>
      <c r="S6" s="17">
        <f>Calculations!S47</f>
        <v>101213.96874685305</v>
      </c>
      <c r="T6" s="17">
        <f>Calculations!T47</f>
        <v>105292.89168735122</v>
      </c>
      <c r="U6" s="5"/>
      <c r="V6" s="5"/>
    </row>
    <row r="7" spans="1:22" ht="14" customHeight="1">
      <c r="A7" s="5"/>
      <c r="B7" s="4" t="s">
        <v>30</v>
      </c>
      <c r="C7" s="5"/>
      <c r="D7" s="64"/>
      <c r="E7" s="5"/>
      <c r="F7" s="5">
        <f>Calculations!F48</f>
        <v>-39015</v>
      </c>
      <c r="G7" s="5">
        <f>Calculations!G48</f>
        <v>-40981.356</v>
      </c>
      <c r="H7" s="5">
        <f>Calculations!H48</f>
        <v>-43046.816342400009</v>
      </c>
      <c r="I7" s="5">
        <f>Calculations!I48</f>
        <v>-44781.603040998722</v>
      </c>
      <c r="J7" s="5">
        <f>Calculations!J48</f>
        <v>-46586.301643550971</v>
      </c>
      <c r="K7" s="5">
        <f>Calculations!K48</f>
        <v>-48463.729599786078</v>
      </c>
      <c r="L7" s="5">
        <f>Calculations!L48</f>
        <v>-50416.817902657465</v>
      </c>
      <c r="M7" s="5">
        <f>Calculations!M48</f>
        <v>-52448.615664134559</v>
      </c>
      <c r="N7" s="5">
        <f>Calculations!N48</f>
        <v>-54562.29487539918</v>
      </c>
      <c r="O7" s="5">
        <f>Calculations!O48</f>
        <v>-56761.155358877775</v>
      </c>
      <c r="P7" s="5">
        <f>Calculations!P48</f>
        <v>-59048.629919840547</v>
      </c>
      <c r="Q7" s="5">
        <f>Calculations!Q48</f>
        <v>-61428.289705610121</v>
      </c>
      <c r="R7" s="5">
        <f>Calculations!R48</f>
        <v>-63903.849780746212</v>
      </c>
      <c r="S7" s="5">
        <f>Calculations!S48</f>
        <v>-66479.174926910287</v>
      </c>
      <c r="T7" s="5">
        <f>Calculations!T48</f>
        <v>-69158.285676464773</v>
      </c>
      <c r="U7" s="5"/>
      <c r="V7" s="5"/>
    </row>
    <row r="8" spans="1:22" ht="14" customHeight="1">
      <c r="A8" s="5"/>
      <c r="B8" s="52" t="s">
        <v>31</v>
      </c>
      <c r="C8" s="13"/>
      <c r="D8" s="65"/>
      <c r="E8" s="13"/>
      <c r="F8" s="13">
        <f t="shared" ref="F8:O8" si="1">F6+F7</f>
        <v>20385</v>
      </c>
      <c r="G8" s="13">
        <f t="shared" si="1"/>
        <v>21412.403999999995</v>
      </c>
      <c r="H8" s="13">
        <f t="shared" si="1"/>
        <v>22491.589161600001</v>
      </c>
      <c r="I8" s="13">
        <f t="shared" si="1"/>
        <v>23398.000204812495</v>
      </c>
      <c r="J8" s="13">
        <f t="shared" si="1"/>
        <v>24340.939613066432</v>
      </c>
      <c r="K8" s="13">
        <f t="shared" si="1"/>
        <v>25321.879479473006</v>
      </c>
      <c r="L8" s="13">
        <f t="shared" si="1"/>
        <v>26342.351222495767</v>
      </c>
      <c r="M8" s="13">
        <f t="shared" si="1"/>
        <v>27403.947976762342</v>
      </c>
      <c r="N8" s="13">
        <f t="shared" si="1"/>
        <v>28508.327080225878</v>
      </c>
      <c r="O8" s="13">
        <f t="shared" si="1"/>
        <v>29657.212661558966</v>
      </c>
      <c r="P8" s="13">
        <f>P6+P7</f>
        <v>30852.398331819801</v>
      </c>
      <c r="Q8" s="13">
        <f>Q6+Q7</f>
        <v>32095.749984592156</v>
      </c>
      <c r="R8" s="13">
        <f>R6+R7</f>
        <v>33389.208708971215</v>
      </c>
      <c r="S8" s="13">
        <f>S6+S7</f>
        <v>34734.793819942759</v>
      </c>
      <c r="T8" s="13">
        <f>T6+T7</f>
        <v>36134.606010886448</v>
      </c>
      <c r="U8" s="5"/>
      <c r="V8" s="5"/>
    </row>
    <row r="9" spans="1:22" ht="14" customHeight="1">
      <c r="A9" s="5"/>
      <c r="B9" s="5"/>
      <c r="C9" s="5"/>
      <c r="D9" s="6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4" customHeight="1">
      <c r="A10" s="5"/>
      <c r="B10" s="4" t="s">
        <v>46</v>
      </c>
      <c r="C10" s="19"/>
      <c r="D10" s="64"/>
      <c r="E10" s="1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4" customHeight="1">
      <c r="A11" s="5"/>
      <c r="B11" s="5"/>
      <c r="C11" s="5" t="s">
        <v>1</v>
      </c>
      <c r="D11" s="64"/>
      <c r="E11" s="5"/>
      <c r="F11" s="5">
        <f>-Calculations!F55</f>
        <v>-8444.8000000000011</v>
      </c>
      <c r="G11" s="5">
        <f>-Calculations!G55</f>
        <v>-8870.4179200000017</v>
      </c>
      <c r="H11" s="5">
        <f>-Calculations!H55</f>
        <v>-9317.4869831680007</v>
      </c>
      <c r="I11" s="5">
        <f>-Calculations!I55</f>
        <v>-9692.9817085896702</v>
      </c>
      <c r="J11" s="5">
        <f>-Calculations!J55</f>
        <v>-10083.608871445836</v>
      </c>
      <c r="K11" s="5">
        <f>-Calculations!K55</f>
        <v>-10489.978308965103</v>
      </c>
      <c r="L11" s="5">
        <f>-Calculations!L55</f>
        <v>-10912.724434816399</v>
      </c>
      <c r="M11" s="5">
        <f>-Calculations!M55</f>
        <v>-11352.507229539497</v>
      </c>
      <c r="N11" s="5">
        <f>-Calculations!N55</f>
        <v>-11810.013270889942</v>
      </c>
      <c r="O11" s="5">
        <f>-Calculations!O55</f>
        <v>-12285.956805706805</v>
      </c>
      <c r="P11" s="5">
        <f>-Calculations!P55</f>
        <v>-12781.080864976791</v>
      </c>
      <c r="Q11" s="5">
        <f>-Calculations!Q55</f>
        <v>-13296.158423835355</v>
      </c>
      <c r="R11" s="5">
        <f>-Calculations!R55</f>
        <v>-13831.993608315919</v>
      </c>
      <c r="S11" s="5">
        <f>-Calculations!S55</f>
        <v>-14389.422950731052</v>
      </c>
      <c r="T11" s="5">
        <f>-Calculations!T55</f>
        <v>-14969.316695645512</v>
      </c>
      <c r="U11" s="5"/>
      <c r="V11" s="5"/>
    </row>
    <row r="12" spans="1:22" ht="14" customHeight="1">
      <c r="A12" s="5"/>
      <c r="B12" s="5"/>
      <c r="C12" s="5" t="s">
        <v>2</v>
      </c>
      <c r="D12" s="64"/>
      <c r="E12" s="5"/>
      <c r="F12" s="5">
        <f>-Calculations!F60</f>
        <v>-2970</v>
      </c>
      <c r="G12" s="5">
        <f>-Calculations!G60</f>
        <v>-3743.6255999999994</v>
      </c>
      <c r="H12" s="5">
        <f>-Calculations!H60</f>
        <v>-4587.6883852800011</v>
      </c>
      <c r="I12" s="5">
        <f>-Calculations!I60</f>
        <v>-4772.572227206786</v>
      </c>
      <c r="J12" s="5">
        <f>-Calculations!J60</f>
        <v>-4964.9068879632187</v>
      </c>
      <c r="K12" s="5">
        <f>-Calculations!K60</f>
        <v>-5164.9926355481366</v>
      </c>
      <c r="L12" s="5">
        <f>-Calculations!L60</f>
        <v>-5373.1418387607264</v>
      </c>
      <c r="M12" s="5">
        <f>-Calculations!M60</f>
        <v>-5589.6794548627831</v>
      </c>
      <c r="N12" s="5">
        <f>-Calculations!N60</f>
        <v>-5814.9435368937548</v>
      </c>
      <c r="O12" s="5">
        <f>-Calculations!O60</f>
        <v>-6049.2857614305722</v>
      </c>
      <c r="P12" s="5">
        <f>-Calculations!P60</f>
        <v>-6293.071977616225</v>
      </c>
      <c r="Q12" s="5">
        <f>-Calculations!Q60</f>
        <v>-6546.6827783141598</v>
      </c>
      <c r="R12" s="5">
        <f>-Calculations!R60</f>
        <v>-6810.5140942802209</v>
      </c>
      <c r="S12" s="5">
        <f>-Calculations!S60</f>
        <v>-7084.9778122797143</v>
      </c>
      <c r="T12" s="5">
        <f>-Calculations!T60</f>
        <v>-7370.5024181145864</v>
      </c>
      <c r="U12" s="5"/>
      <c r="V12" s="5"/>
    </row>
    <row r="13" spans="1:22" ht="14" customHeight="1">
      <c r="A13" s="5"/>
      <c r="B13" s="5"/>
      <c r="C13" s="5" t="s">
        <v>153</v>
      </c>
      <c r="D13" s="64"/>
      <c r="E13" s="5"/>
      <c r="F13" s="5">
        <f>-Calculations!F63</f>
        <v>-780</v>
      </c>
      <c r="G13" s="5">
        <f>-Calculations!G63</f>
        <v>-811.2</v>
      </c>
      <c r="H13" s="5">
        <f>-Calculations!H63</f>
        <v>-843.64800000000002</v>
      </c>
      <c r="I13" s="5">
        <f>-Calculations!I63</f>
        <v>-877.39392000000009</v>
      </c>
      <c r="J13" s="5">
        <f>-Calculations!J63</f>
        <v>-912.4896768000001</v>
      </c>
      <c r="K13" s="5">
        <f>-Calculations!K63</f>
        <v>-948.98926387200015</v>
      </c>
      <c r="L13" s="5">
        <f>-Calculations!L63</f>
        <v>-986.94883442688024</v>
      </c>
      <c r="M13" s="5">
        <f>-Calculations!M63</f>
        <v>-1026.4267878039554</v>
      </c>
      <c r="N13" s="5">
        <f>-Calculations!N63</f>
        <v>-1067.4838593161137</v>
      </c>
      <c r="O13" s="5">
        <f>-Calculations!O63</f>
        <v>-1110.1832136887583</v>
      </c>
      <c r="P13" s="5">
        <f>-Calculations!P63</f>
        <v>-1154.5905422363087</v>
      </c>
      <c r="Q13" s="5">
        <f>-Calculations!Q63</f>
        <v>-1200.7741639257611</v>
      </c>
      <c r="R13" s="5">
        <f>-Calculations!R63</f>
        <v>-1248.8051304827916</v>
      </c>
      <c r="S13" s="5">
        <f>-Calculations!S63</f>
        <v>-1298.7573357021033</v>
      </c>
      <c r="T13" s="5">
        <f>-Calculations!T63</f>
        <v>-1350.7076291301876</v>
      </c>
      <c r="U13" s="5"/>
      <c r="V13" s="5"/>
    </row>
    <row r="14" spans="1:22" ht="14" customHeight="1">
      <c r="A14" s="5"/>
      <c r="B14" s="19"/>
      <c r="C14" s="66" t="s">
        <v>103</v>
      </c>
      <c r="D14" s="65"/>
      <c r="E14" s="66"/>
      <c r="F14" s="13">
        <f>SUM(F11:F13)</f>
        <v>-12194.800000000001</v>
      </c>
      <c r="G14" s="13">
        <f t="shared" ref="G14:O14" si="2">SUM(G11:G13)</f>
        <v>-13425.243520000002</v>
      </c>
      <c r="H14" s="13">
        <f t="shared" si="2"/>
        <v>-14748.823368448002</v>
      </c>
      <c r="I14" s="13">
        <f t="shared" si="2"/>
        <v>-15342.947855796456</v>
      </c>
      <c r="J14" s="13">
        <f t="shared" si="2"/>
        <v>-15961.005436209056</v>
      </c>
      <c r="K14" s="13">
        <f t="shared" si="2"/>
        <v>-16603.960208385241</v>
      </c>
      <c r="L14" s="13">
        <f t="shared" si="2"/>
        <v>-17272.815108004004</v>
      </c>
      <c r="M14" s="13">
        <f t="shared" si="2"/>
        <v>-17968.613472206234</v>
      </c>
      <c r="N14" s="13">
        <f t="shared" si="2"/>
        <v>-18692.440667099811</v>
      </c>
      <c r="O14" s="13">
        <f t="shared" si="2"/>
        <v>-19445.425780826135</v>
      </c>
      <c r="P14" s="13">
        <f>SUM(P11:P13)</f>
        <v>-20228.743384829326</v>
      </c>
      <c r="Q14" s="13">
        <f>SUM(Q11:Q13)</f>
        <v>-21043.615366075279</v>
      </c>
      <c r="R14" s="13">
        <f>SUM(R11:R13)</f>
        <v>-21891.312833078933</v>
      </c>
      <c r="S14" s="13">
        <f>SUM(S11:S13)</f>
        <v>-22773.158098712869</v>
      </c>
      <c r="T14" s="13">
        <f>SUM(T11:T13)</f>
        <v>-23690.526742890288</v>
      </c>
      <c r="U14" s="5"/>
      <c r="V14" s="5"/>
    </row>
    <row r="15" spans="1:22" ht="14" customHeight="1">
      <c r="A15" s="5"/>
      <c r="B15" s="19"/>
      <c r="C15" s="19"/>
      <c r="D15" s="64"/>
      <c r="E15" s="19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5"/>
      <c r="V15" s="5"/>
    </row>
    <row r="16" spans="1:22" ht="14" customHeight="1">
      <c r="A16" s="5"/>
      <c r="B16" s="52" t="s">
        <v>33</v>
      </c>
      <c r="C16" s="66"/>
      <c r="D16" s="65"/>
      <c r="E16" s="66"/>
      <c r="F16" s="13">
        <f t="shared" ref="F16:O16" si="3">F8+F14</f>
        <v>8190.1999999999989</v>
      </c>
      <c r="G16" s="13">
        <f t="shared" si="3"/>
        <v>7987.1604799999932</v>
      </c>
      <c r="H16" s="13">
        <f t="shared" si="3"/>
        <v>7742.7657931519989</v>
      </c>
      <c r="I16" s="13">
        <f t="shared" si="3"/>
        <v>8055.0523490160394</v>
      </c>
      <c r="J16" s="13">
        <f t="shared" si="3"/>
        <v>8379.9341768573759</v>
      </c>
      <c r="K16" s="13">
        <f t="shared" si="3"/>
        <v>8717.9192710877651</v>
      </c>
      <c r="L16" s="13">
        <f t="shared" si="3"/>
        <v>9069.5361144917624</v>
      </c>
      <c r="M16" s="13">
        <f t="shared" si="3"/>
        <v>9435.3345045561073</v>
      </c>
      <c r="N16" s="13">
        <f t="shared" si="3"/>
        <v>9815.8864131260671</v>
      </c>
      <c r="O16" s="13">
        <f t="shared" si="3"/>
        <v>10211.78688073283</v>
      </c>
      <c r="P16" s="13">
        <f>P8+P14</f>
        <v>10623.654946990475</v>
      </c>
      <c r="Q16" s="13">
        <f>Q8+Q14</f>
        <v>11052.134618516877</v>
      </c>
      <c r="R16" s="13">
        <f>R8+R14</f>
        <v>11497.895875892282</v>
      </c>
      <c r="S16" s="13">
        <f>S8+S14</f>
        <v>11961.63572122989</v>
      </c>
      <c r="T16" s="13">
        <f>T8+T14</f>
        <v>12444.07926799616</v>
      </c>
      <c r="U16" s="5"/>
      <c r="V16" s="5"/>
    </row>
    <row r="17" spans="1:22" ht="14" customHeight="1">
      <c r="A17" s="5"/>
      <c r="B17" s="5"/>
      <c r="C17" s="5"/>
      <c r="D17" s="6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3.5" customHeight="1">
      <c r="A18" s="5"/>
      <c r="B18" s="5"/>
      <c r="C18" s="5" t="s">
        <v>3</v>
      </c>
      <c r="D18" s="64"/>
      <c r="E18" s="5"/>
      <c r="F18" s="5">
        <f>-Calculations!F118</f>
        <v>-1352</v>
      </c>
      <c r="G18" s="5">
        <f>-Calculations!G118</f>
        <v>-1444.7085714285715</v>
      </c>
      <c r="H18" s="5">
        <f>-Calculations!H118</f>
        <v>-1541.1254857142858</v>
      </c>
      <c r="I18" s="5">
        <f>-Calculations!I118</f>
        <v>-1640.4349074285715</v>
      </c>
      <c r="J18" s="5">
        <f>-Calculations!J118</f>
        <v>-1742.7236117942857</v>
      </c>
      <c r="K18" s="5">
        <f>-Calculations!K118</f>
        <v>-3340.6436551606862</v>
      </c>
      <c r="L18" s="5">
        <f>-Calculations!L118</f>
        <v>-3449.1617416222725</v>
      </c>
      <c r="M18" s="5">
        <f>-Calculations!M118</f>
        <v>-3560.9353706777065</v>
      </c>
      <c r="N18" s="5">
        <f>-Calculations!N118</f>
        <v>-3676.0622086048033</v>
      </c>
      <c r="O18" s="5">
        <f>-Calculations!O118</f>
        <v>-3794.6428516697133</v>
      </c>
      <c r="P18" s="5">
        <f>-Calculations!P118</f>
        <v>-5647.0701307487134</v>
      </c>
      <c r="Q18" s="5">
        <f>-Calculations!Q118</f>
        <v>-5772.8723349762759</v>
      </c>
      <c r="R18" s="5">
        <f>-Calculations!R118</f>
        <v>-4354.7593674887703</v>
      </c>
      <c r="S18" s="5">
        <f>-Calculations!S118</f>
        <v>-934.24490925514999</v>
      </c>
      <c r="T18" s="5">
        <f>-Calculations!T118</f>
        <v>-962.27225653280459</v>
      </c>
      <c r="U18" s="5"/>
      <c r="V18" s="5"/>
    </row>
    <row r="19" spans="1:22" ht="14" customHeight="1">
      <c r="A19" s="5"/>
      <c r="B19" s="5"/>
      <c r="C19" s="5" t="s">
        <v>38</v>
      </c>
      <c r="D19" s="64"/>
      <c r="E19" s="5"/>
      <c r="F19" s="5">
        <f>Calculations!F210</f>
        <v>-360</v>
      </c>
      <c r="G19" s="5">
        <f>Calculations!G210</f>
        <v>208.80758032786878</v>
      </c>
      <c r="H19" s="5">
        <f>Calculations!H210</f>
        <v>75.591806876497571</v>
      </c>
      <c r="I19" s="5">
        <f>Calculations!I210</f>
        <v>-44.600599831593627</v>
      </c>
      <c r="J19" s="5">
        <f>Calculations!J210</f>
        <v>-128.17585411664268</v>
      </c>
      <c r="K19" s="5">
        <f>Calculations!K210</f>
        <v>-679.9852242080575</v>
      </c>
      <c r="L19" s="5">
        <f>Calculations!L210</f>
        <v>-518.36764417999677</v>
      </c>
      <c r="M19" s="5">
        <f>Calculations!M210</f>
        <v>-573.01133519234008</v>
      </c>
      <c r="N19" s="5">
        <f>Calculations!N210</f>
        <v>-544.91122162842828</v>
      </c>
      <c r="O19" s="5">
        <f>Calculations!O210</f>
        <v>-501.00086141744669</v>
      </c>
      <c r="P19" s="5">
        <f>Calculations!P210</f>
        <v>-866.36526398835122</v>
      </c>
      <c r="Q19" s="5">
        <f>Calculations!Q210</f>
        <v>-644.15775105632906</v>
      </c>
      <c r="R19" s="5">
        <f>Calculations!R210</f>
        <v>-685.01148898590452</v>
      </c>
      <c r="S19" s="5">
        <f>Calculations!S210</f>
        <v>-638.13434726562627</v>
      </c>
      <c r="T19" s="5">
        <f>Calculations!T210</f>
        <v>-584.73293104337642</v>
      </c>
      <c r="U19" s="5"/>
      <c r="V19" s="5"/>
    </row>
    <row r="20" spans="1:22" ht="14" customHeight="1">
      <c r="A20" s="5"/>
      <c r="B20" s="52" t="s">
        <v>4</v>
      </c>
      <c r="C20" s="13"/>
      <c r="D20" s="65"/>
      <c r="E20" s="13"/>
      <c r="F20" s="13">
        <f>SUM(F16:F19)</f>
        <v>6478.1999999999989</v>
      </c>
      <c r="G20" s="13">
        <f t="shared" ref="G20:T20" si="4">SUM(G16:G19)</f>
        <v>6751.2594888992908</v>
      </c>
      <c r="H20" s="13">
        <f t="shared" si="4"/>
        <v>6277.2321143142108</v>
      </c>
      <c r="I20" s="13">
        <f t="shared" si="4"/>
        <v>6370.0168417558743</v>
      </c>
      <c r="J20" s="13">
        <f t="shared" si="4"/>
        <v>6509.0347109464474</v>
      </c>
      <c r="K20" s="13">
        <f t="shared" si="4"/>
        <v>4697.2903917190215</v>
      </c>
      <c r="L20" s="13">
        <f t="shared" si="4"/>
        <v>5102.0067286894928</v>
      </c>
      <c r="M20" s="13">
        <f t="shared" si="4"/>
        <v>5301.3877986860607</v>
      </c>
      <c r="N20" s="13">
        <f t="shared" si="4"/>
        <v>5594.9129828928353</v>
      </c>
      <c r="O20" s="13">
        <f t="shared" si="4"/>
        <v>5916.1431676456705</v>
      </c>
      <c r="P20" s="13">
        <f t="shared" si="4"/>
        <v>4110.2195522534103</v>
      </c>
      <c r="Q20" s="13">
        <f t="shared" si="4"/>
        <v>4635.1045324842717</v>
      </c>
      <c r="R20" s="13">
        <f t="shared" si="4"/>
        <v>6458.1250194176073</v>
      </c>
      <c r="S20" s="13">
        <f t="shared" si="4"/>
        <v>10389.256464709113</v>
      </c>
      <c r="T20" s="13">
        <f t="shared" si="4"/>
        <v>10897.07408041998</v>
      </c>
      <c r="U20" s="5"/>
      <c r="V20" s="5"/>
    </row>
    <row r="21" spans="1:22" ht="14" customHeight="1">
      <c r="A21" s="5"/>
      <c r="B21" s="5"/>
      <c r="C21" s="5"/>
      <c r="D21" s="6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4" customHeight="1">
      <c r="A22" s="5"/>
      <c r="B22" s="5"/>
      <c r="C22" s="5" t="s">
        <v>86</v>
      </c>
      <c r="D22" s="64"/>
      <c r="E22" s="5"/>
      <c r="F22" s="5">
        <f>Calculations!F220</f>
        <v>-1943.4599999999996</v>
      </c>
      <c r="G22" s="5">
        <f>Calculations!G220</f>
        <v>-2025.3778466697872</v>
      </c>
      <c r="H22" s="5">
        <f>Calculations!H220</f>
        <v>-1883.1696342942632</v>
      </c>
      <c r="I22" s="5">
        <f>Calculations!I220</f>
        <v>-1911.0050525267623</v>
      </c>
      <c r="J22" s="5">
        <f>Calculations!J220</f>
        <v>-1952.710413283934</v>
      </c>
      <c r="K22" s="5">
        <f>Calculations!K220</f>
        <v>-1409.1871175157064</v>
      </c>
      <c r="L22" s="5">
        <f>Calculations!L220</f>
        <v>-1530.6020186068479</v>
      </c>
      <c r="M22" s="5">
        <f>Calculations!M220</f>
        <v>-1590.4163396058182</v>
      </c>
      <c r="N22" s="5">
        <f>Calculations!N220</f>
        <v>-1678.4738948678505</v>
      </c>
      <c r="O22" s="5">
        <f>Calculations!O220</f>
        <v>-1774.8429502937011</v>
      </c>
      <c r="P22" s="5">
        <f>Calculations!P220</f>
        <v>-1233.0658656760231</v>
      </c>
      <c r="Q22" s="5">
        <f>Calculations!Q220</f>
        <v>-1390.5313597452814</v>
      </c>
      <c r="R22" s="5">
        <f>Calculations!R220</f>
        <v>-1937.4375058252822</v>
      </c>
      <c r="S22" s="5">
        <f>Calculations!S220</f>
        <v>-3116.776939412734</v>
      </c>
      <c r="T22" s="5">
        <f>Calculations!T220</f>
        <v>-3269.1222241259939</v>
      </c>
      <c r="U22" s="5"/>
      <c r="V22" s="5"/>
    </row>
    <row r="23" spans="1:22" ht="14" customHeight="1" thickBot="1">
      <c r="A23" s="5"/>
      <c r="B23" s="46" t="s">
        <v>53</v>
      </c>
      <c r="C23" s="42"/>
      <c r="D23" s="67"/>
      <c r="E23" s="42"/>
      <c r="F23" s="42">
        <f t="shared" ref="F23:T23" si="5">F22+F20</f>
        <v>4534.74</v>
      </c>
      <c r="G23" s="42">
        <f t="shared" si="5"/>
        <v>4725.881642229504</v>
      </c>
      <c r="H23" s="42">
        <f t="shared" si="5"/>
        <v>4394.0624800199475</v>
      </c>
      <c r="I23" s="42">
        <f t="shared" si="5"/>
        <v>4459.0117892291119</v>
      </c>
      <c r="J23" s="42">
        <f t="shared" si="5"/>
        <v>4556.3242976625133</v>
      </c>
      <c r="K23" s="42">
        <f t="shared" si="5"/>
        <v>3288.1032742033149</v>
      </c>
      <c r="L23" s="42">
        <f t="shared" si="5"/>
        <v>3571.4047100826447</v>
      </c>
      <c r="M23" s="42">
        <f t="shared" si="5"/>
        <v>3710.9714590802423</v>
      </c>
      <c r="N23" s="42">
        <f t="shared" si="5"/>
        <v>3916.4390880249848</v>
      </c>
      <c r="O23" s="42">
        <f t="shared" si="5"/>
        <v>4141.300217351969</v>
      </c>
      <c r="P23" s="42">
        <f t="shared" si="5"/>
        <v>2877.1536865773869</v>
      </c>
      <c r="Q23" s="42">
        <f t="shared" si="5"/>
        <v>3244.5731727389903</v>
      </c>
      <c r="R23" s="42">
        <f t="shared" si="5"/>
        <v>4520.6875135923256</v>
      </c>
      <c r="S23" s="42">
        <f t="shared" si="5"/>
        <v>7272.4795252963795</v>
      </c>
      <c r="T23" s="42">
        <f t="shared" si="5"/>
        <v>7627.9518562939857</v>
      </c>
      <c r="U23" s="5"/>
      <c r="V23" s="5"/>
    </row>
    <row r="24" spans="1:22" ht="14" customHeight="1">
      <c r="A24" s="5"/>
      <c r="B24" s="5"/>
      <c r="C24" s="5"/>
      <c r="D24" s="6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s="8" customFormat="1" ht="14" customHeight="1">
      <c r="A25" s="8" t="s">
        <v>8</v>
      </c>
      <c r="B25" s="9"/>
      <c r="D25" s="68"/>
    </row>
    <row r="26" spans="1:22" ht="14" customHeight="1">
      <c r="D26" s="69"/>
    </row>
    <row r="27" spans="1:22" ht="14" customHeight="1">
      <c r="A27" s="5"/>
      <c r="B27" s="4" t="s">
        <v>9</v>
      </c>
      <c r="C27" s="19"/>
      <c r="D27" s="70"/>
      <c r="E27" s="1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2" ht="14" customHeight="1">
      <c r="A28" s="5"/>
      <c r="B28" s="5"/>
      <c r="C28" s="5" t="s">
        <v>39</v>
      </c>
      <c r="D28" s="64"/>
      <c r="E28" s="5">
        <v>0</v>
      </c>
      <c r="F28" s="5">
        <f>E28+F91</f>
        <v>13770.18950819672</v>
      </c>
      <c r="G28" s="5">
        <f t="shared" ref="G28:T28" si="6">F28+G91</f>
        <v>9989.7951719124394</v>
      </c>
      <c r="H28" s="5">
        <f t="shared" si="6"/>
        <v>6534.9850042101589</v>
      </c>
      <c r="I28" s="5">
        <f t="shared" si="6"/>
        <v>3995.6036470839326</v>
      </c>
      <c r="J28" s="5">
        <f t="shared" si="6"/>
        <v>2250.3693947985621</v>
      </c>
      <c r="K28" s="5">
        <f t="shared" si="6"/>
        <v>5215.8088955000812</v>
      </c>
      <c r="L28" s="5">
        <f t="shared" si="6"/>
        <v>2774.7166201914979</v>
      </c>
      <c r="M28" s="5">
        <f t="shared" si="6"/>
        <v>2402.2194592892929</v>
      </c>
      <c r="N28" s="5">
        <f t="shared" si="6"/>
        <v>2424.9784645638329</v>
      </c>
      <c r="O28" s="5">
        <f t="shared" si="6"/>
        <v>2528.3684002912205</v>
      </c>
      <c r="P28" s="5">
        <f t="shared" si="6"/>
        <v>6321.0562235917723</v>
      </c>
      <c r="Q28" s="5">
        <f t="shared" si="6"/>
        <v>3537.2127753523864</v>
      </c>
      <c r="R28" s="5">
        <f t="shared" si="6"/>
        <v>2946.641318359344</v>
      </c>
      <c r="S28" s="5">
        <f t="shared" si="6"/>
        <v>2519.1767239155897</v>
      </c>
      <c r="T28" s="5">
        <f t="shared" si="6"/>
        <v>2495.6755366937932</v>
      </c>
      <c r="U28" s="5"/>
      <c r="V28" s="5"/>
    </row>
    <row r="29" spans="1:22" ht="14" customHeight="1">
      <c r="A29" s="5"/>
      <c r="B29" s="5"/>
      <c r="C29" s="5" t="s">
        <v>10</v>
      </c>
      <c r="D29" s="64"/>
      <c r="E29" s="5"/>
      <c r="F29" s="5">
        <f>Calculations!F74</f>
        <v>5355.7377049180332</v>
      </c>
      <c r="G29" s="5">
        <f>Calculations!G74</f>
        <v>5641.0796712328765</v>
      </c>
      <c r="H29" s="5">
        <f>Calculations!H74</f>
        <v>5925.3900866630147</v>
      </c>
      <c r="I29" s="5">
        <f>Calculations!I74</f>
        <v>6164.1833071555347</v>
      </c>
      <c r="J29" s="5">
        <f>Calculations!J74</f>
        <v>6395.0791296950119</v>
      </c>
      <c r="K29" s="5">
        <f>Calculations!K74</f>
        <v>6671.0276701795883</v>
      </c>
      <c r="L29" s="5">
        <f>Calculations!L74</f>
        <v>6939.8700852878264</v>
      </c>
      <c r="M29" s="5">
        <f>Calculations!M74</f>
        <v>7219.5468497249258</v>
      </c>
      <c r="N29" s="5">
        <f>Calculations!N74</f>
        <v>7489.974110753079</v>
      </c>
      <c r="O29" s="5">
        <f>Calculations!O74</f>
        <v>7813.1675196559245</v>
      </c>
      <c r="P29" s="5">
        <f>Calculations!P74</f>
        <v>8128.0381706980588</v>
      </c>
      <c r="Q29" s="5">
        <f>Calculations!Q74</f>
        <v>8455.5981089771922</v>
      </c>
      <c r="R29" s="5">
        <f>Calculations!R74</f>
        <v>8772.3249457941947</v>
      </c>
      <c r="S29" s="5">
        <f>Calculations!S74</f>
        <v>9150.851968893563</v>
      </c>
      <c r="T29" s="5">
        <f>Calculations!T74</f>
        <v>9519.6313032399739</v>
      </c>
      <c r="U29" s="5"/>
      <c r="V29" s="5"/>
    </row>
    <row r="30" spans="1:22" ht="14" customHeight="1">
      <c r="A30" s="5"/>
      <c r="B30" s="5"/>
      <c r="C30" s="5" t="s">
        <v>32</v>
      </c>
      <c r="D30" s="64"/>
      <c r="E30" s="5"/>
      <c r="F30" s="5">
        <f>Calculations!F78</f>
        <v>4477.1311475409839</v>
      </c>
      <c r="G30" s="5">
        <f>Calculations!G78</f>
        <v>4715.6628821917811</v>
      </c>
      <c r="H30" s="5">
        <f>Calculations!H78</f>
        <v>4953.3322914542478</v>
      </c>
      <c r="I30" s="5">
        <f>Calculations!I78</f>
        <v>5152.951582799853</v>
      </c>
      <c r="J30" s="5">
        <f>Calculations!J78</f>
        <v>5345.9690410632265</v>
      </c>
      <c r="K30" s="5">
        <f>Calculations!K78</f>
        <v>5576.6483375096304</v>
      </c>
      <c r="L30" s="5">
        <f>Calculations!L78</f>
        <v>5801.38726551127</v>
      </c>
      <c r="M30" s="5">
        <f>Calculations!M78</f>
        <v>6035.1831723113737</v>
      </c>
      <c r="N30" s="5">
        <f>Calculations!N78</f>
        <v>6261.2469529146601</v>
      </c>
      <c r="O30" s="5">
        <f>Calculations!O78</f>
        <v>6531.4206166379909</v>
      </c>
      <c r="P30" s="5">
        <f>Calculations!P78</f>
        <v>6794.6368674885016</v>
      </c>
      <c r="Q30" s="5">
        <f>Calculations!Q78</f>
        <v>7068.4607332482874</v>
      </c>
      <c r="R30" s="5">
        <f>Calculations!R78</f>
        <v>7333.2286633643198</v>
      </c>
      <c r="S30" s="5">
        <f>Calculations!S78</f>
        <v>7649.6584847403619</v>
      </c>
      <c r="T30" s="5">
        <f>Calculations!T78</f>
        <v>7957.9397216753987</v>
      </c>
      <c r="U30" s="5"/>
      <c r="V30" s="5"/>
    </row>
    <row r="31" spans="1:22" ht="14" customHeight="1">
      <c r="A31" s="5"/>
      <c r="B31" s="5"/>
      <c r="C31" s="13" t="s">
        <v>104</v>
      </c>
      <c r="D31" s="65"/>
      <c r="E31" s="13"/>
      <c r="F31" s="13">
        <f t="shared" ref="F31:T31" si="7">SUM(F28:F30)</f>
        <v>23603.058360655734</v>
      </c>
      <c r="G31" s="13">
        <f t="shared" si="7"/>
        <v>20346.537725337097</v>
      </c>
      <c r="H31" s="13">
        <f t="shared" si="7"/>
        <v>17413.707382327422</v>
      </c>
      <c r="I31" s="13">
        <f t="shared" si="7"/>
        <v>15312.73853703932</v>
      </c>
      <c r="J31" s="13">
        <f t="shared" si="7"/>
        <v>13991.417565556801</v>
      </c>
      <c r="K31" s="13">
        <f t="shared" si="7"/>
        <v>17463.484903189303</v>
      </c>
      <c r="L31" s="13">
        <f t="shared" si="7"/>
        <v>15515.973970990593</v>
      </c>
      <c r="M31" s="13">
        <f t="shared" si="7"/>
        <v>15656.949481325593</v>
      </c>
      <c r="N31" s="13">
        <f t="shared" si="7"/>
        <v>16176.199528231571</v>
      </c>
      <c r="O31" s="13">
        <f t="shared" si="7"/>
        <v>16872.956536585138</v>
      </c>
      <c r="P31" s="13">
        <f t="shared" si="7"/>
        <v>21243.731261778332</v>
      </c>
      <c r="Q31" s="13">
        <f t="shared" si="7"/>
        <v>19061.271617577866</v>
      </c>
      <c r="R31" s="13">
        <f t="shared" si="7"/>
        <v>19052.194927517859</v>
      </c>
      <c r="S31" s="13">
        <f t="shared" si="7"/>
        <v>19319.687177549513</v>
      </c>
      <c r="T31" s="13">
        <f t="shared" si="7"/>
        <v>19973.246561609165</v>
      </c>
      <c r="U31" s="5"/>
      <c r="V31" s="5"/>
    </row>
    <row r="32" spans="1:22" ht="14" customHeight="1">
      <c r="A32" s="5"/>
      <c r="B32" s="5"/>
      <c r="C32" s="5"/>
      <c r="D32" s="64"/>
      <c r="E32" s="5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5"/>
      <c r="V32" s="5"/>
    </row>
    <row r="33" spans="1:22" ht="14" customHeight="1">
      <c r="A33" s="5"/>
      <c r="B33" s="4" t="s">
        <v>41</v>
      </c>
      <c r="C33" s="5"/>
      <c r="D33" s="6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4" customHeight="1">
      <c r="A34" s="5"/>
      <c r="B34" s="5"/>
      <c r="C34" s="17" t="s">
        <v>76</v>
      </c>
      <c r="D34" s="63"/>
      <c r="E34" s="17"/>
      <c r="F34" s="17">
        <f>Calculations!F120</f>
        <v>8112</v>
      </c>
      <c r="G34" s="17">
        <f>Calculations!G120</f>
        <v>7316.2514285714278</v>
      </c>
      <c r="H34" s="17">
        <f>Calculations!H120</f>
        <v>6450.0443428571425</v>
      </c>
      <c r="I34" s="17">
        <f>Calculations!I120</f>
        <v>5504.7753874285718</v>
      </c>
      <c r="J34" s="17">
        <f>Calculations!J120</f>
        <v>4478.0727061942862</v>
      </c>
      <c r="K34" s="17">
        <f>Calculations!K120</f>
        <v>12322.869354598402</v>
      </c>
      <c r="L34" s="17">
        <f>Calculations!L120</f>
        <v>9633.3342182072338</v>
      </c>
      <c r="M34" s="17">
        <f>Calculations!M120</f>
        <v>6854.8142509175641</v>
      </c>
      <c r="N34" s="17">
        <f>Calculations!N120</f>
        <v>3984.6399078024397</v>
      </c>
      <c r="O34" s="17">
        <f>Calculations!O120</f>
        <v>1020.0615575870952</v>
      </c>
      <c r="P34" s="17">
        <f>Calculations!P120</f>
        <v>8339.9823803913787</v>
      </c>
      <c r="Q34" s="17">
        <f>Calculations!Q120</f>
        <v>3447.7254750080419</v>
      </c>
      <c r="R34" s="17">
        <f>Calculations!R120</f>
        <v>0</v>
      </c>
      <c r="S34" s="17">
        <f>Calculations!S120</f>
        <v>0</v>
      </c>
      <c r="T34" s="17">
        <f>Calculations!T120</f>
        <v>0</v>
      </c>
      <c r="U34" s="5"/>
      <c r="V34" s="5"/>
    </row>
    <row r="35" spans="1:22" ht="14" customHeight="1">
      <c r="A35" s="5"/>
      <c r="B35" s="5"/>
      <c r="C35" s="17" t="str">
        <f>Calculations!C238</f>
        <v>Deferred tax asset (depreciation timing differences)</v>
      </c>
      <c r="D35" s="63"/>
      <c r="E35" s="17"/>
      <c r="F35" s="17">
        <f>Calculations!F238</f>
        <v>162.24000000000004</v>
      </c>
      <c r="G35" s="17">
        <f>Calculations!G238</f>
        <v>254.48502857142864</v>
      </c>
      <c r="H35" s="17">
        <f>Calculations!H238</f>
        <v>271.61757257142864</v>
      </c>
      <c r="I35" s="17">
        <f>Calculations!I238</f>
        <v>208.19971803428589</v>
      </c>
      <c r="J35" s="17">
        <f>Calculations!J238</f>
        <v>58.630413575314648</v>
      </c>
      <c r="K35" s="17">
        <f>Calculations!K238</f>
        <v>0</v>
      </c>
      <c r="L35" s="17">
        <f>Calculations!L238</f>
        <v>0</v>
      </c>
      <c r="M35" s="17">
        <f>Calculations!M238</f>
        <v>0</v>
      </c>
      <c r="N35" s="17">
        <f>Calculations!N238</f>
        <v>0</v>
      </c>
      <c r="O35" s="17">
        <f>Calculations!O238</f>
        <v>0</v>
      </c>
      <c r="P35" s="17">
        <f>Calculations!P238</f>
        <v>0</v>
      </c>
      <c r="Q35" s="17">
        <f>Calculations!Q238</f>
        <v>0</v>
      </c>
      <c r="R35" s="17">
        <f>Calculations!R238</f>
        <v>0</v>
      </c>
      <c r="S35" s="17">
        <f>Calculations!S238</f>
        <v>0</v>
      </c>
      <c r="T35" s="17">
        <f>Calculations!T238</f>
        <v>0</v>
      </c>
      <c r="U35" s="5"/>
      <c r="V35" s="5"/>
    </row>
    <row r="36" spans="1:22" ht="14" customHeight="1">
      <c r="A36" s="5"/>
      <c r="B36" s="5"/>
      <c r="C36" s="13" t="s">
        <v>105</v>
      </c>
      <c r="D36" s="65"/>
      <c r="E36" s="13"/>
      <c r="F36" s="13">
        <f>SUM(F34:F35)</f>
        <v>8274.24</v>
      </c>
      <c r="G36" s="13">
        <f t="shared" ref="G36:T36" si="8">SUM(G34:G35)</f>
        <v>7570.7364571428561</v>
      </c>
      <c r="H36" s="13">
        <f t="shared" si="8"/>
        <v>6721.6619154285709</v>
      </c>
      <c r="I36" s="13">
        <f t="shared" si="8"/>
        <v>5712.9751054628578</v>
      </c>
      <c r="J36" s="13">
        <f t="shared" si="8"/>
        <v>4536.7031197696006</v>
      </c>
      <c r="K36" s="13">
        <f t="shared" si="8"/>
        <v>12322.869354598402</v>
      </c>
      <c r="L36" s="13">
        <f t="shared" si="8"/>
        <v>9633.3342182072338</v>
      </c>
      <c r="M36" s="13">
        <f t="shared" si="8"/>
        <v>6854.8142509175641</v>
      </c>
      <c r="N36" s="13">
        <f t="shared" si="8"/>
        <v>3984.6399078024397</v>
      </c>
      <c r="O36" s="13">
        <f t="shared" si="8"/>
        <v>1020.0615575870952</v>
      </c>
      <c r="P36" s="13">
        <f t="shared" si="8"/>
        <v>8339.9823803913787</v>
      </c>
      <c r="Q36" s="13">
        <f t="shared" si="8"/>
        <v>3447.7254750080419</v>
      </c>
      <c r="R36" s="13">
        <f t="shared" si="8"/>
        <v>0</v>
      </c>
      <c r="S36" s="13">
        <f t="shared" si="8"/>
        <v>0</v>
      </c>
      <c r="T36" s="13">
        <f t="shared" si="8"/>
        <v>0</v>
      </c>
      <c r="U36" s="5"/>
      <c r="V36" s="5"/>
    </row>
    <row r="37" spans="1:22" ht="14" customHeight="1">
      <c r="A37" s="5"/>
      <c r="B37" s="5"/>
      <c r="C37" s="5"/>
      <c r="D37" s="6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4" customHeight="1" thickBot="1">
      <c r="A38" s="5"/>
      <c r="B38" s="46" t="s">
        <v>11</v>
      </c>
      <c r="C38" s="42"/>
      <c r="D38" s="67"/>
      <c r="E38" s="42"/>
      <c r="F38" s="42">
        <f>SUM(F31:F36)</f>
        <v>40151.538360655737</v>
      </c>
      <c r="G38" s="42">
        <f t="shared" ref="G38:T38" si="9">SUM(G31:G36)</f>
        <v>35488.010639622808</v>
      </c>
      <c r="H38" s="42">
        <f t="shared" si="9"/>
        <v>30857.031213184564</v>
      </c>
      <c r="I38" s="42">
        <f t="shared" si="9"/>
        <v>26738.688747965036</v>
      </c>
      <c r="J38" s="42">
        <f t="shared" si="9"/>
        <v>23064.823805096006</v>
      </c>
      <c r="K38" s="42">
        <f t="shared" si="9"/>
        <v>42109.223612386108</v>
      </c>
      <c r="L38" s="42">
        <f t="shared" si="9"/>
        <v>34782.642407405059</v>
      </c>
      <c r="M38" s="42">
        <f t="shared" si="9"/>
        <v>29366.577983160721</v>
      </c>
      <c r="N38" s="42">
        <f t="shared" si="9"/>
        <v>24145.47934383645</v>
      </c>
      <c r="O38" s="42">
        <f t="shared" si="9"/>
        <v>18913.079651759326</v>
      </c>
      <c r="P38" s="42">
        <f t="shared" si="9"/>
        <v>37923.696022561089</v>
      </c>
      <c r="Q38" s="42">
        <f t="shared" si="9"/>
        <v>25956.722567593952</v>
      </c>
      <c r="R38" s="42">
        <f t="shared" si="9"/>
        <v>19052.194927517859</v>
      </c>
      <c r="S38" s="42">
        <f t="shared" si="9"/>
        <v>19319.687177549513</v>
      </c>
      <c r="T38" s="42">
        <f t="shared" si="9"/>
        <v>19973.246561609165</v>
      </c>
      <c r="U38" s="5"/>
      <c r="V38" s="5"/>
    </row>
    <row r="39" spans="1:22" ht="14" customHeight="1">
      <c r="A39" s="5"/>
      <c r="B39" s="5"/>
      <c r="C39" s="5"/>
      <c r="D39" s="6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4" customHeight="1">
      <c r="A40" s="5"/>
      <c r="B40" s="4" t="s">
        <v>12</v>
      </c>
      <c r="C40" s="5"/>
      <c r="D40" s="6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4" customHeight="1">
      <c r="A41" s="5"/>
      <c r="B41" s="5"/>
      <c r="C41" s="5" t="s">
        <v>13</v>
      </c>
      <c r="D41" s="64"/>
      <c r="E41" s="5"/>
      <c r="F41" s="5">
        <f>Calculations!F84</f>
        <v>5176.9469945355195</v>
      </c>
      <c r="G41" s="5">
        <f>Calculations!G84</f>
        <v>5515.1895403835624</v>
      </c>
      <c r="H41" s="5">
        <f>Calculations!H84</f>
        <v>5858.736080277743</v>
      </c>
      <c r="I41" s="5">
        <f>Calculations!I84</f>
        <v>6094.817488168278</v>
      </c>
      <c r="J41" s="5">
        <f>Calculations!J84</f>
        <v>6323.0884206314777</v>
      </c>
      <c r="K41" s="5">
        <f>Calculations!K84</f>
        <v>6595.9028024721611</v>
      </c>
      <c r="L41" s="5">
        <f>Calculations!L84</f>
        <v>6861.6888257382852</v>
      </c>
      <c r="M41" s="5">
        <f>Calculations!M84</f>
        <v>7138.1848713550935</v>
      </c>
      <c r="N41" s="5">
        <f>Calculations!N84</f>
        <v>7405.5333745149255</v>
      </c>
      <c r="O41" s="5">
        <f>Calculations!O84</f>
        <v>7725.0506908740945</v>
      </c>
      <c r="P41" s="5">
        <f>Calculations!P84</f>
        <v>8036.3364719802339</v>
      </c>
      <c r="Q41" s="5">
        <f>Calculations!Q84</f>
        <v>8360.1657195955067</v>
      </c>
      <c r="R41" s="5">
        <f>Calculations!R84</f>
        <v>8673.2814664249472</v>
      </c>
      <c r="S41" s="5">
        <f>Calculations!S84</f>
        <v>9047.4967724604303</v>
      </c>
      <c r="T41" s="5">
        <f>Calculations!T84</f>
        <v>9412.0713959346231</v>
      </c>
      <c r="U41" s="5"/>
      <c r="V41" s="5"/>
    </row>
    <row r="42" spans="1:22" ht="14" customHeight="1">
      <c r="A42" s="5"/>
      <c r="B42" s="5"/>
      <c r="C42" s="5" t="s">
        <v>108</v>
      </c>
      <c r="D42" s="64"/>
      <c r="E42" s="5"/>
      <c r="F42" s="5">
        <f>Calculations!F170</f>
        <v>0</v>
      </c>
      <c r="G42" s="5">
        <f>Calculations!G170</f>
        <v>0</v>
      </c>
      <c r="H42" s="5">
        <f>Calculations!H170</f>
        <v>0</v>
      </c>
      <c r="I42" s="5">
        <f>Calculations!I170</f>
        <v>0</v>
      </c>
      <c r="J42" s="5">
        <f>Calculations!J170</f>
        <v>0</v>
      </c>
      <c r="K42" s="5">
        <f>Calculations!K170</f>
        <v>0</v>
      </c>
      <c r="L42" s="5">
        <f>Calculations!L170</f>
        <v>0</v>
      </c>
      <c r="M42" s="5">
        <f>Calculations!M170</f>
        <v>0</v>
      </c>
      <c r="N42" s="5">
        <f>Calculations!N170</f>
        <v>0</v>
      </c>
      <c r="O42" s="5">
        <f>Calculations!O170</f>
        <v>0</v>
      </c>
      <c r="P42" s="5">
        <f>Calculations!P170</f>
        <v>0</v>
      </c>
      <c r="Q42" s="5">
        <f>Calculations!Q170</f>
        <v>0</v>
      </c>
      <c r="R42" s="5">
        <f>Calculations!R170</f>
        <v>0</v>
      </c>
      <c r="S42" s="5">
        <f>Calculations!S170</f>
        <v>0</v>
      </c>
      <c r="T42" s="5">
        <f>Calculations!T170</f>
        <v>0</v>
      </c>
      <c r="U42" s="5"/>
      <c r="V42" s="5"/>
    </row>
    <row r="43" spans="1:22" ht="14" customHeight="1">
      <c r="A43" s="5"/>
      <c r="B43" s="5"/>
      <c r="C43" s="13" t="s">
        <v>106</v>
      </c>
      <c r="D43" s="65"/>
      <c r="E43" s="13"/>
      <c r="F43" s="13">
        <f t="shared" ref="F43:O43" si="10">SUM(F41:F42)</f>
        <v>5176.9469945355195</v>
      </c>
      <c r="G43" s="13">
        <f t="shared" si="10"/>
        <v>5515.1895403835624</v>
      </c>
      <c r="H43" s="13">
        <f t="shared" si="10"/>
        <v>5858.736080277743</v>
      </c>
      <c r="I43" s="13">
        <f t="shared" si="10"/>
        <v>6094.817488168278</v>
      </c>
      <c r="J43" s="13">
        <f t="shared" si="10"/>
        <v>6323.0884206314777</v>
      </c>
      <c r="K43" s="13">
        <f t="shared" si="10"/>
        <v>6595.9028024721611</v>
      </c>
      <c r="L43" s="13">
        <f t="shared" si="10"/>
        <v>6861.6888257382852</v>
      </c>
      <c r="M43" s="13">
        <f t="shared" si="10"/>
        <v>7138.1848713550935</v>
      </c>
      <c r="N43" s="13">
        <f t="shared" si="10"/>
        <v>7405.5333745149255</v>
      </c>
      <c r="O43" s="13">
        <f t="shared" si="10"/>
        <v>7725.0506908740945</v>
      </c>
      <c r="P43" s="13">
        <f>SUM(P41:P42)</f>
        <v>8036.3364719802339</v>
      </c>
      <c r="Q43" s="13">
        <f>SUM(Q41:Q42)</f>
        <v>8360.1657195955067</v>
      </c>
      <c r="R43" s="13">
        <f>SUM(R41:R42)</f>
        <v>8673.2814664249472</v>
      </c>
      <c r="S43" s="13">
        <f>SUM(S41:S42)</f>
        <v>9047.4967724604303</v>
      </c>
      <c r="T43" s="13">
        <f>SUM(T41:T42)</f>
        <v>9412.0713959346231</v>
      </c>
      <c r="U43" s="5"/>
      <c r="V43" s="5"/>
    </row>
    <row r="44" spans="1:22" ht="14" customHeight="1">
      <c r="A44" s="5"/>
      <c r="B44" s="5"/>
      <c r="C44" s="5"/>
      <c r="D44" s="64"/>
      <c r="E44" s="5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5"/>
      <c r="V44" s="5"/>
    </row>
    <row r="45" spans="1:22" ht="14" customHeight="1">
      <c r="A45" s="5"/>
      <c r="B45" s="4" t="s">
        <v>42</v>
      </c>
      <c r="C45" s="5"/>
      <c r="D45" s="6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4" customHeight="1">
      <c r="A46" s="5"/>
      <c r="B46" s="5"/>
      <c r="C46" s="5" t="s">
        <v>179</v>
      </c>
      <c r="D46" s="64"/>
      <c r="E46" s="5"/>
      <c r="F46" s="5">
        <f>Calculations!F137+Calculations!F143+Calculations!F149</f>
        <v>3800</v>
      </c>
      <c r="G46" s="5">
        <f>Calculations!G137+Calculations!G143+Calculations!G149</f>
        <v>3600</v>
      </c>
      <c r="H46" s="5">
        <f>Calculations!H137+Calculations!H143+Calculations!H149</f>
        <v>3400</v>
      </c>
      <c r="I46" s="5">
        <f>Calculations!I137+Calculations!I143+Calculations!I149</f>
        <v>3200</v>
      </c>
      <c r="J46" s="5">
        <f>Calculations!J137+Calculations!J143+Calculations!J149</f>
        <v>3000</v>
      </c>
      <c r="K46" s="5">
        <f>Calculations!K137+Calculations!K143+Calculations!K149</f>
        <v>7550</v>
      </c>
      <c r="L46" s="5">
        <f>Calculations!L137+Calculations!L143+Calculations!L149</f>
        <v>7100</v>
      </c>
      <c r="M46" s="5">
        <f>Calculations!M137+Calculations!M143+Calculations!M149</f>
        <v>6650</v>
      </c>
      <c r="N46" s="5">
        <f>Calculations!N137+Calculations!N143+Calculations!N149</f>
        <v>6200</v>
      </c>
      <c r="O46" s="5">
        <f>Calculations!O137+Calculations!O143+Calculations!O149</f>
        <v>5750</v>
      </c>
      <c r="P46" s="5">
        <f>Calculations!P137+Calculations!P143+Calculations!P149</f>
        <v>10700</v>
      </c>
      <c r="Q46" s="5">
        <f>Calculations!Q137+Calculations!Q143+Calculations!Q149</f>
        <v>9650</v>
      </c>
      <c r="R46" s="5">
        <f>Calculations!R137+Calculations!R143+Calculations!R149</f>
        <v>8600</v>
      </c>
      <c r="S46" s="5">
        <f>Calculations!S137+Calculations!S143+Calculations!S149</f>
        <v>7550</v>
      </c>
      <c r="T46" s="5">
        <f>Calculations!T137+Calculations!T143+Calculations!T149</f>
        <v>6500</v>
      </c>
      <c r="U46" s="5"/>
      <c r="V46" s="5"/>
    </row>
    <row r="47" spans="1:22" ht="14" customHeight="1">
      <c r="A47" s="5"/>
      <c r="B47" s="5"/>
      <c r="C47" s="5" t="str">
        <f>Calculations!C239</f>
        <v>Deferred tax liability (depreciation timing differences)</v>
      </c>
      <c r="D47" s="64"/>
      <c r="E47" s="5"/>
      <c r="F47" s="5">
        <f>Calculations!F239</f>
        <v>0</v>
      </c>
      <c r="G47" s="5">
        <f>Calculations!G239</f>
        <v>0</v>
      </c>
      <c r="H47" s="5">
        <f>Calculations!H239</f>
        <v>0</v>
      </c>
      <c r="I47" s="5">
        <f>Calculations!I239</f>
        <v>0</v>
      </c>
      <c r="J47" s="5">
        <f>Calculations!J239</f>
        <v>0</v>
      </c>
      <c r="K47" s="5">
        <f>Calculations!K239</f>
        <v>3.7519023873456714</v>
      </c>
      <c r="L47" s="5">
        <f>Calculations!L239</f>
        <v>253.55066728425697</v>
      </c>
      <c r="M47" s="5">
        <f>Calculations!M239</f>
        <v>696.88630119185268</v>
      </c>
      <c r="N47" s="5">
        <f>Calculations!N239</f>
        <v>1340.0628367888589</v>
      </c>
      <c r="O47" s="5">
        <f>Calculations!O239</f>
        <v>2189.5734277343645</v>
      </c>
      <c r="P47" s="5">
        <f>Calculations!P239</f>
        <v>3044.4713162905728</v>
      </c>
      <c r="Q47" s="5">
        <f>Calculations!Q239</f>
        <v>4223.0971481843962</v>
      </c>
      <c r="R47" s="5">
        <f>Calculations!R239</f>
        <v>5268.2393963817012</v>
      </c>
      <c r="S47" s="5">
        <f>Calculations!S239</f>
        <v>5492.4581746029371</v>
      </c>
      <c r="T47" s="5">
        <f>Calculations!T239</f>
        <v>5723.4035161708098</v>
      </c>
      <c r="U47" s="5"/>
      <c r="V47" s="5"/>
    </row>
    <row r="48" spans="1:22" ht="14" customHeight="1">
      <c r="A48" s="5"/>
      <c r="B48" s="5"/>
      <c r="C48" s="13" t="s">
        <v>107</v>
      </c>
      <c r="D48" s="65"/>
      <c r="E48" s="13"/>
      <c r="F48" s="13">
        <f t="shared" ref="F48:O48" si="11">SUM(F46:F47)</f>
        <v>3800</v>
      </c>
      <c r="G48" s="13">
        <f t="shared" si="11"/>
        <v>3600</v>
      </c>
      <c r="H48" s="13">
        <f t="shared" si="11"/>
        <v>3400</v>
      </c>
      <c r="I48" s="13">
        <f t="shared" si="11"/>
        <v>3200</v>
      </c>
      <c r="J48" s="13">
        <f t="shared" si="11"/>
        <v>3000</v>
      </c>
      <c r="K48" s="13">
        <f t="shared" si="11"/>
        <v>7553.7519023873456</v>
      </c>
      <c r="L48" s="13">
        <f t="shared" si="11"/>
        <v>7353.5506672842566</v>
      </c>
      <c r="M48" s="13">
        <f t="shared" si="11"/>
        <v>7346.8863011918529</v>
      </c>
      <c r="N48" s="13">
        <f t="shared" si="11"/>
        <v>7540.0628367888585</v>
      </c>
      <c r="O48" s="13">
        <f t="shared" si="11"/>
        <v>7939.5734277343645</v>
      </c>
      <c r="P48" s="13">
        <f>SUM(P46:P47)</f>
        <v>13744.471316290572</v>
      </c>
      <c r="Q48" s="13">
        <f>SUM(Q46:Q47)</f>
        <v>13873.097148184395</v>
      </c>
      <c r="R48" s="13">
        <f>SUM(R46:R47)</f>
        <v>13868.239396381701</v>
      </c>
      <c r="S48" s="13">
        <f>SUM(S46:S47)</f>
        <v>13042.458174602936</v>
      </c>
      <c r="T48" s="13">
        <f>SUM(T46:T47)</f>
        <v>12223.403516170809</v>
      </c>
      <c r="U48" s="5"/>
      <c r="V48" s="5"/>
    </row>
    <row r="49" spans="1:22" ht="14" customHeight="1">
      <c r="A49" s="5"/>
      <c r="B49" s="5"/>
      <c r="C49" s="5"/>
      <c r="D49" s="6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4" customHeight="1" thickBot="1">
      <c r="A50" s="5"/>
      <c r="B50" s="46" t="s">
        <v>40</v>
      </c>
      <c r="C50" s="42"/>
      <c r="D50" s="67"/>
      <c r="E50" s="42"/>
      <c r="F50" s="42">
        <f t="shared" ref="F50:O50" si="12">F43+F48</f>
        <v>8976.9469945355195</v>
      </c>
      <c r="G50" s="42">
        <f t="shared" si="12"/>
        <v>9115.1895403835624</v>
      </c>
      <c r="H50" s="42">
        <f t="shared" si="12"/>
        <v>9258.7360802777439</v>
      </c>
      <c r="I50" s="42">
        <f t="shared" si="12"/>
        <v>9294.8174881682789</v>
      </c>
      <c r="J50" s="42">
        <f t="shared" si="12"/>
        <v>9323.0884206314768</v>
      </c>
      <c r="K50" s="42">
        <f t="shared" si="12"/>
        <v>14149.654704859506</v>
      </c>
      <c r="L50" s="42">
        <f t="shared" si="12"/>
        <v>14215.239493022542</v>
      </c>
      <c r="M50" s="42">
        <f t="shared" si="12"/>
        <v>14485.071172546946</v>
      </c>
      <c r="N50" s="42">
        <f t="shared" si="12"/>
        <v>14945.596211303784</v>
      </c>
      <c r="O50" s="42">
        <f t="shared" si="12"/>
        <v>15664.624118608459</v>
      </c>
      <c r="P50" s="42">
        <f>P43+P48</f>
        <v>21780.807788270806</v>
      </c>
      <c r="Q50" s="42">
        <f>Q43+Q48</f>
        <v>22233.2628677799</v>
      </c>
      <c r="R50" s="42">
        <f>R43+R48</f>
        <v>22541.520862806647</v>
      </c>
      <c r="S50" s="42">
        <f>S43+S48</f>
        <v>22089.954947063365</v>
      </c>
      <c r="T50" s="42">
        <f>T43+T48</f>
        <v>21635.474912105434</v>
      </c>
      <c r="U50" s="5"/>
      <c r="V50" s="5"/>
    </row>
    <row r="51" spans="1:22" ht="14" customHeight="1">
      <c r="A51" s="5"/>
      <c r="B51" s="4"/>
      <c r="C51" s="5"/>
      <c r="D51" s="6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4" customHeight="1" thickBot="1">
      <c r="A52" s="5"/>
      <c r="B52" s="46" t="s">
        <v>15</v>
      </c>
      <c r="C52" s="42"/>
      <c r="D52" s="67"/>
      <c r="E52" s="42"/>
      <c r="F52" s="42">
        <f t="shared" ref="F52:O52" si="13">F38-F50</f>
        <v>31174.591366120218</v>
      </c>
      <c r="G52" s="42">
        <f t="shared" si="13"/>
        <v>26372.821099239245</v>
      </c>
      <c r="H52" s="42">
        <f t="shared" si="13"/>
        <v>21598.29513290682</v>
      </c>
      <c r="I52" s="42">
        <f t="shared" si="13"/>
        <v>17443.871259796757</v>
      </c>
      <c r="J52" s="42">
        <f t="shared" si="13"/>
        <v>13741.735384464529</v>
      </c>
      <c r="K52" s="42">
        <f t="shared" si="13"/>
        <v>27959.568907526602</v>
      </c>
      <c r="L52" s="42">
        <f t="shared" si="13"/>
        <v>20567.402914382517</v>
      </c>
      <c r="M52" s="42">
        <f t="shared" si="13"/>
        <v>14881.506810613775</v>
      </c>
      <c r="N52" s="42">
        <f t="shared" si="13"/>
        <v>9199.8831325326664</v>
      </c>
      <c r="O52" s="42">
        <f t="shared" si="13"/>
        <v>3248.4555331508673</v>
      </c>
      <c r="P52" s="42">
        <f>P38-P50</f>
        <v>16142.888234290283</v>
      </c>
      <c r="Q52" s="42">
        <f>Q38-Q50</f>
        <v>3723.4596998140514</v>
      </c>
      <c r="R52" s="42">
        <f>R38-R50</f>
        <v>-3489.3259352887872</v>
      </c>
      <c r="S52" s="42">
        <f>S38-S50</f>
        <v>-2770.2677695138518</v>
      </c>
      <c r="T52" s="42">
        <f>T38-T50</f>
        <v>-1662.2283504962688</v>
      </c>
      <c r="U52" s="5"/>
      <c r="V52" s="5"/>
    </row>
    <row r="53" spans="1:22" ht="14" customHeight="1">
      <c r="A53" s="5"/>
      <c r="B53" s="5"/>
      <c r="C53" s="5"/>
      <c r="D53" s="6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4" customHeight="1">
      <c r="A54" s="5"/>
      <c r="B54" s="4" t="s">
        <v>48</v>
      </c>
      <c r="C54" s="5"/>
      <c r="D54" s="6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4" customHeight="1">
      <c r="A55" s="5"/>
      <c r="B55" s="5"/>
      <c r="C55" s="5"/>
      <c r="D55" s="6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4" customHeight="1">
      <c r="A56" s="5"/>
      <c r="B56" s="4" t="s">
        <v>16</v>
      </c>
      <c r="C56" s="5"/>
      <c r="D56" s="6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4" customHeight="1">
      <c r="A57" s="5"/>
      <c r="B57" s="4"/>
      <c r="C57" s="5" t="s">
        <v>66</v>
      </c>
      <c r="D57" s="64"/>
      <c r="E57" s="5"/>
      <c r="F57" s="5">
        <f t="shared" ref="F57:O57" si="14">E59</f>
        <v>0</v>
      </c>
      <c r="G57" s="5">
        <f t="shared" si="14"/>
        <v>2500</v>
      </c>
      <c r="H57" s="5">
        <f t="shared" si="14"/>
        <v>2500</v>
      </c>
      <c r="I57" s="5">
        <f t="shared" si="14"/>
        <v>2500</v>
      </c>
      <c r="J57" s="5">
        <f t="shared" si="14"/>
        <v>2500</v>
      </c>
      <c r="K57" s="5">
        <f t="shared" si="14"/>
        <v>2500</v>
      </c>
      <c r="L57" s="5">
        <f t="shared" si="14"/>
        <v>2500</v>
      </c>
      <c r="M57" s="5">
        <f t="shared" si="14"/>
        <v>2500</v>
      </c>
      <c r="N57" s="5">
        <f t="shared" si="14"/>
        <v>2500</v>
      </c>
      <c r="O57" s="5">
        <f t="shared" si="14"/>
        <v>2500</v>
      </c>
      <c r="P57" s="5">
        <f>O59</f>
        <v>2500</v>
      </c>
      <c r="Q57" s="5">
        <f>P59</f>
        <v>2500</v>
      </c>
      <c r="R57" s="5">
        <f>Q59</f>
        <v>2500</v>
      </c>
      <c r="S57" s="5">
        <f>R59</f>
        <v>2500</v>
      </c>
      <c r="T57" s="5">
        <f>S59</f>
        <v>2500</v>
      </c>
      <c r="U57" s="5"/>
      <c r="V57" s="5"/>
    </row>
    <row r="58" spans="1:22" ht="14" customHeight="1">
      <c r="A58" s="5"/>
      <c r="B58" s="5"/>
      <c r="C58" s="5" t="s">
        <v>17</v>
      </c>
      <c r="D58" s="64"/>
      <c r="E58" s="5"/>
      <c r="F58" s="5">
        <f>Inputs!F108</f>
        <v>2500</v>
      </c>
      <c r="G58" s="5">
        <f>Inputs!G108</f>
        <v>0</v>
      </c>
      <c r="H58" s="5">
        <f>Inputs!H108</f>
        <v>0</v>
      </c>
      <c r="I58" s="5">
        <f>Inputs!I108</f>
        <v>0</v>
      </c>
      <c r="J58" s="5">
        <f>Inputs!J108</f>
        <v>0</v>
      </c>
      <c r="K58" s="5">
        <f>Inputs!K108</f>
        <v>0</v>
      </c>
      <c r="L58" s="5">
        <f>Inputs!L108</f>
        <v>0</v>
      </c>
      <c r="M58" s="5">
        <f>Inputs!M108</f>
        <v>0</v>
      </c>
      <c r="N58" s="5">
        <f>Inputs!N108</f>
        <v>0</v>
      </c>
      <c r="O58" s="5">
        <f>Inputs!O108</f>
        <v>0</v>
      </c>
      <c r="P58" s="5">
        <f>Inputs!P108</f>
        <v>0</v>
      </c>
      <c r="Q58" s="5">
        <f>Inputs!Q108</f>
        <v>0</v>
      </c>
      <c r="R58" s="5">
        <f>Inputs!R108</f>
        <v>0</v>
      </c>
      <c r="S58" s="5">
        <f>Inputs!S108</f>
        <v>0</v>
      </c>
      <c r="T58" s="5">
        <f>Inputs!T108</f>
        <v>0</v>
      </c>
      <c r="U58" s="5"/>
      <c r="V58" s="5"/>
    </row>
    <row r="59" spans="1:22" ht="14" customHeight="1">
      <c r="C59" s="13" t="s">
        <v>84</v>
      </c>
      <c r="D59" s="65"/>
      <c r="E59" s="13">
        <v>0</v>
      </c>
      <c r="F59" s="13">
        <f t="shared" ref="F59:O59" si="15">F57+F58</f>
        <v>2500</v>
      </c>
      <c r="G59" s="13">
        <f t="shared" si="15"/>
        <v>2500</v>
      </c>
      <c r="H59" s="13">
        <f t="shared" si="15"/>
        <v>2500</v>
      </c>
      <c r="I59" s="13">
        <f t="shared" si="15"/>
        <v>2500</v>
      </c>
      <c r="J59" s="13">
        <f t="shared" si="15"/>
        <v>2500</v>
      </c>
      <c r="K59" s="13">
        <f t="shared" si="15"/>
        <v>2500</v>
      </c>
      <c r="L59" s="13">
        <f t="shared" si="15"/>
        <v>2500</v>
      </c>
      <c r="M59" s="13">
        <f t="shared" si="15"/>
        <v>2500</v>
      </c>
      <c r="N59" s="13">
        <f t="shared" si="15"/>
        <v>2500</v>
      </c>
      <c r="O59" s="13">
        <f t="shared" si="15"/>
        <v>2500</v>
      </c>
      <c r="P59" s="13">
        <f>P57+P58</f>
        <v>2500</v>
      </c>
      <c r="Q59" s="13">
        <f>Q57+Q58</f>
        <v>2500</v>
      </c>
      <c r="R59" s="13">
        <f>R57+R58</f>
        <v>2500</v>
      </c>
      <c r="S59" s="13">
        <f>S57+S58</f>
        <v>2500</v>
      </c>
      <c r="T59" s="13">
        <f>T57+T58</f>
        <v>2500</v>
      </c>
      <c r="U59" s="5"/>
      <c r="V59" s="5"/>
    </row>
    <row r="60" spans="1:22" ht="14" customHeight="1">
      <c r="C60" s="5"/>
      <c r="D60" s="64"/>
      <c r="E60" s="5"/>
      <c r="F60" s="5"/>
      <c r="G60" s="5"/>
      <c r="H60" s="10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4" customHeight="1">
      <c r="B61" s="32" t="s">
        <v>5</v>
      </c>
      <c r="C61" s="5"/>
      <c r="D61" s="6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4" customHeight="1">
      <c r="C62" s="5" t="s">
        <v>6</v>
      </c>
      <c r="D62" s="64"/>
      <c r="E62" s="17"/>
      <c r="F62" s="5">
        <f t="shared" ref="F62:O62" si="16">E65</f>
        <v>0</v>
      </c>
      <c r="G62" s="5">
        <f t="shared" si="16"/>
        <v>-4645.3863387978145</v>
      </c>
      <c r="H62" s="5">
        <f t="shared" si="16"/>
        <v>-9909.2998684807462</v>
      </c>
      <c r="I62" s="5">
        <f t="shared" si="16"/>
        <v>-15317.714894776032</v>
      </c>
      <c r="J62" s="5">
        <f t="shared" si="16"/>
        <v>-20181.778282076091</v>
      </c>
      <c r="K62" s="5">
        <f t="shared" si="16"/>
        <v>-24626.931563607832</v>
      </c>
      <c r="L62" s="5">
        <f t="shared" si="16"/>
        <v>-42202.063871404855</v>
      </c>
      <c r="M62" s="5">
        <f t="shared" si="16"/>
        <v>-49729.525642088207</v>
      </c>
      <c r="N62" s="5">
        <f t="shared" si="16"/>
        <v>-55627.432020165143</v>
      </c>
      <c r="O62" s="5">
        <f t="shared" si="16"/>
        <v>-61410.906790395493</v>
      </c>
      <c r="P62" s="5">
        <f>O65</f>
        <v>-67383.080174208415</v>
      </c>
      <c r="Q62" s="5">
        <f>P65</f>
        <v>-89790.151381998119</v>
      </c>
      <c r="R62" s="5">
        <f>Q65</f>
        <v>-100694.42931066868</v>
      </c>
      <c r="S62" s="5">
        <f>R65</f>
        <v>-107960.30707051375</v>
      </c>
      <c r="T62" s="5">
        <f>S65</f>
        <v>-110764.53444087974</v>
      </c>
      <c r="U62" s="5"/>
      <c r="V62" s="5"/>
    </row>
    <row r="63" spans="1:22" ht="14" customHeight="1">
      <c r="C63" s="5" t="s">
        <v>18</v>
      </c>
      <c r="D63" s="64"/>
      <c r="E63" s="5"/>
      <c r="F63" s="5">
        <f t="shared" ref="F63:T63" si="17">F23</f>
        <v>4534.74</v>
      </c>
      <c r="G63" s="5">
        <f t="shared" si="17"/>
        <v>4725.881642229504</v>
      </c>
      <c r="H63" s="5">
        <f t="shared" si="17"/>
        <v>4394.0624800199475</v>
      </c>
      <c r="I63" s="5">
        <f t="shared" si="17"/>
        <v>4459.0117892291119</v>
      </c>
      <c r="J63" s="5">
        <f t="shared" si="17"/>
        <v>4556.3242976625133</v>
      </c>
      <c r="K63" s="5">
        <f t="shared" si="17"/>
        <v>3288.1032742033149</v>
      </c>
      <c r="L63" s="5">
        <f t="shared" si="17"/>
        <v>3571.4047100826447</v>
      </c>
      <c r="M63" s="5">
        <f t="shared" si="17"/>
        <v>3710.9714590802423</v>
      </c>
      <c r="N63" s="5">
        <f t="shared" si="17"/>
        <v>3916.4390880249848</v>
      </c>
      <c r="O63" s="5">
        <f t="shared" si="17"/>
        <v>4141.300217351969</v>
      </c>
      <c r="P63" s="5">
        <f t="shared" si="17"/>
        <v>2877.1536865773869</v>
      </c>
      <c r="Q63" s="5">
        <f t="shared" si="17"/>
        <v>3244.5731727389903</v>
      </c>
      <c r="R63" s="5">
        <f t="shared" si="17"/>
        <v>4520.6875135923256</v>
      </c>
      <c r="S63" s="5">
        <f t="shared" si="17"/>
        <v>7272.4795252963795</v>
      </c>
      <c r="T63" s="5">
        <f t="shared" si="17"/>
        <v>7627.9518562939857</v>
      </c>
      <c r="U63" s="5"/>
      <c r="V63" s="5"/>
    </row>
    <row r="64" spans="1:22" ht="14" customHeight="1">
      <c r="C64" s="5" t="s">
        <v>77</v>
      </c>
      <c r="D64" s="64"/>
      <c r="E64" s="5"/>
      <c r="F64" s="5">
        <f>-Calculations!F173</f>
        <v>-9180.1263387978142</v>
      </c>
      <c r="G64" s="5">
        <f>-Calculations!G173</f>
        <v>-9989.7951719124358</v>
      </c>
      <c r="H64" s="5">
        <f>-Calculations!H173</f>
        <v>-9802.4775063152338</v>
      </c>
      <c r="I64" s="5">
        <f>-Calculations!I173</f>
        <v>-9323.0751765291698</v>
      </c>
      <c r="J64" s="5">
        <f>-Calculations!J173</f>
        <v>-9001.477579194252</v>
      </c>
      <c r="K64" s="5">
        <f>-Calculations!K173</f>
        <v>-20863.235582000339</v>
      </c>
      <c r="L64" s="5">
        <f>-Calculations!L173</f>
        <v>-11098.866480765995</v>
      </c>
      <c r="M64" s="5">
        <f>-Calculations!M173</f>
        <v>-9608.8778371571716</v>
      </c>
      <c r="N64" s="5">
        <f>-Calculations!N173</f>
        <v>-9699.9138582553351</v>
      </c>
      <c r="O64" s="5">
        <f>-Calculations!O173</f>
        <v>-10113.4736011649</v>
      </c>
      <c r="P64" s="5">
        <f>-Calculations!P173</f>
        <v>-25284.224894367089</v>
      </c>
      <c r="Q64" s="5">
        <f>-Calculations!Q173</f>
        <v>-14148.85110140956</v>
      </c>
      <c r="R64" s="5">
        <f>-Calculations!R173</f>
        <v>-11786.565273437387</v>
      </c>
      <c r="S64" s="5">
        <f>-Calculations!S173</f>
        <v>-10076.706895662364</v>
      </c>
      <c r="T64" s="5">
        <f>-Calculations!T173</f>
        <v>-9982.7021467751711</v>
      </c>
      <c r="U64" s="5"/>
      <c r="V64" s="5"/>
    </row>
    <row r="65" spans="1:22" ht="14" customHeight="1">
      <c r="C65" s="13" t="s">
        <v>7</v>
      </c>
      <c r="D65" s="65"/>
      <c r="E65" s="13">
        <v>0</v>
      </c>
      <c r="F65" s="13">
        <f t="shared" ref="F65:O65" si="18">SUM(F62:F64)</f>
        <v>-4645.3863387978145</v>
      </c>
      <c r="G65" s="13">
        <f t="shared" si="18"/>
        <v>-9909.2998684807462</v>
      </c>
      <c r="H65" s="13">
        <f t="shared" si="18"/>
        <v>-15317.714894776032</v>
      </c>
      <c r="I65" s="13">
        <f t="shared" si="18"/>
        <v>-20181.778282076091</v>
      </c>
      <c r="J65" s="13">
        <f t="shared" si="18"/>
        <v>-24626.931563607832</v>
      </c>
      <c r="K65" s="13">
        <f t="shared" si="18"/>
        <v>-42202.063871404855</v>
      </c>
      <c r="L65" s="13">
        <f t="shared" si="18"/>
        <v>-49729.525642088207</v>
      </c>
      <c r="M65" s="13">
        <f t="shared" si="18"/>
        <v>-55627.432020165143</v>
      </c>
      <c r="N65" s="13">
        <f t="shared" si="18"/>
        <v>-61410.906790395493</v>
      </c>
      <c r="O65" s="13">
        <f t="shared" si="18"/>
        <v>-67383.080174208415</v>
      </c>
      <c r="P65" s="13">
        <f>SUM(P62:P64)</f>
        <v>-89790.151381998119</v>
      </c>
      <c r="Q65" s="13">
        <f>SUM(Q62:Q64)</f>
        <v>-100694.42931066868</v>
      </c>
      <c r="R65" s="13">
        <f>SUM(R62:R64)</f>
        <v>-107960.30707051375</v>
      </c>
      <c r="S65" s="13">
        <f>SUM(S62:S64)</f>
        <v>-110764.53444087974</v>
      </c>
      <c r="T65" s="13">
        <f>SUM(T62:T64)</f>
        <v>-113119.28473136092</v>
      </c>
      <c r="U65" s="5"/>
      <c r="V65" s="5"/>
    </row>
    <row r="66" spans="1:22" ht="14" customHeight="1">
      <c r="C66" s="5"/>
      <c r="D66" s="6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4" customHeight="1" thickBot="1">
      <c r="B67" s="46" t="s">
        <v>19</v>
      </c>
      <c r="C67" s="42"/>
      <c r="D67" s="67"/>
      <c r="E67" s="42"/>
      <c r="F67" s="42">
        <f t="shared" ref="F67:O67" si="19">F59+F65</f>
        <v>-2145.3863387978145</v>
      </c>
      <c r="G67" s="42">
        <f t="shared" si="19"/>
        <v>-7409.2998684807462</v>
      </c>
      <c r="H67" s="42">
        <f t="shared" si="19"/>
        <v>-12817.714894776032</v>
      </c>
      <c r="I67" s="42">
        <f t="shared" si="19"/>
        <v>-17681.778282076091</v>
      </c>
      <c r="J67" s="42">
        <f t="shared" si="19"/>
        <v>-22126.931563607832</v>
      </c>
      <c r="K67" s="42">
        <f t="shared" si="19"/>
        <v>-39702.063871404855</v>
      </c>
      <c r="L67" s="42">
        <f t="shared" si="19"/>
        <v>-47229.525642088207</v>
      </c>
      <c r="M67" s="42">
        <f t="shared" si="19"/>
        <v>-53127.432020165143</v>
      </c>
      <c r="N67" s="42">
        <f t="shared" si="19"/>
        <v>-58910.906790395493</v>
      </c>
      <c r="O67" s="42">
        <f t="shared" si="19"/>
        <v>-64883.080174208415</v>
      </c>
      <c r="P67" s="42">
        <f>P59+P65</f>
        <v>-87290.151381998119</v>
      </c>
      <c r="Q67" s="42">
        <f>Q59+Q65</f>
        <v>-98194.429310668682</v>
      </c>
      <c r="R67" s="42">
        <f>R59+R65</f>
        <v>-105460.30707051375</v>
      </c>
      <c r="S67" s="42">
        <f>S59+S65</f>
        <v>-108264.53444087974</v>
      </c>
      <c r="T67" s="42">
        <f>T59+T65</f>
        <v>-110619.28473136092</v>
      </c>
      <c r="U67" s="5"/>
      <c r="V67" s="5"/>
    </row>
    <row r="68" spans="1:22" ht="14" customHeight="1">
      <c r="C68" s="5"/>
      <c r="D68" s="6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4" customHeight="1">
      <c r="C69" s="5"/>
      <c r="D69" s="6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s="8" customFormat="1" ht="14" customHeight="1">
      <c r="A70" s="8" t="s">
        <v>113</v>
      </c>
      <c r="B70" s="9"/>
      <c r="D70" s="62"/>
    </row>
    <row r="71" spans="1:22" ht="14" customHeight="1">
      <c r="D71" s="69"/>
    </row>
    <row r="72" spans="1:22" ht="14" customHeight="1">
      <c r="A72" s="5"/>
      <c r="B72" s="4" t="s">
        <v>20</v>
      </c>
      <c r="C72" s="19"/>
      <c r="D72" s="71"/>
      <c r="E72" s="1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2" ht="14" customHeight="1">
      <c r="A73" s="5"/>
      <c r="B73" s="5"/>
      <c r="C73" s="5" t="s">
        <v>33</v>
      </c>
      <c r="D73" s="64"/>
      <c r="E73" s="5"/>
      <c r="F73" s="5">
        <f t="shared" ref="F73:T73" si="20">F16</f>
        <v>8190.1999999999989</v>
      </c>
      <c r="G73" s="5">
        <f t="shared" si="20"/>
        <v>7987.1604799999932</v>
      </c>
      <c r="H73" s="5">
        <f t="shared" si="20"/>
        <v>7742.7657931519989</v>
      </c>
      <c r="I73" s="5">
        <f t="shared" si="20"/>
        <v>8055.0523490160394</v>
      </c>
      <c r="J73" s="5">
        <f t="shared" si="20"/>
        <v>8379.9341768573759</v>
      </c>
      <c r="K73" s="5">
        <f t="shared" si="20"/>
        <v>8717.9192710877651</v>
      </c>
      <c r="L73" s="5">
        <f t="shared" si="20"/>
        <v>9069.5361144917624</v>
      </c>
      <c r="M73" s="5">
        <f t="shared" si="20"/>
        <v>9435.3345045561073</v>
      </c>
      <c r="N73" s="5">
        <f t="shared" si="20"/>
        <v>9815.8864131260671</v>
      </c>
      <c r="O73" s="5">
        <f t="shared" si="20"/>
        <v>10211.78688073283</v>
      </c>
      <c r="P73" s="5">
        <f t="shared" si="20"/>
        <v>10623.654946990475</v>
      </c>
      <c r="Q73" s="5">
        <f t="shared" si="20"/>
        <v>11052.134618516877</v>
      </c>
      <c r="R73" s="5">
        <f t="shared" si="20"/>
        <v>11497.895875892282</v>
      </c>
      <c r="S73" s="5">
        <f t="shared" si="20"/>
        <v>11961.63572122989</v>
      </c>
      <c r="T73" s="5">
        <f t="shared" si="20"/>
        <v>12444.07926799616</v>
      </c>
      <c r="U73" s="5"/>
      <c r="V73" s="5"/>
    </row>
    <row r="74" spans="1:22" ht="14" customHeight="1">
      <c r="A74" s="5"/>
      <c r="B74" s="5"/>
      <c r="C74" s="5" t="s">
        <v>83</v>
      </c>
      <c r="D74" s="64"/>
      <c r="E74" s="5"/>
      <c r="F74" s="17">
        <f>Calculations!F88</f>
        <v>741.8158469945356</v>
      </c>
      <c r="G74" s="17">
        <f>Calculations!G88</f>
        <v>99.710811197245675</v>
      </c>
      <c r="H74" s="17">
        <f>Calculations!H88</f>
        <v>105.87713063171395</v>
      </c>
      <c r="I74" s="17">
        <f>Calculations!I88</f>
        <v>36.462116544929813</v>
      </c>
      <c r="J74" s="17">
        <f>Calculations!J88</f>
        <v>35.253474199826087</v>
      </c>
      <c r="K74" s="17">
        <f>Calculations!K88</f>
        <v>42.135085394279486</v>
      </c>
      <c r="L74" s="17">
        <f>Calculations!L88</f>
        <v>41.047095264484597</v>
      </c>
      <c r="M74" s="17">
        <f>Calculations!M88</f>
        <v>42.700138816704566</v>
      </c>
      <c r="N74" s="17">
        <f>Calculations!N88</f>
        <v>41.284722556545603</v>
      </c>
      <c r="O74" s="17">
        <f>Calculations!O88</f>
        <v>49.343652635838225</v>
      </c>
      <c r="P74" s="17">
        <f>Calculations!P88</f>
        <v>48.069530255628706</v>
      </c>
      <c r="Q74" s="17">
        <f>Calculations!Q88</f>
        <v>50.00538185548703</v>
      </c>
      <c r="R74" s="17">
        <f>Calculations!R88</f>
        <v>48.347816713408065</v>
      </c>
      <c r="S74" s="17">
        <f>Calculations!S88</f>
        <v>57.785484659440954</v>
      </c>
      <c r="T74" s="17">
        <f>Calculations!T88</f>
        <v>56.293386539156018</v>
      </c>
      <c r="U74" s="5"/>
      <c r="V74" s="5"/>
    </row>
    <row r="75" spans="1:22" ht="14" customHeight="1">
      <c r="A75" s="5"/>
      <c r="B75" s="5"/>
      <c r="C75" s="5" t="s">
        <v>52</v>
      </c>
      <c r="D75" s="64"/>
      <c r="E75" s="5"/>
      <c r="F75" s="5">
        <f>Calculations!F229</f>
        <v>-2105.6999999999998</v>
      </c>
      <c r="G75" s="5">
        <f>Calculations!G229</f>
        <v>-2117.6228752412158</v>
      </c>
      <c r="H75" s="5">
        <f>Calculations!H229</f>
        <v>-1900.3021782942631</v>
      </c>
      <c r="I75" s="5">
        <f>Calculations!I229</f>
        <v>-1847.5871979896194</v>
      </c>
      <c r="J75" s="5">
        <f>Calculations!J229</f>
        <v>-1803.1411088249629</v>
      </c>
      <c r="K75" s="5">
        <f>Calculations!K229</f>
        <v>-1346.804801553046</v>
      </c>
      <c r="L75" s="5">
        <f>Calculations!L229</f>
        <v>-1280.8032537099364</v>
      </c>
      <c r="M75" s="5">
        <f>Calculations!M229</f>
        <v>-1147.0807056982226</v>
      </c>
      <c r="N75" s="5">
        <f>Calculations!N229</f>
        <v>-1035.297359270844</v>
      </c>
      <c r="O75" s="5">
        <f>Calculations!O229</f>
        <v>-925.33235934819561</v>
      </c>
      <c r="P75" s="5">
        <f>Calculations!P229</f>
        <v>-378.16797711981468</v>
      </c>
      <c r="Q75" s="5">
        <f>Calculations!Q229</f>
        <v>-211.90552785145792</v>
      </c>
      <c r="R75" s="5">
        <f>Calculations!R229</f>
        <v>-892.29525762797732</v>
      </c>
      <c r="S75" s="5">
        <f>Calculations!S229</f>
        <v>-2892.5581611914977</v>
      </c>
      <c r="T75" s="5">
        <f>Calculations!T229</f>
        <v>-3038.1768825581207</v>
      </c>
      <c r="U75" s="5"/>
      <c r="V75" s="5"/>
    </row>
    <row r="76" spans="1:22" ht="14" customHeight="1">
      <c r="A76" s="5"/>
      <c r="B76" s="5"/>
      <c r="C76" s="5" t="s">
        <v>56</v>
      </c>
      <c r="D76" s="64"/>
      <c r="E76" s="5"/>
      <c r="F76" s="5">
        <f>-Calculations!F210</f>
        <v>360</v>
      </c>
      <c r="G76" s="5">
        <f>-Calculations!G210</f>
        <v>-208.80758032786878</v>
      </c>
      <c r="H76" s="5">
        <f>-Calculations!H210</f>
        <v>-75.591806876497571</v>
      </c>
      <c r="I76" s="5">
        <f>-Calculations!I210</f>
        <v>44.600599831593627</v>
      </c>
      <c r="J76" s="5">
        <f>-Calculations!J210</f>
        <v>128.17585411664268</v>
      </c>
      <c r="K76" s="5">
        <f>-Calculations!K210</f>
        <v>679.9852242080575</v>
      </c>
      <c r="L76" s="5">
        <f>-Calculations!L210</f>
        <v>518.36764417999677</v>
      </c>
      <c r="M76" s="5">
        <f>-Calculations!M210</f>
        <v>573.01133519234008</v>
      </c>
      <c r="N76" s="5">
        <f>-Calculations!N210</f>
        <v>544.91122162842828</v>
      </c>
      <c r="O76" s="5">
        <f>-Calculations!O210</f>
        <v>501.00086141744669</v>
      </c>
      <c r="P76" s="5">
        <f>-Calculations!P210</f>
        <v>866.36526398835122</v>
      </c>
      <c r="Q76" s="5">
        <f>-Calculations!Q210</f>
        <v>644.15775105632906</v>
      </c>
      <c r="R76" s="5">
        <f>-Calculations!R210</f>
        <v>685.01148898590452</v>
      </c>
      <c r="S76" s="5">
        <f>-Calculations!S210</f>
        <v>638.13434726562627</v>
      </c>
      <c r="T76" s="5">
        <f>-Calculations!T210</f>
        <v>584.73293104337642</v>
      </c>
      <c r="U76" s="5"/>
      <c r="V76" s="5"/>
    </row>
    <row r="77" spans="1:22" ht="14" customHeight="1" thickBot="1">
      <c r="A77" s="5"/>
      <c r="B77" s="5"/>
      <c r="C77" s="42" t="s">
        <v>20</v>
      </c>
      <c r="D77" s="67"/>
      <c r="E77" s="42"/>
      <c r="F77" s="42">
        <f t="shared" ref="F77:T77" si="21">F73+SUM(F74:F76)</f>
        <v>7186.3158469945347</v>
      </c>
      <c r="G77" s="42">
        <f t="shared" si="21"/>
        <v>5760.4408356281547</v>
      </c>
      <c r="H77" s="42">
        <f t="shared" si="21"/>
        <v>5872.7489386129528</v>
      </c>
      <c r="I77" s="42">
        <f t="shared" si="21"/>
        <v>6288.5278674029432</v>
      </c>
      <c r="J77" s="42">
        <f t="shared" si="21"/>
        <v>6740.2223963488814</v>
      </c>
      <c r="K77" s="42">
        <f t="shared" si="21"/>
        <v>8093.2347791370557</v>
      </c>
      <c r="L77" s="42">
        <f t="shared" si="21"/>
        <v>8348.147600226308</v>
      </c>
      <c r="M77" s="42">
        <f t="shared" si="21"/>
        <v>8903.9652728669298</v>
      </c>
      <c r="N77" s="42">
        <f t="shared" si="21"/>
        <v>9366.784998040197</v>
      </c>
      <c r="O77" s="42">
        <f t="shared" si="21"/>
        <v>9836.7990354379199</v>
      </c>
      <c r="P77" s="42">
        <f t="shared" si="21"/>
        <v>11159.921764114641</v>
      </c>
      <c r="Q77" s="42">
        <f t="shared" si="21"/>
        <v>11534.392223577235</v>
      </c>
      <c r="R77" s="42">
        <f t="shared" si="21"/>
        <v>11338.959923963617</v>
      </c>
      <c r="S77" s="42">
        <f t="shared" si="21"/>
        <v>9764.9973919634594</v>
      </c>
      <c r="T77" s="42">
        <f t="shared" si="21"/>
        <v>10046.928703020571</v>
      </c>
      <c r="U77" s="5"/>
      <c r="V77" s="5"/>
    </row>
    <row r="78" spans="1:22" ht="14" customHeight="1">
      <c r="A78" s="5"/>
      <c r="B78" s="5"/>
      <c r="C78" s="5"/>
      <c r="D78" s="6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4" customHeight="1">
      <c r="A79" s="5"/>
      <c r="B79" s="4" t="s">
        <v>22</v>
      </c>
      <c r="C79" s="5"/>
      <c r="D79" s="6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4" customHeight="1">
      <c r="A80" s="5"/>
      <c r="B80" s="5"/>
      <c r="C80" s="5" t="str">
        <f>Calculations!C97</f>
        <v>Capital expenditure incurred (nominal)</v>
      </c>
      <c r="D80" s="64"/>
      <c r="E80" s="5"/>
      <c r="F80" s="5">
        <f>Calculations!F97</f>
        <v>9464</v>
      </c>
      <c r="G80" s="5">
        <f>Calculations!G97</f>
        <v>648.96</v>
      </c>
      <c r="H80" s="5">
        <f>Calculations!H97</f>
        <v>674.91840000000013</v>
      </c>
      <c r="I80" s="5">
        <f>Calculations!I97</f>
        <v>695.16595200000006</v>
      </c>
      <c r="J80" s="5">
        <f>Calculations!J97</f>
        <v>716.02093056000012</v>
      </c>
      <c r="K80" s="5">
        <f>Calculations!K97</f>
        <v>11185.440303564803</v>
      </c>
      <c r="L80" s="5">
        <f>Calculations!L97</f>
        <v>759.62660523110412</v>
      </c>
      <c r="M80" s="5">
        <f>Calculations!M97</f>
        <v>782.41540338803725</v>
      </c>
      <c r="N80" s="5">
        <f>Calculations!N97</f>
        <v>805.88786548967846</v>
      </c>
      <c r="O80" s="5">
        <f>Calculations!O97</f>
        <v>830.06450145436884</v>
      </c>
      <c r="P80" s="5">
        <f>Calculations!P97</f>
        <v>12966.990953552999</v>
      </c>
      <c r="Q80" s="5">
        <f>Calculations!Q97</f>
        <v>880.6154295929399</v>
      </c>
      <c r="R80" s="5">
        <f>Calculations!R97</f>
        <v>907.03389248072813</v>
      </c>
      <c r="S80" s="5">
        <f>Calculations!S97</f>
        <v>934.24490925514999</v>
      </c>
      <c r="T80" s="5">
        <f>Calculations!T97</f>
        <v>962.27225653280459</v>
      </c>
      <c r="U80" s="5"/>
      <c r="V80" s="5"/>
    </row>
    <row r="81" spans="1:22" ht="14" customHeight="1" thickBot="1">
      <c r="A81" s="5"/>
      <c r="B81" s="5"/>
      <c r="C81" s="42" t="s">
        <v>22</v>
      </c>
      <c r="D81" s="67"/>
      <c r="E81" s="42"/>
      <c r="F81" s="42">
        <f t="shared" ref="F81:T81" si="22">F80</f>
        <v>9464</v>
      </c>
      <c r="G81" s="42">
        <f t="shared" si="22"/>
        <v>648.96</v>
      </c>
      <c r="H81" s="42">
        <f t="shared" si="22"/>
        <v>674.91840000000013</v>
      </c>
      <c r="I81" s="42">
        <f t="shared" si="22"/>
        <v>695.16595200000006</v>
      </c>
      <c r="J81" s="42">
        <f t="shared" si="22"/>
        <v>716.02093056000012</v>
      </c>
      <c r="K81" s="42">
        <f t="shared" si="22"/>
        <v>11185.440303564803</v>
      </c>
      <c r="L81" s="42">
        <f t="shared" si="22"/>
        <v>759.62660523110412</v>
      </c>
      <c r="M81" s="42">
        <f t="shared" si="22"/>
        <v>782.41540338803725</v>
      </c>
      <c r="N81" s="42">
        <f t="shared" si="22"/>
        <v>805.88786548967846</v>
      </c>
      <c r="O81" s="42">
        <f t="shared" si="22"/>
        <v>830.06450145436884</v>
      </c>
      <c r="P81" s="42">
        <f t="shared" si="22"/>
        <v>12966.990953552999</v>
      </c>
      <c r="Q81" s="42">
        <f t="shared" si="22"/>
        <v>880.6154295929399</v>
      </c>
      <c r="R81" s="42">
        <f t="shared" si="22"/>
        <v>907.03389248072813</v>
      </c>
      <c r="S81" s="42">
        <f t="shared" si="22"/>
        <v>934.24490925514999</v>
      </c>
      <c r="T81" s="42">
        <f t="shared" si="22"/>
        <v>962.27225653280459</v>
      </c>
      <c r="U81" s="5"/>
      <c r="V81" s="5"/>
    </row>
    <row r="82" spans="1:22" ht="14" customHeight="1">
      <c r="A82" s="5"/>
      <c r="B82" s="5"/>
      <c r="C82" s="5"/>
      <c r="D82" s="6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4" customHeight="1">
      <c r="A83" s="5"/>
      <c r="B83" s="4" t="s">
        <v>21</v>
      </c>
      <c r="C83" s="5"/>
      <c r="D83" s="6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4" customHeight="1">
      <c r="A84" s="5"/>
      <c r="B84" s="5"/>
      <c r="C84" s="5" t="str">
        <f>Calculations!C$160</f>
        <v>Equity contribution</v>
      </c>
      <c r="D84" s="64"/>
      <c r="E84" s="5"/>
      <c r="F84" s="5">
        <f>Calculations!F$160</f>
        <v>2500</v>
      </c>
      <c r="G84" s="5">
        <f>Calculations!G$160</f>
        <v>0</v>
      </c>
      <c r="H84" s="5">
        <f>Calculations!H$160</f>
        <v>0</v>
      </c>
      <c r="I84" s="5">
        <f>Calculations!I$160</f>
        <v>0</v>
      </c>
      <c r="J84" s="5">
        <f>Calculations!J$160</f>
        <v>0</v>
      </c>
      <c r="K84" s="5">
        <f>Calculations!K$160</f>
        <v>0</v>
      </c>
      <c r="L84" s="5">
        <f>Calculations!L$160</f>
        <v>0</v>
      </c>
      <c r="M84" s="5">
        <f>Calculations!M$160</f>
        <v>0</v>
      </c>
      <c r="N84" s="5">
        <f>Calculations!N$160</f>
        <v>0</v>
      </c>
      <c r="O84" s="5">
        <f>Calculations!O$160</f>
        <v>0</v>
      </c>
      <c r="P84" s="5">
        <f>Calculations!P$160</f>
        <v>0</v>
      </c>
      <c r="Q84" s="5">
        <f>Calculations!Q$160</f>
        <v>0</v>
      </c>
      <c r="R84" s="5">
        <f>Calculations!R$160</f>
        <v>0</v>
      </c>
      <c r="S84" s="5">
        <f>Calculations!S$160</f>
        <v>0</v>
      </c>
      <c r="T84" s="5">
        <f>Calculations!T$160</f>
        <v>0</v>
      </c>
      <c r="U84" s="5"/>
      <c r="V84" s="5"/>
    </row>
    <row r="85" spans="1:22" ht="14" customHeight="1">
      <c r="A85" s="5"/>
      <c r="B85" s="5"/>
      <c r="C85" s="5" t="s">
        <v>54</v>
      </c>
      <c r="D85" s="64"/>
      <c r="E85" s="5"/>
      <c r="F85" s="17">
        <f>-Calculations!F173</f>
        <v>-9180.1263387978142</v>
      </c>
      <c r="G85" s="17">
        <f>-Calculations!G173</f>
        <v>-9989.7951719124358</v>
      </c>
      <c r="H85" s="17">
        <f>-Calculations!H173</f>
        <v>-9802.4775063152338</v>
      </c>
      <c r="I85" s="17">
        <f>-Calculations!I173</f>
        <v>-9323.0751765291698</v>
      </c>
      <c r="J85" s="17">
        <f>-Calculations!J173</f>
        <v>-9001.477579194252</v>
      </c>
      <c r="K85" s="17">
        <f>-Calculations!K173</f>
        <v>-20863.235582000339</v>
      </c>
      <c r="L85" s="17">
        <f>-Calculations!L173</f>
        <v>-11098.866480765995</v>
      </c>
      <c r="M85" s="17">
        <f>-Calculations!M173</f>
        <v>-9608.8778371571716</v>
      </c>
      <c r="N85" s="17">
        <f>-Calculations!N173</f>
        <v>-9699.9138582553351</v>
      </c>
      <c r="O85" s="17">
        <f>-Calculations!O173</f>
        <v>-10113.4736011649</v>
      </c>
      <c r="P85" s="17">
        <f>-Calculations!P173</f>
        <v>-25284.224894367089</v>
      </c>
      <c r="Q85" s="17">
        <f>-Calculations!Q173</f>
        <v>-14148.85110140956</v>
      </c>
      <c r="R85" s="17">
        <f>-Calculations!R173</f>
        <v>-11786.565273437387</v>
      </c>
      <c r="S85" s="17">
        <f>-Calculations!S173</f>
        <v>-10076.706895662364</v>
      </c>
      <c r="T85" s="17">
        <f>-Calculations!T173</f>
        <v>-9982.7021467751711</v>
      </c>
      <c r="U85" s="5"/>
      <c r="V85" s="5"/>
    </row>
    <row r="86" spans="1:22" ht="14" customHeight="1">
      <c r="A86" s="5"/>
      <c r="B86" s="5"/>
      <c r="C86" s="5" t="str">
        <f>Calculations!C$161</f>
        <v>Term loan drawdown/repayment</v>
      </c>
      <c r="D86" s="64"/>
      <c r="E86" s="5"/>
      <c r="F86" s="5">
        <f>Calculations!F$161</f>
        <v>3800</v>
      </c>
      <c r="G86" s="5">
        <f>Calculations!G$161</f>
        <v>-200</v>
      </c>
      <c r="H86" s="5">
        <f>Calculations!H$161</f>
        <v>-200</v>
      </c>
      <c r="I86" s="5">
        <f>Calculations!I$161</f>
        <v>-200</v>
      </c>
      <c r="J86" s="5">
        <f>Calculations!J$161</f>
        <v>-200</v>
      </c>
      <c r="K86" s="5">
        <f>Calculations!K$161</f>
        <v>4550</v>
      </c>
      <c r="L86" s="5">
        <f>Calculations!L$161</f>
        <v>-450</v>
      </c>
      <c r="M86" s="5">
        <f>Calculations!M$161</f>
        <v>-450</v>
      </c>
      <c r="N86" s="5">
        <f>Calculations!N$161</f>
        <v>-450</v>
      </c>
      <c r="O86" s="5">
        <f>Calculations!O$161</f>
        <v>-450</v>
      </c>
      <c r="P86" s="5">
        <f>Calculations!P$161</f>
        <v>4950</v>
      </c>
      <c r="Q86" s="5">
        <f>Calculations!Q$161</f>
        <v>-1050</v>
      </c>
      <c r="R86" s="5">
        <f>Calculations!R$161</f>
        <v>-1050</v>
      </c>
      <c r="S86" s="5">
        <f>Calculations!S$161</f>
        <v>-1050</v>
      </c>
      <c r="T86" s="5">
        <f>Calculations!T$161</f>
        <v>-1050</v>
      </c>
      <c r="U86" s="5"/>
      <c r="V86" s="5"/>
    </row>
    <row r="87" spans="1:22" ht="14" customHeight="1">
      <c r="A87" s="5"/>
      <c r="B87" s="5"/>
      <c r="C87" s="5" t="s">
        <v>74</v>
      </c>
      <c r="D87" s="64"/>
      <c r="E87" s="5"/>
      <c r="F87" s="5">
        <f>Calculations!F$168</f>
        <v>0</v>
      </c>
      <c r="G87" s="5">
        <f>Calculations!G$168</f>
        <v>0</v>
      </c>
      <c r="H87" s="5">
        <f>Calculations!H$168</f>
        <v>0</v>
      </c>
      <c r="I87" s="5">
        <f>Calculations!I$168</f>
        <v>0</v>
      </c>
      <c r="J87" s="5">
        <f>Calculations!J$168</f>
        <v>0</v>
      </c>
      <c r="K87" s="5">
        <f>Calculations!K$168</f>
        <v>0</v>
      </c>
      <c r="L87" s="5">
        <f>Calculations!L$168</f>
        <v>0</v>
      </c>
      <c r="M87" s="5">
        <f>Calculations!M$168</f>
        <v>0</v>
      </c>
      <c r="N87" s="5">
        <f>Calculations!N$168</f>
        <v>0</v>
      </c>
      <c r="O87" s="5">
        <f>Calculations!O$168</f>
        <v>0</v>
      </c>
      <c r="P87" s="5">
        <f>Calculations!P$168</f>
        <v>0</v>
      </c>
      <c r="Q87" s="5">
        <f>Calculations!Q$168</f>
        <v>0</v>
      </c>
      <c r="R87" s="5">
        <f>Calculations!R$168</f>
        <v>0</v>
      </c>
      <c r="S87" s="5">
        <f>Calculations!S$168</f>
        <v>0</v>
      </c>
      <c r="T87" s="5">
        <f>Calculations!T$168</f>
        <v>0</v>
      </c>
      <c r="U87" s="5"/>
      <c r="V87" s="5"/>
    </row>
    <row r="88" spans="1:22" ht="14" customHeight="1">
      <c r="A88" s="5"/>
      <c r="B88" s="5"/>
      <c r="C88" s="5" t="s">
        <v>75</v>
      </c>
      <c r="D88" s="64"/>
      <c r="E88" s="5"/>
      <c r="F88" s="5">
        <f>Calculations!F$169</f>
        <v>0</v>
      </c>
      <c r="G88" s="5">
        <f>Calculations!G$169</f>
        <v>0</v>
      </c>
      <c r="H88" s="5">
        <f>Calculations!H$169</f>
        <v>0</v>
      </c>
      <c r="I88" s="5">
        <f>Calculations!I$169</f>
        <v>0</v>
      </c>
      <c r="J88" s="5">
        <f>Calculations!J$169</f>
        <v>0</v>
      </c>
      <c r="K88" s="5">
        <f>Calculations!K$169</f>
        <v>0</v>
      </c>
      <c r="L88" s="5">
        <f>Calculations!L$169</f>
        <v>0</v>
      </c>
      <c r="M88" s="5">
        <f>Calculations!M$169</f>
        <v>0</v>
      </c>
      <c r="N88" s="5">
        <f>Calculations!N$169</f>
        <v>0</v>
      </c>
      <c r="O88" s="5">
        <f>Calculations!O$169</f>
        <v>0</v>
      </c>
      <c r="P88" s="5">
        <f>Calculations!P$169</f>
        <v>0</v>
      </c>
      <c r="Q88" s="5">
        <f>Calculations!Q$169</f>
        <v>0</v>
      </c>
      <c r="R88" s="5">
        <f>Calculations!R$169</f>
        <v>0</v>
      </c>
      <c r="S88" s="5">
        <f>Calculations!S$169</f>
        <v>0</v>
      </c>
      <c r="T88" s="5">
        <f>Calculations!T$169</f>
        <v>0</v>
      </c>
      <c r="U88" s="5"/>
      <c r="V88" s="5"/>
    </row>
    <row r="89" spans="1:22" ht="14" customHeight="1" thickBot="1">
      <c r="A89" s="5"/>
      <c r="B89" s="5"/>
      <c r="C89" s="42" t="s">
        <v>21</v>
      </c>
      <c r="D89" s="67"/>
      <c r="E89" s="42"/>
      <c r="F89" s="42">
        <f>SUM(F84:F88)</f>
        <v>-2880.1263387978142</v>
      </c>
      <c r="G89" s="42">
        <f t="shared" ref="G89:T89" si="23">SUM(G84:G88)</f>
        <v>-10189.795171912436</v>
      </c>
      <c r="H89" s="42">
        <f t="shared" si="23"/>
        <v>-10002.477506315234</v>
      </c>
      <c r="I89" s="42">
        <f t="shared" si="23"/>
        <v>-9523.0751765291698</v>
      </c>
      <c r="J89" s="42">
        <f t="shared" si="23"/>
        <v>-9201.477579194252</v>
      </c>
      <c r="K89" s="42">
        <f t="shared" si="23"/>
        <v>-16313.235582000339</v>
      </c>
      <c r="L89" s="42">
        <f t="shared" si="23"/>
        <v>-11548.866480765995</v>
      </c>
      <c r="M89" s="42">
        <f t="shared" si="23"/>
        <v>-10058.877837157172</v>
      </c>
      <c r="N89" s="42">
        <f t="shared" si="23"/>
        <v>-10149.913858255335</v>
      </c>
      <c r="O89" s="42">
        <f t="shared" si="23"/>
        <v>-10563.4736011649</v>
      </c>
      <c r="P89" s="42">
        <f t="shared" si="23"/>
        <v>-20334.224894367089</v>
      </c>
      <c r="Q89" s="42">
        <f t="shared" si="23"/>
        <v>-15198.85110140956</v>
      </c>
      <c r="R89" s="42">
        <f t="shared" si="23"/>
        <v>-12836.565273437387</v>
      </c>
      <c r="S89" s="42">
        <f t="shared" si="23"/>
        <v>-11126.706895662364</v>
      </c>
      <c r="T89" s="42">
        <f t="shared" si="23"/>
        <v>-11032.702146775171</v>
      </c>
      <c r="U89" s="5"/>
      <c r="V89" s="5"/>
    </row>
    <row r="90" spans="1:22" ht="14" customHeight="1">
      <c r="A90" s="5"/>
      <c r="B90" s="5"/>
      <c r="C90" s="5"/>
      <c r="D90" s="6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4" customHeight="1" thickBot="1">
      <c r="A91" s="5"/>
      <c r="B91" s="46" t="s">
        <v>23</v>
      </c>
      <c r="C91" s="42"/>
      <c r="D91" s="67"/>
      <c r="E91" s="42"/>
      <c r="F91" s="42">
        <f t="shared" ref="F91:T91" si="24">F77+F81+F89</f>
        <v>13770.18950819672</v>
      </c>
      <c r="G91" s="42">
        <f t="shared" si="24"/>
        <v>-3780.3943362842811</v>
      </c>
      <c r="H91" s="42">
        <f t="shared" si="24"/>
        <v>-3454.8101677022805</v>
      </c>
      <c r="I91" s="42">
        <f t="shared" si="24"/>
        <v>-2539.3813571262262</v>
      </c>
      <c r="J91" s="42">
        <f t="shared" si="24"/>
        <v>-1745.2342522853705</v>
      </c>
      <c r="K91" s="42">
        <f t="shared" si="24"/>
        <v>2965.4395007015191</v>
      </c>
      <c r="L91" s="42">
        <f t="shared" si="24"/>
        <v>-2441.0922753085833</v>
      </c>
      <c r="M91" s="42">
        <f t="shared" si="24"/>
        <v>-372.497160902205</v>
      </c>
      <c r="N91" s="42">
        <f t="shared" si="24"/>
        <v>22.759005274539959</v>
      </c>
      <c r="O91" s="42">
        <f t="shared" si="24"/>
        <v>103.38993572738764</v>
      </c>
      <c r="P91" s="42">
        <f t="shared" si="24"/>
        <v>3792.6878233005518</v>
      </c>
      <c r="Q91" s="42">
        <f t="shared" si="24"/>
        <v>-2783.8434482393859</v>
      </c>
      <c r="R91" s="42">
        <f t="shared" si="24"/>
        <v>-590.57145699304237</v>
      </c>
      <c r="S91" s="42">
        <f t="shared" si="24"/>
        <v>-427.46459444375432</v>
      </c>
      <c r="T91" s="42">
        <f t="shared" si="24"/>
        <v>-23.501187221796499</v>
      </c>
      <c r="U91" s="5"/>
      <c r="V91" s="5"/>
    </row>
    <row r="92" spans="1:22" ht="14" customHeight="1">
      <c r="C92" s="5"/>
      <c r="D92" s="7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4" customHeight="1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8" customFormat="1" ht="14" customHeight="1">
      <c r="A94" s="8" t="s">
        <v>140</v>
      </c>
      <c r="B94" s="9"/>
      <c r="D94" s="73"/>
    </row>
  </sheetData>
  <phoneticPr fontId="0" type="noConversion"/>
  <pageMargins left="0.75" right="0.75" top="1" bottom="1" header="0.5" footer="0.5"/>
  <pageSetup paperSize="9" scale="35" orientation="landscape" cellComments="asDisplayed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Outputs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2014-11-04T05:13:17Z</dcterms:created>
  <dcterms:modified xsi:type="dcterms:W3CDTF">2014-11-07T04:48:47Z</dcterms:modified>
</cp:coreProperties>
</file>