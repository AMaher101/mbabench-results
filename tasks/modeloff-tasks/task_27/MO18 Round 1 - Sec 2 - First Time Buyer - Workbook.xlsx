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annodou/Dropbox/ModelOff QDT/2018/Round 1/Sec 2 - First Time Buyer/Draft 1/"/>
    </mc:Choice>
  </mc:AlternateContent>
  <xr:revisionPtr revIDLastSave="0" documentId="13_ncr:1_{F5D8D151-6772-F946-B084-251CF7758F50}" xr6:coauthVersionLast="36" xr6:coauthVersionMax="36" xr10:uidLastSave="{00000000-0000-0000-0000-000000000000}"/>
  <bookViews>
    <workbookView xWindow="0" yWindow="460" windowWidth="28800" windowHeight="17540" activeTab="1" xr2:uid="{00000000-000D-0000-FFFF-FFFF00000000}"/>
  </bookViews>
  <sheets>
    <sheet name="Formats" sheetId="10" r:id="rId1"/>
    <sheet name="Assumptions" sheetId="12" r:id="rId2"/>
    <sheet name="Calculations" sheetId="5" r:id="rId3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2" l="1"/>
  <c r="M7" i="12"/>
  <c r="N6" i="12" s="1"/>
  <c r="N7" i="12" l="1"/>
  <c r="N6" i="5"/>
  <c r="A19" i="12"/>
  <c r="A27" i="12" s="1"/>
  <c r="A11" i="5"/>
  <c r="O6" i="12" l="1"/>
  <c r="N7" i="5"/>
  <c r="M6" i="5"/>
  <c r="O7" i="12" l="1"/>
  <c r="O6" i="5"/>
  <c r="M7" i="5"/>
  <c r="P6" i="12" l="1"/>
  <c r="O7" i="5"/>
  <c r="P7" i="12" l="1"/>
  <c r="P6" i="5"/>
  <c r="Q6" i="12" l="1"/>
  <c r="P7" i="5"/>
  <c r="Q7" i="12" l="1"/>
  <c r="Q6" i="5"/>
  <c r="R6" i="12" l="1"/>
  <c r="Q7" i="5"/>
  <c r="R7" i="12" l="1"/>
  <c r="R6" i="5"/>
  <c r="S6" i="12" l="1"/>
  <c r="R7" i="5"/>
  <c r="S7" i="12" l="1"/>
  <c r="S6" i="5"/>
  <c r="T6" i="12" l="1"/>
  <c r="S7" i="5"/>
  <c r="T7" i="12" l="1"/>
  <c r="T6" i="5"/>
  <c r="U6" i="12" l="1"/>
  <c r="T7" i="5"/>
  <c r="U7" i="12" l="1"/>
  <c r="U6" i="5"/>
  <c r="V6" i="12" l="1"/>
  <c r="U7" i="5"/>
  <c r="V7" i="12" l="1"/>
  <c r="V6" i="5"/>
  <c r="W6" i="12" l="1"/>
  <c r="V7" i="5"/>
  <c r="W7" i="12" l="1"/>
  <c r="W6" i="5"/>
  <c r="X6" i="12" l="1"/>
  <c r="W7" i="5"/>
  <c r="X7" i="12" l="1"/>
  <c r="X6" i="5"/>
  <c r="Y6" i="12" l="1"/>
  <c r="X7" i="5"/>
  <c r="Y7" i="12" l="1"/>
  <c r="Y6" i="5"/>
  <c r="Z6" i="12" l="1"/>
  <c r="Y7" i="5"/>
  <c r="Z7" i="12" l="1"/>
  <c r="Z6" i="5"/>
  <c r="AA6" i="12" l="1"/>
  <c r="Z7" i="5"/>
  <c r="AA7" i="12" l="1"/>
  <c r="AA6" i="5"/>
  <c r="AB6" i="12" l="1"/>
  <c r="AA7" i="5"/>
  <c r="AB7" i="12" l="1"/>
  <c r="AB6" i="5"/>
  <c r="AC6" i="12" l="1"/>
  <c r="AB7" i="5"/>
  <c r="AC7" i="12" l="1"/>
  <c r="AC6" i="5"/>
  <c r="AD6" i="12" l="1"/>
  <c r="AC7" i="5"/>
  <c r="AD7" i="12" l="1"/>
  <c r="AD6" i="5"/>
  <c r="AE6" i="12" l="1"/>
  <c r="AD7" i="5"/>
  <c r="AE7" i="12" l="1"/>
  <c r="AE6" i="5"/>
  <c r="AF6" i="12" l="1"/>
  <c r="AE7" i="5"/>
  <c r="AF7" i="12" l="1"/>
  <c r="AF6" i="5"/>
  <c r="AG6" i="12" l="1"/>
  <c r="AF7" i="5"/>
  <c r="AG7" i="12" l="1"/>
  <c r="AG6" i="5"/>
  <c r="AH6" i="12" l="1"/>
  <c r="AG7" i="5"/>
  <c r="AH7" i="12" l="1"/>
  <c r="AH6" i="5"/>
  <c r="AI6" i="12" l="1"/>
  <c r="AH7" i="5"/>
  <c r="AI7" i="12" l="1"/>
  <c r="AI6" i="5"/>
  <c r="AJ6" i="12" l="1"/>
  <c r="AI7" i="5"/>
  <c r="AJ7" i="12" l="1"/>
  <c r="AJ6" i="5"/>
  <c r="AK6" i="12" l="1"/>
  <c r="AJ7" i="5"/>
  <c r="AK7" i="12" l="1"/>
  <c r="AK6" i="5"/>
  <c r="AL6" i="12" l="1"/>
  <c r="AK7" i="5"/>
  <c r="AL7" i="12" l="1"/>
  <c r="AL6" i="5"/>
  <c r="AM6" i="12" l="1"/>
  <c r="AL7" i="5"/>
  <c r="AM7" i="12" l="1"/>
  <c r="AM6" i="5"/>
  <c r="AN6" i="12" l="1"/>
  <c r="AM7" i="5"/>
  <c r="AN7" i="12" l="1"/>
  <c r="AN6" i="5"/>
  <c r="AO6" i="12" l="1"/>
  <c r="AN7" i="5"/>
  <c r="AO7" i="12" l="1"/>
  <c r="AO6" i="5"/>
  <c r="AP6" i="12" l="1"/>
  <c r="AO7" i="5"/>
  <c r="AP7" i="12" l="1"/>
  <c r="AP6" i="5"/>
  <c r="AQ6" i="12" l="1"/>
  <c r="AP7" i="5"/>
  <c r="AQ7" i="12" l="1"/>
  <c r="AQ6" i="5"/>
  <c r="AR6" i="12" l="1"/>
  <c r="AQ7" i="5"/>
  <c r="AR7" i="12" l="1"/>
  <c r="AR6" i="5"/>
  <c r="AS6" i="12" l="1"/>
  <c r="AR7" i="5"/>
  <c r="AS7" i="12" l="1"/>
  <c r="AS6" i="5"/>
  <c r="AT6" i="12" l="1"/>
  <c r="AS7" i="5"/>
  <c r="AT7" i="12" l="1"/>
  <c r="AT6" i="5"/>
  <c r="AU6" i="12" l="1"/>
  <c r="AT7" i="5"/>
  <c r="AU7" i="12" l="1"/>
  <c r="AU6" i="5"/>
  <c r="AV6" i="12" l="1"/>
  <c r="AU7" i="5"/>
  <c r="AV7" i="12" l="1"/>
  <c r="AV6" i="5"/>
  <c r="AW6" i="12" l="1"/>
  <c r="AV7" i="5"/>
  <c r="AW7" i="12" l="1"/>
  <c r="AW6" i="5"/>
  <c r="AX6" i="12" l="1"/>
  <c r="AW7" i="5"/>
  <c r="AX7" i="12" l="1"/>
  <c r="AX6" i="5"/>
  <c r="AY6" i="12" l="1"/>
  <c r="AX7" i="5"/>
  <c r="AY7" i="12" l="1"/>
  <c r="AY6" i="5"/>
  <c r="AZ6" i="12" l="1"/>
  <c r="AY7" i="5"/>
  <c r="AZ7" i="12" l="1"/>
  <c r="AZ6" i="5"/>
  <c r="BA6" i="12" l="1"/>
  <c r="AZ7" i="5"/>
  <c r="BA7" i="12" l="1"/>
  <c r="BA6" i="5"/>
  <c r="BB6" i="12" l="1"/>
  <c r="BA7" i="5"/>
  <c r="BB7" i="12" l="1"/>
  <c r="BB6" i="5"/>
  <c r="BC6" i="12" l="1"/>
  <c r="BB7" i="5"/>
  <c r="BC7" i="12" l="1"/>
  <c r="BC6" i="5"/>
  <c r="BD6" i="12" l="1"/>
  <c r="BC7" i="5"/>
  <c r="BD7" i="12" l="1"/>
  <c r="BD6" i="5"/>
  <c r="BE6" i="12" l="1"/>
  <c r="BD7" i="5"/>
  <c r="BE7" i="12" l="1"/>
  <c r="BE6" i="5"/>
  <c r="BF6" i="12" l="1"/>
  <c r="BE7" i="5"/>
  <c r="BF7" i="12" l="1"/>
  <c r="BF6" i="5"/>
  <c r="BG6" i="12" l="1"/>
  <c r="BF7" i="5"/>
  <c r="BG7" i="12" l="1"/>
  <c r="BG6" i="5"/>
  <c r="BH6" i="12" l="1"/>
  <c r="BG7" i="5"/>
  <c r="BH7" i="12" l="1"/>
  <c r="BH6" i="5"/>
  <c r="BI6" i="12" l="1"/>
  <c r="BH7" i="5"/>
  <c r="BI7" i="12" l="1"/>
  <c r="BI6" i="5"/>
  <c r="BJ6" i="12" l="1"/>
  <c r="BI7" i="5"/>
  <c r="BJ7" i="12" l="1"/>
  <c r="BJ6" i="5"/>
  <c r="BK6" i="12" l="1"/>
  <c r="BJ7" i="5"/>
  <c r="BK7" i="12" l="1"/>
  <c r="BK6" i="5"/>
  <c r="BL6" i="12" l="1"/>
  <c r="BK7" i="5"/>
  <c r="BL7" i="12" l="1"/>
  <c r="BL6" i="5"/>
  <c r="BM6" i="12" l="1"/>
  <c r="BL7" i="5"/>
  <c r="BM7" i="12" l="1"/>
  <c r="BM6" i="5"/>
  <c r="BN6" i="12" l="1"/>
  <c r="BM7" i="5"/>
  <c r="BN7" i="12" l="1"/>
  <c r="BN6" i="5"/>
  <c r="BO6" i="12" l="1"/>
  <c r="BN7" i="5"/>
  <c r="BO7" i="12" l="1"/>
  <c r="BO6" i="5"/>
  <c r="BP6" i="12" l="1"/>
  <c r="BO7" i="5"/>
  <c r="BP7" i="12" l="1"/>
  <c r="BP6" i="5"/>
  <c r="BQ6" i="12" l="1"/>
  <c r="BP7" i="5"/>
  <c r="BQ7" i="12" l="1"/>
  <c r="BQ6" i="5"/>
  <c r="BR6" i="12" l="1"/>
  <c r="BQ7" i="5"/>
  <c r="BR7" i="12" l="1"/>
  <c r="BR6" i="5"/>
  <c r="BS6" i="12" l="1"/>
  <c r="BR7" i="5"/>
  <c r="BS7" i="12" l="1"/>
  <c r="BS6" i="5"/>
  <c r="BT6" i="12" l="1"/>
  <c r="BS7" i="5"/>
  <c r="BT7" i="12" l="1"/>
  <c r="BT6" i="5"/>
  <c r="BU6" i="12" l="1"/>
  <c r="BT7" i="5"/>
  <c r="BU7" i="12" l="1"/>
  <c r="BU6" i="5"/>
  <c r="BV6" i="12" l="1"/>
  <c r="BU7" i="5"/>
  <c r="BV7" i="12" l="1"/>
  <c r="BV6" i="5"/>
  <c r="BW6" i="12" l="1"/>
  <c r="BV7" i="5"/>
  <c r="BW7" i="12" l="1"/>
  <c r="BW6" i="5"/>
  <c r="BX6" i="12" l="1"/>
  <c r="BW7" i="5"/>
  <c r="BX7" i="12" l="1"/>
  <c r="BX6" i="5"/>
  <c r="BY6" i="12" l="1"/>
  <c r="BX7" i="5"/>
  <c r="BY7" i="12" l="1"/>
  <c r="BY6" i="5"/>
  <c r="BZ6" i="12" l="1"/>
  <c r="BY7" i="5"/>
  <c r="BZ7" i="12" l="1"/>
  <c r="BZ6" i="5"/>
  <c r="CA6" i="12" l="1"/>
  <c r="BZ7" i="5"/>
  <c r="CA7" i="12" l="1"/>
  <c r="CA6" i="5"/>
  <c r="CB6" i="12" l="1"/>
  <c r="CA7" i="5"/>
  <c r="CB7" i="12" l="1"/>
  <c r="CB6" i="5"/>
  <c r="CC6" i="12" l="1"/>
  <c r="CB7" i="5"/>
  <c r="CC7" i="12" l="1"/>
  <c r="CC6" i="5"/>
  <c r="CD6" i="12" l="1"/>
  <c r="CC7" i="5"/>
  <c r="CD7" i="12" l="1"/>
  <c r="CD6" i="5"/>
  <c r="CE6" i="12" l="1"/>
  <c r="CD7" i="5"/>
  <c r="CE7" i="12" l="1"/>
  <c r="CE6" i="5"/>
  <c r="CF6" i="12" l="1"/>
  <c r="CE7" i="5"/>
  <c r="CF7" i="12" l="1"/>
  <c r="CF6" i="5"/>
  <c r="CG6" i="12" l="1"/>
  <c r="CF7" i="5"/>
  <c r="CG7" i="12" l="1"/>
  <c r="CG6" i="5"/>
  <c r="CH6" i="12" l="1"/>
  <c r="CG7" i="5"/>
  <c r="CH7" i="12" l="1"/>
  <c r="CH6" i="5"/>
  <c r="CI6" i="12" l="1"/>
  <c r="CH7" i="5"/>
  <c r="CI7" i="12" l="1"/>
  <c r="CI6" i="5"/>
  <c r="CJ6" i="12" l="1"/>
  <c r="CI7" i="5"/>
  <c r="CJ7" i="12" l="1"/>
  <c r="CJ6" i="5"/>
  <c r="CK6" i="12" l="1"/>
  <c r="CJ7" i="5"/>
  <c r="CK7" i="12" l="1"/>
  <c r="CK6" i="5"/>
  <c r="CL6" i="12" l="1"/>
  <c r="CK7" i="5"/>
  <c r="CL7" i="12" l="1"/>
  <c r="CL6" i="5"/>
  <c r="CM6" i="12" l="1"/>
  <c r="CL7" i="5"/>
  <c r="CM7" i="12" l="1"/>
  <c r="CM6" i="5"/>
  <c r="CN6" i="12" l="1"/>
  <c r="CM7" i="5"/>
  <c r="CN7" i="12" l="1"/>
  <c r="CN6" i="5"/>
  <c r="CO6" i="12" l="1"/>
  <c r="CN7" i="5"/>
  <c r="CO7" i="12" l="1"/>
  <c r="CO6" i="5"/>
  <c r="CP6" i="12" l="1"/>
  <c r="CO7" i="5"/>
  <c r="CP7" i="12" l="1"/>
  <c r="CP6" i="5"/>
  <c r="CQ6" i="12" l="1"/>
  <c r="CP7" i="5"/>
  <c r="CQ7" i="12" l="1"/>
  <c r="CQ6" i="5"/>
  <c r="CR6" i="12" l="1"/>
  <c r="CQ7" i="5"/>
  <c r="CR7" i="12" l="1"/>
  <c r="CR6" i="5"/>
  <c r="CS6" i="12" l="1"/>
  <c r="CR7" i="5"/>
  <c r="CS7" i="12" l="1"/>
  <c r="CS6" i="5"/>
  <c r="CT6" i="12" l="1"/>
  <c r="CS7" i="5"/>
  <c r="CT7" i="12" l="1"/>
  <c r="CT6" i="5"/>
  <c r="CU6" i="12" l="1"/>
  <c r="CT7" i="5"/>
  <c r="CU7" i="12" l="1"/>
  <c r="CU6" i="5"/>
  <c r="CV6" i="12" l="1"/>
  <c r="CU7" i="5"/>
  <c r="CV7" i="12" l="1"/>
  <c r="CV6" i="5"/>
  <c r="CW6" i="12" l="1"/>
  <c r="CV7" i="5"/>
  <c r="CW7" i="12" l="1"/>
  <c r="CW6" i="5"/>
  <c r="CX6" i="12" l="1"/>
  <c r="CW7" i="5"/>
  <c r="CX7" i="12" l="1"/>
  <c r="CX6" i="5"/>
  <c r="CY6" i="12" l="1"/>
  <c r="CX7" i="5"/>
  <c r="CY7" i="12" l="1"/>
  <c r="CY6" i="5"/>
  <c r="CZ6" i="12" l="1"/>
  <c r="CY7" i="5"/>
  <c r="CZ7" i="12" l="1"/>
  <c r="CZ6" i="5"/>
  <c r="DA6" i="12" l="1"/>
  <c r="CZ7" i="5"/>
  <c r="DA7" i="12" l="1"/>
  <c r="DA6" i="5"/>
  <c r="DB6" i="12" l="1"/>
  <c r="DA7" i="5"/>
  <c r="DB7" i="12" l="1"/>
  <c r="DB6" i="5"/>
  <c r="DC6" i="12" l="1"/>
  <c r="DB7" i="5"/>
  <c r="DC7" i="12" l="1"/>
  <c r="DC6" i="5"/>
  <c r="DD6" i="12" l="1"/>
  <c r="DC7" i="5"/>
  <c r="DD7" i="12" l="1"/>
  <c r="DD6" i="5"/>
  <c r="DE6" i="12" l="1"/>
  <c r="DD7" i="5"/>
  <c r="DE7" i="12" l="1"/>
  <c r="DE6" i="5"/>
  <c r="DF6" i="12" l="1"/>
  <c r="DE7" i="5"/>
  <c r="DF7" i="12" l="1"/>
  <c r="DF6" i="5"/>
  <c r="DG6" i="12" l="1"/>
  <c r="DF7" i="5"/>
  <c r="DG7" i="12" l="1"/>
  <c r="DG6" i="5"/>
  <c r="DH6" i="12" l="1"/>
  <c r="DG7" i="5"/>
  <c r="DH7" i="12" l="1"/>
  <c r="DH6" i="5"/>
  <c r="DI6" i="12" l="1"/>
  <c r="DH7" i="5"/>
  <c r="DI7" i="12" l="1"/>
  <c r="DI6" i="5"/>
  <c r="DJ6" i="12" l="1"/>
  <c r="DI7" i="5"/>
  <c r="DJ7" i="12" l="1"/>
  <c r="DJ6" i="5"/>
  <c r="DK6" i="12" l="1"/>
  <c r="DJ7" i="5"/>
  <c r="DK7" i="12" l="1"/>
  <c r="DK6" i="5"/>
  <c r="DL6" i="12" l="1"/>
  <c r="DK7" i="5"/>
  <c r="DL7" i="12" l="1"/>
  <c r="DL6" i="5"/>
  <c r="DM6" i="12" l="1"/>
  <c r="DL7" i="5"/>
  <c r="DM7" i="12" l="1"/>
  <c r="DM6" i="5"/>
  <c r="DN6" i="12" l="1"/>
  <c r="DM7" i="5"/>
  <c r="DN7" i="12" l="1"/>
  <c r="DN6" i="5"/>
  <c r="DO6" i="12" l="1"/>
  <c r="DN7" i="5"/>
  <c r="DO7" i="12" l="1"/>
  <c r="DO6" i="5"/>
  <c r="DP6" i="12" l="1"/>
  <c r="DO7" i="5"/>
  <c r="DP7" i="12" l="1"/>
  <c r="DP6" i="5"/>
  <c r="DQ6" i="12" l="1"/>
  <c r="DP7" i="5"/>
  <c r="DQ7" i="12" l="1"/>
  <c r="DQ6" i="5"/>
  <c r="DR6" i="12" l="1"/>
  <c r="DQ7" i="5"/>
  <c r="DR7" i="12" l="1"/>
  <c r="DR6" i="5"/>
  <c r="DS6" i="12" l="1"/>
  <c r="DR7" i="5"/>
  <c r="DS7" i="12" l="1"/>
  <c r="DS6" i="5"/>
  <c r="DT6" i="12" l="1"/>
  <c r="DS7" i="5"/>
  <c r="DT7" i="12" l="1"/>
  <c r="DT6" i="5"/>
  <c r="DU6" i="12" l="1"/>
  <c r="DT7" i="5"/>
  <c r="DU7" i="12" l="1"/>
  <c r="DU6" i="5"/>
  <c r="DV6" i="12" l="1"/>
  <c r="DU7" i="5"/>
  <c r="DV7" i="12" l="1"/>
  <c r="DV6" i="5"/>
  <c r="DW6" i="12" l="1"/>
  <c r="DV7" i="5"/>
  <c r="DW7" i="12" l="1"/>
  <c r="DW6" i="5"/>
  <c r="DX6" i="12" l="1"/>
  <c r="DW7" i="5"/>
  <c r="DX7" i="12" l="1"/>
  <c r="DX6" i="5"/>
  <c r="DY6" i="12" l="1"/>
  <c r="DX7" i="5"/>
  <c r="DY7" i="12" l="1"/>
  <c r="DY6" i="5"/>
  <c r="DZ6" i="12" l="1"/>
  <c r="DY7" i="5"/>
  <c r="DZ7" i="12" l="1"/>
  <c r="DZ6" i="5"/>
  <c r="EA6" i="12" l="1"/>
  <c r="DZ7" i="5"/>
  <c r="EA7" i="12" l="1"/>
  <c r="EA6" i="5"/>
  <c r="EB6" i="12" l="1"/>
  <c r="EA7" i="5"/>
  <c r="EB7" i="12" l="1"/>
  <c r="EB6" i="5"/>
  <c r="EC6" i="12" l="1"/>
  <c r="EB7" i="5"/>
  <c r="EC7" i="12" l="1"/>
  <c r="EC6" i="5"/>
  <c r="ED6" i="12" l="1"/>
  <c r="EC7" i="5"/>
  <c r="ED7" i="12" l="1"/>
  <c r="ED6" i="5"/>
  <c r="EE6" i="12" l="1"/>
  <c r="ED7" i="5"/>
  <c r="EE7" i="12" l="1"/>
  <c r="EE6" i="5"/>
  <c r="EF6" i="12" l="1"/>
  <c r="EE7" i="5"/>
  <c r="EF7" i="12" l="1"/>
  <c r="EF6" i="5"/>
  <c r="EG6" i="12" l="1"/>
  <c r="EF7" i="5"/>
  <c r="EG7" i="12" l="1"/>
  <c r="EG6" i="5"/>
  <c r="EH6" i="12" l="1"/>
  <c r="EG7" i="5"/>
  <c r="EH7" i="12" l="1"/>
  <c r="EH6" i="5"/>
  <c r="EI6" i="12" l="1"/>
  <c r="EH7" i="5"/>
  <c r="EI7" i="12" l="1"/>
  <c r="EI6" i="5"/>
  <c r="EJ6" i="12" l="1"/>
  <c r="EI7" i="5"/>
  <c r="EJ7" i="12" l="1"/>
  <c r="EJ6" i="5"/>
  <c r="EK6" i="12" l="1"/>
  <c r="EJ7" i="5"/>
  <c r="EK7" i="12" l="1"/>
  <c r="EK6" i="5"/>
  <c r="EL6" i="12" l="1"/>
  <c r="EK7" i="5"/>
  <c r="EL7" i="12" l="1"/>
  <c r="EL6" i="5"/>
  <c r="EM6" i="12" l="1"/>
  <c r="EL7" i="5"/>
  <c r="EM7" i="12" l="1"/>
  <c r="EM6" i="5"/>
  <c r="EN6" i="12" l="1"/>
  <c r="EM7" i="5"/>
  <c r="EN7" i="12" l="1"/>
  <c r="EN6" i="5"/>
  <c r="EO6" i="12" l="1"/>
  <c r="EN7" i="5"/>
  <c r="EO7" i="12" l="1"/>
  <c r="EO6" i="5"/>
  <c r="EP6" i="12" l="1"/>
  <c r="EO7" i="5"/>
  <c r="EP7" i="12" l="1"/>
  <c r="EP6" i="5"/>
  <c r="EQ6" i="12" l="1"/>
  <c r="EP7" i="5"/>
  <c r="EQ7" i="12" l="1"/>
  <c r="EQ6" i="5"/>
  <c r="ER6" i="12" l="1"/>
  <c r="EQ7" i="5"/>
  <c r="ER7" i="12" l="1"/>
  <c r="ER6" i="5"/>
  <c r="ES6" i="12" l="1"/>
  <c r="ER7" i="5"/>
  <c r="ES7" i="12" l="1"/>
  <c r="ES6" i="5"/>
  <c r="ET6" i="12" l="1"/>
  <c r="ES7" i="5"/>
  <c r="ET7" i="12" l="1"/>
  <c r="ET6" i="5"/>
  <c r="EU6" i="12" l="1"/>
  <c r="ET7" i="5"/>
  <c r="EU7" i="12" l="1"/>
  <c r="EU6" i="5"/>
  <c r="EV6" i="12" l="1"/>
  <c r="EU7" i="5"/>
  <c r="EV7" i="12" l="1"/>
  <c r="EV6" i="5"/>
  <c r="EW6" i="12" l="1"/>
  <c r="EV7" i="5"/>
  <c r="EW7" i="12" l="1"/>
  <c r="EW6" i="5"/>
  <c r="EX6" i="12" l="1"/>
  <c r="EW7" i="5"/>
  <c r="EX7" i="12" l="1"/>
  <c r="EX6" i="5"/>
  <c r="EY6" i="12" l="1"/>
  <c r="EX7" i="5"/>
  <c r="EY7" i="12" l="1"/>
  <c r="EY6" i="5"/>
  <c r="EZ6" i="12" l="1"/>
  <c r="EY7" i="5"/>
  <c r="EZ7" i="12" l="1"/>
  <c r="EZ6" i="5"/>
  <c r="FA6" i="12" l="1"/>
  <c r="EZ7" i="5"/>
  <c r="FA7" i="12" l="1"/>
  <c r="FA6" i="5"/>
  <c r="FB6" i="12" l="1"/>
  <c r="FA7" i="5"/>
  <c r="FB7" i="12" l="1"/>
  <c r="FB6" i="5"/>
  <c r="FC6" i="12" l="1"/>
  <c r="FB7" i="5"/>
  <c r="FC7" i="12" l="1"/>
  <c r="FC6" i="5"/>
  <c r="FD6" i="12" l="1"/>
  <c r="FC7" i="5"/>
  <c r="FD7" i="12" l="1"/>
  <c r="FD6" i="5"/>
  <c r="FE6" i="12" l="1"/>
  <c r="FD7" i="5"/>
  <c r="FE7" i="12" l="1"/>
  <c r="FE6" i="5"/>
  <c r="FF6" i="12" l="1"/>
  <c r="FE7" i="5"/>
  <c r="FF7" i="12" l="1"/>
  <c r="FF6" i="5"/>
  <c r="FG6" i="12" l="1"/>
  <c r="FF7" i="5"/>
  <c r="FG7" i="12" l="1"/>
  <c r="FG6" i="5"/>
  <c r="FH6" i="12" l="1"/>
  <c r="FG7" i="5"/>
  <c r="FH7" i="12" l="1"/>
  <c r="FH6" i="5"/>
  <c r="FI6" i="12" l="1"/>
  <c r="FH7" i="5"/>
  <c r="FI7" i="12" l="1"/>
  <c r="FI6" i="5"/>
  <c r="FJ6" i="12" l="1"/>
  <c r="FI7" i="5"/>
  <c r="FJ7" i="12" l="1"/>
  <c r="FJ6" i="5"/>
  <c r="FK6" i="12" l="1"/>
  <c r="FJ7" i="5"/>
  <c r="FK7" i="12" l="1"/>
  <c r="FK6" i="5"/>
  <c r="FL6" i="12" l="1"/>
  <c r="FK7" i="5"/>
  <c r="FL7" i="12" l="1"/>
  <c r="FL6" i="5"/>
  <c r="FM6" i="12" l="1"/>
  <c r="FL7" i="5"/>
  <c r="FM7" i="12" l="1"/>
  <c r="FM6" i="5"/>
  <c r="FN6" i="12" l="1"/>
  <c r="FM7" i="5"/>
  <c r="FN7" i="12" l="1"/>
  <c r="FN6" i="5"/>
  <c r="FO6" i="12" l="1"/>
  <c r="FN7" i="5"/>
  <c r="FO7" i="12" l="1"/>
  <c r="FO6" i="5"/>
  <c r="FP6" i="12" l="1"/>
  <c r="FO7" i="5"/>
  <c r="FP7" i="12" l="1"/>
  <c r="FP6" i="5"/>
  <c r="FQ6" i="12" l="1"/>
  <c r="FP7" i="5"/>
  <c r="FQ7" i="12" l="1"/>
  <c r="FQ6" i="5"/>
  <c r="FR6" i="12" l="1"/>
  <c r="FQ7" i="5"/>
  <c r="FR7" i="12" l="1"/>
  <c r="FR6" i="5"/>
  <c r="FS6" i="12" l="1"/>
  <c r="FR7" i="5"/>
  <c r="FS7" i="12" l="1"/>
  <c r="FS6" i="5"/>
  <c r="FT6" i="12" l="1"/>
  <c r="FS7" i="5"/>
  <c r="FT7" i="12" l="1"/>
  <c r="FT6" i="5"/>
  <c r="FU6" i="12" l="1"/>
  <c r="FT7" i="5"/>
  <c r="FU7" i="12" l="1"/>
  <c r="FU6" i="5"/>
  <c r="FV6" i="12" l="1"/>
  <c r="FU7" i="5"/>
  <c r="FV7" i="12" l="1"/>
  <c r="FV6" i="5"/>
  <c r="FW6" i="12" l="1"/>
  <c r="FV7" i="5"/>
  <c r="FW7" i="12" l="1"/>
  <c r="FW6" i="5"/>
  <c r="FX6" i="12" l="1"/>
  <c r="FW7" i="5"/>
  <c r="FX7" i="12" l="1"/>
  <c r="FX6" i="5"/>
  <c r="FY6" i="12" l="1"/>
  <c r="FX7" i="5"/>
  <c r="FY7" i="12" l="1"/>
  <c r="FY6" i="5"/>
  <c r="FZ6" i="12" l="1"/>
  <c r="FY7" i="5"/>
  <c r="FZ7" i="12" l="1"/>
  <c r="FZ6" i="5"/>
  <c r="GA6" i="12" l="1"/>
  <c r="FZ7" i="5"/>
  <c r="GA7" i="12" l="1"/>
  <c r="GA6" i="5"/>
  <c r="GB6" i="12" l="1"/>
  <c r="GA7" i="5"/>
  <c r="GB7" i="12" l="1"/>
  <c r="GB6" i="5"/>
  <c r="GC6" i="12" l="1"/>
  <c r="GB7" i="5"/>
  <c r="GC7" i="12" l="1"/>
  <c r="GC6" i="5"/>
  <c r="GD6" i="12" l="1"/>
  <c r="GC7" i="5"/>
  <c r="GD7" i="12" l="1"/>
  <c r="GD6" i="5"/>
  <c r="GE6" i="12" l="1"/>
  <c r="GD7" i="5"/>
  <c r="GE7" i="12" l="1"/>
  <c r="GE6" i="5"/>
  <c r="GF6" i="12" l="1"/>
  <c r="GE7" i="5"/>
  <c r="GF7" i="12" l="1"/>
  <c r="GF6" i="5"/>
  <c r="GG6" i="12" l="1"/>
  <c r="GF7" i="5"/>
  <c r="GG7" i="12" l="1"/>
  <c r="GG6" i="5"/>
  <c r="GH6" i="12" l="1"/>
  <c r="GG7" i="5"/>
  <c r="GH7" i="12" l="1"/>
  <c r="GH6" i="5"/>
  <c r="GI6" i="12" l="1"/>
  <c r="GH7" i="5"/>
  <c r="GI7" i="12" l="1"/>
  <c r="GI6" i="5"/>
  <c r="GJ6" i="12" l="1"/>
  <c r="GI7" i="5"/>
  <c r="GJ7" i="12" l="1"/>
  <c r="GJ6" i="5"/>
  <c r="GK6" i="12" l="1"/>
  <c r="GJ7" i="5"/>
  <c r="GK7" i="12" l="1"/>
  <c r="GK6" i="5"/>
  <c r="GL6" i="12" l="1"/>
  <c r="GK7" i="5"/>
  <c r="GL7" i="12" l="1"/>
  <c r="GL6" i="5"/>
  <c r="GM6" i="12" l="1"/>
  <c r="GL7" i="5"/>
  <c r="GM7" i="12" l="1"/>
  <c r="GM6" i="5"/>
  <c r="GN6" i="12" l="1"/>
  <c r="GM7" i="5"/>
  <c r="GN7" i="12" l="1"/>
  <c r="GN6" i="5"/>
  <c r="GO6" i="12" l="1"/>
  <c r="GN7" i="5"/>
  <c r="GO7" i="12" l="1"/>
  <c r="GO6" i="5"/>
  <c r="GP6" i="12" l="1"/>
  <c r="GO7" i="5"/>
  <c r="GP7" i="12" l="1"/>
  <c r="GP6" i="5"/>
  <c r="GQ6" i="12" l="1"/>
  <c r="GP7" i="5"/>
  <c r="GQ7" i="12" l="1"/>
  <c r="GQ6" i="5"/>
  <c r="GR6" i="12" l="1"/>
  <c r="GQ7" i="5"/>
  <c r="GR7" i="12" l="1"/>
  <c r="GR6" i="5"/>
  <c r="GS6" i="12" l="1"/>
  <c r="GR7" i="5"/>
  <c r="GS7" i="12" l="1"/>
  <c r="GS6" i="5"/>
  <c r="GT6" i="12" l="1"/>
  <c r="GS7" i="5"/>
  <c r="GT7" i="12" l="1"/>
  <c r="GT6" i="5"/>
  <c r="GU6" i="12" l="1"/>
  <c r="GT7" i="5"/>
  <c r="GU7" i="12" l="1"/>
  <c r="GU6" i="5"/>
  <c r="GV6" i="12" l="1"/>
  <c r="GU7" i="5"/>
  <c r="GV7" i="12" l="1"/>
  <c r="GV6" i="5"/>
  <c r="GW6" i="12" l="1"/>
  <c r="GV7" i="5"/>
  <c r="GW7" i="12" l="1"/>
  <c r="GW6" i="5"/>
  <c r="GX6" i="12" l="1"/>
  <c r="GW7" i="5"/>
  <c r="GX7" i="12" l="1"/>
  <c r="GX7" i="5" s="1"/>
  <c r="GX6" i="5"/>
</calcChain>
</file>

<file path=xl/sharedStrings.xml><?xml version="1.0" encoding="utf-8"?>
<sst xmlns="http://schemas.openxmlformats.org/spreadsheetml/2006/main" count="88" uniqueCount="59">
  <si>
    <t>Units</t>
  </si>
  <si>
    <t>Sum</t>
  </si>
  <si>
    <t>End Sheet</t>
  </si>
  <si>
    <t>[%]</t>
  </si>
  <si>
    <t>Workings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</si>
  <si>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</si>
  <si>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</si>
  <si>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</si>
  <si>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</si>
  <si>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</si>
  <si>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</si>
  <si>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</si>
  <si>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</si>
  <si>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</si>
  <si>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</si>
  <si>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</si>
  <si>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</si>
  <si>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</si>
  <si>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</si>
  <si>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</si>
  <si>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</si>
  <si>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</si>
  <si>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</si>
  <si>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</si>
  <si>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</si>
  <si>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</si>
  <si>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</si>
  <si>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</si>
  <si>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</si>
  <si>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[date]</t>
  </si>
  <si>
    <t>Calculations</t>
  </si>
  <si>
    <t>Purchase prices</t>
  </si>
  <si>
    <t>Purchase date</t>
  </si>
  <si>
    <t>[years]</t>
  </si>
  <si>
    <t>Costs</t>
  </si>
  <si>
    <t>Purchase price</t>
  </si>
  <si>
    <t>Legal and other</t>
  </si>
  <si>
    <t>threshold</t>
  </si>
  <si>
    <t>Property Tax</t>
  </si>
  <si>
    <t>percentage charged over threshold</t>
  </si>
  <si>
    <t>Cash in hand</t>
  </si>
  <si>
    <t>percentage of purchase price lent</t>
  </si>
  <si>
    <t>repayment period length</t>
  </si>
  <si>
    <t>interest rate</t>
  </si>
  <si>
    <t>upfront fee (paid upfront)</t>
  </si>
  <si>
    <t>Mortgages</t>
  </si>
  <si>
    <t>Option 1</t>
  </si>
  <si>
    <t>Option 2</t>
  </si>
  <si>
    <t>upfront fee (added to debt balance)</t>
  </si>
  <si>
    <t>Option 3</t>
  </si>
  <si>
    <t>interest rate 1</t>
  </si>
  <si>
    <t>likelihood of interest rate 1</t>
  </si>
  <si>
    <t>interest rate 2</t>
  </si>
  <si>
    <t>likelihood of interest rate 2</t>
  </si>
  <si>
    <t>Common terms</t>
  </si>
  <si>
    <t>ModelOff 2018 - Round 1 - Section 2</t>
  </si>
  <si>
    <t>Alternative percentage of purchase price lent (relevant to Q26 only)</t>
  </si>
  <si>
    <t>interest rate 3</t>
  </si>
  <si>
    <t>likelihood of interest rate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</si>
</sst>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#,##0.;\-#,##0.;\-"/>
    <numFmt numFmtId="169" formatCode="#,##0_);\(#,##0\);\-"/>
    <numFmt numFmtId="170" formatCode="d\-mmm\-yy;d\-mmm\-yy;\-"/>
    <numFmt numFmtId="171" formatCode="0.00%_);\(0.00%\);\-"/>
    <numFmt numFmtId="172" formatCode="#,##0.00_);\(#,##0.00\);\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0C3E7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9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9" fontId="9" fillId="0" borderId="0" applyBorder="0"/>
    <xf numFmtId="170" fontId="3" fillId="0" borderId="0" applyBorder="0"/>
    <xf numFmtId="4" fontId="9" fillId="2" borderId="1">
      <alignment horizontal="left"/>
    </xf>
    <xf numFmtId="171" fontId="7" fillId="4" borderId="11">
      <protection locked="0"/>
    </xf>
    <xf numFmtId="169" fontId="7" fillId="4" borderId="11">
      <protection locked="0"/>
    </xf>
    <xf numFmtId="169" fontId="7" fillId="0" borderId="12"/>
    <xf numFmtId="171" fontId="11" fillId="0" borderId="0" applyFill="0" applyBorder="0" applyAlignment="0"/>
    <xf numFmtId="0" fontId="10" fillId="0" borderId="0" applyNumberFormat="0" applyFill="0" applyBorder="0" applyAlignment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72" fontId="3" fillId="0" borderId="0" applyBorder="0"/>
    <xf numFmtId="172" fontId="7" fillId="4" borderId="11">
      <protection locked="0"/>
    </xf>
    <xf numFmtId="170" fontId="7" fillId="4" borderId="11"/>
  </cellStyleXfs>
  <cellXfs count="40">
    <xf numFmtId="0" fontId="0" fillId="0" borderId="0" xfId="0"/>
    <xf numFmtId="172" fontId="4" fillId="36" borderId="0" xfId="1" applyNumberFormat="1"/>
    <xf numFmtId="0" fontId="3" fillId="0" borderId="0" xfId="0" applyFont="1"/>
    <xf numFmtId="0" fontId="5" fillId="0" borderId="0" xfId="0" applyFont="1"/>
    <xf numFmtId="169" fontId="3" fillId="0" borderId="0" xfId="2"/>
    <xf numFmtId="169" fontId="7" fillId="0" borderId="0" xfId="3" applyNumberFormat="1">
      <alignment horizontal="right"/>
    </xf>
    <xf numFmtId="169" fontId="0" fillId="0" borderId="0" xfId="0" applyNumberFormat="1"/>
    <xf numFmtId="169" fontId="9" fillId="0" borderId="0" xfId="5"/>
    <xf numFmtId="170" fontId="3" fillId="0" borderId="0" xfId="6"/>
    <xf numFmtId="169" fontId="3" fillId="0" borderId="0" xfId="2" applyBorder="1"/>
    <xf numFmtId="4" fontId="9" fillId="2" borderId="1" xfId="7">
      <alignment horizontal="left"/>
    </xf>
    <xf numFmtId="0" fontId="3" fillId="0" borderId="0" xfId="0" applyFont="1" applyBorder="1"/>
    <xf numFmtId="0" fontId="10" fillId="0" borderId="0" xfId="0" applyFont="1"/>
    <xf numFmtId="0" fontId="7" fillId="0" borderId="0" xfId="3">
      <alignment horizontal="right"/>
    </xf>
    <xf numFmtId="171" fontId="7" fillId="4" borderId="11" xfId="8">
      <protection locked="0"/>
    </xf>
    <xf numFmtId="0" fontId="3" fillId="0" borderId="0" xfId="6" applyNumberFormat="1"/>
    <xf numFmtId="169" fontId="7" fillId="0" borderId="12" xfId="10"/>
    <xf numFmtId="171" fontId="11" fillId="0" borderId="0" xfId="11"/>
    <xf numFmtId="169" fontId="12" fillId="0" borderId="0" xfId="2" applyFont="1"/>
    <xf numFmtId="169" fontId="10" fillId="0" borderId="0" xfId="12" applyNumberFormat="1"/>
    <xf numFmtId="170" fontId="3" fillId="0" borderId="0" xfId="6" applyBorder="1"/>
    <xf numFmtId="0" fontId="3" fillId="0" borderId="0" xfId="6" applyNumberFormat="1" applyBorder="1"/>
    <xf numFmtId="169" fontId="7" fillId="4" borderId="11" xfId="9">
      <protection locked="0"/>
    </xf>
    <xf numFmtId="172" fontId="3" fillId="0" borderId="0" xfId="59"/>
    <xf numFmtId="172" fontId="3" fillId="0" borderId="0" xfId="59" applyBorder="1"/>
    <xf numFmtId="172" fontId="3" fillId="3" borderId="0" xfId="59" applyFill="1"/>
    <xf numFmtId="172" fontId="3" fillId="0" borderId="0" xfId="59" quotePrefix="1"/>
    <xf numFmtId="172" fontId="7" fillId="0" borderId="0" xfId="3" applyNumberFormat="1">
      <alignment horizontal="right"/>
    </xf>
    <xf numFmtId="172" fontId="7" fillId="4" borderId="11" xfId="60">
      <protection locked="0"/>
    </xf>
    <xf numFmtId="170" fontId="7" fillId="4" borderId="11" xfId="61"/>
    <xf numFmtId="170" fontId="12" fillId="0" borderId="0" xfId="6" applyFont="1"/>
    <xf numFmtId="0" fontId="2" fillId="37" borderId="0" xfId="1" applyFont="1" applyFill="1" applyAlignment="1"/>
    <xf numFmtId="0" fontId="4" fillId="37" borderId="0" xfId="1" applyFill="1"/>
    <xf numFmtId="0" fontId="4" fillId="37" borderId="0" xfId="1" applyFont="1" applyFill="1"/>
    <xf numFmtId="168" fontId="6" fillId="37" borderId="0" xfId="1" applyNumberFormat="1" applyFont="1" applyFill="1" applyAlignment="1">
      <alignment horizontal="left"/>
    </xf>
    <xf numFmtId="0" fontId="6" fillId="37" borderId="0" xfId="1" applyFont="1" applyFill="1"/>
    <xf numFmtId="169" fontId="30" fillId="0" borderId="0" xfId="2" applyFont="1"/>
    <xf numFmtId="169" fontId="9" fillId="0" borderId="0" xfId="2" applyFont="1"/>
    <xf numFmtId="169" fontId="3" fillId="0" borderId="0" xfId="5" applyFont="1"/>
    <xf numFmtId="169" fontId="9" fillId="0" borderId="0" xfId="5" applyFont="1"/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 xr:uid="{00000000-0005-0000-0000-000028000000}"/>
    <cellStyle name="M TopHeader" xfId="1" xr:uid="{00000000-0005-0000-0000-000029000000}"/>
    <cellStyle name="M Units" xfId="3" xr:uid="{00000000-0005-0000-0000-00002A000000}"/>
    <cellStyle name="M Wkg text" xfId="12" xr:uid="{00000000-0005-0000-0000-00002B000000}"/>
    <cellStyle name="M-A 0dp" xfId="9" xr:uid="{00000000-0005-0000-0000-00002C000000}"/>
    <cellStyle name="M-A 2dp" xfId="60" xr:uid="{00000000-0005-0000-0000-00002D000000}"/>
    <cellStyle name="M-A Date" xfId="61" xr:uid="{00000000-0005-0000-0000-00002E000000}"/>
    <cellStyle name="M-A Fixed 0dp" xfId="10" xr:uid="{00000000-0005-0000-0000-00002F000000}"/>
    <cellStyle name="M-A Pct2dp" xfId="8" xr:uid="{00000000-0005-0000-0000-000030000000}"/>
    <cellStyle name="M-C 0dp Num" xfId="2" xr:uid="{00000000-0005-0000-0000-000031000000}"/>
    <cellStyle name="M-C 2dp Num" xfId="59" xr:uid="{00000000-0005-0000-0000-000032000000}"/>
    <cellStyle name="M-C Bld 0dp" xfId="5" xr:uid="{00000000-0005-0000-0000-000033000000}"/>
    <cellStyle name="M-C Date" xfId="6" xr:uid="{00000000-0005-0000-0000-000034000000}"/>
    <cellStyle name="M-C Pct 2DP" xfId="11" xr:uid="{00000000-0005-0000-0000-000035000000}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C3E7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39292</xdr:rowOff>
    </xdr:from>
    <xdr:to>
      <xdr:col>9</xdr:col>
      <xdr:colOff>520700</xdr:colOff>
      <xdr:row>2</xdr:row>
      <xdr:rowOff>171195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2CEA0-9F72-C044-9EE9-A7AEFA6C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39292"/>
          <a:ext cx="2552700" cy="652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876300</xdr:colOff>
      <xdr:row>0</xdr:row>
      <xdr:rowOff>0</xdr:rowOff>
    </xdr:from>
    <xdr:to>
      <xdr:col>9</xdr:col>
      <xdr:colOff>406400</xdr:colOff>
      <xdr:row>2</xdr:row>
      <xdr:rowOff>131903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14DB8-0C45-8C47-9979-4889C456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0"/>
          <a:ext cx="2552700" cy="6526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889000</xdr:colOff>
      <xdr:row>0</xdr:row>
      <xdr:rowOff>0</xdr:rowOff>
    </xdr:from>
    <xdr:to>
      <xdr:col>9</xdr:col>
      <xdr:colOff>419100</xdr:colOff>
      <xdr:row>2</xdr:row>
      <xdr:rowOff>131903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096A77-3F8C-F44E-AE3B-F206F387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800" y="0"/>
          <a:ext cx="2552700" cy="652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outlinePr summaryBelow="0"/>
  </sheetPr>
  <dimension ref="A1:J49"/>
  <sheetViews>
    <sheetView showGridLines="0" zoomScaleNormal="100" zoomScalePageLayoutView="85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2" customWidth="1"/>
    <col min="4" max="4" width="40.6640625" style="12" customWidth="1"/>
    <col min="5" max="6" width="12.6640625" style="2" customWidth="1"/>
    <col min="7" max="7" width="3.6640625" style="2" customWidth="1"/>
    <col min="8" max="8" width="10.6640625" style="13" customWidth="1"/>
    <col min="9" max="9" width="12.6640625" style="2" customWidth="1"/>
    <col min="10" max="10" width="15.6640625" style="2" customWidth="1"/>
    <col min="11" max="16384" width="8.83203125" style="2"/>
  </cols>
  <sheetData>
    <row r="1" spans="1:10" ht="23" x14ac:dyDescent="0.25">
      <c r="A1" s="31" t="s">
        <v>55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3" customFormat="1" ht="18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18" customHeight="1" x14ac:dyDescent="0.2">
      <c r="A3" s="34"/>
      <c r="B3" s="32"/>
      <c r="C3" s="35" t="s">
        <v>8</v>
      </c>
      <c r="D3" s="32"/>
      <c r="E3" s="32"/>
      <c r="F3" s="32"/>
      <c r="G3" s="32"/>
      <c r="H3" s="32"/>
      <c r="I3" s="32"/>
      <c r="J3" s="32"/>
    </row>
    <row r="4" spans="1:10" s="4" customFormat="1" ht="12" customHeight="1" x14ac:dyDescent="0.15">
      <c r="F4" s="18"/>
      <c r="H4" s="5"/>
      <c r="I4" s="18"/>
    </row>
    <row r="5" spans="1:10" s="4" customFormat="1" ht="12" customHeight="1" x14ac:dyDescent="0.15">
      <c r="H5" s="5"/>
    </row>
    <row r="6" spans="1:10" s="4" customFormat="1" ht="12" customHeight="1" x14ac:dyDescent="0.15">
      <c r="H6" s="5"/>
    </row>
    <row r="7" spans="1:10" s="4" customFormat="1" ht="12" customHeight="1" x14ac:dyDescent="0.15">
      <c r="H7" s="5"/>
    </row>
    <row r="8" spans="1:10" s="4" customFormat="1" ht="12" customHeight="1" x14ac:dyDescent="0.15">
      <c r="H8" s="5"/>
    </row>
    <row r="9" spans="1:10" s="4" customFormat="1" ht="12" customHeight="1" x14ac:dyDescent="0.15">
      <c r="H9" s="5"/>
    </row>
    <row r="10" spans="1:10" s="4" customFormat="1" ht="12" customHeight="1" x14ac:dyDescent="0.15">
      <c r="E10" s="7"/>
      <c r="H10" s="5"/>
    </row>
    <row r="11" spans="1:10" ht="12" customHeight="1" x14ac:dyDescent="0.15">
      <c r="A11" s="10"/>
      <c r="B11" s="10"/>
      <c r="C11" s="10" t="s">
        <v>9</v>
      </c>
      <c r="D11" s="10"/>
      <c r="E11" s="10"/>
      <c r="F11" s="10"/>
      <c r="G11" s="10"/>
      <c r="H11" s="10"/>
      <c r="I11" s="10"/>
      <c r="J11" s="10"/>
    </row>
    <row r="12" spans="1:10" s="11" customFormat="1" ht="12" customHeight="1" x14ac:dyDescent="0.15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2" customHeight="1" x14ac:dyDescent="0.15">
      <c r="A13" s="23"/>
      <c r="B13" s="23"/>
      <c r="C13" s="7"/>
      <c r="D13" s="23"/>
      <c r="E13" s="26"/>
      <c r="F13" s="23"/>
      <c r="G13" s="23"/>
      <c r="H13" s="23"/>
      <c r="I13" s="23"/>
      <c r="J13" s="23"/>
    </row>
    <row r="14" spans="1:10" ht="12" customHeight="1" x14ac:dyDescent="0.15">
      <c r="A14" s="23"/>
      <c r="B14" s="23"/>
      <c r="C14" s="23"/>
      <c r="D14" s="23" t="s">
        <v>10</v>
      </c>
      <c r="E14" s="26"/>
      <c r="F14" s="23"/>
      <c r="G14" s="23"/>
      <c r="H14" s="27"/>
      <c r="I14" s="22">
        <v>1000</v>
      </c>
      <c r="J14" s="23"/>
    </row>
    <row r="15" spans="1:10" ht="12" customHeight="1" x14ac:dyDescent="0.15">
      <c r="A15" s="23"/>
      <c r="B15" s="23"/>
      <c r="C15" s="23"/>
      <c r="D15" s="23"/>
      <c r="E15" s="26"/>
      <c r="F15" s="23"/>
      <c r="G15" s="23"/>
      <c r="H15" s="27"/>
      <c r="I15" s="23"/>
      <c r="J15" s="23"/>
    </row>
    <row r="16" spans="1:10" ht="12" customHeight="1" x14ac:dyDescent="0.15">
      <c r="A16" s="23"/>
      <c r="B16" s="23"/>
      <c r="C16" s="23"/>
      <c r="D16" s="23" t="s">
        <v>11</v>
      </c>
      <c r="E16" s="26"/>
      <c r="F16" s="23"/>
      <c r="G16" s="23"/>
      <c r="H16" s="27"/>
      <c r="I16" s="28">
        <v>1000</v>
      </c>
      <c r="J16" s="23"/>
    </row>
    <row r="17" spans="1:10" ht="12" customHeight="1" x14ac:dyDescent="0.15">
      <c r="A17" s="23"/>
      <c r="B17" s="23"/>
      <c r="C17" s="23"/>
      <c r="D17" s="23"/>
      <c r="E17" s="26"/>
      <c r="F17" s="23"/>
      <c r="G17" s="23"/>
      <c r="H17" s="23"/>
      <c r="I17" s="23"/>
      <c r="J17" s="23"/>
    </row>
    <row r="18" spans="1:10" ht="12" customHeight="1" x14ac:dyDescent="0.15">
      <c r="A18" s="23"/>
      <c r="B18" s="23"/>
      <c r="C18" s="23"/>
      <c r="D18" s="23" t="s">
        <v>12</v>
      </c>
      <c r="E18" s="26"/>
      <c r="F18" s="23"/>
      <c r="G18" s="23"/>
      <c r="H18" s="23"/>
      <c r="I18" s="14">
        <v>0.5</v>
      </c>
      <c r="J18" s="23"/>
    </row>
    <row r="19" spans="1:10" ht="12" customHeight="1" x14ac:dyDescent="0.15">
      <c r="A19" s="23"/>
      <c r="B19" s="23"/>
      <c r="C19" s="23"/>
      <c r="D19" s="23"/>
      <c r="E19" s="26"/>
      <c r="F19" s="23"/>
      <c r="G19" s="23"/>
      <c r="H19" s="23"/>
      <c r="I19" s="23"/>
      <c r="J19" s="23"/>
    </row>
    <row r="20" spans="1:10" ht="12" customHeight="1" x14ac:dyDescent="0.15">
      <c r="A20" s="23"/>
      <c r="B20" s="23"/>
      <c r="C20" s="23"/>
      <c r="D20" s="23" t="s">
        <v>13</v>
      </c>
      <c r="E20" s="26"/>
      <c r="F20" s="23"/>
      <c r="G20" s="23"/>
      <c r="H20" s="23"/>
      <c r="I20" s="29">
        <v>42369</v>
      </c>
      <c r="J20" s="23"/>
    </row>
    <row r="21" spans="1:10" ht="12" customHeight="1" x14ac:dyDescent="0.15">
      <c r="A21" s="23"/>
      <c r="B21" s="23"/>
      <c r="C21" s="23"/>
      <c r="D21" s="23"/>
      <c r="E21" s="26"/>
      <c r="F21" s="23"/>
      <c r="G21" s="23"/>
      <c r="H21" s="23"/>
      <c r="I21" s="23"/>
      <c r="J21" s="23"/>
    </row>
    <row r="22" spans="1:10" ht="12" customHeight="1" x14ac:dyDescent="0.15">
      <c r="A22" s="23"/>
      <c r="B22" s="23"/>
      <c r="C22" s="23"/>
      <c r="D22" s="23" t="s">
        <v>14</v>
      </c>
      <c r="E22" s="26"/>
      <c r="F22" s="23"/>
      <c r="G22" s="23"/>
      <c r="H22" s="23"/>
      <c r="I22" s="4">
        <v>1000</v>
      </c>
      <c r="J22" s="23"/>
    </row>
    <row r="23" spans="1:10" ht="12" customHeight="1" x14ac:dyDescent="0.15">
      <c r="A23" s="23"/>
      <c r="B23" s="23"/>
      <c r="C23" s="23"/>
      <c r="D23" s="23"/>
      <c r="E23" s="26"/>
      <c r="F23" s="23"/>
      <c r="G23" s="23"/>
      <c r="H23" s="23"/>
      <c r="I23" s="23"/>
      <c r="J23" s="23"/>
    </row>
    <row r="24" spans="1:10" ht="12" customHeight="1" x14ac:dyDescent="0.15">
      <c r="A24" s="23"/>
      <c r="B24" s="23"/>
      <c r="C24" s="23"/>
      <c r="D24" s="23" t="s">
        <v>26</v>
      </c>
      <c r="E24" s="26"/>
      <c r="F24" s="23"/>
      <c r="G24" s="23"/>
      <c r="H24" s="23"/>
      <c r="I24" s="4">
        <v>-1000</v>
      </c>
      <c r="J24" s="23"/>
    </row>
    <row r="25" spans="1:10" ht="12" customHeight="1" x14ac:dyDescent="0.15">
      <c r="A25" s="23"/>
      <c r="B25" s="23"/>
      <c r="C25" s="23"/>
      <c r="D25" s="23"/>
      <c r="E25" s="26"/>
      <c r="F25" s="23"/>
      <c r="G25" s="23"/>
      <c r="H25" s="23"/>
      <c r="I25" s="23"/>
      <c r="J25" s="23"/>
    </row>
    <row r="26" spans="1:10" ht="12" customHeight="1" x14ac:dyDescent="0.15">
      <c r="A26" s="23"/>
      <c r="B26" s="23"/>
      <c r="C26" s="23"/>
      <c r="D26" s="23" t="s">
        <v>15</v>
      </c>
      <c r="E26" s="26"/>
      <c r="F26" s="23"/>
      <c r="G26" s="23"/>
      <c r="H26" s="23"/>
      <c r="I26" s="23">
        <v>1000</v>
      </c>
      <c r="J26" s="23"/>
    </row>
    <row r="27" spans="1:10" ht="12" customHeight="1" x14ac:dyDescent="0.15">
      <c r="A27" s="23"/>
      <c r="B27" s="23"/>
      <c r="C27" s="23"/>
      <c r="D27" s="23"/>
      <c r="E27" s="26"/>
      <c r="F27" s="23"/>
      <c r="G27" s="23"/>
      <c r="H27" s="23"/>
      <c r="I27" s="23"/>
      <c r="J27" s="23"/>
    </row>
    <row r="28" spans="1:10" ht="12" customHeight="1" x14ac:dyDescent="0.15">
      <c r="A28" s="23"/>
      <c r="B28" s="23"/>
      <c r="C28" s="23"/>
      <c r="D28" s="23" t="s">
        <v>16</v>
      </c>
      <c r="E28" s="26"/>
      <c r="F28" s="23"/>
      <c r="G28" s="23"/>
      <c r="H28" s="23"/>
      <c r="I28" s="17">
        <v>0.5</v>
      </c>
      <c r="J28" s="23"/>
    </row>
    <row r="29" spans="1:10" ht="12" customHeight="1" x14ac:dyDescent="0.15">
      <c r="A29" s="23"/>
      <c r="B29" s="23"/>
      <c r="C29" s="23"/>
      <c r="D29" s="23"/>
      <c r="E29" s="26"/>
      <c r="F29" s="23"/>
      <c r="G29" s="23"/>
      <c r="H29" s="23"/>
      <c r="I29" s="23"/>
      <c r="J29" s="23"/>
    </row>
    <row r="30" spans="1:10" ht="12" customHeight="1" x14ac:dyDescent="0.15">
      <c r="A30" s="23"/>
      <c r="B30" s="23"/>
      <c r="C30" s="23"/>
      <c r="D30" s="23" t="s">
        <v>28</v>
      </c>
      <c r="E30" s="26"/>
      <c r="F30" s="23"/>
      <c r="G30" s="23"/>
      <c r="H30" s="23"/>
      <c r="I30" s="25">
        <v>0</v>
      </c>
      <c r="J30" s="23"/>
    </row>
    <row r="31" spans="1:10" ht="12" customHeight="1" x14ac:dyDescent="0.15">
      <c r="A31" s="23"/>
      <c r="B31" s="23"/>
      <c r="C31" s="23"/>
      <c r="D31" s="23"/>
      <c r="E31" s="26"/>
      <c r="F31" s="23"/>
      <c r="G31" s="23"/>
      <c r="H31" s="23"/>
      <c r="I31" s="23"/>
      <c r="J31" s="23"/>
    </row>
    <row r="32" spans="1:10" ht="12" customHeight="1" x14ac:dyDescent="0.15">
      <c r="A32" s="23"/>
      <c r="B32" s="23"/>
      <c r="C32" s="23"/>
      <c r="D32" s="23" t="s">
        <v>17</v>
      </c>
      <c r="E32" s="26"/>
      <c r="F32" s="23"/>
      <c r="G32" s="23"/>
      <c r="H32" s="23"/>
      <c r="I32" s="8">
        <v>42369</v>
      </c>
      <c r="J32" s="23"/>
    </row>
    <row r="33" spans="1:10" ht="12" customHeight="1" x14ac:dyDescent="0.15">
      <c r="A33" s="23"/>
      <c r="B33" s="23"/>
      <c r="C33" s="23"/>
      <c r="D33" s="23"/>
      <c r="E33" s="26"/>
      <c r="F33" s="23"/>
      <c r="G33" s="23"/>
      <c r="H33" s="23"/>
      <c r="I33" s="23"/>
      <c r="J33" s="23"/>
    </row>
    <row r="34" spans="1:10" ht="12" customHeight="1" x14ac:dyDescent="0.15">
      <c r="A34" s="23"/>
      <c r="B34" s="23"/>
      <c r="C34" s="23"/>
      <c r="D34" s="23" t="s">
        <v>24</v>
      </c>
      <c r="E34" s="26"/>
      <c r="F34" s="23"/>
      <c r="G34" s="23"/>
      <c r="H34" s="23"/>
      <c r="I34" s="18" t="s">
        <v>25</v>
      </c>
      <c r="J34" s="23"/>
    </row>
    <row r="35" spans="1:10" ht="12" customHeight="1" x14ac:dyDescent="0.15">
      <c r="A35" s="23"/>
      <c r="B35" s="23"/>
      <c r="C35" s="23"/>
      <c r="D35" s="23"/>
      <c r="E35" s="26"/>
      <c r="F35" s="23"/>
      <c r="G35" s="23"/>
      <c r="H35" s="23"/>
      <c r="I35" s="23"/>
      <c r="J35" s="23"/>
    </row>
    <row r="36" spans="1:10" ht="12" customHeight="1" x14ac:dyDescent="0.15">
      <c r="A36" s="23"/>
      <c r="B36" s="23"/>
      <c r="C36" s="23"/>
      <c r="D36" s="23" t="s">
        <v>18</v>
      </c>
      <c r="E36" s="26"/>
      <c r="F36" s="23"/>
      <c r="G36" s="23"/>
      <c r="H36" s="23"/>
      <c r="I36" s="27" t="s">
        <v>5</v>
      </c>
      <c r="J36" s="23"/>
    </row>
    <row r="37" spans="1:10" ht="12" customHeight="1" x14ac:dyDescent="0.15">
      <c r="A37" s="23"/>
      <c r="B37" s="23"/>
      <c r="C37" s="23"/>
      <c r="D37" s="23"/>
      <c r="E37" s="26"/>
      <c r="F37" s="23"/>
      <c r="G37" s="23"/>
      <c r="H37" s="23"/>
      <c r="I37" s="23"/>
      <c r="J37" s="23"/>
    </row>
    <row r="38" spans="1:10" ht="12" customHeight="1" x14ac:dyDescent="0.15">
      <c r="A38" s="23"/>
      <c r="B38" s="23"/>
      <c r="C38" s="23"/>
      <c r="D38" s="23" t="s">
        <v>19</v>
      </c>
      <c r="E38" s="26"/>
      <c r="F38" s="23"/>
      <c r="G38" s="23"/>
      <c r="H38" s="23"/>
      <c r="I38" s="16">
        <v>1000</v>
      </c>
      <c r="J38" s="23"/>
    </row>
    <row r="39" spans="1:10" ht="12" customHeight="1" x14ac:dyDescent="0.15">
      <c r="A39" s="23"/>
      <c r="B39" s="23"/>
      <c r="C39" s="23"/>
      <c r="D39" s="23"/>
      <c r="E39" s="26"/>
      <c r="F39" s="23"/>
      <c r="G39" s="23"/>
      <c r="H39" s="23"/>
      <c r="I39" s="23"/>
      <c r="J39" s="23"/>
    </row>
    <row r="40" spans="1:10" ht="12" customHeight="1" x14ac:dyDescent="0.15">
      <c r="A40" s="23"/>
      <c r="B40" s="23"/>
      <c r="C40" s="23"/>
      <c r="D40" s="23" t="s">
        <v>20</v>
      </c>
      <c r="E40" s="26"/>
      <c r="F40" s="23"/>
      <c r="G40" s="23"/>
      <c r="H40" s="23"/>
      <c r="I40" s="7" t="s">
        <v>21</v>
      </c>
      <c r="J40" s="23"/>
    </row>
    <row r="41" spans="1:10" ht="12" customHeight="1" x14ac:dyDescent="0.15">
      <c r="A41" s="23"/>
      <c r="B41" s="23"/>
      <c r="C41" s="23"/>
      <c r="D41" s="23"/>
      <c r="E41" s="26"/>
      <c r="F41" s="23"/>
      <c r="G41" s="23"/>
      <c r="H41" s="23"/>
      <c r="I41" s="23"/>
      <c r="J41" s="23"/>
    </row>
    <row r="42" spans="1:10" ht="12" customHeight="1" x14ac:dyDescent="0.15">
      <c r="A42" s="23"/>
      <c r="B42" s="23"/>
      <c r="C42" s="23"/>
      <c r="D42" s="23" t="s">
        <v>4</v>
      </c>
      <c r="E42" s="26"/>
      <c r="F42" s="23"/>
      <c r="G42" s="23"/>
      <c r="H42" s="23"/>
      <c r="I42" s="19">
        <v>1000</v>
      </c>
      <c r="J42" s="23"/>
    </row>
    <row r="43" spans="1:10" ht="12" customHeight="1" x14ac:dyDescent="0.15">
      <c r="A43" s="23"/>
      <c r="B43" s="23"/>
      <c r="C43" s="23"/>
      <c r="D43" s="23"/>
      <c r="E43" s="26"/>
      <c r="F43" s="23"/>
      <c r="G43" s="23"/>
      <c r="H43" s="23"/>
      <c r="I43" s="23"/>
      <c r="J43" s="23"/>
    </row>
    <row r="44" spans="1:10" ht="12" customHeight="1" x14ac:dyDescent="0.2">
      <c r="A44" s="23"/>
      <c r="B44" s="23"/>
      <c r="C44" s="23"/>
      <c r="D44" s="23" t="s">
        <v>22</v>
      </c>
      <c r="E44" s="26"/>
      <c r="F44" s="23"/>
      <c r="G44" s="23"/>
      <c r="H44" s="23"/>
      <c r="I44" s="1" t="s">
        <v>21</v>
      </c>
      <c r="J44" s="23"/>
    </row>
    <row r="45" spans="1:10" ht="12" customHeight="1" x14ac:dyDescent="0.15">
      <c r="A45" s="23"/>
      <c r="B45" s="23"/>
      <c r="C45" s="23"/>
      <c r="D45" s="23"/>
      <c r="E45" s="26"/>
      <c r="F45" s="23"/>
      <c r="G45" s="23"/>
      <c r="H45" s="23"/>
      <c r="I45" s="23"/>
      <c r="J45" s="23"/>
    </row>
    <row r="46" spans="1:10" ht="12" customHeight="1" x14ac:dyDescent="0.15">
      <c r="A46" s="23"/>
      <c r="B46" s="23"/>
      <c r="C46" s="23"/>
      <c r="D46" s="23" t="s">
        <v>23</v>
      </c>
      <c r="E46" s="26"/>
      <c r="F46" s="23"/>
      <c r="G46" s="23"/>
      <c r="H46" s="23"/>
      <c r="I46" s="10" t="s">
        <v>21</v>
      </c>
      <c r="J46" s="23"/>
    </row>
    <row r="47" spans="1:10" ht="12" customHeight="1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2" customHeight="1" x14ac:dyDescent="0.15">
      <c r="A48" s="10"/>
      <c r="B48" s="10"/>
      <c r="C48" s="10" t="s">
        <v>2</v>
      </c>
      <c r="D48" s="10"/>
      <c r="E48" s="10"/>
      <c r="F48" s="10"/>
      <c r="G48" s="10"/>
      <c r="H48" s="10"/>
      <c r="I48" s="10"/>
      <c r="J48" s="10"/>
    </row>
    <row r="49" ht="12" customHeight="1" x14ac:dyDescent="0.1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outlinePr summaryBelow="0"/>
  </sheetPr>
  <dimension ref="A1:GX83"/>
  <sheetViews>
    <sheetView showGridLines="0" tabSelected="1" zoomScaleNormal="100" zoomScalePageLayoutView="85" workbookViewId="0">
      <pane xSplit="12" ySplit="8" topLeftCell="M23" activePane="bottomRight" state="frozen"/>
      <selection pane="topRight" activeCell="M1" sqref="M1"/>
      <selection pane="bottomLeft" activeCell="A9" sqref="A9"/>
      <selection pane="bottomRight" activeCell="B49" sqref="B49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2" customWidth="1"/>
    <col min="4" max="4" width="40.6640625" style="12" customWidth="1"/>
    <col min="5" max="6" width="12.6640625" style="2" customWidth="1"/>
    <col min="7" max="7" width="3.6640625" style="2" customWidth="1"/>
    <col min="8" max="8" width="10.6640625" style="13" customWidth="1"/>
    <col min="9" max="9" width="12.6640625" style="2" customWidth="1"/>
    <col min="10" max="10" width="15.6640625" style="2" customWidth="1"/>
    <col min="11" max="11" width="3.6640625" style="2" customWidth="1"/>
    <col min="12" max="206" width="12.6640625" style="2" customWidth="1"/>
    <col min="207" max="16384" width="8.83203125" style="2"/>
  </cols>
  <sheetData>
    <row r="1" spans="1:206" ht="23" x14ac:dyDescent="0.25">
      <c r="A1" s="31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</row>
    <row r="2" spans="1:206" s="3" customFormat="1" ht="18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</row>
    <row r="3" spans="1:206" ht="18" customHeight="1" x14ac:dyDescent="0.2">
      <c r="A3" s="34">
        <v>1</v>
      </c>
      <c r="B3" s="32"/>
      <c r="C3" s="35" t="s">
        <v>27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</row>
    <row r="4" spans="1:206" s="4" customFormat="1" ht="12" customHeight="1" x14ac:dyDescent="0.15">
      <c r="F4" s="18"/>
      <c r="H4" s="5"/>
      <c r="I4" s="18"/>
    </row>
    <row r="5" spans="1:206" s="4" customFormat="1" ht="12" customHeight="1" x14ac:dyDescent="0.15">
      <c r="H5" s="5"/>
    </row>
    <row r="6" spans="1:206" s="4" customFormat="1" ht="12" customHeight="1" x14ac:dyDescent="0.2">
      <c r="D6" s="6"/>
      <c r="E6" s="7" t="s">
        <v>6</v>
      </c>
      <c r="H6" s="5"/>
      <c r="L6" s="8"/>
      <c r="M6" s="30">
        <v>43435</v>
      </c>
      <c r="N6" s="8">
        <f t="shared" ref="N6:O6" si="0">M7+1</f>
        <v>43466</v>
      </c>
      <c r="O6" s="20">
        <f t="shared" si="0"/>
        <v>43497</v>
      </c>
      <c r="P6" s="20">
        <f t="shared" ref="P6" si="1">O7+1</f>
        <v>43525</v>
      </c>
      <c r="Q6" s="20">
        <f t="shared" ref="Q6" si="2">P7+1</f>
        <v>43556</v>
      </c>
      <c r="R6" s="20">
        <f t="shared" ref="R6" si="3">Q7+1</f>
        <v>43586</v>
      </c>
      <c r="S6" s="20">
        <f t="shared" ref="S6" si="4">R7+1</f>
        <v>43617</v>
      </c>
      <c r="T6" s="20">
        <f t="shared" ref="T6" si="5">S7+1</f>
        <v>43647</v>
      </c>
      <c r="U6" s="20">
        <f t="shared" ref="U6" si="6">T7+1</f>
        <v>43678</v>
      </c>
      <c r="V6" s="20">
        <f t="shared" ref="V6" si="7">U7+1</f>
        <v>43709</v>
      </c>
      <c r="W6" s="20">
        <f t="shared" ref="W6" si="8">V7+1</f>
        <v>43739</v>
      </c>
      <c r="X6" s="20">
        <f t="shared" ref="X6" si="9">W7+1</f>
        <v>43770</v>
      </c>
      <c r="Y6" s="20">
        <f t="shared" ref="Y6" si="10">X7+1</f>
        <v>43800</v>
      </c>
      <c r="Z6" s="20">
        <f t="shared" ref="Z6" si="11">Y7+1</f>
        <v>43831</v>
      </c>
      <c r="AA6" s="20">
        <f t="shared" ref="AA6" si="12">Z7+1</f>
        <v>43862</v>
      </c>
      <c r="AB6" s="20">
        <f t="shared" ref="AB6" si="13">AA7+1</f>
        <v>43891</v>
      </c>
      <c r="AC6" s="20">
        <f t="shared" ref="AC6" si="14">AB7+1</f>
        <v>43922</v>
      </c>
      <c r="AD6" s="20">
        <f t="shared" ref="AD6" si="15">AC7+1</f>
        <v>43952</v>
      </c>
      <c r="AE6" s="20">
        <f t="shared" ref="AE6" si="16">AD7+1</f>
        <v>43983</v>
      </c>
      <c r="AF6" s="20">
        <f t="shared" ref="AF6" si="17">AE7+1</f>
        <v>44013</v>
      </c>
      <c r="AG6" s="20">
        <f t="shared" ref="AG6" si="18">AF7+1</f>
        <v>44044</v>
      </c>
      <c r="AH6" s="20">
        <f t="shared" ref="AH6" si="19">AG7+1</f>
        <v>44075</v>
      </c>
      <c r="AI6" s="20">
        <f t="shared" ref="AI6" si="20">AH7+1</f>
        <v>44105</v>
      </c>
      <c r="AJ6" s="20">
        <f t="shared" ref="AJ6" si="21">AI7+1</f>
        <v>44136</v>
      </c>
      <c r="AK6" s="20">
        <f t="shared" ref="AK6" si="22">AJ7+1</f>
        <v>44166</v>
      </c>
      <c r="AL6" s="20">
        <f t="shared" ref="AL6" si="23">AK7+1</f>
        <v>44197</v>
      </c>
      <c r="AM6" s="20">
        <f t="shared" ref="AM6" si="24">AL7+1</f>
        <v>44228</v>
      </c>
      <c r="AN6" s="20">
        <f t="shared" ref="AN6" si="25">AM7+1</f>
        <v>44256</v>
      </c>
      <c r="AO6" s="20">
        <f t="shared" ref="AO6" si="26">AN7+1</f>
        <v>44287</v>
      </c>
      <c r="AP6" s="20">
        <f t="shared" ref="AP6" si="27">AO7+1</f>
        <v>44317</v>
      </c>
      <c r="AQ6" s="20">
        <f t="shared" ref="AQ6" si="28">AP7+1</f>
        <v>44348</v>
      </c>
      <c r="AR6" s="20">
        <f t="shared" ref="AR6" si="29">AQ7+1</f>
        <v>44378</v>
      </c>
      <c r="AS6" s="20">
        <f t="shared" ref="AS6" si="30">AR7+1</f>
        <v>44409</v>
      </c>
      <c r="AT6" s="20">
        <f t="shared" ref="AT6" si="31">AS7+1</f>
        <v>44440</v>
      </c>
      <c r="AU6" s="20">
        <f t="shared" ref="AU6" si="32">AT7+1</f>
        <v>44470</v>
      </c>
      <c r="AV6" s="20">
        <f t="shared" ref="AV6" si="33">AU7+1</f>
        <v>44501</v>
      </c>
      <c r="AW6" s="20">
        <f t="shared" ref="AW6" si="34">AV7+1</f>
        <v>44531</v>
      </c>
      <c r="AX6" s="20">
        <f t="shared" ref="AX6" si="35">AW7+1</f>
        <v>44562</v>
      </c>
      <c r="AY6" s="20">
        <f t="shared" ref="AY6" si="36">AX7+1</f>
        <v>44593</v>
      </c>
      <c r="AZ6" s="20">
        <f t="shared" ref="AZ6" si="37">AY7+1</f>
        <v>44621</v>
      </c>
      <c r="BA6" s="20">
        <f t="shared" ref="BA6" si="38">AZ7+1</f>
        <v>44652</v>
      </c>
      <c r="BB6" s="20">
        <f t="shared" ref="BB6" si="39">BA7+1</f>
        <v>44682</v>
      </c>
      <c r="BC6" s="20">
        <f t="shared" ref="BC6" si="40">BB7+1</f>
        <v>44713</v>
      </c>
      <c r="BD6" s="20">
        <f t="shared" ref="BD6" si="41">BC7+1</f>
        <v>44743</v>
      </c>
      <c r="BE6" s="20">
        <f t="shared" ref="BE6" si="42">BD7+1</f>
        <v>44774</v>
      </c>
      <c r="BF6" s="20">
        <f t="shared" ref="BF6" si="43">BE7+1</f>
        <v>44805</v>
      </c>
      <c r="BG6" s="20">
        <f t="shared" ref="BG6" si="44">BF7+1</f>
        <v>44835</v>
      </c>
      <c r="BH6" s="20">
        <f t="shared" ref="BH6" si="45">BG7+1</f>
        <v>44866</v>
      </c>
      <c r="BI6" s="20">
        <f t="shared" ref="BI6" si="46">BH7+1</f>
        <v>44896</v>
      </c>
      <c r="BJ6" s="20">
        <f t="shared" ref="BJ6" si="47">BI7+1</f>
        <v>44927</v>
      </c>
      <c r="BK6" s="20">
        <f t="shared" ref="BK6" si="48">BJ7+1</f>
        <v>44958</v>
      </c>
      <c r="BL6" s="20">
        <f t="shared" ref="BL6" si="49">BK7+1</f>
        <v>44986</v>
      </c>
      <c r="BM6" s="20">
        <f t="shared" ref="BM6" si="50">BL7+1</f>
        <v>45017</v>
      </c>
      <c r="BN6" s="20">
        <f t="shared" ref="BN6" si="51">BM7+1</f>
        <v>45047</v>
      </c>
      <c r="BO6" s="20">
        <f t="shared" ref="BO6" si="52">BN7+1</f>
        <v>45078</v>
      </c>
      <c r="BP6" s="20">
        <f t="shared" ref="BP6" si="53">BO7+1</f>
        <v>45108</v>
      </c>
      <c r="BQ6" s="20">
        <f t="shared" ref="BQ6" si="54">BP7+1</f>
        <v>45139</v>
      </c>
      <c r="BR6" s="20">
        <f t="shared" ref="BR6" si="55">BQ7+1</f>
        <v>45170</v>
      </c>
      <c r="BS6" s="20">
        <f t="shared" ref="BS6" si="56">BR7+1</f>
        <v>45200</v>
      </c>
      <c r="BT6" s="20">
        <f t="shared" ref="BT6" si="57">BS7+1</f>
        <v>45231</v>
      </c>
      <c r="BU6" s="20">
        <f t="shared" ref="BU6" si="58">BT7+1</f>
        <v>45261</v>
      </c>
      <c r="BV6" s="20">
        <f t="shared" ref="BV6" si="59">BU7+1</f>
        <v>45292</v>
      </c>
      <c r="BW6" s="20">
        <f t="shared" ref="BW6" si="60">BV7+1</f>
        <v>45323</v>
      </c>
      <c r="BX6" s="20">
        <f t="shared" ref="BX6" si="61">BW7+1</f>
        <v>45352</v>
      </c>
      <c r="BY6" s="20">
        <f t="shared" ref="BY6" si="62">BX7+1</f>
        <v>45383</v>
      </c>
      <c r="BZ6" s="20">
        <f t="shared" ref="BZ6" si="63">BY7+1</f>
        <v>45413</v>
      </c>
      <c r="CA6" s="20">
        <f t="shared" ref="CA6" si="64">BZ7+1</f>
        <v>45444</v>
      </c>
      <c r="CB6" s="20">
        <f t="shared" ref="CB6" si="65">CA7+1</f>
        <v>45474</v>
      </c>
      <c r="CC6" s="20">
        <f t="shared" ref="CC6" si="66">CB7+1</f>
        <v>45505</v>
      </c>
      <c r="CD6" s="20">
        <f t="shared" ref="CD6" si="67">CC7+1</f>
        <v>45536</v>
      </c>
      <c r="CE6" s="20">
        <f t="shared" ref="CE6" si="68">CD7+1</f>
        <v>45566</v>
      </c>
      <c r="CF6" s="20">
        <f t="shared" ref="CF6" si="69">CE7+1</f>
        <v>45597</v>
      </c>
      <c r="CG6" s="20">
        <f t="shared" ref="CG6" si="70">CF7+1</f>
        <v>45627</v>
      </c>
      <c r="CH6" s="20">
        <f t="shared" ref="CH6" si="71">CG7+1</f>
        <v>45658</v>
      </c>
      <c r="CI6" s="20">
        <f t="shared" ref="CI6" si="72">CH7+1</f>
        <v>45689</v>
      </c>
      <c r="CJ6" s="20">
        <f t="shared" ref="CJ6" si="73">CI7+1</f>
        <v>45717</v>
      </c>
      <c r="CK6" s="20">
        <f t="shared" ref="CK6" si="74">CJ7+1</f>
        <v>45748</v>
      </c>
      <c r="CL6" s="20">
        <f t="shared" ref="CL6" si="75">CK7+1</f>
        <v>45778</v>
      </c>
      <c r="CM6" s="20">
        <f t="shared" ref="CM6" si="76">CL7+1</f>
        <v>45809</v>
      </c>
      <c r="CN6" s="20">
        <f t="shared" ref="CN6" si="77">CM7+1</f>
        <v>45839</v>
      </c>
      <c r="CO6" s="20">
        <f t="shared" ref="CO6" si="78">CN7+1</f>
        <v>45870</v>
      </c>
      <c r="CP6" s="20">
        <f t="shared" ref="CP6" si="79">CO7+1</f>
        <v>45901</v>
      </c>
      <c r="CQ6" s="20">
        <f t="shared" ref="CQ6" si="80">CP7+1</f>
        <v>45931</v>
      </c>
      <c r="CR6" s="20">
        <f t="shared" ref="CR6" si="81">CQ7+1</f>
        <v>45962</v>
      </c>
      <c r="CS6" s="20">
        <f t="shared" ref="CS6" si="82">CR7+1</f>
        <v>45992</v>
      </c>
      <c r="CT6" s="20">
        <f t="shared" ref="CT6" si="83">CS7+1</f>
        <v>46023</v>
      </c>
      <c r="CU6" s="20">
        <f t="shared" ref="CU6" si="84">CT7+1</f>
        <v>46054</v>
      </c>
      <c r="CV6" s="20">
        <f t="shared" ref="CV6" si="85">CU7+1</f>
        <v>46082</v>
      </c>
      <c r="CW6" s="20">
        <f t="shared" ref="CW6" si="86">CV7+1</f>
        <v>46113</v>
      </c>
      <c r="CX6" s="20">
        <f t="shared" ref="CX6" si="87">CW7+1</f>
        <v>46143</v>
      </c>
      <c r="CY6" s="20">
        <f t="shared" ref="CY6" si="88">CX7+1</f>
        <v>46174</v>
      </c>
      <c r="CZ6" s="20">
        <f t="shared" ref="CZ6" si="89">CY7+1</f>
        <v>46204</v>
      </c>
      <c r="DA6" s="20">
        <f t="shared" ref="DA6" si="90">CZ7+1</f>
        <v>46235</v>
      </c>
      <c r="DB6" s="20">
        <f t="shared" ref="DB6" si="91">DA7+1</f>
        <v>46266</v>
      </c>
      <c r="DC6" s="20">
        <f t="shared" ref="DC6" si="92">DB7+1</f>
        <v>46296</v>
      </c>
      <c r="DD6" s="20">
        <f t="shared" ref="DD6" si="93">DC7+1</f>
        <v>46327</v>
      </c>
      <c r="DE6" s="20">
        <f t="shared" ref="DE6" si="94">DD7+1</f>
        <v>46357</v>
      </c>
      <c r="DF6" s="20">
        <f t="shared" ref="DF6" si="95">DE7+1</f>
        <v>46388</v>
      </c>
      <c r="DG6" s="20">
        <f t="shared" ref="DG6" si="96">DF7+1</f>
        <v>46419</v>
      </c>
      <c r="DH6" s="20">
        <f t="shared" ref="DH6" si="97">DG7+1</f>
        <v>46447</v>
      </c>
      <c r="DI6" s="20">
        <f t="shared" ref="DI6" si="98">DH7+1</f>
        <v>46478</v>
      </c>
      <c r="DJ6" s="20">
        <f t="shared" ref="DJ6" si="99">DI7+1</f>
        <v>46508</v>
      </c>
      <c r="DK6" s="20">
        <f t="shared" ref="DK6" si="100">DJ7+1</f>
        <v>46539</v>
      </c>
      <c r="DL6" s="20">
        <f t="shared" ref="DL6" si="101">DK7+1</f>
        <v>46569</v>
      </c>
      <c r="DM6" s="20">
        <f t="shared" ref="DM6" si="102">DL7+1</f>
        <v>46600</v>
      </c>
      <c r="DN6" s="20">
        <f t="shared" ref="DN6" si="103">DM7+1</f>
        <v>46631</v>
      </c>
      <c r="DO6" s="20">
        <f t="shared" ref="DO6" si="104">DN7+1</f>
        <v>46661</v>
      </c>
      <c r="DP6" s="20">
        <f t="shared" ref="DP6" si="105">DO7+1</f>
        <v>46692</v>
      </c>
      <c r="DQ6" s="20">
        <f t="shared" ref="DQ6" si="106">DP7+1</f>
        <v>46722</v>
      </c>
      <c r="DR6" s="20">
        <f t="shared" ref="DR6" si="107">DQ7+1</f>
        <v>46753</v>
      </c>
      <c r="DS6" s="20">
        <f t="shared" ref="DS6" si="108">DR7+1</f>
        <v>46784</v>
      </c>
      <c r="DT6" s="20">
        <f t="shared" ref="DT6" si="109">DS7+1</f>
        <v>46813</v>
      </c>
      <c r="DU6" s="20">
        <f t="shared" ref="DU6" si="110">DT7+1</f>
        <v>46844</v>
      </c>
      <c r="DV6" s="20">
        <f t="shared" ref="DV6" si="111">DU7+1</f>
        <v>46874</v>
      </c>
      <c r="DW6" s="20">
        <f t="shared" ref="DW6" si="112">DV7+1</f>
        <v>46905</v>
      </c>
      <c r="DX6" s="20">
        <f t="shared" ref="DX6" si="113">DW7+1</f>
        <v>46935</v>
      </c>
      <c r="DY6" s="20">
        <f t="shared" ref="DY6" si="114">DX7+1</f>
        <v>46966</v>
      </c>
      <c r="DZ6" s="20">
        <f t="shared" ref="DZ6" si="115">DY7+1</f>
        <v>46997</v>
      </c>
      <c r="EA6" s="20">
        <f t="shared" ref="EA6" si="116">DZ7+1</f>
        <v>47027</v>
      </c>
      <c r="EB6" s="20">
        <f t="shared" ref="EB6" si="117">EA7+1</f>
        <v>47058</v>
      </c>
      <c r="EC6" s="20">
        <f t="shared" ref="EC6" si="118">EB7+1</f>
        <v>47088</v>
      </c>
      <c r="ED6" s="20">
        <f t="shared" ref="ED6" si="119">EC7+1</f>
        <v>47119</v>
      </c>
      <c r="EE6" s="20">
        <f t="shared" ref="EE6" si="120">ED7+1</f>
        <v>47150</v>
      </c>
      <c r="EF6" s="20">
        <f t="shared" ref="EF6" si="121">EE7+1</f>
        <v>47178</v>
      </c>
      <c r="EG6" s="20">
        <f t="shared" ref="EG6" si="122">EF7+1</f>
        <v>47209</v>
      </c>
      <c r="EH6" s="20">
        <f t="shared" ref="EH6" si="123">EG7+1</f>
        <v>47239</v>
      </c>
      <c r="EI6" s="20">
        <f t="shared" ref="EI6" si="124">EH7+1</f>
        <v>47270</v>
      </c>
      <c r="EJ6" s="20">
        <f t="shared" ref="EJ6" si="125">EI7+1</f>
        <v>47300</v>
      </c>
      <c r="EK6" s="20">
        <f t="shared" ref="EK6" si="126">EJ7+1</f>
        <v>47331</v>
      </c>
      <c r="EL6" s="20">
        <f t="shared" ref="EL6" si="127">EK7+1</f>
        <v>47362</v>
      </c>
      <c r="EM6" s="20">
        <f t="shared" ref="EM6" si="128">EL7+1</f>
        <v>47392</v>
      </c>
      <c r="EN6" s="20">
        <f t="shared" ref="EN6" si="129">EM7+1</f>
        <v>47423</v>
      </c>
      <c r="EO6" s="20">
        <f t="shared" ref="EO6" si="130">EN7+1</f>
        <v>47453</v>
      </c>
      <c r="EP6" s="20">
        <f t="shared" ref="EP6" si="131">EO7+1</f>
        <v>47484</v>
      </c>
      <c r="EQ6" s="20">
        <f t="shared" ref="EQ6" si="132">EP7+1</f>
        <v>47515</v>
      </c>
      <c r="ER6" s="20">
        <f t="shared" ref="ER6" si="133">EQ7+1</f>
        <v>47543</v>
      </c>
      <c r="ES6" s="20">
        <f t="shared" ref="ES6" si="134">ER7+1</f>
        <v>47574</v>
      </c>
      <c r="ET6" s="20">
        <f t="shared" ref="ET6" si="135">ES7+1</f>
        <v>47604</v>
      </c>
      <c r="EU6" s="20">
        <f t="shared" ref="EU6" si="136">ET7+1</f>
        <v>47635</v>
      </c>
      <c r="EV6" s="20">
        <f t="shared" ref="EV6" si="137">EU7+1</f>
        <v>47665</v>
      </c>
      <c r="EW6" s="20">
        <f t="shared" ref="EW6" si="138">EV7+1</f>
        <v>47696</v>
      </c>
      <c r="EX6" s="20">
        <f t="shared" ref="EX6" si="139">EW7+1</f>
        <v>47727</v>
      </c>
      <c r="EY6" s="20">
        <f t="shared" ref="EY6" si="140">EX7+1</f>
        <v>47757</v>
      </c>
      <c r="EZ6" s="20">
        <f t="shared" ref="EZ6" si="141">EY7+1</f>
        <v>47788</v>
      </c>
      <c r="FA6" s="20">
        <f t="shared" ref="FA6" si="142">EZ7+1</f>
        <v>47818</v>
      </c>
      <c r="FB6" s="20">
        <f t="shared" ref="FB6" si="143">FA7+1</f>
        <v>47849</v>
      </c>
      <c r="FC6" s="20">
        <f t="shared" ref="FC6" si="144">FB7+1</f>
        <v>47880</v>
      </c>
      <c r="FD6" s="20">
        <f t="shared" ref="FD6" si="145">FC7+1</f>
        <v>47908</v>
      </c>
      <c r="FE6" s="20">
        <f t="shared" ref="FE6" si="146">FD7+1</f>
        <v>47939</v>
      </c>
      <c r="FF6" s="20">
        <f t="shared" ref="FF6" si="147">FE7+1</f>
        <v>47969</v>
      </c>
      <c r="FG6" s="20">
        <f t="shared" ref="FG6" si="148">FF7+1</f>
        <v>48000</v>
      </c>
      <c r="FH6" s="20">
        <f t="shared" ref="FH6" si="149">FG7+1</f>
        <v>48030</v>
      </c>
      <c r="FI6" s="20">
        <f t="shared" ref="FI6" si="150">FH7+1</f>
        <v>48061</v>
      </c>
      <c r="FJ6" s="20">
        <f t="shared" ref="FJ6" si="151">FI7+1</f>
        <v>48092</v>
      </c>
      <c r="FK6" s="20">
        <f t="shared" ref="FK6" si="152">FJ7+1</f>
        <v>48122</v>
      </c>
      <c r="FL6" s="20">
        <f t="shared" ref="FL6" si="153">FK7+1</f>
        <v>48153</v>
      </c>
      <c r="FM6" s="20">
        <f t="shared" ref="FM6" si="154">FL7+1</f>
        <v>48183</v>
      </c>
      <c r="FN6" s="20">
        <f t="shared" ref="FN6" si="155">FM7+1</f>
        <v>48214</v>
      </c>
      <c r="FO6" s="20">
        <f t="shared" ref="FO6" si="156">FN7+1</f>
        <v>48245</v>
      </c>
      <c r="FP6" s="20">
        <f t="shared" ref="FP6" si="157">FO7+1</f>
        <v>48274</v>
      </c>
      <c r="FQ6" s="20">
        <f t="shared" ref="FQ6" si="158">FP7+1</f>
        <v>48305</v>
      </c>
      <c r="FR6" s="20">
        <f t="shared" ref="FR6" si="159">FQ7+1</f>
        <v>48335</v>
      </c>
      <c r="FS6" s="20">
        <f t="shared" ref="FS6" si="160">FR7+1</f>
        <v>48366</v>
      </c>
      <c r="FT6" s="20">
        <f t="shared" ref="FT6" si="161">FS7+1</f>
        <v>48396</v>
      </c>
      <c r="FU6" s="20">
        <f t="shared" ref="FU6" si="162">FT7+1</f>
        <v>48427</v>
      </c>
      <c r="FV6" s="20">
        <f t="shared" ref="FV6" si="163">FU7+1</f>
        <v>48458</v>
      </c>
      <c r="FW6" s="20">
        <f t="shared" ref="FW6" si="164">FV7+1</f>
        <v>48488</v>
      </c>
      <c r="FX6" s="20">
        <f t="shared" ref="FX6" si="165">FW7+1</f>
        <v>48519</v>
      </c>
      <c r="FY6" s="20">
        <f t="shared" ref="FY6" si="166">FX7+1</f>
        <v>48549</v>
      </c>
      <c r="FZ6" s="20">
        <f t="shared" ref="FZ6" si="167">FY7+1</f>
        <v>48580</v>
      </c>
      <c r="GA6" s="20">
        <f t="shared" ref="GA6" si="168">FZ7+1</f>
        <v>48611</v>
      </c>
      <c r="GB6" s="20">
        <f t="shared" ref="GB6" si="169">GA7+1</f>
        <v>48639</v>
      </c>
      <c r="GC6" s="20">
        <f t="shared" ref="GC6" si="170">GB7+1</f>
        <v>48670</v>
      </c>
      <c r="GD6" s="20">
        <f t="shared" ref="GD6" si="171">GC7+1</f>
        <v>48700</v>
      </c>
      <c r="GE6" s="20">
        <f t="shared" ref="GE6" si="172">GD7+1</f>
        <v>48731</v>
      </c>
      <c r="GF6" s="20">
        <f t="shared" ref="GF6" si="173">GE7+1</f>
        <v>48761</v>
      </c>
      <c r="GG6" s="20">
        <f t="shared" ref="GG6" si="174">GF7+1</f>
        <v>48792</v>
      </c>
      <c r="GH6" s="20">
        <f t="shared" ref="GH6" si="175">GG7+1</f>
        <v>48823</v>
      </c>
      <c r="GI6" s="20">
        <f t="shared" ref="GI6" si="176">GH7+1</f>
        <v>48853</v>
      </c>
      <c r="GJ6" s="20">
        <f t="shared" ref="GJ6" si="177">GI7+1</f>
        <v>48884</v>
      </c>
      <c r="GK6" s="20">
        <f t="shared" ref="GK6" si="178">GJ7+1</f>
        <v>48914</v>
      </c>
      <c r="GL6" s="20">
        <f t="shared" ref="GL6" si="179">GK7+1</f>
        <v>48945</v>
      </c>
      <c r="GM6" s="20">
        <f t="shared" ref="GM6" si="180">GL7+1</f>
        <v>48976</v>
      </c>
      <c r="GN6" s="20">
        <f t="shared" ref="GN6" si="181">GM7+1</f>
        <v>49004</v>
      </c>
      <c r="GO6" s="20">
        <f t="shared" ref="GO6" si="182">GN7+1</f>
        <v>49035</v>
      </c>
      <c r="GP6" s="20">
        <f t="shared" ref="GP6" si="183">GO7+1</f>
        <v>49065</v>
      </c>
      <c r="GQ6" s="20">
        <f t="shared" ref="GQ6" si="184">GP7+1</f>
        <v>49096</v>
      </c>
      <c r="GR6" s="20">
        <f t="shared" ref="GR6" si="185">GQ7+1</f>
        <v>49126</v>
      </c>
      <c r="GS6" s="20">
        <f t="shared" ref="GS6" si="186">GR7+1</f>
        <v>49157</v>
      </c>
      <c r="GT6" s="20">
        <f t="shared" ref="GT6" si="187">GS7+1</f>
        <v>49188</v>
      </c>
      <c r="GU6" s="20">
        <f t="shared" ref="GU6" si="188">GT7+1</f>
        <v>49218</v>
      </c>
      <c r="GV6" s="20">
        <f t="shared" ref="GV6" si="189">GU7+1</f>
        <v>49249</v>
      </c>
      <c r="GW6" s="20">
        <f t="shared" ref="GW6" si="190">GV7+1</f>
        <v>49279</v>
      </c>
      <c r="GX6" s="20">
        <f t="shared" ref="GX6" si="191">GW7+1</f>
        <v>49310</v>
      </c>
    </row>
    <row r="7" spans="1:206" s="4" customFormat="1" ht="12" customHeight="1" x14ac:dyDescent="0.2">
      <c r="D7" s="6"/>
      <c r="E7" s="7" t="s">
        <v>7</v>
      </c>
      <c r="H7" s="5" t="s">
        <v>0</v>
      </c>
      <c r="J7" s="4" t="s">
        <v>1</v>
      </c>
      <c r="L7" s="8"/>
      <c r="M7" s="30">
        <f>EOMONTH(M6,0)</f>
        <v>43465</v>
      </c>
      <c r="N7" s="8">
        <f>EOMONTH(N6,0)</f>
        <v>43496</v>
      </c>
      <c r="O7" s="8">
        <f t="shared" ref="O7" si="192">EOMONTH(O6,0)</f>
        <v>43524</v>
      </c>
      <c r="P7" s="8">
        <f t="shared" ref="P7:CA7" si="193">EOMONTH(P6,0)</f>
        <v>43555</v>
      </c>
      <c r="Q7" s="8">
        <f t="shared" si="193"/>
        <v>43585</v>
      </c>
      <c r="R7" s="8">
        <f t="shared" si="193"/>
        <v>43616</v>
      </c>
      <c r="S7" s="8">
        <f t="shared" si="193"/>
        <v>43646</v>
      </c>
      <c r="T7" s="8">
        <f t="shared" si="193"/>
        <v>43677</v>
      </c>
      <c r="U7" s="8">
        <f t="shared" si="193"/>
        <v>43708</v>
      </c>
      <c r="V7" s="8">
        <f t="shared" si="193"/>
        <v>43738</v>
      </c>
      <c r="W7" s="8">
        <f t="shared" si="193"/>
        <v>43769</v>
      </c>
      <c r="X7" s="8">
        <f t="shared" si="193"/>
        <v>43799</v>
      </c>
      <c r="Y7" s="8">
        <f t="shared" si="193"/>
        <v>43830</v>
      </c>
      <c r="Z7" s="8">
        <f t="shared" si="193"/>
        <v>43861</v>
      </c>
      <c r="AA7" s="8">
        <f t="shared" si="193"/>
        <v>43890</v>
      </c>
      <c r="AB7" s="8">
        <f t="shared" si="193"/>
        <v>43921</v>
      </c>
      <c r="AC7" s="8">
        <f t="shared" si="193"/>
        <v>43951</v>
      </c>
      <c r="AD7" s="8">
        <f t="shared" si="193"/>
        <v>43982</v>
      </c>
      <c r="AE7" s="8">
        <f t="shared" si="193"/>
        <v>44012</v>
      </c>
      <c r="AF7" s="8">
        <f t="shared" si="193"/>
        <v>44043</v>
      </c>
      <c r="AG7" s="8">
        <f t="shared" si="193"/>
        <v>44074</v>
      </c>
      <c r="AH7" s="8">
        <f t="shared" si="193"/>
        <v>44104</v>
      </c>
      <c r="AI7" s="8">
        <f t="shared" si="193"/>
        <v>44135</v>
      </c>
      <c r="AJ7" s="8">
        <f t="shared" si="193"/>
        <v>44165</v>
      </c>
      <c r="AK7" s="8">
        <f t="shared" si="193"/>
        <v>44196</v>
      </c>
      <c r="AL7" s="8">
        <f t="shared" si="193"/>
        <v>44227</v>
      </c>
      <c r="AM7" s="8">
        <f t="shared" si="193"/>
        <v>44255</v>
      </c>
      <c r="AN7" s="8">
        <f t="shared" si="193"/>
        <v>44286</v>
      </c>
      <c r="AO7" s="8">
        <f t="shared" si="193"/>
        <v>44316</v>
      </c>
      <c r="AP7" s="8">
        <f t="shared" si="193"/>
        <v>44347</v>
      </c>
      <c r="AQ7" s="8">
        <f t="shared" si="193"/>
        <v>44377</v>
      </c>
      <c r="AR7" s="8">
        <f t="shared" si="193"/>
        <v>44408</v>
      </c>
      <c r="AS7" s="8">
        <f t="shared" si="193"/>
        <v>44439</v>
      </c>
      <c r="AT7" s="8">
        <f t="shared" si="193"/>
        <v>44469</v>
      </c>
      <c r="AU7" s="8">
        <f t="shared" si="193"/>
        <v>44500</v>
      </c>
      <c r="AV7" s="8">
        <f t="shared" si="193"/>
        <v>44530</v>
      </c>
      <c r="AW7" s="8">
        <f t="shared" si="193"/>
        <v>44561</v>
      </c>
      <c r="AX7" s="8">
        <f t="shared" si="193"/>
        <v>44592</v>
      </c>
      <c r="AY7" s="8">
        <f t="shared" si="193"/>
        <v>44620</v>
      </c>
      <c r="AZ7" s="8">
        <f t="shared" si="193"/>
        <v>44651</v>
      </c>
      <c r="BA7" s="8">
        <f t="shared" si="193"/>
        <v>44681</v>
      </c>
      <c r="BB7" s="8">
        <f t="shared" si="193"/>
        <v>44712</v>
      </c>
      <c r="BC7" s="8">
        <f t="shared" si="193"/>
        <v>44742</v>
      </c>
      <c r="BD7" s="8">
        <f t="shared" si="193"/>
        <v>44773</v>
      </c>
      <c r="BE7" s="8">
        <f t="shared" si="193"/>
        <v>44804</v>
      </c>
      <c r="BF7" s="8">
        <f t="shared" si="193"/>
        <v>44834</v>
      </c>
      <c r="BG7" s="8">
        <f t="shared" si="193"/>
        <v>44865</v>
      </c>
      <c r="BH7" s="8">
        <f t="shared" si="193"/>
        <v>44895</v>
      </c>
      <c r="BI7" s="8">
        <f t="shared" si="193"/>
        <v>44926</v>
      </c>
      <c r="BJ7" s="8">
        <f t="shared" si="193"/>
        <v>44957</v>
      </c>
      <c r="BK7" s="8">
        <f t="shared" si="193"/>
        <v>44985</v>
      </c>
      <c r="BL7" s="8">
        <f t="shared" si="193"/>
        <v>45016</v>
      </c>
      <c r="BM7" s="8">
        <f t="shared" si="193"/>
        <v>45046</v>
      </c>
      <c r="BN7" s="8">
        <f t="shared" si="193"/>
        <v>45077</v>
      </c>
      <c r="BO7" s="8">
        <f t="shared" si="193"/>
        <v>45107</v>
      </c>
      <c r="BP7" s="8">
        <f t="shared" si="193"/>
        <v>45138</v>
      </c>
      <c r="BQ7" s="8">
        <f t="shared" si="193"/>
        <v>45169</v>
      </c>
      <c r="BR7" s="8">
        <f t="shared" si="193"/>
        <v>45199</v>
      </c>
      <c r="BS7" s="8">
        <f t="shared" si="193"/>
        <v>45230</v>
      </c>
      <c r="BT7" s="8">
        <f t="shared" si="193"/>
        <v>45260</v>
      </c>
      <c r="BU7" s="8">
        <f t="shared" si="193"/>
        <v>45291</v>
      </c>
      <c r="BV7" s="8">
        <f t="shared" si="193"/>
        <v>45322</v>
      </c>
      <c r="BW7" s="8">
        <f t="shared" si="193"/>
        <v>45351</v>
      </c>
      <c r="BX7" s="8">
        <f t="shared" si="193"/>
        <v>45382</v>
      </c>
      <c r="BY7" s="8">
        <f t="shared" si="193"/>
        <v>45412</v>
      </c>
      <c r="BZ7" s="8">
        <f t="shared" si="193"/>
        <v>45443</v>
      </c>
      <c r="CA7" s="8">
        <f t="shared" si="193"/>
        <v>45473</v>
      </c>
      <c r="CB7" s="8">
        <f t="shared" ref="CB7:EM7" si="194">EOMONTH(CB6,0)</f>
        <v>45504</v>
      </c>
      <c r="CC7" s="8">
        <f t="shared" si="194"/>
        <v>45535</v>
      </c>
      <c r="CD7" s="8">
        <f t="shared" si="194"/>
        <v>45565</v>
      </c>
      <c r="CE7" s="8">
        <f t="shared" si="194"/>
        <v>45596</v>
      </c>
      <c r="CF7" s="8">
        <f t="shared" si="194"/>
        <v>45626</v>
      </c>
      <c r="CG7" s="8">
        <f t="shared" si="194"/>
        <v>45657</v>
      </c>
      <c r="CH7" s="8">
        <f t="shared" si="194"/>
        <v>45688</v>
      </c>
      <c r="CI7" s="8">
        <f t="shared" si="194"/>
        <v>45716</v>
      </c>
      <c r="CJ7" s="8">
        <f t="shared" si="194"/>
        <v>45747</v>
      </c>
      <c r="CK7" s="8">
        <f t="shared" si="194"/>
        <v>45777</v>
      </c>
      <c r="CL7" s="8">
        <f t="shared" si="194"/>
        <v>45808</v>
      </c>
      <c r="CM7" s="8">
        <f t="shared" si="194"/>
        <v>45838</v>
      </c>
      <c r="CN7" s="8">
        <f t="shared" si="194"/>
        <v>45869</v>
      </c>
      <c r="CO7" s="8">
        <f t="shared" si="194"/>
        <v>45900</v>
      </c>
      <c r="CP7" s="8">
        <f t="shared" si="194"/>
        <v>45930</v>
      </c>
      <c r="CQ7" s="8">
        <f t="shared" si="194"/>
        <v>45961</v>
      </c>
      <c r="CR7" s="8">
        <f t="shared" si="194"/>
        <v>45991</v>
      </c>
      <c r="CS7" s="8">
        <f t="shared" si="194"/>
        <v>46022</v>
      </c>
      <c r="CT7" s="8">
        <f t="shared" si="194"/>
        <v>46053</v>
      </c>
      <c r="CU7" s="8">
        <f t="shared" si="194"/>
        <v>46081</v>
      </c>
      <c r="CV7" s="8">
        <f t="shared" si="194"/>
        <v>46112</v>
      </c>
      <c r="CW7" s="8">
        <f t="shared" si="194"/>
        <v>46142</v>
      </c>
      <c r="CX7" s="8">
        <f t="shared" si="194"/>
        <v>46173</v>
      </c>
      <c r="CY7" s="8">
        <f t="shared" si="194"/>
        <v>46203</v>
      </c>
      <c r="CZ7" s="8">
        <f t="shared" si="194"/>
        <v>46234</v>
      </c>
      <c r="DA7" s="8">
        <f t="shared" si="194"/>
        <v>46265</v>
      </c>
      <c r="DB7" s="8">
        <f t="shared" si="194"/>
        <v>46295</v>
      </c>
      <c r="DC7" s="8">
        <f t="shared" si="194"/>
        <v>46326</v>
      </c>
      <c r="DD7" s="8">
        <f t="shared" si="194"/>
        <v>46356</v>
      </c>
      <c r="DE7" s="8">
        <f t="shared" si="194"/>
        <v>46387</v>
      </c>
      <c r="DF7" s="8">
        <f t="shared" si="194"/>
        <v>46418</v>
      </c>
      <c r="DG7" s="8">
        <f t="shared" si="194"/>
        <v>46446</v>
      </c>
      <c r="DH7" s="8">
        <f t="shared" si="194"/>
        <v>46477</v>
      </c>
      <c r="DI7" s="8">
        <f t="shared" si="194"/>
        <v>46507</v>
      </c>
      <c r="DJ7" s="8">
        <f t="shared" si="194"/>
        <v>46538</v>
      </c>
      <c r="DK7" s="8">
        <f t="shared" si="194"/>
        <v>46568</v>
      </c>
      <c r="DL7" s="8">
        <f t="shared" si="194"/>
        <v>46599</v>
      </c>
      <c r="DM7" s="8">
        <f t="shared" si="194"/>
        <v>46630</v>
      </c>
      <c r="DN7" s="8">
        <f t="shared" si="194"/>
        <v>46660</v>
      </c>
      <c r="DO7" s="8">
        <f t="shared" si="194"/>
        <v>46691</v>
      </c>
      <c r="DP7" s="8">
        <f t="shared" si="194"/>
        <v>46721</v>
      </c>
      <c r="DQ7" s="8">
        <f t="shared" si="194"/>
        <v>46752</v>
      </c>
      <c r="DR7" s="8">
        <f t="shared" si="194"/>
        <v>46783</v>
      </c>
      <c r="DS7" s="8">
        <f t="shared" si="194"/>
        <v>46812</v>
      </c>
      <c r="DT7" s="8">
        <f t="shared" si="194"/>
        <v>46843</v>
      </c>
      <c r="DU7" s="8">
        <f t="shared" si="194"/>
        <v>46873</v>
      </c>
      <c r="DV7" s="8">
        <f t="shared" si="194"/>
        <v>46904</v>
      </c>
      <c r="DW7" s="8">
        <f t="shared" si="194"/>
        <v>46934</v>
      </c>
      <c r="DX7" s="8">
        <f t="shared" si="194"/>
        <v>46965</v>
      </c>
      <c r="DY7" s="8">
        <f t="shared" si="194"/>
        <v>46996</v>
      </c>
      <c r="DZ7" s="8">
        <f t="shared" si="194"/>
        <v>47026</v>
      </c>
      <c r="EA7" s="8">
        <f t="shared" si="194"/>
        <v>47057</v>
      </c>
      <c r="EB7" s="8">
        <f t="shared" si="194"/>
        <v>47087</v>
      </c>
      <c r="EC7" s="8">
        <f t="shared" si="194"/>
        <v>47118</v>
      </c>
      <c r="ED7" s="8">
        <f t="shared" si="194"/>
        <v>47149</v>
      </c>
      <c r="EE7" s="8">
        <f t="shared" si="194"/>
        <v>47177</v>
      </c>
      <c r="EF7" s="8">
        <f t="shared" si="194"/>
        <v>47208</v>
      </c>
      <c r="EG7" s="8">
        <f t="shared" si="194"/>
        <v>47238</v>
      </c>
      <c r="EH7" s="8">
        <f t="shared" si="194"/>
        <v>47269</v>
      </c>
      <c r="EI7" s="8">
        <f t="shared" si="194"/>
        <v>47299</v>
      </c>
      <c r="EJ7" s="8">
        <f t="shared" si="194"/>
        <v>47330</v>
      </c>
      <c r="EK7" s="8">
        <f t="shared" si="194"/>
        <v>47361</v>
      </c>
      <c r="EL7" s="8">
        <f t="shared" si="194"/>
        <v>47391</v>
      </c>
      <c r="EM7" s="8">
        <f t="shared" si="194"/>
        <v>47422</v>
      </c>
      <c r="EN7" s="8">
        <f t="shared" ref="EN7:GX7" si="195">EOMONTH(EN6,0)</f>
        <v>47452</v>
      </c>
      <c r="EO7" s="8">
        <f t="shared" si="195"/>
        <v>47483</v>
      </c>
      <c r="EP7" s="8">
        <f t="shared" si="195"/>
        <v>47514</v>
      </c>
      <c r="EQ7" s="8">
        <f t="shared" si="195"/>
        <v>47542</v>
      </c>
      <c r="ER7" s="8">
        <f t="shared" si="195"/>
        <v>47573</v>
      </c>
      <c r="ES7" s="8">
        <f t="shared" si="195"/>
        <v>47603</v>
      </c>
      <c r="ET7" s="8">
        <f t="shared" si="195"/>
        <v>47634</v>
      </c>
      <c r="EU7" s="8">
        <f t="shared" si="195"/>
        <v>47664</v>
      </c>
      <c r="EV7" s="8">
        <f t="shared" si="195"/>
        <v>47695</v>
      </c>
      <c r="EW7" s="8">
        <f t="shared" si="195"/>
        <v>47726</v>
      </c>
      <c r="EX7" s="8">
        <f t="shared" si="195"/>
        <v>47756</v>
      </c>
      <c r="EY7" s="8">
        <f t="shared" si="195"/>
        <v>47787</v>
      </c>
      <c r="EZ7" s="8">
        <f t="shared" si="195"/>
        <v>47817</v>
      </c>
      <c r="FA7" s="8">
        <f t="shared" si="195"/>
        <v>47848</v>
      </c>
      <c r="FB7" s="8">
        <f t="shared" si="195"/>
        <v>47879</v>
      </c>
      <c r="FC7" s="8">
        <f t="shared" si="195"/>
        <v>47907</v>
      </c>
      <c r="FD7" s="8">
        <f t="shared" si="195"/>
        <v>47938</v>
      </c>
      <c r="FE7" s="8">
        <f t="shared" si="195"/>
        <v>47968</v>
      </c>
      <c r="FF7" s="8">
        <f t="shared" si="195"/>
        <v>47999</v>
      </c>
      <c r="FG7" s="8">
        <f t="shared" si="195"/>
        <v>48029</v>
      </c>
      <c r="FH7" s="8">
        <f t="shared" si="195"/>
        <v>48060</v>
      </c>
      <c r="FI7" s="8">
        <f t="shared" si="195"/>
        <v>48091</v>
      </c>
      <c r="FJ7" s="8">
        <f t="shared" si="195"/>
        <v>48121</v>
      </c>
      <c r="FK7" s="8">
        <f t="shared" si="195"/>
        <v>48152</v>
      </c>
      <c r="FL7" s="8">
        <f t="shared" si="195"/>
        <v>48182</v>
      </c>
      <c r="FM7" s="8">
        <f t="shared" si="195"/>
        <v>48213</v>
      </c>
      <c r="FN7" s="8">
        <f t="shared" si="195"/>
        <v>48244</v>
      </c>
      <c r="FO7" s="8">
        <f t="shared" si="195"/>
        <v>48273</v>
      </c>
      <c r="FP7" s="8">
        <f t="shared" si="195"/>
        <v>48304</v>
      </c>
      <c r="FQ7" s="8">
        <f t="shared" si="195"/>
        <v>48334</v>
      </c>
      <c r="FR7" s="8">
        <f t="shared" si="195"/>
        <v>48365</v>
      </c>
      <c r="FS7" s="8">
        <f t="shared" si="195"/>
        <v>48395</v>
      </c>
      <c r="FT7" s="8">
        <f t="shared" si="195"/>
        <v>48426</v>
      </c>
      <c r="FU7" s="8">
        <f t="shared" si="195"/>
        <v>48457</v>
      </c>
      <c r="FV7" s="8">
        <f t="shared" si="195"/>
        <v>48487</v>
      </c>
      <c r="FW7" s="8">
        <f t="shared" si="195"/>
        <v>48518</v>
      </c>
      <c r="FX7" s="8">
        <f t="shared" si="195"/>
        <v>48548</v>
      </c>
      <c r="FY7" s="8">
        <f t="shared" si="195"/>
        <v>48579</v>
      </c>
      <c r="FZ7" s="8">
        <f t="shared" si="195"/>
        <v>48610</v>
      </c>
      <c r="GA7" s="8">
        <f t="shared" si="195"/>
        <v>48638</v>
      </c>
      <c r="GB7" s="8">
        <f t="shared" si="195"/>
        <v>48669</v>
      </c>
      <c r="GC7" s="8">
        <f t="shared" si="195"/>
        <v>48699</v>
      </c>
      <c r="GD7" s="8">
        <f t="shared" si="195"/>
        <v>48730</v>
      </c>
      <c r="GE7" s="8">
        <f t="shared" si="195"/>
        <v>48760</v>
      </c>
      <c r="GF7" s="8">
        <f t="shared" si="195"/>
        <v>48791</v>
      </c>
      <c r="GG7" s="8">
        <f t="shared" si="195"/>
        <v>48822</v>
      </c>
      <c r="GH7" s="8">
        <f t="shared" si="195"/>
        <v>48852</v>
      </c>
      <c r="GI7" s="8">
        <f t="shared" si="195"/>
        <v>48883</v>
      </c>
      <c r="GJ7" s="8">
        <f t="shared" si="195"/>
        <v>48913</v>
      </c>
      <c r="GK7" s="8">
        <f t="shared" si="195"/>
        <v>48944</v>
      </c>
      <c r="GL7" s="8">
        <f t="shared" si="195"/>
        <v>48975</v>
      </c>
      <c r="GM7" s="8">
        <f t="shared" si="195"/>
        <v>49003</v>
      </c>
      <c r="GN7" s="8">
        <f t="shared" si="195"/>
        <v>49034</v>
      </c>
      <c r="GO7" s="8">
        <f t="shared" si="195"/>
        <v>49064</v>
      </c>
      <c r="GP7" s="8">
        <f t="shared" si="195"/>
        <v>49095</v>
      </c>
      <c r="GQ7" s="8">
        <f t="shared" si="195"/>
        <v>49125</v>
      </c>
      <c r="GR7" s="8">
        <f t="shared" si="195"/>
        <v>49156</v>
      </c>
      <c r="GS7" s="8">
        <f t="shared" si="195"/>
        <v>49187</v>
      </c>
      <c r="GT7" s="8">
        <f t="shared" si="195"/>
        <v>49217</v>
      </c>
      <c r="GU7" s="8">
        <f t="shared" si="195"/>
        <v>49248</v>
      </c>
      <c r="GV7" s="8">
        <f t="shared" si="195"/>
        <v>49278</v>
      </c>
      <c r="GW7" s="8">
        <f t="shared" si="195"/>
        <v>49309</v>
      </c>
      <c r="GX7" s="8">
        <f t="shared" si="195"/>
        <v>49340</v>
      </c>
    </row>
    <row r="8" spans="1:206" s="4" customFormat="1" ht="12" customHeight="1" x14ac:dyDescent="0.15">
      <c r="E8" s="7"/>
      <c r="H8" s="5"/>
      <c r="O8" s="9"/>
    </row>
    <row r="9" spans="1:206" s="4" customFormat="1" ht="12" customHeight="1" x14ac:dyDescent="0.15">
      <c r="E9" s="7"/>
      <c r="H9" s="5"/>
      <c r="O9" s="9"/>
    </row>
    <row r="10" spans="1:206" s="4" customFormat="1" ht="12" customHeight="1" x14ac:dyDescent="0.15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</row>
    <row r="11" spans="1:206" ht="12" customHeight="1" x14ac:dyDescent="0.15">
      <c r="A11" s="10">
        <f>MAX(A$3:A10)+0.01</f>
        <v>1.01</v>
      </c>
      <c r="B11" s="10"/>
      <c r="C11" s="10" t="s">
        <v>31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</row>
    <row r="12" spans="1:206" ht="12" customHeight="1" x14ac:dyDescent="0.15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</row>
    <row r="13" spans="1:206" ht="12" customHeight="1" x14ac:dyDescent="0.15">
      <c r="A13" s="4"/>
      <c r="B13" s="4"/>
      <c r="C13" s="4"/>
      <c r="D13" s="4" t="s">
        <v>32</v>
      </c>
      <c r="E13" s="4"/>
      <c r="F13" s="4"/>
      <c r="G13" s="4"/>
      <c r="H13" s="5" t="s">
        <v>29</v>
      </c>
      <c r="I13" s="29">
        <v>43465</v>
      </c>
      <c r="J13" s="3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</row>
    <row r="14" spans="1:206" ht="12" customHeight="1" x14ac:dyDescent="0.15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</row>
    <row r="15" spans="1:206" ht="12" customHeight="1" x14ac:dyDescent="0.15">
      <c r="A15" s="4"/>
      <c r="B15" s="4"/>
      <c r="C15" s="4"/>
      <c r="D15" s="4" t="s">
        <v>40</v>
      </c>
      <c r="E15" s="4"/>
      <c r="F15" s="4"/>
      <c r="G15" s="4"/>
      <c r="H15" s="5" t="s">
        <v>5</v>
      </c>
      <c r="I15" s="28">
        <v>55000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</row>
    <row r="16" spans="1:206" ht="12" customHeight="1" x14ac:dyDescent="0.15">
      <c r="A16" s="4"/>
      <c r="B16" s="4"/>
      <c r="C16" s="4"/>
      <c r="D16" s="4"/>
      <c r="E16" s="4"/>
      <c r="F16" s="4"/>
      <c r="G16" s="4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</row>
    <row r="17" spans="1:206" x14ac:dyDescent="0.15">
      <c r="A17" s="4"/>
      <c r="B17" s="4"/>
      <c r="D17" s="38" t="s">
        <v>35</v>
      </c>
      <c r="E17" s="4"/>
      <c r="F17" s="4"/>
      <c r="G17" s="4"/>
      <c r="H17" s="5" t="s">
        <v>5</v>
      </c>
      <c r="I17" s="28">
        <v>225000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</row>
    <row r="18" spans="1:206" x14ac:dyDescent="0.15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</row>
    <row r="19" spans="1:206" ht="12" customHeight="1" x14ac:dyDescent="0.15">
      <c r="A19" s="10">
        <f>MAX(A$3:A18)+0.01</f>
        <v>1.02</v>
      </c>
      <c r="B19" s="10"/>
      <c r="C19" s="10" t="s">
        <v>34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</row>
    <row r="20" spans="1:206" x14ac:dyDescent="0.15">
      <c r="A20" s="4"/>
      <c r="B20" s="4"/>
      <c r="C20" s="4"/>
      <c r="D20" s="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</row>
    <row r="21" spans="1:206" x14ac:dyDescent="0.15">
      <c r="A21" s="4"/>
      <c r="B21" s="4"/>
      <c r="C21" s="7" t="s">
        <v>38</v>
      </c>
      <c r="D21" s="4"/>
      <c r="E21" s="4"/>
      <c r="F21" s="4"/>
      <c r="G21" s="4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</row>
    <row r="22" spans="1:206" x14ac:dyDescent="0.15">
      <c r="A22" s="4"/>
      <c r="B22" s="4"/>
      <c r="C22" s="4"/>
      <c r="D22" s="4" t="s">
        <v>37</v>
      </c>
      <c r="E22" s="4"/>
      <c r="F22" s="4"/>
      <c r="G22" s="4"/>
      <c r="H22" s="5" t="s">
        <v>5</v>
      </c>
      <c r="I22" s="28">
        <v>150000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</row>
    <row r="23" spans="1:206" x14ac:dyDescent="0.15">
      <c r="A23" s="4"/>
      <c r="B23" s="4"/>
      <c r="C23" s="4"/>
      <c r="D23" s="4" t="s">
        <v>39</v>
      </c>
      <c r="E23" s="4"/>
      <c r="F23" s="4"/>
      <c r="G23" s="4"/>
      <c r="H23" s="5" t="s">
        <v>3</v>
      </c>
      <c r="I23" s="14">
        <v>4.4999999999999998E-2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</row>
    <row r="24" spans="1:206" x14ac:dyDescent="0.15">
      <c r="A24" s="4"/>
      <c r="B24" s="4"/>
      <c r="C24" s="4"/>
      <c r="D24" s="4"/>
      <c r="E24" s="4"/>
      <c r="F24" s="4"/>
      <c r="G24" s="4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</row>
    <row r="25" spans="1:206" x14ac:dyDescent="0.15">
      <c r="A25" s="4"/>
      <c r="B25" s="4"/>
      <c r="C25" s="39" t="s">
        <v>36</v>
      </c>
      <c r="D25" s="2"/>
      <c r="E25" s="4"/>
      <c r="F25" s="4"/>
      <c r="G25" s="4"/>
      <c r="H25" s="5" t="s">
        <v>5</v>
      </c>
      <c r="I25" s="28">
        <v>5000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</row>
    <row r="26" spans="1:206" x14ac:dyDescent="0.15">
      <c r="A26" s="4"/>
      <c r="B26" s="4"/>
      <c r="C26" s="4"/>
      <c r="D26" s="4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</row>
    <row r="27" spans="1:206" ht="12" customHeight="1" x14ac:dyDescent="0.15">
      <c r="A27" s="10">
        <f>MAX(A$3:A26)+0.01</f>
        <v>1.03</v>
      </c>
      <c r="B27" s="10"/>
      <c r="C27" s="10" t="s">
        <v>45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</row>
    <row r="28" spans="1:206" x14ac:dyDescent="0.15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</row>
    <row r="29" spans="1:206" x14ac:dyDescent="0.15">
      <c r="A29" s="4"/>
      <c r="B29" s="4"/>
      <c r="C29" s="37" t="s">
        <v>54</v>
      </c>
      <c r="D29" s="4"/>
      <c r="E29" s="4"/>
      <c r="F29" s="4"/>
      <c r="G29" s="4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</row>
    <row r="30" spans="1:206" x14ac:dyDescent="0.15">
      <c r="A30" s="4"/>
      <c r="B30" s="4"/>
      <c r="C30" s="4"/>
      <c r="D30" s="4" t="s">
        <v>42</v>
      </c>
      <c r="E30" s="4"/>
      <c r="F30" s="4"/>
      <c r="G30" s="4"/>
      <c r="H30" s="5" t="s">
        <v>33</v>
      </c>
      <c r="I30" s="22">
        <v>15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</row>
    <row r="31" spans="1:206" x14ac:dyDescent="0.15">
      <c r="A31" s="4"/>
      <c r="B31" s="4"/>
      <c r="C31" s="4"/>
      <c r="D31" s="4" t="s">
        <v>41</v>
      </c>
      <c r="E31" s="4"/>
      <c r="F31" s="4"/>
      <c r="G31" s="4"/>
      <c r="H31" s="5" t="s">
        <v>3</v>
      </c>
      <c r="I31" s="14">
        <v>0.8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</row>
    <row r="32" spans="1:206" x14ac:dyDescent="0.15">
      <c r="A32" s="4"/>
      <c r="B32" s="4"/>
      <c r="C32" s="2"/>
      <c r="D32" s="4" t="s">
        <v>56</v>
      </c>
      <c r="E32" s="4"/>
      <c r="F32" s="4"/>
      <c r="G32" s="4"/>
      <c r="H32" s="5" t="s">
        <v>3</v>
      </c>
      <c r="I32" s="14">
        <v>0.85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</row>
    <row r="33" spans="1:206" x14ac:dyDescent="0.15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</row>
    <row r="34" spans="1:206" x14ac:dyDescent="0.15">
      <c r="A34" s="4"/>
      <c r="B34" s="4"/>
      <c r="C34" s="37" t="s">
        <v>46</v>
      </c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</row>
    <row r="35" spans="1:206" x14ac:dyDescent="0.15">
      <c r="A35" s="4"/>
      <c r="B35" s="4"/>
      <c r="C35" s="4"/>
      <c r="D35" s="4" t="s">
        <v>44</v>
      </c>
      <c r="E35" s="4"/>
      <c r="F35" s="4"/>
      <c r="G35" s="4"/>
      <c r="H35" s="5" t="s">
        <v>3</v>
      </c>
      <c r="I35" s="14">
        <v>0.02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</row>
    <row r="36" spans="1:206" x14ac:dyDescent="0.15">
      <c r="A36" s="4"/>
      <c r="B36" s="4"/>
      <c r="C36" s="4"/>
      <c r="D36" s="4" t="s">
        <v>43</v>
      </c>
      <c r="E36" s="4"/>
      <c r="F36" s="4"/>
      <c r="G36" s="4"/>
      <c r="H36" s="5" t="s">
        <v>3</v>
      </c>
      <c r="I36" s="14">
        <v>0.05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</row>
    <row r="37" spans="1:206" x14ac:dyDescent="0.15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</row>
    <row r="38" spans="1:206" x14ac:dyDescent="0.15">
      <c r="A38" s="4"/>
      <c r="B38" s="4"/>
      <c r="C38" s="37" t="s">
        <v>47</v>
      </c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</row>
    <row r="39" spans="1:206" x14ac:dyDescent="0.15">
      <c r="A39" s="4"/>
      <c r="B39" s="4"/>
      <c r="C39" s="4"/>
      <c r="D39" s="4" t="s">
        <v>48</v>
      </c>
      <c r="E39" s="4"/>
      <c r="F39" s="4"/>
      <c r="G39" s="4"/>
      <c r="H39" s="5" t="s">
        <v>3</v>
      </c>
      <c r="I39" s="14">
        <v>0.02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</row>
    <row r="40" spans="1:206" x14ac:dyDescent="0.15">
      <c r="A40" s="4"/>
      <c r="B40" s="4"/>
      <c r="C40" s="4"/>
      <c r="D40" s="4" t="s">
        <v>43</v>
      </c>
      <c r="E40" s="4"/>
      <c r="F40" s="4"/>
      <c r="G40" s="4"/>
      <c r="H40" s="5" t="s">
        <v>3</v>
      </c>
      <c r="I40" s="14">
        <v>0.05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</row>
    <row r="41" spans="1:206" x14ac:dyDescent="0.15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</row>
    <row r="42" spans="1:206" x14ac:dyDescent="0.15">
      <c r="A42" s="4"/>
      <c r="B42" s="4"/>
      <c r="C42" s="37" t="s">
        <v>49</v>
      </c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</row>
    <row r="43" spans="1:206" x14ac:dyDescent="0.15">
      <c r="A43" s="4"/>
      <c r="B43" s="4"/>
      <c r="C43" s="4"/>
      <c r="D43" s="4" t="s">
        <v>48</v>
      </c>
      <c r="E43" s="4"/>
      <c r="F43" s="4"/>
      <c r="G43" s="4"/>
      <c r="H43" s="5" t="s">
        <v>3</v>
      </c>
      <c r="I43" s="14">
        <v>0.02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</row>
    <row r="44" spans="1:206" x14ac:dyDescent="0.15">
      <c r="A44" s="4"/>
      <c r="B44" s="4"/>
      <c r="C44" s="4"/>
      <c r="D44" s="4" t="s">
        <v>50</v>
      </c>
      <c r="E44" s="4"/>
      <c r="F44" s="4"/>
      <c r="G44" s="4"/>
      <c r="H44" s="5" t="s">
        <v>3</v>
      </c>
      <c r="I44" s="14">
        <v>0.04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</row>
    <row r="45" spans="1:206" x14ac:dyDescent="0.15">
      <c r="A45" s="4"/>
      <c r="B45" s="4"/>
      <c r="C45" s="4"/>
      <c r="D45" s="4" t="s">
        <v>51</v>
      </c>
      <c r="E45" s="4"/>
      <c r="F45" s="4"/>
      <c r="G45" s="4"/>
      <c r="H45" s="5" t="s">
        <v>3</v>
      </c>
      <c r="I45" s="14">
        <v>0.25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</row>
    <row r="46" spans="1:206" x14ac:dyDescent="0.15">
      <c r="A46" s="4"/>
      <c r="B46" s="4"/>
      <c r="C46" s="4"/>
      <c r="D46" s="4" t="s">
        <v>52</v>
      </c>
      <c r="E46" s="4"/>
      <c r="F46" s="4"/>
      <c r="G46" s="4"/>
      <c r="H46" s="5" t="s">
        <v>3</v>
      </c>
      <c r="I46" s="14">
        <v>0.05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</row>
    <row r="47" spans="1:206" x14ac:dyDescent="0.15">
      <c r="A47" s="4"/>
      <c r="B47" s="4"/>
      <c r="C47" s="4"/>
      <c r="D47" s="4" t="s">
        <v>53</v>
      </c>
      <c r="E47" s="4"/>
      <c r="F47" s="4"/>
      <c r="G47" s="4"/>
      <c r="H47" s="5" t="s">
        <v>3</v>
      </c>
      <c r="I47" s="14">
        <v>0.5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</row>
    <row r="48" spans="1:206" x14ac:dyDescent="0.15">
      <c r="A48" s="4"/>
      <c r="B48" s="4"/>
      <c r="C48" s="4"/>
      <c r="D48" s="4" t="s">
        <v>57</v>
      </c>
      <c r="E48" s="4"/>
      <c r="F48" s="4"/>
      <c r="G48" s="4"/>
      <c r="H48" s="5" t="s">
        <v>3</v>
      </c>
      <c r="I48" s="14">
        <v>0.06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</row>
    <row r="49" spans="1:206" x14ac:dyDescent="0.15">
      <c r="A49" s="4"/>
      <c r="B49" s="4"/>
      <c r="C49" s="4"/>
      <c r="D49" s="4" t="s">
        <v>58</v>
      </c>
      <c r="E49" s="4"/>
      <c r="F49" s="4"/>
      <c r="G49" s="4"/>
      <c r="H49" s="5" t="s">
        <v>3</v>
      </c>
      <c r="I49" s="14">
        <v>0.25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</row>
    <row r="50" spans="1:206" x14ac:dyDescent="0.15">
      <c r="A50" s="4"/>
      <c r="B50" s="4"/>
      <c r="C50" s="4"/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</row>
    <row r="51" spans="1:206" x14ac:dyDescent="0.15">
      <c r="A51" s="4"/>
      <c r="B51" s="4"/>
      <c r="C51" s="4"/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</row>
    <row r="52" spans="1:206" ht="12" customHeight="1" x14ac:dyDescent="0.15">
      <c r="A52" s="10"/>
      <c r="B52" s="10"/>
      <c r="C52" s="10" t="s">
        <v>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</row>
    <row r="53" spans="1:206" x14ac:dyDescent="0.15">
      <c r="A53" s="4"/>
      <c r="B53" s="4"/>
      <c r="C53" s="7"/>
      <c r="D53" s="4"/>
      <c r="E53" s="4"/>
      <c r="F53" s="4"/>
      <c r="G53" s="4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</row>
    <row r="54" spans="1:206" x14ac:dyDescent="0.15">
      <c r="A54" s="4"/>
      <c r="B54" s="4"/>
      <c r="C54" s="7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</row>
    <row r="55" spans="1:206" x14ac:dyDescent="0.15">
      <c r="A55" s="4"/>
      <c r="B55" s="4"/>
      <c r="C55" s="7"/>
      <c r="D55" s="4"/>
      <c r="E55" s="4"/>
      <c r="F55" s="4"/>
      <c r="G55" s="4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</row>
    <row r="56" spans="1:206" x14ac:dyDescent="0.15">
      <c r="A56" s="4"/>
      <c r="B56" s="4"/>
      <c r="C56" s="7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</row>
    <row r="57" spans="1:206" x14ac:dyDescent="0.15">
      <c r="A57" s="4"/>
      <c r="B57" s="4"/>
      <c r="C57" s="7"/>
      <c r="D57" s="4"/>
      <c r="E57" s="4"/>
      <c r="F57" s="4"/>
      <c r="G57" s="4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</row>
    <row r="58" spans="1:206" x14ac:dyDescent="0.15">
      <c r="A58" s="4"/>
      <c r="B58" s="4"/>
      <c r="C58" s="7"/>
      <c r="D58" s="4"/>
      <c r="E58" s="4"/>
      <c r="F58" s="4"/>
      <c r="G58" s="4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</row>
    <row r="59" spans="1:206" x14ac:dyDescent="0.15">
      <c r="A59" s="4"/>
      <c r="B59" s="4"/>
      <c r="C59" s="7"/>
      <c r="D59" s="4"/>
      <c r="E59" s="4"/>
      <c r="F59" s="4"/>
      <c r="G59" s="4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</row>
    <row r="60" spans="1:206" x14ac:dyDescent="0.15">
      <c r="A60" s="4"/>
      <c r="B60" s="4"/>
      <c r="C60" s="7"/>
      <c r="D60" s="4"/>
      <c r="E60" s="4"/>
      <c r="F60" s="4"/>
      <c r="G60" s="4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</row>
    <row r="61" spans="1:206" x14ac:dyDescent="0.15">
      <c r="A61" s="4"/>
      <c r="B61" s="4"/>
      <c r="C61" s="7"/>
      <c r="D61" s="4"/>
      <c r="E61" s="4"/>
      <c r="F61" s="4"/>
      <c r="G61" s="4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</row>
    <row r="62" spans="1:206" x14ac:dyDescent="0.15">
      <c r="A62" s="4"/>
      <c r="B62" s="4"/>
      <c r="C62" s="7"/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</row>
    <row r="63" spans="1:206" x14ac:dyDescent="0.15">
      <c r="A63" s="4"/>
      <c r="B63" s="4"/>
      <c r="C63" s="7"/>
      <c r="D63" s="4"/>
      <c r="E63" s="4"/>
      <c r="F63" s="4"/>
      <c r="G63" s="4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</row>
    <row r="64" spans="1:206" x14ac:dyDescent="0.15">
      <c r="A64" s="4"/>
      <c r="B64" s="4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</row>
    <row r="65" spans="1:206" x14ac:dyDescent="0.15">
      <c r="A65" s="4"/>
      <c r="B65" s="4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</row>
    <row r="66" spans="1:206" x14ac:dyDescent="0.15">
      <c r="A66" s="4"/>
      <c r="B66" s="4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</row>
    <row r="67" spans="1:206" x14ac:dyDescent="0.15">
      <c r="A67" s="4"/>
      <c r="B67" s="4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</row>
    <row r="68" spans="1:206" x14ac:dyDescent="0.15">
      <c r="A68" s="4"/>
      <c r="B68" s="4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</row>
    <row r="69" spans="1:206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</row>
    <row r="70" spans="1:206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</row>
    <row r="71" spans="1:206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</row>
    <row r="72" spans="1:206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</row>
    <row r="73" spans="1:206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</row>
    <row r="74" spans="1:206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</row>
    <row r="75" spans="1:206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</row>
    <row r="76" spans="1:206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</row>
    <row r="77" spans="1:206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</row>
    <row r="78" spans="1:206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</row>
    <row r="79" spans="1:206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</row>
    <row r="80" spans="1:206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</row>
    <row r="81" spans="1:206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</row>
    <row r="82" spans="1:206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</row>
    <row r="83" spans="1:206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0C0"/>
    <outlinePr summaryBelow="0"/>
  </sheetPr>
  <dimension ref="A1:GX61"/>
  <sheetViews>
    <sheetView showGridLines="0" zoomScaleNormal="100" zoomScalePageLayoutView="85" workbookViewId="0">
      <pane xSplit="12" ySplit="8" topLeftCell="M9" activePane="bottomRight" state="frozen"/>
      <selection pane="topRight" activeCell="M1" sqref="M1"/>
      <selection pane="bottomLeft" activeCell="A9" sqref="A9"/>
      <selection pane="bottomRight" activeCell="H4" sqref="H4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2" customWidth="1"/>
    <col min="4" max="4" width="40.6640625" style="12" customWidth="1"/>
    <col min="5" max="6" width="12.6640625" style="2" customWidth="1"/>
    <col min="7" max="7" width="3.6640625" style="2" customWidth="1"/>
    <col min="8" max="8" width="10.6640625" style="13" customWidth="1"/>
    <col min="9" max="9" width="12.6640625" style="2" customWidth="1"/>
    <col min="10" max="10" width="15.6640625" style="2" customWidth="1"/>
    <col min="11" max="11" width="3.6640625" style="2" customWidth="1"/>
    <col min="12" max="206" width="12.6640625" style="2" customWidth="1"/>
    <col min="207" max="16384" width="8.83203125" style="2"/>
  </cols>
  <sheetData>
    <row r="1" spans="1:206" ht="23" x14ac:dyDescent="0.25">
      <c r="A1" s="31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</row>
    <row r="2" spans="1:206" s="3" customFormat="1" ht="18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</row>
    <row r="3" spans="1:206" ht="18" customHeight="1" x14ac:dyDescent="0.2">
      <c r="A3" s="34">
        <v>2</v>
      </c>
      <c r="B3" s="32"/>
      <c r="C3" s="35" t="s">
        <v>30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</row>
    <row r="4" spans="1:206" s="4" customFormat="1" ht="12" customHeight="1" x14ac:dyDescent="0.15">
      <c r="F4" s="18"/>
      <c r="H4" s="18"/>
    </row>
    <row r="5" spans="1:206" s="4" customFormat="1" ht="12" customHeight="1" x14ac:dyDescent="0.15">
      <c r="H5" s="5"/>
    </row>
    <row r="6" spans="1:206" s="4" customFormat="1" ht="12" customHeight="1" x14ac:dyDescent="0.2">
      <c r="D6" s="6"/>
      <c r="E6" s="7" t="s">
        <v>6</v>
      </c>
      <c r="H6" s="5"/>
      <c r="L6" s="8"/>
      <c r="M6" s="8">
        <f>Assumptions!M6</f>
        <v>43435</v>
      </c>
      <c r="N6" s="8">
        <f>Assumptions!N6</f>
        <v>43466</v>
      </c>
      <c r="O6" s="8">
        <f>Assumptions!O6</f>
        <v>43497</v>
      </c>
      <c r="P6" s="8">
        <f>Assumptions!P6</f>
        <v>43525</v>
      </c>
      <c r="Q6" s="8">
        <f>Assumptions!Q6</f>
        <v>43556</v>
      </c>
      <c r="R6" s="8">
        <f>Assumptions!R6</f>
        <v>43586</v>
      </c>
      <c r="S6" s="8">
        <f>Assumptions!S6</f>
        <v>43617</v>
      </c>
      <c r="T6" s="8">
        <f>Assumptions!T6</f>
        <v>43647</v>
      </c>
      <c r="U6" s="8">
        <f>Assumptions!U6</f>
        <v>43678</v>
      </c>
      <c r="V6" s="8">
        <f>Assumptions!V6</f>
        <v>43709</v>
      </c>
      <c r="W6" s="8">
        <f>Assumptions!W6</f>
        <v>43739</v>
      </c>
      <c r="X6" s="8">
        <f>Assumptions!X6</f>
        <v>43770</v>
      </c>
      <c r="Y6" s="8">
        <f>Assumptions!Y6</f>
        <v>43800</v>
      </c>
      <c r="Z6" s="8">
        <f>Assumptions!Z6</f>
        <v>43831</v>
      </c>
      <c r="AA6" s="8">
        <f>Assumptions!AA6</f>
        <v>43862</v>
      </c>
      <c r="AB6" s="8">
        <f>Assumptions!AB6</f>
        <v>43891</v>
      </c>
      <c r="AC6" s="8">
        <f>Assumptions!AC6</f>
        <v>43922</v>
      </c>
      <c r="AD6" s="8">
        <f>Assumptions!AD6</f>
        <v>43952</v>
      </c>
      <c r="AE6" s="8">
        <f>Assumptions!AE6</f>
        <v>43983</v>
      </c>
      <c r="AF6" s="8">
        <f>Assumptions!AF6</f>
        <v>44013</v>
      </c>
      <c r="AG6" s="8">
        <f>Assumptions!AG6</f>
        <v>44044</v>
      </c>
      <c r="AH6" s="8">
        <f>Assumptions!AH6</f>
        <v>44075</v>
      </c>
      <c r="AI6" s="8">
        <f>Assumptions!AI6</f>
        <v>44105</v>
      </c>
      <c r="AJ6" s="8">
        <f>Assumptions!AJ6</f>
        <v>44136</v>
      </c>
      <c r="AK6" s="8">
        <f>Assumptions!AK6</f>
        <v>44166</v>
      </c>
      <c r="AL6" s="8">
        <f>Assumptions!AL6</f>
        <v>44197</v>
      </c>
      <c r="AM6" s="8">
        <f>Assumptions!AM6</f>
        <v>44228</v>
      </c>
      <c r="AN6" s="8">
        <f>Assumptions!AN6</f>
        <v>44256</v>
      </c>
      <c r="AO6" s="8">
        <f>Assumptions!AO6</f>
        <v>44287</v>
      </c>
      <c r="AP6" s="8">
        <f>Assumptions!AP6</f>
        <v>44317</v>
      </c>
      <c r="AQ6" s="8">
        <f>Assumptions!AQ6</f>
        <v>44348</v>
      </c>
      <c r="AR6" s="8">
        <f>Assumptions!AR6</f>
        <v>44378</v>
      </c>
      <c r="AS6" s="8">
        <f>Assumptions!AS6</f>
        <v>44409</v>
      </c>
      <c r="AT6" s="8">
        <f>Assumptions!AT6</f>
        <v>44440</v>
      </c>
      <c r="AU6" s="8">
        <f>Assumptions!AU6</f>
        <v>44470</v>
      </c>
      <c r="AV6" s="8">
        <f>Assumptions!AV6</f>
        <v>44501</v>
      </c>
      <c r="AW6" s="8">
        <f>Assumptions!AW6</f>
        <v>44531</v>
      </c>
      <c r="AX6" s="8">
        <f>Assumptions!AX6</f>
        <v>44562</v>
      </c>
      <c r="AY6" s="8">
        <f>Assumptions!AY6</f>
        <v>44593</v>
      </c>
      <c r="AZ6" s="8">
        <f>Assumptions!AZ6</f>
        <v>44621</v>
      </c>
      <c r="BA6" s="8">
        <f>Assumptions!BA6</f>
        <v>44652</v>
      </c>
      <c r="BB6" s="8">
        <f>Assumptions!BB6</f>
        <v>44682</v>
      </c>
      <c r="BC6" s="8">
        <f>Assumptions!BC6</f>
        <v>44713</v>
      </c>
      <c r="BD6" s="8">
        <f>Assumptions!BD6</f>
        <v>44743</v>
      </c>
      <c r="BE6" s="8">
        <f>Assumptions!BE6</f>
        <v>44774</v>
      </c>
      <c r="BF6" s="8">
        <f>Assumptions!BF6</f>
        <v>44805</v>
      </c>
      <c r="BG6" s="8">
        <f>Assumptions!BG6</f>
        <v>44835</v>
      </c>
      <c r="BH6" s="8">
        <f>Assumptions!BH6</f>
        <v>44866</v>
      </c>
      <c r="BI6" s="8">
        <f>Assumptions!BI6</f>
        <v>44896</v>
      </c>
      <c r="BJ6" s="8">
        <f>Assumptions!BJ6</f>
        <v>44927</v>
      </c>
      <c r="BK6" s="8">
        <f>Assumptions!BK6</f>
        <v>44958</v>
      </c>
      <c r="BL6" s="8">
        <f>Assumptions!BL6</f>
        <v>44986</v>
      </c>
      <c r="BM6" s="8">
        <f>Assumptions!BM6</f>
        <v>45017</v>
      </c>
      <c r="BN6" s="8">
        <f>Assumptions!BN6</f>
        <v>45047</v>
      </c>
      <c r="BO6" s="8">
        <f>Assumptions!BO6</f>
        <v>45078</v>
      </c>
      <c r="BP6" s="8">
        <f>Assumptions!BP6</f>
        <v>45108</v>
      </c>
      <c r="BQ6" s="8">
        <f>Assumptions!BQ6</f>
        <v>45139</v>
      </c>
      <c r="BR6" s="8">
        <f>Assumptions!BR6</f>
        <v>45170</v>
      </c>
      <c r="BS6" s="8">
        <f>Assumptions!BS6</f>
        <v>45200</v>
      </c>
      <c r="BT6" s="8">
        <f>Assumptions!BT6</f>
        <v>45231</v>
      </c>
      <c r="BU6" s="8">
        <f>Assumptions!BU6</f>
        <v>45261</v>
      </c>
      <c r="BV6" s="8">
        <f>Assumptions!BV6</f>
        <v>45292</v>
      </c>
      <c r="BW6" s="8">
        <f>Assumptions!BW6</f>
        <v>45323</v>
      </c>
      <c r="BX6" s="8">
        <f>Assumptions!BX6</f>
        <v>45352</v>
      </c>
      <c r="BY6" s="8">
        <f>Assumptions!BY6</f>
        <v>45383</v>
      </c>
      <c r="BZ6" s="8">
        <f>Assumptions!BZ6</f>
        <v>45413</v>
      </c>
      <c r="CA6" s="8">
        <f>Assumptions!CA6</f>
        <v>45444</v>
      </c>
      <c r="CB6" s="8">
        <f>Assumptions!CB6</f>
        <v>45474</v>
      </c>
      <c r="CC6" s="8">
        <f>Assumptions!CC6</f>
        <v>45505</v>
      </c>
      <c r="CD6" s="8">
        <f>Assumptions!CD6</f>
        <v>45536</v>
      </c>
      <c r="CE6" s="8">
        <f>Assumptions!CE6</f>
        <v>45566</v>
      </c>
      <c r="CF6" s="8">
        <f>Assumptions!CF6</f>
        <v>45597</v>
      </c>
      <c r="CG6" s="8">
        <f>Assumptions!CG6</f>
        <v>45627</v>
      </c>
      <c r="CH6" s="8">
        <f>Assumptions!CH6</f>
        <v>45658</v>
      </c>
      <c r="CI6" s="8">
        <f>Assumptions!CI6</f>
        <v>45689</v>
      </c>
      <c r="CJ6" s="8">
        <f>Assumptions!CJ6</f>
        <v>45717</v>
      </c>
      <c r="CK6" s="8">
        <f>Assumptions!CK6</f>
        <v>45748</v>
      </c>
      <c r="CL6" s="8">
        <f>Assumptions!CL6</f>
        <v>45778</v>
      </c>
      <c r="CM6" s="8">
        <f>Assumptions!CM6</f>
        <v>45809</v>
      </c>
      <c r="CN6" s="8">
        <f>Assumptions!CN6</f>
        <v>45839</v>
      </c>
      <c r="CO6" s="8">
        <f>Assumptions!CO6</f>
        <v>45870</v>
      </c>
      <c r="CP6" s="8">
        <f>Assumptions!CP6</f>
        <v>45901</v>
      </c>
      <c r="CQ6" s="8">
        <f>Assumptions!CQ6</f>
        <v>45931</v>
      </c>
      <c r="CR6" s="8">
        <f>Assumptions!CR6</f>
        <v>45962</v>
      </c>
      <c r="CS6" s="8">
        <f>Assumptions!CS6</f>
        <v>45992</v>
      </c>
      <c r="CT6" s="8">
        <f>Assumptions!CT6</f>
        <v>46023</v>
      </c>
      <c r="CU6" s="8">
        <f>Assumptions!CU6</f>
        <v>46054</v>
      </c>
      <c r="CV6" s="8">
        <f>Assumptions!CV6</f>
        <v>46082</v>
      </c>
      <c r="CW6" s="8">
        <f>Assumptions!CW6</f>
        <v>46113</v>
      </c>
      <c r="CX6" s="8">
        <f>Assumptions!CX6</f>
        <v>46143</v>
      </c>
      <c r="CY6" s="8">
        <f>Assumptions!CY6</f>
        <v>46174</v>
      </c>
      <c r="CZ6" s="8">
        <f>Assumptions!CZ6</f>
        <v>46204</v>
      </c>
      <c r="DA6" s="8">
        <f>Assumptions!DA6</f>
        <v>46235</v>
      </c>
      <c r="DB6" s="8">
        <f>Assumptions!DB6</f>
        <v>46266</v>
      </c>
      <c r="DC6" s="8">
        <f>Assumptions!DC6</f>
        <v>46296</v>
      </c>
      <c r="DD6" s="8">
        <f>Assumptions!DD6</f>
        <v>46327</v>
      </c>
      <c r="DE6" s="8">
        <f>Assumptions!DE6</f>
        <v>46357</v>
      </c>
      <c r="DF6" s="8">
        <f>Assumptions!DF6</f>
        <v>46388</v>
      </c>
      <c r="DG6" s="8">
        <f>Assumptions!DG6</f>
        <v>46419</v>
      </c>
      <c r="DH6" s="8">
        <f>Assumptions!DH6</f>
        <v>46447</v>
      </c>
      <c r="DI6" s="8">
        <f>Assumptions!DI6</f>
        <v>46478</v>
      </c>
      <c r="DJ6" s="8">
        <f>Assumptions!DJ6</f>
        <v>46508</v>
      </c>
      <c r="DK6" s="8">
        <f>Assumptions!DK6</f>
        <v>46539</v>
      </c>
      <c r="DL6" s="8">
        <f>Assumptions!DL6</f>
        <v>46569</v>
      </c>
      <c r="DM6" s="8">
        <f>Assumptions!DM6</f>
        <v>46600</v>
      </c>
      <c r="DN6" s="8">
        <f>Assumptions!DN6</f>
        <v>46631</v>
      </c>
      <c r="DO6" s="8">
        <f>Assumptions!DO6</f>
        <v>46661</v>
      </c>
      <c r="DP6" s="8">
        <f>Assumptions!DP6</f>
        <v>46692</v>
      </c>
      <c r="DQ6" s="8">
        <f>Assumptions!DQ6</f>
        <v>46722</v>
      </c>
      <c r="DR6" s="8">
        <f>Assumptions!DR6</f>
        <v>46753</v>
      </c>
      <c r="DS6" s="8">
        <f>Assumptions!DS6</f>
        <v>46784</v>
      </c>
      <c r="DT6" s="8">
        <f>Assumptions!DT6</f>
        <v>46813</v>
      </c>
      <c r="DU6" s="8">
        <f>Assumptions!DU6</f>
        <v>46844</v>
      </c>
      <c r="DV6" s="8">
        <f>Assumptions!DV6</f>
        <v>46874</v>
      </c>
      <c r="DW6" s="8">
        <f>Assumptions!DW6</f>
        <v>46905</v>
      </c>
      <c r="DX6" s="8">
        <f>Assumptions!DX6</f>
        <v>46935</v>
      </c>
      <c r="DY6" s="8">
        <f>Assumptions!DY6</f>
        <v>46966</v>
      </c>
      <c r="DZ6" s="8">
        <f>Assumptions!DZ6</f>
        <v>46997</v>
      </c>
      <c r="EA6" s="8">
        <f>Assumptions!EA6</f>
        <v>47027</v>
      </c>
      <c r="EB6" s="8">
        <f>Assumptions!EB6</f>
        <v>47058</v>
      </c>
      <c r="EC6" s="8">
        <f>Assumptions!EC6</f>
        <v>47088</v>
      </c>
      <c r="ED6" s="8">
        <f>Assumptions!ED6</f>
        <v>47119</v>
      </c>
      <c r="EE6" s="8">
        <f>Assumptions!EE6</f>
        <v>47150</v>
      </c>
      <c r="EF6" s="8">
        <f>Assumptions!EF6</f>
        <v>47178</v>
      </c>
      <c r="EG6" s="8">
        <f>Assumptions!EG6</f>
        <v>47209</v>
      </c>
      <c r="EH6" s="8">
        <f>Assumptions!EH6</f>
        <v>47239</v>
      </c>
      <c r="EI6" s="8">
        <f>Assumptions!EI6</f>
        <v>47270</v>
      </c>
      <c r="EJ6" s="8">
        <f>Assumptions!EJ6</f>
        <v>47300</v>
      </c>
      <c r="EK6" s="8">
        <f>Assumptions!EK6</f>
        <v>47331</v>
      </c>
      <c r="EL6" s="8">
        <f>Assumptions!EL6</f>
        <v>47362</v>
      </c>
      <c r="EM6" s="8">
        <f>Assumptions!EM6</f>
        <v>47392</v>
      </c>
      <c r="EN6" s="8">
        <f>Assumptions!EN6</f>
        <v>47423</v>
      </c>
      <c r="EO6" s="8">
        <f>Assumptions!EO6</f>
        <v>47453</v>
      </c>
      <c r="EP6" s="8">
        <f>Assumptions!EP6</f>
        <v>47484</v>
      </c>
      <c r="EQ6" s="8">
        <f>Assumptions!EQ6</f>
        <v>47515</v>
      </c>
      <c r="ER6" s="8">
        <f>Assumptions!ER6</f>
        <v>47543</v>
      </c>
      <c r="ES6" s="8">
        <f>Assumptions!ES6</f>
        <v>47574</v>
      </c>
      <c r="ET6" s="8">
        <f>Assumptions!ET6</f>
        <v>47604</v>
      </c>
      <c r="EU6" s="8">
        <f>Assumptions!EU6</f>
        <v>47635</v>
      </c>
      <c r="EV6" s="8">
        <f>Assumptions!EV6</f>
        <v>47665</v>
      </c>
      <c r="EW6" s="8">
        <f>Assumptions!EW6</f>
        <v>47696</v>
      </c>
      <c r="EX6" s="8">
        <f>Assumptions!EX6</f>
        <v>47727</v>
      </c>
      <c r="EY6" s="8">
        <f>Assumptions!EY6</f>
        <v>47757</v>
      </c>
      <c r="EZ6" s="8">
        <f>Assumptions!EZ6</f>
        <v>47788</v>
      </c>
      <c r="FA6" s="8">
        <f>Assumptions!FA6</f>
        <v>47818</v>
      </c>
      <c r="FB6" s="8">
        <f>Assumptions!FB6</f>
        <v>47849</v>
      </c>
      <c r="FC6" s="8">
        <f>Assumptions!FC6</f>
        <v>47880</v>
      </c>
      <c r="FD6" s="8">
        <f>Assumptions!FD6</f>
        <v>47908</v>
      </c>
      <c r="FE6" s="8">
        <f>Assumptions!FE6</f>
        <v>47939</v>
      </c>
      <c r="FF6" s="8">
        <f>Assumptions!FF6</f>
        <v>47969</v>
      </c>
      <c r="FG6" s="8">
        <f>Assumptions!FG6</f>
        <v>48000</v>
      </c>
      <c r="FH6" s="8">
        <f>Assumptions!FH6</f>
        <v>48030</v>
      </c>
      <c r="FI6" s="8">
        <f>Assumptions!FI6</f>
        <v>48061</v>
      </c>
      <c r="FJ6" s="8">
        <f>Assumptions!FJ6</f>
        <v>48092</v>
      </c>
      <c r="FK6" s="8">
        <f>Assumptions!FK6</f>
        <v>48122</v>
      </c>
      <c r="FL6" s="8">
        <f>Assumptions!FL6</f>
        <v>48153</v>
      </c>
      <c r="FM6" s="8">
        <f>Assumptions!FM6</f>
        <v>48183</v>
      </c>
      <c r="FN6" s="8">
        <f>Assumptions!FN6</f>
        <v>48214</v>
      </c>
      <c r="FO6" s="8">
        <f>Assumptions!FO6</f>
        <v>48245</v>
      </c>
      <c r="FP6" s="8">
        <f>Assumptions!FP6</f>
        <v>48274</v>
      </c>
      <c r="FQ6" s="8">
        <f>Assumptions!FQ6</f>
        <v>48305</v>
      </c>
      <c r="FR6" s="8">
        <f>Assumptions!FR6</f>
        <v>48335</v>
      </c>
      <c r="FS6" s="8">
        <f>Assumptions!FS6</f>
        <v>48366</v>
      </c>
      <c r="FT6" s="8">
        <f>Assumptions!FT6</f>
        <v>48396</v>
      </c>
      <c r="FU6" s="8">
        <f>Assumptions!FU6</f>
        <v>48427</v>
      </c>
      <c r="FV6" s="8">
        <f>Assumptions!FV6</f>
        <v>48458</v>
      </c>
      <c r="FW6" s="8">
        <f>Assumptions!FW6</f>
        <v>48488</v>
      </c>
      <c r="FX6" s="8">
        <f>Assumptions!FX6</f>
        <v>48519</v>
      </c>
      <c r="FY6" s="8">
        <f>Assumptions!FY6</f>
        <v>48549</v>
      </c>
      <c r="FZ6" s="8">
        <f>Assumptions!FZ6</f>
        <v>48580</v>
      </c>
      <c r="GA6" s="8">
        <f>Assumptions!GA6</f>
        <v>48611</v>
      </c>
      <c r="GB6" s="8">
        <f>Assumptions!GB6</f>
        <v>48639</v>
      </c>
      <c r="GC6" s="8">
        <f>Assumptions!GC6</f>
        <v>48670</v>
      </c>
      <c r="GD6" s="8">
        <f>Assumptions!GD6</f>
        <v>48700</v>
      </c>
      <c r="GE6" s="8">
        <f>Assumptions!GE6</f>
        <v>48731</v>
      </c>
      <c r="GF6" s="8">
        <f>Assumptions!GF6</f>
        <v>48761</v>
      </c>
      <c r="GG6" s="8">
        <f>Assumptions!GG6</f>
        <v>48792</v>
      </c>
      <c r="GH6" s="8">
        <f>Assumptions!GH6</f>
        <v>48823</v>
      </c>
      <c r="GI6" s="8">
        <f>Assumptions!GI6</f>
        <v>48853</v>
      </c>
      <c r="GJ6" s="8">
        <f>Assumptions!GJ6</f>
        <v>48884</v>
      </c>
      <c r="GK6" s="8">
        <f>Assumptions!GK6</f>
        <v>48914</v>
      </c>
      <c r="GL6" s="8">
        <f>Assumptions!GL6</f>
        <v>48945</v>
      </c>
      <c r="GM6" s="8">
        <f>Assumptions!GM6</f>
        <v>48976</v>
      </c>
      <c r="GN6" s="8">
        <f>Assumptions!GN6</f>
        <v>49004</v>
      </c>
      <c r="GO6" s="8">
        <f>Assumptions!GO6</f>
        <v>49035</v>
      </c>
      <c r="GP6" s="8">
        <f>Assumptions!GP6</f>
        <v>49065</v>
      </c>
      <c r="GQ6" s="8">
        <f>Assumptions!GQ6</f>
        <v>49096</v>
      </c>
      <c r="GR6" s="8">
        <f>Assumptions!GR6</f>
        <v>49126</v>
      </c>
      <c r="GS6" s="8">
        <f>Assumptions!GS6</f>
        <v>49157</v>
      </c>
      <c r="GT6" s="8">
        <f>Assumptions!GT6</f>
        <v>49188</v>
      </c>
      <c r="GU6" s="8">
        <f>Assumptions!GU6</f>
        <v>49218</v>
      </c>
      <c r="GV6" s="8">
        <f>Assumptions!GV6</f>
        <v>49249</v>
      </c>
      <c r="GW6" s="8">
        <f>Assumptions!GW6</f>
        <v>49279</v>
      </c>
      <c r="GX6" s="8">
        <f>Assumptions!GX6</f>
        <v>49310</v>
      </c>
    </row>
    <row r="7" spans="1:206" s="4" customFormat="1" ht="12" customHeight="1" x14ac:dyDescent="0.2">
      <c r="D7" s="6"/>
      <c r="E7" s="7" t="s">
        <v>7</v>
      </c>
      <c r="H7" s="5" t="s">
        <v>0</v>
      </c>
      <c r="J7" s="4" t="s">
        <v>1</v>
      </c>
      <c r="L7" s="8"/>
      <c r="M7" s="8">
        <f>Assumptions!M7</f>
        <v>43465</v>
      </c>
      <c r="N7" s="8">
        <f>Assumptions!N7</f>
        <v>43496</v>
      </c>
      <c r="O7" s="8">
        <f>Assumptions!O7</f>
        <v>43524</v>
      </c>
      <c r="P7" s="8">
        <f>Assumptions!P7</f>
        <v>43555</v>
      </c>
      <c r="Q7" s="8">
        <f>Assumptions!Q7</f>
        <v>43585</v>
      </c>
      <c r="R7" s="8">
        <f>Assumptions!R7</f>
        <v>43616</v>
      </c>
      <c r="S7" s="8">
        <f>Assumptions!S7</f>
        <v>43646</v>
      </c>
      <c r="T7" s="8">
        <f>Assumptions!T7</f>
        <v>43677</v>
      </c>
      <c r="U7" s="8">
        <f>Assumptions!U7</f>
        <v>43708</v>
      </c>
      <c r="V7" s="8">
        <f>Assumptions!V7</f>
        <v>43738</v>
      </c>
      <c r="W7" s="8">
        <f>Assumptions!W7</f>
        <v>43769</v>
      </c>
      <c r="X7" s="8">
        <f>Assumptions!X7</f>
        <v>43799</v>
      </c>
      <c r="Y7" s="8">
        <f>Assumptions!Y7</f>
        <v>43830</v>
      </c>
      <c r="Z7" s="8">
        <f>Assumptions!Z7</f>
        <v>43861</v>
      </c>
      <c r="AA7" s="8">
        <f>Assumptions!AA7</f>
        <v>43890</v>
      </c>
      <c r="AB7" s="8">
        <f>Assumptions!AB7</f>
        <v>43921</v>
      </c>
      <c r="AC7" s="8">
        <f>Assumptions!AC7</f>
        <v>43951</v>
      </c>
      <c r="AD7" s="8">
        <f>Assumptions!AD7</f>
        <v>43982</v>
      </c>
      <c r="AE7" s="8">
        <f>Assumptions!AE7</f>
        <v>44012</v>
      </c>
      <c r="AF7" s="8">
        <f>Assumptions!AF7</f>
        <v>44043</v>
      </c>
      <c r="AG7" s="8">
        <f>Assumptions!AG7</f>
        <v>44074</v>
      </c>
      <c r="AH7" s="8">
        <f>Assumptions!AH7</f>
        <v>44104</v>
      </c>
      <c r="AI7" s="8">
        <f>Assumptions!AI7</f>
        <v>44135</v>
      </c>
      <c r="AJ7" s="8">
        <f>Assumptions!AJ7</f>
        <v>44165</v>
      </c>
      <c r="AK7" s="8">
        <f>Assumptions!AK7</f>
        <v>44196</v>
      </c>
      <c r="AL7" s="8">
        <f>Assumptions!AL7</f>
        <v>44227</v>
      </c>
      <c r="AM7" s="8">
        <f>Assumptions!AM7</f>
        <v>44255</v>
      </c>
      <c r="AN7" s="8">
        <f>Assumptions!AN7</f>
        <v>44286</v>
      </c>
      <c r="AO7" s="8">
        <f>Assumptions!AO7</f>
        <v>44316</v>
      </c>
      <c r="AP7" s="8">
        <f>Assumptions!AP7</f>
        <v>44347</v>
      </c>
      <c r="AQ7" s="8">
        <f>Assumptions!AQ7</f>
        <v>44377</v>
      </c>
      <c r="AR7" s="8">
        <f>Assumptions!AR7</f>
        <v>44408</v>
      </c>
      <c r="AS7" s="8">
        <f>Assumptions!AS7</f>
        <v>44439</v>
      </c>
      <c r="AT7" s="8">
        <f>Assumptions!AT7</f>
        <v>44469</v>
      </c>
      <c r="AU7" s="8">
        <f>Assumptions!AU7</f>
        <v>44500</v>
      </c>
      <c r="AV7" s="8">
        <f>Assumptions!AV7</f>
        <v>44530</v>
      </c>
      <c r="AW7" s="8">
        <f>Assumptions!AW7</f>
        <v>44561</v>
      </c>
      <c r="AX7" s="8">
        <f>Assumptions!AX7</f>
        <v>44592</v>
      </c>
      <c r="AY7" s="8">
        <f>Assumptions!AY7</f>
        <v>44620</v>
      </c>
      <c r="AZ7" s="8">
        <f>Assumptions!AZ7</f>
        <v>44651</v>
      </c>
      <c r="BA7" s="8">
        <f>Assumptions!BA7</f>
        <v>44681</v>
      </c>
      <c r="BB7" s="8">
        <f>Assumptions!BB7</f>
        <v>44712</v>
      </c>
      <c r="BC7" s="8">
        <f>Assumptions!BC7</f>
        <v>44742</v>
      </c>
      <c r="BD7" s="8">
        <f>Assumptions!BD7</f>
        <v>44773</v>
      </c>
      <c r="BE7" s="8">
        <f>Assumptions!BE7</f>
        <v>44804</v>
      </c>
      <c r="BF7" s="8">
        <f>Assumptions!BF7</f>
        <v>44834</v>
      </c>
      <c r="BG7" s="8">
        <f>Assumptions!BG7</f>
        <v>44865</v>
      </c>
      <c r="BH7" s="8">
        <f>Assumptions!BH7</f>
        <v>44895</v>
      </c>
      <c r="BI7" s="8">
        <f>Assumptions!BI7</f>
        <v>44926</v>
      </c>
      <c r="BJ7" s="8">
        <f>Assumptions!BJ7</f>
        <v>44957</v>
      </c>
      <c r="BK7" s="8">
        <f>Assumptions!BK7</f>
        <v>44985</v>
      </c>
      <c r="BL7" s="8">
        <f>Assumptions!BL7</f>
        <v>45016</v>
      </c>
      <c r="BM7" s="8">
        <f>Assumptions!BM7</f>
        <v>45046</v>
      </c>
      <c r="BN7" s="8">
        <f>Assumptions!BN7</f>
        <v>45077</v>
      </c>
      <c r="BO7" s="8">
        <f>Assumptions!BO7</f>
        <v>45107</v>
      </c>
      <c r="BP7" s="8">
        <f>Assumptions!BP7</f>
        <v>45138</v>
      </c>
      <c r="BQ7" s="8">
        <f>Assumptions!BQ7</f>
        <v>45169</v>
      </c>
      <c r="BR7" s="8">
        <f>Assumptions!BR7</f>
        <v>45199</v>
      </c>
      <c r="BS7" s="8">
        <f>Assumptions!BS7</f>
        <v>45230</v>
      </c>
      <c r="BT7" s="8">
        <f>Assumptions!BT7</f>
        <v>45260</v>
      </c>
      <c r="BU7" s="8">
        <f>Assumptions!BU7</f>
        <v>45291</v>
      </c>
      <c r="BV7" s="8">
        <f>Assumptions!BV7</f>
        <v>45322</v>
      </c>
      <c r="BW7" s="8">
        <f>Assumptions!BW7</f>
        <v>45351</v>
      </c>
      <c r="BX7" s="8">
        <f>Assumptions!BX7</f>
        <v>45382</v>
      </c>
      <c r="BY7" s="8">
        <f>Assumptions!BY7</f>
        <v>45412</v>
      </c>
      <c r="BZ7" s="8">
        <f>Assumptions!BZ7</f>
        <v>45443</v>
      </c>
      <c r="CA7" s="8">
        <f>Assumptions!CA7</f>
        <v>45473</v>
      </c>
      <c r="CB7" s="8">
        <f>Assumptions!CB7</f>
        <v>45504</v>
      </c>
      <c r="CC7" s="8">
        <f>Assumptions!CC7</f>
        <v>45535</v>
      </c>
      <c r="CD7" s="8">
        <f>Assumptions!CD7</f>
        <v>45565</v>
      </c>
      <c r="CE7" s="8">
        <f>Assumptions!CE7</f>
        <v>45596</v>
      </c>
      <c r="CF7" s="8">
        <f>Assumptions!CF7</f>
        <v>45626</v>
      </c>
      <c r="CG7" s="8">
        <f>Assumptions!CG7</f>
        <v>45657</v>
      </c>
      <c r="CH7" s="8">
        <f>Assumptions!CH7</f>
        <v>45688</v>
      </c>
      <c r="CI7" s="8">
        <f>Assumptions!CI7</f>
        <v>45716</v>
      </c>
      <c r="CJ7" s="8">
        <f>Assumptions!CJ7</f>
        <v>45747</v>
      </c>
      <c r="CK7" s="8">
        <f>Assumptions!CK7</f>
        <v>45777</v>
      </c>
      <c r="CL7" s="8">
        <f>Assumptions!CL7</f>
        <v>45808</v>
      </c>
      <c r="CM7" s="8">
        <f>Assumptions!CM7</f>
        <v>45838</v>
      </c>
      <c r="CN7" s="8">
        <f>Assumptions!CN7</f>
        <v>45869</v>
      </c>
      <c r="CO7" s="8">
        <f>Assumptions!CO7</f>
        <v>45900</v>
      </c>
      <c r="CP7" s="8">
        <f>Assumptions!CP7</f>
        <v>45930</v>
      </c>
      <c r="CQ7" s="8">
        <f>Assumptions!CQ7</f>
        <v>45961</v>
      </c>
      <c r="CR7" s="8">
        <f>Assumptions!CR7</f>
        <v>45991</v>
      </c>
      <c r="CS7" s="8">
        <f>Assumptions!CS7</f>
        <v>46022</v>
      </c>
      <c r="CT7" s="8">
        <f>Assumptions!CT7</f>
        <v>46053</v>
      </c>
      <c r="CU7" s="8">
        <f>Assumptions!CU7</f>
        <v>46081</v>
      </c>
      <c r="CV7" s="8">
        <f>Assumptions!CV7</f>
        <v>46112</v>
      </c>
      <c r="CW7" s="8">
        <f>Assumptions!CW7</f>
        <v>46142</v>
      </c>
      <c r="CX7" s="8">
        <f>Assumptions!CX7</f>
        <v>46173</v>
      </c>
      <c r="CY7" s="8">
        <f>Assumptions!CY7</f>
        <v>46203</v>
      </c>
      <c r="CZ7" s="8">
        <f>Assumptions!CZ7</f>
        <v>46234</v>
      </c>
      <c r="DA7" s="8">
        <f>Assumptions!DA7</f>
        <v>46265</v>
      </c>
      <c r="DB7" s="8">
        <f>Assumptions!DB7</f>
        <v>46295</v>
      </c>
      <c r="DC7" s="8">
        <f>Assumptions!DC7</f>
        <v>46326</v>
      </c>
      <c r="DD7" s="8">
        <f>Assumptions!DD7</f>
        <v>46356</v>
      </c>
      <c r="DE7" s="8">
        <f>Assumptions!DE7</f>
        <v>46387</v>
      </c>
      <c r="DF7" s="8">
        <f>Assumptions!DF7</f>
        <v>46418</v>
      </c>
      <c r="DG7" s="8">
        <f>Assumptions!DG7</f>
        <v>46446</v>
      </c>
      <c r="DH7" s="8">
        <f>Assumptions!DH7</f>
        <v>46477</v>
      </c>
      <c r="DI7" s="8">
        <f>Assumptions!DI7</f>
        <v>46507</v>
      </c>
      <c r="DJ7" s="8">
        <f>Assumptions!DJ7</f>
        <v>46538</v>
      </c>
      <c r="DK7" s="8">
        <f>Assumptions!DK7</f>
        <v>46568</v>
      </c>
      <c r="DL7" s="8">
        <f>Assumptions!DL7</f>
        <v>46599</v>
      </c>
      <c r="DM7" s="8">
        <f>Assumptions!DM7</f>
        <v>46630</v>
      </c>
      <c r="DN7" s="8">
        <f>Assumptions!DN7</f>
        <v>46660</v>
      </c>
      <c r="DO7" s="8">
        <f>Assumptions!DO7</f>
        <v>46691</v>
      </c>
      <c r="DP7" s="8">
        <f>Assumptions!DP7</f>
        <v>46721</v>
      </c>
      <c r="DQ7" s="8">
        <f>Assumptions!DQ7</f>
        <v>46752</v>
      </c>
      <c r="DR7" s="8">
        <f>Assumptions!DR7</f>
        <v>46783</v>
      </c>
      <c r="DS7" s="8">
        <f>Assumptions!DS7</f>
        <v>46812</v>
      </c>
      <c r="DT7" s="8">
        <f>Assumptions!DT7</f>
        <v>46843</v>
      </c>
      <c r="DU7" s="8">
        <f>Assumptions!DU7</f>
        <v>46873</v>
      </c>
      <c r="DV7" s="8">
        <f>Assumptions!DV7</f>
        <v>46904</v>
      </c>
      <c r="DW7" s="8">
        <f>Assumptions!DW7</f>
        <v>46934</v>
      </c>
      <c r="DX7" s="8">
        <f>Assumptions!DX7</f>
        <v>46965</v>
      </c>
      <c r="DY7" s="8">
        <f>Assumptions!DY7</f>
        <v>46996</v>
      </c>
      <c r="DZ7" s="8">
        <f>Assumptions!DZ7</f>
        <v>47026</v>
      </c>
      <c r="EA7" s="8">
        <f>Assumptions!EA7</f>
        <v>47057</v>
      </c>
      <c r="EB7" s="8">
        <f>Assumptions!EB7</f>
        <v>47087</v>
      </c>
      <c r="EC7" s="8">
        <f>Assumptions!EC7</f>
        <v>47118</v>
      </c>
      <c r="ED7" s="8">
        <f>Assumptions!ED7</f>
        <v>47149</v>
      </c>
      <c r="EE7" s="8">
        <f>Assumptions!EE7</f>
        <v>47177</v>
      </c>
      <c r="EF7" s="8">
        <f>Assumptions!EF7</f>
        <v>47208</v>
      </c>
      <c r="EG7" s="8">
        <f>Assumptions!EG7</f>
        <v>47238</v>
      </c>
      <c r="EH7" s="8">
        <f>Assumptions!EH7</f>
        <v>47269</v>
      </c>
      <c r="EI7" s="8">
        <f>Assumptions!EI7</f>
        <v>47299</v>
      </c>
      <c r="EJ7" s="8">
        <f>Assumptions!EJ7</f>
        <v>47330</v>
      </c>
      <c r="EK7" s="8">
        <f>Assumptions!EK7</f>
        <v>47361</v>
      </c>
      <c r="EL7" s="8">
        <f>Assumptions!EL7</f>
        <v>47391</v>
      </c>
      <c r="EM7" s="8">
        <f>Assumptions!EM7</f>
        <v>47422</v>
      </c>
      <c r="EN7" s="8">
        <f>Assumptions!EN7</f>
        <v>47452</v>
      </c>
      <c r="EO7" s="8">
        <f>Assumptions!EO7</f>
        <v>47483</v>
      </c>
      <c r="EP7" s="8">
        <f>Assumptions!EP7</f>
        <v>47514</v>
      </c>
      <c r="EQ7" s="8">
        <f>Assumptions!EQ7</f>
        <v>47542</v>
      </c>
      <c r="ER7" s="8">
        <f>Assumptions!ER7</f>
        <v>47573</v>
      </c>
      <c r="ES7" s="8">
        <f>Assumptions!ES7</f>
        <v>47603</v>
      </c>
      <c r="ET7" s="8">
        <f>Assumptions!ET7</f>
        <v>47634</v>
      </c>
      <c r="EU7" s="8">
        <f>Assumptions!EU7</f>
        <v>47664</v>
      </c>
      <c r="EV7" s="8">
        <f>Assumptions!EV7</f>
        <v>47695</v>
      </c>
      <c r="EW7" s="8">
        <f>Assumptions!EW7</f>
        <v>47726</v>
      </c>
      <c r="EX7" s="8">
        <f>Assumptions!EX7</f>
        <v>47756</v>
      </c>
      <c r="EY7" s="8">
        <f>Assumptions!EY7</f>
        <v>47787</v>
      </c>
      <c r="EZ7" s="8">
        <f>Assumptions!EZ7</f>
        <v>47817</v>
      </c>
      <c r="FA7" s="8">
        <f>Assumptions!FA7</f>
        <v>47848</v>
      </c>
      <c r="FB7" s="8">
        <f>Assumptions!FB7</f>
        <v>47879</v>
      </c>
      <c r="FC7" s="8">
        <f>Assumptions!FC7</f>
        <v>47907</v>
      </c>
      <c r="FD7" s="8">
        <f>Assumptions!FD7</f>
        <v>47938</v>
      </c>
      <c r="FE7" s="8">
        <f>Assumptions!FE7</f>
        <v>47968</v>
      </c>
      <c r="FF7" s="8">
        <f>Assumptions!FF7</f>
        <v>47999</v>
      </c>
      <c r="FG7" s="8">
        <f>Assumptions!FG7</f>
        <v>48029</v>
      </c>
      <c r="FH7" s="8">
        <f>Assumptions!FH7</f>
        <v>48060</v>
      </c>
      <c r="FI7" s="8">
        <f>Assumptions!FI7</f>
        <v>48091</v>
      </c>
      <c r="FJ7" s="8">
        <f>Assumptions!FJ7</f>
        <v>48121</v>
      </c>
      <c r="FK7" s="8">
        <f>Assumptions!FK7</f>
        <v>48152</v>
      </c>
      <c r="FL7" s="8">
        <f>Assumptions!FL7</f>
        <v>48182</v>
      </c>
      <c r="FM7" s="8">
        <f>Assumptions!FM7</f>
        <v>48213</v>
      </c>
      <c r="FN7" s="8">
        <f>Assumptions!FN7</f>
        <v>48244</v>
      </c>
      <c r="FO7" s="8">
        <f>Assumptions!FO7</f>
        <v>48273</v>
      </c>
      <c r="FP7" s="8">
        <f>Assumptions!FP7</f>
        <v>48304</v>
      </c>
      <c r="FQ7" s="8">
        <f>Assumptions!FQ7</f>
        <v>48334</v>
      </c>
      <c r="FR7" s="8">
        <f>Assumptions!FR7</f>
        <v>48365</v>
      </c>
      <c r="FS7" s="8">
        <f>Assumptions!FS7</f>
        <v>48395</v>
      </c>
      <c r="FT7" s="8">
        <f>Assumptions!FT7</f>
        <v>48426</v>
      </c>
      <c r="FU7" s="8">
        <f>Assumptions!FU7</f>
        <v>48457</v>
      </c>
      <c r="FV7" s="8">
        <f>Assumptions!FV7</f>
        <v>48487</v>
      </c>
      <c r="FW7" s="8">
        <f>Assumptions!FW7</f>
        <v>48518</v>
      </c>
      <c r="FX7" s="8">
        <f>Assumptions!FX7</f>
        <v>48548</v>
      </c>
      <c r="FY7" s="8">
        <f>Assumptions!FY7</f>
        <v>48579</v>
      </c>
      <c r="FZ7" s="8">
        <f>Assumptions!FZ7</f>
        <v>48610</v>
      </c>
      <c r="GA7" s="8">
        <f>Assumptions!GA7</f>
        <v>48638</v>
      </c>
      <c r="GB7" s="8">
        <f>Assumptions!GB7</f>
        <v>48669</v>
      </c>
      <c r="GC7" s="8">
        <f>Assumptions!GC7</f>
        <v>48699</v>
      </c>
      <c r="GD7" s="8">
        <f>Assumptions!GD7</f>
        <v>48730</v>
      </c>
      <c r="GE7" s="8">
        <f>Assumptions!GE7</f>
        <v>48760</v>
      </c>
      <c r="GF7" s="8">
        <f>Assumptions!GF7</f>
        <v>48791</v>
      </c>
      <c r="GG7" s="8">
        <f>Assumptions!GG7</f>
        <v>48822</v>
      </c>
      <c r="GH7" s="8">
        <f>Assumptions!GH7</f>
        <v>48852</v>
      </c>
      <c r="GI7" s="8">
        <f>Assumptions!GI7</f>
        <v>48883</v>
      </c>
      <c r="GJ7" s="8">
        <f>Assumptions!GJ7</f>
        <v>48913</v>
      </c>
      <c r="GK7" s="8">
        <f>Assumptions!GK7</f>
        <v>48944</v>
      </c>
      <c r="GL7" s="8">
        <f>Assumptions!GL7</f>
        <v>48975</v>
      </c>
      <c r="GM7" s="8">
        <f>Assumptions!GM7</f>
        <v>49003</v>
      </c>
      <c r="GN7" s="8">
        <f>Assumptions!GN7</f>
        <v>49034</v>
      </c>
      <c r="GO7" s="8">
        <f>Assumptions!GO7</f>
        <v>49064</v>
      </c>
      <c r="GP7" s="8">
        <f>Assumptions!GP7</f>
        <v>49095</v>
      </c>
      <c r="GQ7" s="8">
        <f>Assumptions!GQ7</f>
        <v>49125</v>
      </c>
      <c r="GR7" s="8">
        <f>Assumptions!GR7</f>
        <v>49156</v>
      </c>
      <c r="GS7" s="8">
        <f>Assumptions!GS7</f>
        <v>49187</v>
      </c>
      <c r="GT7" s="8">
        <f>Assumptions!GT7</f>
        <v>49217</v>
      </c>
      <c r="GU7" s="8">
        <f>Assumptions!GU7</f>
        <v>49248</v>
      </c>
      <c r="GV7" s="8">
        <f>Assumptions!GV7</f>
        <v>49278</v>
      </c>
      <c r="GW7" s="8">
        <f>Assumptions!GW7</f>
        <v>49309</v>
      </c>
      <c r="GX7" s="8">
        <f>Assumptions!GX7</f>
        <v>49340</v>
      </c>
    </row>
    <row r="8" spans="1:206" s="4" customFormat="1" ht="12" customHeight="1" x14ac:dyDescent="0.15">
      <c r="E8" s="7"/>
      <c r="H8" s="5"/>
      <c r="O8" s="9"/>
    </row>
    <row r="9" spans="1:206" s="4" customFormat="1" ht="12" customHeight="1" x14ac:dyDescent="0.15">
      <c r="E9" s="7"/>
      <c r="H9" s="5"/>
      <c r="O9" s="9"/>
    </row>
    <row r="10" spans="1:206" s="4" customFormat="1" ht="12" customHeight="1" x14ac:dyDescent="0.15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</row>
    <row r="11" spans="1:206" ht="12" customHeight="1" x14ac:dyDescent="0.15">
      <c r="A11" s="10">
        <f>MAX(A$3:A8)+0.01</f>
        <v>2.0099999999999998</v>
      </c>
      <c r="B11" s="10"/>
      <c r="C11" s="10" t="s">
        <v>30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</row>
    <row r="12" spans="1:206" ht="12" customHeight="1" x14ac:dyDescent="0.15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</row>
    <row r="13" spans="1:206" x14ac:dyDescent="0.15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</row>
    <row r="14" spans="1:206" x14ac:dyDescent="0.15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</row>
    <row r="15" spans="1:206" x14ac:dyDescent="0.15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</row>
    <row r="16" spans="1:206" x14ac:dyDescent="0.15">
      <c r="A16" s="4"/>
      <c r="B16" s="4"/>
      <c r="C16" s="4"/>
      <c r="D16" s="4"/>
      <c r="E16" s="4"/>
      <c r="F16" s="4"/>
      <c r="G16" s="4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</row>
    <row r="17" spans="1:206" x14ac:dyDescent="0.15">
      <c r="A17" s="4"/>
      <c r="B17" s="4"/>
      <c r="C17" s="4"/>
      <c r="D17" s="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</row>
    <row r="18" spans="1:206" x14ac:dyDescent="0.15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</row>
    <row r="19" spans="1:206" x14ac:dyDescent="0.15">
      <c r="A19" s="4"/>
      <c r="B19" s="4"/>
      <c r="C19" s="4"/>
      <c r="D19" s="4"/>
      <c r="E19" s="4"/>
      <c r="F19" s="4"/>
      <c r="G19" s="4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</row>
    <row r="20" spans="1:206" x14ac:dyDescent="0.15">
      <c r="A20" s="4"/>
      <c r="B20" s="4"/>
      <c r="C20" s="4"/>
      <c r="D20" s="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</row>
    <row r="21" spans="1:206" x14ac:dyDescent="0.15">
      <c r="A21" s="4"/>
      <c r="B21" s="4"/>
      <c r="C21" s="4"/>
      <c r="D21" s="4"/>
      <c r="E21" s="4"/>
      <c r="F21" s="4"/>
      <c r="G21" s="4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</row>
    <row r="22" spans="1:206" x14ac:dyDescent="0.15">
      <c r="A22" s="4"/>
      <c r="B22" s="4"/>
      <c r="C22" s="4"/>
      <c r="D22" s="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</row>
    <row r="23" spans="1:206" x14ac:dyDescent="0.15">
      <c r="A23" s="4"/>
      <c r="B23" s="4"/>
      <c r="C23" s="4"/>
      <c r="D23" s="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</row>
    <row r="24" spans="1:206" x14ac:dyDescent="0.15">
      <c r="A24" s="4"/>
      <c r="B24" s="4"/>
      <c r="C24" s="4"/>
      <c r="D24" s="4"/>
      <c r="E24" s="4"/>
      <c r="F24" s="4"/>
      <c r="G24" s="4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</row>
    <row r="25" spans="1:206" x14ac:dyDescent="0.15">
      <c r="A25" s="4"/>
      <c r="B25" s="4"/>
      <c r="C25" s="4"/>
      <c r="D25" s="4"/>
      <c r="E25" s="4"/>
      <c r="F25" s="4"/>
      <c r="G25" s="4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</row>
    <row r="26" spans="1:206" x14ac:dyDescent="0.15">
      <c r="A26" s="4"/>
      <c r="B26" s="4"/>
      <c r="C26" s="4"/>
      <c r="D26" s="4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</row>
    <row r="27" spans="1:206" x14ac:dyDescent="0.15">
      <c r="A27" s="4"/>
      <c r="B27" s="4"/>
      <c r="C27" s="4"/>
      <c r="D27" s="4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</row>
    <row r="28" spans="1:206" x14ac:dyDescent="0.15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</row>
    <row r="29" spans="1:206" x14ac:dyDescent="0.15">
      <c r="A29" s="4"/>
      <c r="B29" s="4"/>
      <c r="C29" s="4"/>
      <c r="D29" s="4"/>
      <c r="E29" s="4"/>
      <c r="F29" s="4"/>
      <c r="G29" s="4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</row>
    <row r="30" spans="1:206" x14ac:dyDescent="0.15">
      <c r="A30" s="4"/>
      <c r="B30" s="4"/>
      <c r="C30" s="4"/>
      <c r="D30" s="4"/>
      <c r="E30" s="4"/>
      <c r="F30" s="4"/>
      <c r="G30" s="4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</row>
    <row r="31" spans="1:206" x14ac:dyDescent="0.15">
      <c r="A31" s="4"/>
      <c r="B31" s="4"/>
      <c r="C31" s="4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</row>
    <row r="32" spans="1:206" x14ac:dyDescent="0.15">
      <c r="A32" s="4"/>
      <c r="B32" s="4"/>
      <c r="C32" s="4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</row>
    <row r="33" spans="1:206" x14ac:dyDescent="0.15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</row>
    <row r="34" spans="1:206" x14ac:dyDescent="0.15">
      <c r="A34" s="4"/>
      <c r="B34" s="4"/>
      <c r="C34" s="4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</row>
    <row r="35" spans="1:206" x14ac:dyDescent="0.15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</row>
    <row r="36" spans="1:206" x14ac:dyDescent="0.15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</row>
    <row r="37" spans="1:206" x14ac:dyDescent="0.15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</row>
    <row r="38" spans="1:206" x14ac:dyDescent="0.15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</row>
    <row r="39" spans="1:206" x14ac:dyDescent="0.15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</row>
    <row r="40" spans="1:206" x14ac:dyDescent="0.15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</row>
    <row r="41" spans="1:206" x14ac:dyDescent="0.15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</row>
    <row r="42" spans="1:206" x14ac:dyDescent="0.15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</row>
    <row r="43" spans="1:206" x14ac:dyDescent="0.15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</row>
    <row r="44" spans="1:206" x14ac:dyDescent="0.15">
      <c r="A44" s="4"/>
      <c r="B44" s="4"/>
      <c r="C44" s="4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</row>
    <row r="45" spans="1:206" x14ac:dyDescent="0.15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</row>
    <row r="46" spans="1:206" x14ac:dyDescent="0.15">
      <c r="A46" s="4"/>
      <c r="B46" s="4"/>
      <c r="C46" s="4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</row>
    <row r="47" spans="1:206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</row>
    <row r="48" spans="1:206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</row>
    <row r="49" spans="1:206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</row>
    <row r="50" spans="1:206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</row>
    <row r="51" spans="1:206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</row>
    <row r="52" spans="1:206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</row>
    <row r="53" spans="1:206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</row>
    <row r="54" spans="1:206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</row>
    <row r="55" spans="1:206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</row>
    <row r="56" spans="1:206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</row>
    <row r="57" spans="1:206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</row>
    <row r="58" spans="1:206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</row>
    <row r="59" spans="1:206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</row>
    <row r="60" spans="1:206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</row>
    <row r="61" spans="1:206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Assumptions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Microsoft Office User</cp:lastModifiedBy>
  <dcterms:created xsi:type="dcterms:W3CDTF">2015-10-14T05:12:28Z</dcterms:created>
  <dcterms:modified xsi:type="dcterms:W3CDTF">2018-10-05T00:36:42Z</dcterms:modified>
</cp:coreProperties>
</file>