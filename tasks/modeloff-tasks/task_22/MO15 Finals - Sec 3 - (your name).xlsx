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\Desktop\QDT 2015\Finals\S3 - Reward It\"/>
    </mc:Choice>
  </mc:AlternateContent>
  <bookViews>
    <workbookView xWindow="23550" yWindow="0" windowWidth="19920" windowHeight="12720" activeTab="3"/>
  </bookViews>
  <sheets>
    <sheet name="Formats" sheetId="10" r:id="rId1"/>
    <sheet name="Lists" sheetId="17" r:id="rId2"/>
    <sheet name="FX Rates" sheetId="14" r:id="rId3"/>
    <sheet name="Other Data" sheetId="13" r:id="rId4"/>
  </sheets>
  <definedNames>
    <definedName name="AS2DocOpenMode" hidden="1">"AS2DocumentEdit"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41603.6842939815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istCurCode">Lists!$E$16:$E$20</definedName>
    <definedName name="ListCurName">Lists!$D$16:$D$20</definedName>
  </definedNames>
  <calcPr calcId="152511" iterateDelta="1.0000000000000001E-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13" l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F15" i="13"/>
  <c r="H15" i="14"/>
  <c r="A11" i="13"/>
  <c r="A17" i="13" s="1"/>
  <c r="A26" i="13" s="1"/>
  <c r="O30" i="13"/>
  <c r="O29" i="13"/>
  <c r="N30" i="13"/>
  <c r="N29" i="13"/>
  <c r="H18" i="14" l="1" a="1"/>
  <c r="I18" i="14" s="1"/>
  <c r="I20" i="14" s="1"/>
  <c r="E22" i="14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H18" i="14" l="1"/>
  <c r="H20" i="14" s="1"/>
  <c r="L18" i="14"/>
  <c r="L20" i="14" s="1"/>
  <c r="J18" i="14"/>
  <c r="J20" i="14" s="1"/>
  <c r="K18" i="14"/>
  <c r="K20" i="14" s="1"/>
  <c r="H30" i="13"/>
  <c r="I30" i="13"/>
  <c r="J30" i="13"/>
  <c r="K30" i="13"/>
  <c r="L30" i="13"/>
  <c r="M30" i="13"/>
  <c r="H29" i="13"/>
  <c r="I29" i="13"/>
  <c r="J29" i="13"/>
  <c r="K29" i="13"/>
  <c r="L29" i="13"/>
  <c r="M29" i="13"/>
  <c r="A11" i="17"/>
  <c r="A1" i="17"/>
  <c r="A11" i="14"/>
  <c r="A1" i="14"/>
  <c r="A1" i="13"/>
</calcChain>
</file>

<file path=xl/sharedStrings.xml><?xml version="1.0" encoding="utf-8"?>
<sst xmlns="http://schemas.openxmlformats.org/spreadsheetml/2006/main" count="115" uniqueCount="75">
  <si>
    <t>Units</t>
  </si>
  <si>
    <t>End Sheet</t>
  </si>
  <si>
    <t>Workings</t>
  </si>
  <si>
    <t>[$]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</si>
  <si>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</si>
  <si>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</si>
  <si>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</si>
  <si>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</si>
  <si>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</si>
  <si>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</si>
  <si>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</si>
  <si>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</si>
  <si>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</si>
  <si>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</si>
  <si>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</si>
  <si>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</si>
  <si>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</si>
  <si>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</si>
  <si>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</si>
  <si>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</si>
  <si>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</si>
  <si>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</si>
  <si>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</si>
  <si>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Cell to be populated by model author</t>
  </si>
  <si>
    <t>Assets</t>
  </si>
  <si>
    <t>Valuations</t>
  </si>
  <si>
    <t>Asset Name</t>
  </si>
  <si>
    <t>Asset Currency</t>
  </si>
  <si>
    <t>[code]</t>
  </si>
  <si>
    <t>[text]</t>
  </si>
  <si>
    <t>Qtr End Date</t>
  </si>
  <si>
    <t>[date]</t>
  </si>
  <si>
    <t>Acquisition Date</t>
  </si>
  <si>
    <t>Acquistion Value (in units of Asset Currency)</t>
  </si>
  <si>
    <t>[pick from list]</t>
  </si>
  <si>
    <t>[currency units]</t>
  </si>
  <si>
    <t>Asset Valuations (in units of Asset Currency)</t>
  </si>
  <si>
    <t>[asset currency units]</t>
  </si>
  <si>
    <t>Asset 1</t>
  </si>
  <si>
    <t>Asset 2</t>
  </si>
  <si>
    <t>Asset 3</t>
  </si>
  <si>
    <t>Asset 4</t>
  </si>
  <si>
    <t>Asset 5</t>
  </si>
  <si>
    <t>Asset 6</t>
  </si>
  <si>
    <t>Lists</t>
  </si>
  <si>
    <t>Currencies</t>
  </si>
  <si>
    <t>Full Name</t>
  </si>
  <si>
    <t>Code</t>
  </si>
  <si>
    <t>United States Dollar</t>
  </si>
  <si>
    <t>Euro</t>
  </si>
  <si>
    <t>British Pound</t>
  </si>
  <si>
    <t>Japanese Yen</t>
  </si>
  <si>
    <t>Australian Dollar</t>
  </si>
  <si>
    <t>USD</t>
  </si>
  <si>
    <t>EUR</t>
  </si>
  <si>
    <t>GBP</t>
  </si>
  <si>
    <t>AUD</t>
  </si>
  <si>
    <t>JPY</t>
  </si>
  <si>
    <t>ListCurName</t>
  </si>
  <si>
    <t>ListCurCode</t>
  </si>
  <si>
    <t>Foreign Exchange Rate Assumptions</t>
  </si>
  <si>
    <t>Exchange Rates - Historical and Forecast (Fictional)</t>
  </si>
  <si>
    <t>Base Currency Code</t>
  </si>
  <si>
    <t>First Day of Month</t>
  </si>
  <si>
    <t>Exchange Rates against Fund Base Currency - updated on the first day of each month.  The specified rate applies for the entire month</t>
  </si>
  <si>
    <t>[currency]</t>
  </si>
  <si>
    <t>Currency</t>
  </si>
  <si>
    <t>Table of Rates (Foreign units per unit of Base Currency)</t>
  </si>
  <si>
    <t>ModelOff 2015 - Finals - Section 3</t>
  </si>
  <si>
    <t>Asset 7</t>
  </si>
  <si>
    <t>Asset 8</t>
  </si>
  <si>
    <t>Commitments</t>
  </si>
  <si>
    <t>Commitment Value</t>
  </si>
  <si>
    <t>Commitment Date</t>
  </si>
  <si>
    <t>Other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</si>
</sst>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;\-#,##0.;\-"/>
    <numFmt numFmtId="165" formatCode="#,##0_);\(#,##0\);\-"/>
    <numFmt numFmtId="166" formatCode="d\-mmm\-yy;d\-mmm\-yy;\-"/>
    <numFmt numFmtId="167" formatCode="0.00%_);\(0.00%\);\-"/>
    <numFmt numFmtId="168" formatCode="#,##0.00_);\(#,##0.00\);\-"/>
    <numFmt numFmtId="169" formatCode="#,##0.0000_);\(#,##0.0000\);\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8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62">
    <xf numFmtId="0" fontId="0" fillId="0" borderId="0"/>
    <xf numFmtId="0" fontId="4" fillId="36" borderId="0" applyNumberFormat="0" applyAlignment="0"/>
    <xf numFmtId="165" fontId="3" fillId="0" borderId="0" applyBorder="0"/>
    <xf numFmtId="0" fontId="7" fillId="0" borderId="0" applyNumberFormat="0" applyFill="0" applyBorder="0">
      <alignment horizontal="right"/>
    </xf>
    <xf numFmtId="0" fontId="8" fillId="0" borderId="0" applyNumberFormat="0" applyFill="0" applyBorder="0" applyAlignment="0" applyProtection="0"/>
    <xf numFmtId="165" fontId="9" fillId="0" borderId="0" applyBorder="0"/>
    <xf numFmtId="166" fontId="3" fillId="0" borderId="0" applyBorder="0"/>
    <xf numFmtId="4" fontId="9" fillId="2" borderId="1">
      <alignment horizontal="left"/>
    </xf>
    <xf numFmtId="167" fontId="7" fillId="4" borderId="11">
      <protection locked="0"/>
    </xf>
    <xf numFmtId="165" fontId="7" fillId="4" borderId="11">
      <protection locked="0"/>
    </xf>
    <xf numFmtId="165" fontId="7" fillId="0" borderId="12"/>
    <xf numFmtId="167" fontId="11" fillId="0" borderId="0" applyFill="0" applyBorder="0" applyAlignment="0"/>
    <xf numFmtId="0" fontId="10" fillId="0" borderId="0" applyNumberFormat="0" applyFill="0" applyBorder="0" applyAlignment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1" fillId="8" borderId="5" applyNumberFormat="0" applyAlignment="0" applyProtection="0"/>
    <xf numFmtId="0" fontId="22" fillId="9" borderId="6" applyNumberFormat="0" applyAlignment="0" applyProtection="0"/>
    <xf numFmtId="0" fontId="23" fillId="9" borderId="5" applyNumberFormat="0" applyAlignment="0" applyProtection="0"/>
    <xf numFmtId="0" fontId="24" fillId="0" borderId="7" applyNumberFormat="0" applyFill="0" applyAlignment="0" applyProtection="0"/>
    <xf numFmtId="0" fontId="25" fillId="10" borderId="8" applyNumberFormat="0" applyAlignment="0" applyProtection="0"/>
    <xf numFmtId="0" fontId="26" fillId="0" borderId="0" applyNumberFormat="0" applyFill="0" applyBorder="0" applyAlignment="0" applyProtection="0"/>
    <xf numFmtId="0" fontId="13" fillId="11" borderId="9" applyNumberFormat="0" applyFont="0" applyAlignment="0" applyProtection="0"/>
    <xf numFmtId="0" fontId="27" fillId="0" borderId="0" applyNumberFormat="0" applyFill="0" applyBorder="0" applyAlignment="0" applyProtection="0"/>
    <xf numFmtId="0" fontId="28" fillId="0" borderId="10" applyNumberFormat="0" applyFill="0" applyAlignment="0" applyProtection="0"/>
    <xf numFmtId="0" fontId="29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9" fillId="31" borderId="0" applyNumberFormat="0" applyBorder="0" applyAlignment="0" applyProtection="0"/>
    <xf numFmtId="0" fontId="29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9" fillId="35" borderId="0" applyNumberFormat="0" applyBorder="0" applyAlignment="0" applyProtection="0"/>
    <xf numFmtId="168" fontId="3" fillId="0" borderId="0" applyBorder="0"/>
    <xf numFmtId="168" fontId="7" fillId="4" borderId="11">
      <protection locked="0"/>
    </xf>
    <xf numFmtId="166" fontId="7" fillId="4" borderId="11"/>
  </cellStyleXfs>
  <cellXfs count="46">
    <xf numFmtId="0" fontId="0" fillId="0" borderId="0" xfId="0"/>
    <xf numFmtId="168" fontId="4" fillId="36" borderId="0" xfId="1" applyNumberFormat="1"/>
    <xf numFmtId="0" fontId="4" fillId="36" borderId="0" xfId="1"/>
    <xf numFmtId="0" fontId="3" fillId="0" borderId="0" xfId="0" applyFont="1"/>
    <xf numFmtId="0" fontId="4" fillId="36" borderId="0" xfId="1" applyFont="1"/>
    <xf numFmtId="0" fontId="5" fillId="0" borderId="0" xfId="0" applyFont="1"/>
    <xf numFmtId="164" fontId="6" fillId="36" borderId="0" xfId="1" applyNumberFormat="1" applyFont="1" applyAlignment="1">
      <alignment horizontal="left"/>
    </xf>
    <xf numFmtId="0" fontId="6" fillId="36" borderId="0" xfId="1" applyFont="1"/>
    <xf numFmtId="165" fontId="3" fillId="0" borderId="0" xfId="2"/>
    <xf numFmtId="165" fontId="7" fillId="0" borderId="0" xfId="3" applyNumberFormat="1">
      <alignment horizontal="right"/>
    </xf>
    <xf numFmtId="165" fontId="9" fillId="0" borderId="0" xfId="5"/>
    <xf numFmtId="166" fontId="3" fillId="0" borderId="0" xfId="6"/>
    <xf numFmtId="165" fontId="3" fillId="0" borderId="0" xfId="2" applyBorder="1"/>
    <xf numFmtId="165" fontId="7" fillId="0" borderId="0" xfId="3" applyNumberFormat="1" applyBorder="1">
      <alignment horizontal="right"/>
    </xf>
    <xf numFmtId="4" fontId="9" fillId="2" borderId="1" xfId="7">
      <alignment horizontal="left"/>
    </xf>
    <xf numFmtId="0" fontId="3" fillId="0" borderId="0" xfId="0" applyFont="1" applyBorder="1"/>
    <xf numFmtId="165" fontId="3" fillId="0" borderId="0" xfId="2" quotePrefix="1"/>
    <xf numFmtId="0" fontId="10" fillId="0" borderId="0" xfId="0" applyFont="1"/>
    <xf numFmtId="0" fontId="7" fillId="0" borderId="0" xfId="3">
      <alignment horizontal="right"/>
    </xf>
    <xf numFmtId="167" fontId="7" fillId="4" borderId="11" xfId="8">
      <protection locked="0"/>
    </xf>
    <xf numFmtId="165" fontId="7" fillId="0" borderId="12" xfId="10"/>
    <xf numFmtId="0" fontId="2" fillId="36" borderId="0" xfId="1" applyFont="1" applyAlignment="1"/>
    <xf numFmtId="167" fontId="11" fillId="0" borderId="0" xfId="11"/>
    <xf numFmtId="165" fontId="12" fillId="0" borderId="0" xfId="2" applyFont="1"/>
    <xf numFmtId="165" fontId="10" fillId="0" borderId="0" xfId="12" applyNumberFormat="1"/>
    <xf numFmtId="166" fontId="3" fillId="0" borderId="0" xfId="6" applyBorder="1"/>
    <xf numFmtId="165" fontId="9" fillId="0" borderId="0" xfId="5" applyBorder="1"/>
    <xf numFmtId="165" fontId="7" fillId="4" borderId="11" xfId="9">
      <protection locked="0"/>
    </xf>
    <xf numFmtId="168" fontId="3" fillId="0" borderId="0" xfId="59"/>
    <xf numFmtId="168" fontId="3" fillId="0" borderId="0" xfId="59" applyBorder="1"/>
    <xf numFmtId="168" fontId="3" fillId="3" borderId="0" xfId="59" applyFill="1"/>
    <xf numFmtId="168" fontId="3" fillId="0" borderId="0" xfId="59" quotePrefix="1"/>
    <xf numFmtId="168" fontId="7" fillId="0" borderId="0" xfId="3" applyNumberFormat="1">
      <alignment horizontal="right"/>
    </xf>
    <xf numFmtId="168" fontId="7" fillId="4" borderId="11" xfId="60">
      <protection locked="0"/>
    </xf>
    <xf numFmtId="166" fontId="7" fillId="4" borderId="11" xfId="61"/>
    <xf numFmtId="165" fontId="3" fillId="0" borderId="0" xfId="2" applyBorder="1" applyAlignment="1">
      <alignment horizontal="right"/>
    </xf>
    <xf numFmtId="165" fontId="30" fillId="0" borderId="0" xfId="2" applyFont="1" applyBorder="1"/>
    <xf numFmtId="166" fontId="7" fillId="4" borderId="11" xfId="61" applyAlignment="1">
      <alignment horizontal="right"/>
    </xf>
    <xf numFmtId="165" fontId="7" fillId="4" borderId="11" xfId="9" applyAlignment="1">
      <alignment horizontal="right"/>
      <protection locked="0"/>
    </xf>
    <xf numFmtId="165" fontId="7" fillId="0" borderId="12" xfId="10" applyAlignment="1">
      <alignment horizontal="right"/>
    </xf>
    <xf numFmtId="166" fontId="7" fillId="0" borderId="12" xfId="6" applyFont="1" applyBorder="1"/>
    <xf numFmtId="165" fontId="9" fillId="0" borderId="0" xfId="5" applyBorder="1" applyAlignment="1">
      <alignment horizontal="right"/>
    </xf>
    <xf numFmtId="169" fontId="7" fillId="4" borderId="11" xfId="60" applyNumberFormat="1">
      <protection locked="0"/>
    </xf>
    <xf numFmtId="169" fontId="7" fillId="0" borderId="12" xfId="10" applyNumberFormat="1"/>
    <xf numFmtId="165" fontId="12" fillId="0" borderId="0" xfId="2" quotePrefix="1" applyFont="1" applyBorder="1"/>
    <xf numFmtId="169" fontId="12" fillId="4" borderId="11" xfId="60" applyNumberFormat="1" applyFont="1">
      <protection locked="0"/>
    </xf>
  </cellXfs>
  <cellStyles count="62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/>
    <cellStyle name="M TopHeader" xfId="1"/>
    <cellStyle name="M Units" xfId="3"/>
    <cellStyle name="M Wkg text" xfId="12"/>
    <cellStyle name="M-A 0dp" xfId="9"/>
    <cellStyle name="M-A 2dp" xfId="60"/>
    <cellStyle name="M-A Date" xfId="61"/>
    <cellStyle name="M-A Fixed 0dp" xfId="10"/>
    <cellStyle name="M-A Pct2dp" xfId="8"/>
    <cellStyle name="M-C 0dp Num" xfId="2"/>
    <cellStyle name="M-C 2dp Num" xfId="59"/>
    <cellStyle name="M-C Bld 0dp" xfId="5"/>
    <cellStyle name="M-C Date" xfId="6"/>
    <cellStyle name="M-C Pct 2DP" xfId="11"/>
    <cellStyle name="Neutral" xfId="25" builtinId="28" hidden="1"/>
    <cellStyle name="Normal" xfId="0" builtinId="0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1">
    <dxf>
      <font>
        <color theme="0" tint="-0.499984740745262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9</xdr:col>
      <xdr:colOff>663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114963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114963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114963</xdr:colOff>
      <xdr:row>3</xdr:row>
      <xdr:rowOff>9525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outlinePr summaryBelow="0"/>
  </sheetPr>
  <dimension ref="A1:J49"/>
  <sheetViews>
    <sheetView showGridLines="0" zoomScaleNormal="100" zoomScalePageLayoutView="85" workbookViewId="0">
      <pane ySplit="3" topLeftCell="A4" activePane="bottomLeft" state="frozen"/>
      <selection pane="bottomLeft" activeCell="A2" sqref="A2"/>
    </sheetView>
  </sheetViews>
  <sheetFormatPr defaultColWidth="8.85546875" defaultRowHeight="12.75" x14ac:dyDescent="0.2"/>
  <cols>
    <col min="1" max="1" width="7.28515625" style="3" customWidth="1"/>
    <col min="2" max="2" width="4.7109375" style="3" customWidth="1"/>
    <col min="3" max="3" width="3.7109375" style="17" customWidth="1"/>
    <col min="4" max="4" width="40.7109375" style="17" customWidth="1"/>
    <col min="5" max="6" width="12.7109375" style="3" customWidth="1"/>
    <col min="7" max="7" width="3.7109375" style="3" customWidth="1"/>
    <col min="8" max="8" width="10.7109375" style="18" customWidth="1"/>
    <col min="9" max="9" width="12.7109375" style="3" customWidth="1"/>
    <col min="10" max="10" width="15.7109375" style="3" customWidth="1"/>
    <col min="11" max="16384" width="8.85546875" style="3"/>
  </cols>
  <sheetData>
    <row r="1" spans="1:10" ht="23.25" x14ac:dyDescent="0.35">
      <c r="A1" s="21" t="s">
        <v>68</v>
      </c>
      <c r="B1" s="2"/>
      <c r="C1" s="2"/>
      <c r="D1" s="2"/>
      <c r="E1" s="2"/>
      <c r="F1" s="2"/>
      <c r="G1" s="2"/>
      <c r="H1" s="2"/>
      <c r="I1" s="2"/>
      <c r="J1" s="2"/>
    </row>
    <row r="2" spans="1:10" s="5" customFormat="1" ht="18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8" customHeight="1" x14ac:dyDescent="0.25">
      <c r="A3" s="6"/>
      <c r="B3" s="2"/>
      <c r="C3" s="7" t="s">
        <v>4</v>
      </c>
      <c r="D3" s="2"/>
      <c r="E3" s="2"/>
      <c r="F3" s="2"/>
      <c r="G3" s="2"/>
      <c r="H3" s="2"/>
      <c r="I3" s="2"/>
      <c r="J3" s="2"/>
    </row>
    <row r="4" spans="1:10" s="8" customFormat="1" ht="12" customHeight="1" x14ac:dyDescent="0.2">
      <c r="H4" s="9"/>
    </row>
    <row r="5" spans="1:10" s="8" customFormat="1" ht="12" customHeight="1" x14ac:dyDescent="0.2">
      <c r="H5" s="9"/>
    </row>
    <row r="6" spans="1:10" s="8" customFormat="1" ht="12" customHeight="1" x14ac:dyDescent="0.2">
      <c r="H6" s="9"/>
    </row>
    <row r="7" spans="1:10" s="8" customFormat="1" ht="12" customHeight="1" x14ac:dyDescent="0.2">
      <c r="H7" s="9"/>
    </row>
    <row r="8" spans="1:10" s="8" customFormat="1" ht="12" customHeight="1" x14ac:dyDescent="0.2">
      <c r="H8" s="9"/>
    </row>
    <row r="9" spans="1:10" s="8" customFormat="1" ht="12" customHeight="1" x14ac:dyDescent="0.2">
      <c r="H9" s="9"/>
    </row>
    <row r="10" spans="1:10" s="8" customFormat="1" ht="12" customHeight="1" x14ac:dyDescent="0.2">
      <c r="E10" s="10"/>
      <c r="H10" s="9"/>
    </row>
    <row r="11" spans="1:10" ht="12" customHeight="1" x14ac:dyDescent="0.2">
      <c r="A11" s="14"/>
      <c r="B11" s="14"/>
      <c r="C11" s="14" t="s">
        <v>5</v>
      </c>
      <c r="D11" s="14"/>
      <c r="E11" s="14"/>
      <c r="F11" s="14"/>
      <c r="G11" s="14"/>
      <c r="H11" s="14"/>
      <c r="I11" s="14"/>
      <c r="J11" s="14"/>
    </row>
    <row r="12" spans="1:10" s="15" customFormat="1" ht="12" customHeight="1" x14ac:dyDescent="0.2">
      <c r="A12" s="29"/>
      <c r="B12" s="29"/>
      <c r="C12" s="29"/>
      <c r="D12" s="29"/>
      <c r="E12" s="29"/>
      <c r="F12" s="29"/>
      <c r="G12" s="29"/>
      <c r="H12" s="29"/>
      <c r="I12" s="29"/>
      <c r="J12" s="29"/>
    </row>
    <row r="13" spans="1:10" ht="12" customHeight="1" x14ac:dyDescent="0.2">
      <c r="A13" s="28"/>
      <c r="B13" s="28"/>
      <c r="C13" s="10"/>
      <c r="D13" s="28"/>
      <c r="E13" s="31"/>
      <c r="F13" s="28"/>
      <c r="G13" s="28"/>
      <c r="H13" s="28"/>
      <c r="I13" s="28"/>
      <c r="J13" s="28"/>
    </row>
    <row r="14" spans="1:10" ht="12" customHeight="1" x14ac:dyDescent="0.2">
      <c r="A14" s="28"/>
      <c r="B14" s="28"/>
      <c r="C14" s="28"/>
      <c r="D14" s="28" t="s">
        <v>6</v>
      </c>
      <c r="E14" s="31"/>
      <c r="F14" s="28"/>
      <c r="G14" s="28"/>
      <c r="H14" s="32"/>
      <c r="I14" s="27">
        <v>1000</v>
      </c>
      <c r="J14" s="28"/>
    </row>
    <row r="15" spans="1:10" ht="12" customHeight="1" x14ac:dyDescent="0.2">
      <c r="A15" s="28"/>
      <c r="B15" s="28"/>
      <c r="C15" s="28"/>
      <c r="D15" s="28"/>
      <c r="E15" s="31"/>
      <c r="F15" s="28"/>
      <c r="G15" s="28"/>
      <c r="H15" s="32"/>
      <c r="I15" s="28"/>
      <c r="J15" s="28"/>
    </row>
    <row r="16" spans="1:10" ht="12" customHeight="1" x14ac:dyDescent="0.2">
      <c r="A16" s="28"/>
      <c r="B16" s="28"/>
      <c r="C16" s="28"/>
      <c r="D16" s="28" t="s">
        <v>7</v>
      </c>
      <c r="E16" s="31"/>
      <c r="F16" s="28"/>
      <c r="G16" s="28"/>
      <c r="H16" s="32"/>
      <c r="I16" s="33">
        <v>1000</v>
      </c>
      <c r="J16" s="28"/>
    </row>
    <row r="17" spans="1:10" ht="12" customHeight="1" x14ac:dyDescent="0.2">
      <c r="A17" s="28"/>
      <c r="B17" s="28"/>
      <c r="C17" s="28"/>
      <c r="D17" s="28"/>
      <c r="E17" s="31"/>
      <c r="F17" s="28"/>
      <c r="G17" s="28"/>
      <c r="H17" s="28"/>
      <c r="I17" s="28"/>
      <c r="J17" s="28"/>
    </row>
    <row r="18" spans="1:10" ht="12" customHeight="1" x14ac:dyDescent="0.2">
      <c r="A18" s="28"/>
      <c r="B18" s="28"/>
      <c r="C18" s="28"/>
      <c r="D18" s="28" t="s">
        <v>8</v>
      </c>
      <c r="E18" s="31"/>
      <c r="F18" s="28"/>
      <c r="G18" s="28"/>
      <c r="H18" s="28"/>
      <c r="I18" s="19">
        <v>0.5</v>
      </c>
      <c r="J18" s="28"/>
    </row>
    <row r="19" spans="1:10" ht="12" customHeight="1" x14ac:dyDescent="0.2">
      <c r="A19" s="28"/>
      <c r="B19" s="28"/>
      <c r="C19" s="28"/>
      <c r="D19" s="28"/>
      <c r="E19" s="31"/>
      <c r="F19" s="28"/>
      <c r="G19" s="28"/>
      <c r="H19" s="28"/>
      <c r="I19" s="28"/>
      <c r="J19" s="28"/>
    </row>
    <row r="20" spans="1:10" ht="12" customHeight="1" x14ac:dyDescent="0.2">
      <c r="A20" s="28"/>
      <c r="B20" s="28"/>
      <c r="C20" s="28"/>
      <c r="D20" s="28" t="s">
        <v>9</v>
      </c>
      <c r="E20" s="31"/>
      <c r="F20" s="28"/>
      <c r="G20" s="28"/>
      <c r="H20" s="28"/>
      <c r="I20" s="34">
        <v>42369</v>
      </c>
      <c r="J20" s="28"/>
    </row>
    <row r="21" spans="1:10" ht="12" customHeight="1" x14ac:dyDescent="0.2">
      <c r="A21" s="28"/>
      <c r="B21" s="28"/>
      <c r="C21" s="28"/>
      <c r="D21" s="28"/>
      <c r="E21" s="31"/>
      <c r="F21" s="28"/>
      <c r="G21" s="28"/>
      <c r="H21" s="28"/>
      <c r="I21" s="28"/>
      <c r="J21" s="28"/>
    </row>
    <row r="22" spans="1:10" ht="12" customHeight="1" x14ac:dyDescent="0.2">
      <c r="A22" s="28"/>
      <c r="B22" s="28"/>
      <c r="C22" s="28"/>
      <c r="D22" s="28" t="s">
        <v>10</v>
      </c>
      <c r="E22" s="31"/>
      <c r="F22" s="28"/>
      <c r="G22" s="28"/>
      <c r="H22" s="28"/>
      <c r="I22" s="8">
        <v>1000</v>
      </c>
      <c r="J22" s="28"/>
    </row>
    <row r="23" spans="1:10" ht="12" customHeight="1" x14ac:dyDescent="0.2">
      <c r="A23" s="28"/>
      <c r="B23" s="28"/>
      <c r="C23" s="28"/>
      <c r="D23" s="28"/>
      <c r="E23" s="31"/>
      <c r="F23" s="28"/>
      <c r="G23" s="28"/>
      <c r="H23" s="28"/>
      <c r="I23" s="28"/>
      <c r="J23" s="28"/>
    </row>
    <row r="24" spans="1:10" ht="12" customHeight="1" x14ac:dyDescent="0.2">
      <c r="A24" s="28"/>
      <c r="B24" s="28"/>
      <c r="C24" s="28"/>
      <c r="D24" s="28" t="s">
        <v>22</v>
      </c>
      <c r="E24" s="31"/>
      <c r="F24" s="28"/>
      <c r="G24" s="28"/>
      <c r="H24" s="28"/>
      <c r="I24" s="8">
        <v>-1000</v>
      </c>
      <c r="J24" s="28"/>
    </row>
    <row r="25" spans="1:10" ht="12" customHeight="1" x14ac:dyDescent="0.2">
      <c r="A25" s="28"/>
      <c r="B25" s="28"/>
      <c r="C25" s="28"/>
      <c r="D25" s="28"/>
      <c r="E25" s="31"/>
      <c r="F25" s="28"/>
      <c r="G25" s="28"/>
      <c r="H25" s="28"/>
      <c r="I25" s="28"/>
      <c r="J25" s="28"/>
    </row>
    <row r="26" spans="1:10" ht="12" customHeight="1" x14ac:dyDescent="0.2">
      <c r="A26" s="28"/>
      <c r="B26" s="28"/>
      <c r="C26" s="28"/>
      <c r="D26" s="28" t="s">
        <v>11</v>
      </c>
      <c r="E26" s="31"/>
      <c r="F26" s="28"/>
      <c r="G26" s="28"/>
      <c r="H26" s="28"/>
      <c r="I26" s="28">
        <v>1000</v>
      </c>
      <c r="J26" s="28"/>
    </row>
    <row r="27" spans="1:10" ht="12" customHeight="1" x14ac:dyDescent="0.2">
      <c r="A27" s="28"/>
      <c r="B27" s="28"/>
      <c r="C27" s="28"/>
      <c r="D27" s="28"/>
      <c r="E27" s="31"/>
      <c r="F27" s="28"/>
      <c r="G27" s="28"/>
      <c r="H27" s="28"/>
      <c r="I27" s="28"/>
      <c r="J27" s="28"/>
    </row>
    <row r="28" spans="1:10" ht="12" customHeight="1" x14ac:dyDescent="0.2">
      <c r="A28" s="28"/>
      <c r="B28" s="28"/>
      <c r="C28" s="28"/>
      <c r="D28" s="28" t="s">
        <v>12</v>
      </c>
      <c r="E28" s="31"/>
      <c r="F28" s="28"/>
      <c r="G28" s="28"/>
      <c r="H28" s="28"/>
      <c r="I28" s="22">
        <v>0.5</v>
      </c>
      <c r="J28" s="28"/>
    </row>
    <row r="29" spans="1:10" ht="12" customHeight="1" x14ac:dyDescent="0.2">
      <c r="A29" s="28"/>
      <c r="B29" s="28"/>
      <c r="C29" s="28"/>
      <c r="D29" s="28"/>
      <c r="E29" s="31"/>
      <c r="F29" s="28"/>
      <c r="G29" s="28"/>
      <c r="H29" s="28"/>
      <c r="I29" s="28"/>
      <c r="J29" s="28"/>
    </row>
    <row r="30" spans="1:10" ht="12" customHeight="1" x14ac:dyDescent="0.2">
      <c r="A30" s="28"/>
      <c r="B30" s="28"/>
      <c r="C30" s="28"/>
      <c r="D30" s="28" t="s">
        <v>23</v>
      </c>
      <c r="E30" s="31"/>
      <c r="F30" s="28"/>
      <c r="G30" s="28"/>
      <c r="H30" s="28"/>
      <c r="I30" s="30">
        <v>0</v>
      </c>
      <c r="J30" s="28"/>
    </row>
    <row r="31" spans="1:10" ht="12" customHeight="1" x14ac:dyDescent="0.2">
      <c r="A31" s="28"/>
      <c r="B31" s="28"/>
      <c r="C31" s="28"/>
      <c r="D31" s="28"/>
      <c r="E31" s="31"/>
      <c r="F31" s="28"/>
      <c r="G31" s="28"/>
      <c r="H31" s="28"/>
      <c r="I31" s="28"/>
      <c r="J31" s="28"/>
    </row>
    <row r="32" spans="1:10" ht="12" customHeight="1" x14ac:dyDescent="0.2">
      <c r="A32" s="28"/>
      <c r="B32" s="28"/>
      <c r="C32" s="28"/>
      <c r="D32" s="28" t="s">
        <v>13</v>
      </c>
      <c r="E32" s="31"/>
      <c r="F32" s="28"/>
      <c r="G32" s="28"/>
      <c r="H32" s="28"/>
      <c r="I32" s="11">
        <v>42369</v>
      </c>
      <c r="J32" s="28"/>
    </row>
    <row r="33" spans="1:10" ht="12" customHeight="1" x14ac:dyDescent="0.2">
      <c r="A33" s="28"/>
      <c r="B33" s="28"/>
      <c r="C33" s="28"/>
      <c r="D33" s="28"/>
      <c r="E33" s="31"/>
      <c r="F33" s="28"/>
      <c r="G33" s="28"/>
      <c r="H33" s="28"/>
      <c r="I33" s="28"/>
      <c r="J33" s="28"/>
    </row>
    <row r="34" spans="1:10" ht="12" customHeight="1" x14ac:dyDescent="0.2">
      <c r="A34" s="28"/>
      <c r="B34" s="28"/>
      <c r="C34" s="28"/>
      <c r="D34" s="28" t="s">
        <v>20</v>
      </c>
      <c r="E34" s="31"/>
      <c r="F34" s="28"/>
      <c r="G34" s="28"/>
      <c r="H34" s="28"/>
      <c r="I34" s="23" t="s">
        <v>21</v>
      </c>
      <c r="J34" s="28"/>
    </row>
    <row r="35" spans="1:10" ht="12" customHeight="1" x14ac:dyDescent="0.2">
      <c r="A35" s="28"/>
      <c r="B35" s="28"/>
      <c r="C35" s="28"/>
      <c r="D35" s="28"/>
      <c r="E35" s="31"/>
      <c r="F35" s="28"/>
      <c r="G35" s="28"/>
      <c r="H35" s="28"/>
      <c r="I35" s="28"/>
      <c r="J35" s="28"/>
    </row>
    <row r="36" spans="1:10" ht="12" customHeight="1" x14ac:dyDescent="0.2">
      <c r="A36" s="28"/>
      <c r="B36" s="28"/>
      <c r="C36" s="28"/>
      <c r="D36" s="28" t="s">
        <v>14</v>
      </c>
      <c r="E36" s="31"/>
      <c r="F36" s="28"/>
      <c r="G36" s="28"/>
      <c r="H36" s="28"/>
      <c r="I36" s="32" t="s">
        <v>3</v>
      </c>
      <c r="J36" s="28"/>
    </row>
    <row r="37" spans="1:10" ht="12" customHeight="1" x14ac:dyDescent="0.2">
      <c r="A37" s="28"/>
      <c r="B37" s="28"/>
      <c r="C37" s="28"/>
      <c r="D37" s="28"/>
      <c r="E37" s="31"/>
      <c r="F37" s="28"/>
      <c r="G37" s="28"/>
      <c r="H37" s="28"/>
      <c r="I37" s="28"/>
      <c r="J37" s="28"/>
    </row>
    <row r="38" spans="1:10" ht="12" customHeight="1" x14ac:dyDescent="0.2">
      <c r="A38" s="28"/>
      <c r="B38" s="28"/>
      <c r="C38" s="28"/>
      <c r="D38" s="28" t="s">
        <v>15</v>
      </c>
      <c r="E38" s="31"/>
      <c r="F38" s="28"/>
      <c r="G38" s="28"/>
      <c r="H38" s="28"/>
      <c r="I38" s="20">
        <v>1000</v>
      </c>
      <c r="J38" s="28"/>
    </row>
    <row r="39" spans="1:10" ht="12" customHeight="1" x14ac:dyDescent="0.2">
      <c r="A39" s="28"/>
      <c r="B39" s="28"/>
      <c r="C39" s="28"/>
      <c r="D39" s="28"/>
      <c r="E39" s="31"/>
      <c r="F39" s="28"/>
      <c r="G39" s="28"/>
      <c r="H39" s="28"/>
      <c r="I39" s="28"/>
      <c r="J39" s="28"/>
    </row>
    <row r="40" spans="1:10" ht="12" customHeight="1" x14ac:dyDescent="0.2">
      <c r="A40" s="28"/>
      <c r="B40" s="28"/>
      <c r="C40" s="28"/>
      <c r="D40" s="28" t="s">
        <v>16</v>
      </c>
      <c r="E40" s="31"/>
      <c r="F40" s="28"/>
      <c r="G40" s="28"/>
      <c r="H40" s="28"/>
      <c r="I40" s="10" t="s">
        <v>17</v>
      </c>
      <c r="J40" s="28"/>
    </row>
    <row r="41" spans="1:10" ht="12" customHeight="1" x14ac:dyDescent="0.2">
      <c r="A41" s="28"/>
      <c r="B41" s="28"/>
      <c r="C41" s="28"/>
      <c r="D41" s="28"/>
      <c r="E41" s="31"/>
      <c r="F41" s="28"/>
      <c r="G41" s="28"/>
      <c r="H41" s="28"/>
      <c r="I41" s="28"/>
      <c r="J41" s="28"/>
    </row>
    <row r="42" spans="1:10" ht="12" customHeight="1" x14ac:dyDescent="0.2">
      <c r="A42" s="28"/>
      <c r="B42" s="28"/>
      <c r="C42" s="28"/>
      <c r="D42" s="28" t="s">
        <v>2</v>
      </c>
      <c r="E42" s="31"/>
      <c r="F42" s="28"/>
      <c r="G42" s="28"/>
      <c r="H42" s="28"/>
      <c r="I42" s="24">
        <v>1000</v>
      </c>
      <c r="J42" s="28"/>
    </row>
    <row r="43" spans="1:10" ht="12" customHeight="1" x14ac:dyDescent="0.2">
      <c r="A43" s="28"/>
      <c r="B43" s="28"/>
      <c r="C43" s="28"/>
      <c r="D43" s="28"/>
      <c r="E43" s="31"/>
      <c r="F43" s="28"/>
      <c r="G43" s="28"/>
      <c r="H43" s="28"/>
      <c r="I43" s="28"/>
      <c r="J43" s="28"/>
    </row>
    <row r="44" spans="1:10" ht="12" customHeight="1" x14ac:dyDescent="0.25">
      <c r="A44" s="28"/>
      <c r="B44" s="28"/>
      <c r="C44" s="28"/>
      <c r="D44" s="28" t="s">
        <v>18</v>
      </c>
      <c r="E44" s="31"/>
      <c r="F44" s="28"/>
      <c r="G44" s="28"/>
      <c r="H44" s="28"/>
      <c r="I44" s="1" t="s">
        <v>17</v>
      </c>
      <c r="J44" s="28"/>
    </row>
    <row r="45" spans="1:10" ht="12" customHeight="1" x14ac:dyDescent="0.2">
      <c r="A45" s="28"/>
      <c r="B45" s="28"/>
      <c r="C45" s="28"/>
      <c r="D45" s="28"/>
      <c r="E45" s="31"/>
      <c r="F45" s="28"/>
      <c r="G45" s="28"/>
      <c r="H45" s="28"/>
      <c r="I45" s="28"/>
      <c r="J45" s="28"/>
    </row>
    <row r="46" spans="1:10" ht="12" customHeight="1" x14ac:dyDescent="0.2">
      <c r="A46" s="28"/>
      <c r="B46" s="28"/>
      <c r="C46" s="28"/>
      <c r="D46" s="28" t="s">
        <v>19</v>
      </c>
      <c r="E46" s="31"/>
      <c r="F46" s="28"/>
      <c r="G46" s="28"/>
      <c r="H46" s="28"/>
      <c r="I46" s="14" t="s">
        <v>17</v>
      </c>
      <c r="J46" s="28"/>
    </row>
    <row r="47" spans="1:10" ht="12" customHeight="1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</row>
    <row r="48" spans="1:10" ht="12" customHeight="1" x14ac:dyDescent="0.2">
      <c r="A48" s="14"/>
      <c r="B48" s="14"/>
      <c r="C48" s="14" t="s">
        <v>1</v>
      </c>
      <c r="D48" s="14"/>
      <c r="E48" s="14"/>
      <c r="F48" s="14"/>
      <c r="G48" s="14"/>
      <c r="H48" s="14"/>
      <c r="I48" s="14"/>
      <c r="J48" s="14"/>
    </row>
    <row r="49" ht="12" customHeight="1" x14ac:dyDescent="0.2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outlinePr summaryBelow="0"/>
  </sheetPr>
  <dimension ref="A1:Z63"/>
  <sheetViews>
    <sheetView showGridLines="0" zoomScaleNormal="100" zoomScalePageLayoutView="85" workbookViewId="0">
      <pane ySplit="7" topLeftCell="A8" activePane="bottomLeft" state="frozen"/>
      <selection pane="bottomLeft" activeCell="A4" sqref="A4"/>
    </sheetView>
  </sheetViews>
  <sheetFormatPr defaultColWidth="8.85546875" defaultRowHeight="12.75" x14ac:dyDescent="0.2"/>
  <cols>
    <col min="1" max="1" width="7.28515625" style="3" customWidth="1"/>
    <col min="2" max="2" width="4.7109375" style="3" customWidth="1"/>
    <col min="3" max="3" width="3.7109375" style="17" customWidth="1"/>
    <col min="4" max="4" width="40.7109375" style="17" customWidth="1"/>
    <col min="5" max="7" width="12.7109375" style="3" customWidth="1"/>
    <col min="8" max="8" width="12.7109375" style="18" customWidth="1"/>
    <col min="9" max="26" width="12.7109375" style="3" customWidth="1"/>
    <col min="27" max="16384" width="8.85546875" style="3"/>
  </cols>
  <sheetData>
    <row r="1" spans="1:26" ht="23.25" x14ac:dyDescent="0.35">
      <c r="A1" s="21" t="str">
        <f>Formats!A1</f>
        <v>ModelOff 2015 - Finals - Section 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5" customFormat="1" ht="18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" customHeight="1" x14ac:dyDescent="0.25">
      <c r="A3" s="6">
        <v>0</v>
      </c>
      <c r="B3" s="2"/>
      <c r="C3" s="7" t="s">
        <v>44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s="8" customFormat="1" ht="12" customHeight="1" x14ac:dyDescent="0.2"/>
    <row r="5" spans="1:26" s="8" customFormat="1" ht="12" customHeight="1" x14ac:dyDescent="0.2"/>
    <row r="6" spans="1:26" s="8" customFormat="1" ht="12" customHeight="1" x14ac:dyDescent="0.2"/>
    <row r="7" spans="1:26" s="8" customFormat="1" ht="12" customHeight="1" x14ac:dyDescent="0.2"/>
    <row r="8" spans="1:26" s="8" customFormat="1" ht="12" customHeight="1" x14ac:dyDescent="0.2"/>
    <row r="9" spans="1:26" s="8" customFormat="1" ht="12" customHeight="1" x14ac:dyDescent="0.2">
      <c r="F9" s="9" t="s">
        <v>0</v>
      </c>
    </row>
    <row r="10" spans="1:26" s="8" customFormat="1" ht="12" customHeight="1" x14ac:dyDescent="0.2"/>
    <row r="11" spans="1:26" ht="12" customHeight="1" x14ac:dyDescent="0.2">
      <c r="A11" s="14">
        <f>MAX(A$3:A10)+0.01</f>
        <v>0.01</v>
      </c>
      <c r="B11" s="14"/>
      <c r="C11" s="14" t="s">
        <v>44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s="15" customFormat="1" ht="12" customHeight="1" x14ac:dyDescent="0.2">
      <c r="A12" s="12"/>
      <c r="B12" s="12"/>
      <c r="C12" s="26"/>
      <c r="D12" s="12"/>
      <c r="E12" s="12"/>
      <c r="F12" s="13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s="15" customFormat="1" ht="12" customHeight="1" x14ac:dyDescent="0.2">
      <c r="A13" s="12"/>
      <c r="B13" s="12"/>
      <c r="C13" s="26" t="s">
        <v>45</v>
      </c>
      <c r="D13" s="12"/>
      <c r="E13" s="12"/>
      <c r="F13" s="13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s="15" customFormat="1" ht="12" customHeight="1" x14ac:dyDescent="0.2">
      <c r="A14" s="12"/>
      <c r="B14" s="12"/>
      <c r="C14" s="26"/>
      <c r="D14" s="36" t="s">
        <v>58</v>
      </c>
      <c r="E14" s="36" t="s">
        <v>59</v>
      </c>
      <c r="F14" s="13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s="15" customFormat="1" ht="12" customHeight="1" x14ac:dyDescent="0.2">
      <c r="A15" s="12"/>
      <c r="B15" s="12"/>
      <c r="C15" s="26"/>
      <c r="D15" s="12" t="s">
        <v>46</v>
      </c>
      <c r="E15" s="12" t="s">
        <v>47</v>
      </c>
      <c r="F15" s="13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s="15" customFormat="1" ht="12" customHeight="1" x14ac:dyDescent="0.2">
      <c r="A16" s="12"/>
      <c r="B16" s="12"/>
      <c r="C16" s="26"/>
      <c r="D16" s="20" t="s">
        <v>48</v>
      </c>
      <c r="E16" s="20" t="s">
        <v>53</v>
      </c>
      <c r="F16" s="13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s="15" customFormat="1" ht="12" customHeight="1" x14ac:dyDescent="0.2">
      <c r="A17" s="12"/>
      <c r="B17" s="12"/>
      <c r="C17" s="26"/>
      <c r="D17" s="20" t="s">
        <v>49</v>
      </c>
      <c r="E17" s="20" t="s">
        <v>54</v>
      </c>
      <c r="F17" s="13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s="15" customFormat="1" ht="12" customHeight="1" x14ac:dyDescent="0.2">
      <c r="A18" s="12"/>
      <c r="B18" s="12"/>
      <c r="C18" s="26"/>
      <c r="D18" s="20" t="s">
        <v>50</v>
      </c>
      <c r="E18" s="20" t="s">
        <v>55</v>
      </c>
      <c r="F18" s="1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s="15" customFormat="1" ht="12" customHeight="1" x14ac:dyDescent="0.2">
      <c r="A19" s="12"/>
      <c r="B19" s="12"/>
      <c r="C19" s="26"/>
      <c r="D19" s="20" t="s">
        <v>51</v>
      </c>
      <c r="E19" s="20" t="s">
        <v>57</v>
      </c>
      <c r="F19" s="13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s="15" customFormat="1" ht="12" customHeight="1" x14ac:dyDescent="0.2">
      <c r="A20" s="12"/>
      <c r="B20" s="12"/>
      <c r="C20" s="26"/>
      <c r="D20" s="20" t="s">
        <v>52</v>
      </c>
      <c r="E20" s="20" t="s">
        <v>56</v>
      </c>
      <c r="F20" s="13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s="15" customFormat="1" ht="12" customHeight="1" x14ac:dyDescent="0.2">
      <c r="A21" s="12"/>
      <c r="B21" s="12"/>
      <c r="C21" s="26"/>
      <c r="D21" s="12"/>
      <c r="E21" s="12"/>
      <c r="F21" s="13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s="15" customFormat="1" ht="12" customHeight="1" x14ac:dyDescent="0.2">
      <c r="A22" s="12"/>
      <c r="B22" s="12"/>
      <c r="C22" s="26"/>
      <c r="D22" s="12"/>
      <c r="E22" s="12"/>
      <c r="F22" s="13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s="15" customFormat="1" ht="12" customHeight="1" x14ac:dyDescent="0.2">
      <c r="A23" s="12"/>
      <c r="B23" s="12"/>
      <c r="C23" s="26"/>
      <c r="D23" s="12"/>
      <c r="E23" s="12"/>
      <c r="F23" s="13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s="15" customFormat="1" ht="12" customHeight="1" x14ac:dyDescent="0.2">
      <c r="A24" s="12"/>
      <c r="B24" s="12"/>
      <c r="C24" s="26"/>
      <c r="D24" s="12"/>
      <c r="E24" s="12"/>
      <c r="F24" s="1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s="15" customFormat="1" ht="12" customHeight="1" x14ac:dyDescent="0.2">
      <c r="A25" s="12"/>
      <c r="B25" s="12"/>
      <c r="C25" s="26"/>
      <c r="D25" s="12"/>
      <c r="E25" s="12"/>
      <c r="F25" s="13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s="15" customFormat="1" ht="12" customHeight="1" x14ac:dyDescent="0.2">
      <c r="A26" s="12"/>
      <c r="B26" s="12"/>
      <c r="C26" s="26"/>
      <c r="D26" s="12"/>
      <c r="E26" s="12"/>
      <c r="F26" s="13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s="15" customFormat="1" ht="12" customHeight="1" x14ac:dyDescent="0.2">
      <c r="A27" s="12"/>
      <c r="B27" s="12"/>
      <c r="C27" s="26"/>
      <c r="D27" s="12"/>
      <c r="E27" s="12"/>
      <c r="F27" s="1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s="15" customFormat="1" ht="12" customHeight="1" x14ac:dyDescent="0.2">
      <c r="A28" s="12"/>
      <c r="B28" s="12"/>
      <c r="C28" s="26"/>
      <c r="D28" s="12"/>
      <c r="E28" s="12"/>
      <c r="F28" s="1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s="15" customFormat="1" ht="12" customHeight="1" x14ac:dyDescent="0.2">
      <c r="A29" s="12"/>
      <c r="B29" s="12"/>
      <c r="C29" s="26"/>
      <c r="D29" s="12"/>
      <c r="E29" s="12"/>
      <c r="F29" s="13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s="15" customFormat="1" ht="12" customHeight="1" x14ac:dyDescent="0.2">
      <c r="A30" s="12"/>
      <c r="B30" s="12"/>
      <c r="C30" s="26"/>
      <c r="D30" s="12"/>
      <c r="E30" s="12"/>
      <c r="F30" s="13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s="15" customFormat="1" ht="12" customHeight="1" x14ac:dyDescent="0.2">
      <c r="A31" s="12"/>
      <c r="B31" s="12"/>
      <c r="C31" s="26"/>
      <c r="D31" s="12"/>
      <c r="E31" s="12"/>
      <c r="F31" s="1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s="15" customFormat="1" ht="12" customHeight="1" x14ac:dyDescent="0.2">
      <c r="A32" s="12"/>
      <c r="B32" s="12"/>
      <c r="C32" s="26"/>
      <c r="D32" s="12"/>
      <c r="E32" s="12"/>
      <c r="F32" s="13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s="15" customFormat="1" ht="12" customHeight="1" x14ac:dyDescent="0.2">
      <c r="A33" s="12"/>
      <c r="B33" s="12"/>
      <c r="C33" s="26"/>
      <c r="D33" s="12"/>
      <c r="E33" s="12"/>
      <c r="F33" s="13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s="15" customFormat="1" ht="12" customHeight="1" x14ac:dyDescent="0.2">
      <c r="A34" s="12"/>
      <c r="B34" s="12"/>
      <c r="C34" s="26"/>
      <c r="D34" s="12"/>
      <c r="E34" s="12"/>
      <c r="F34" s="13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s="15" customFormat="1" ht="12" customHeight="1" x14ac:dyDescent="0.2">
      <c r="A35" s="12"/>
      <c r="B35" s="12"/>
      <c r="C35" s="26"/>
      <c r="D35" s="12"/>
      <c r="E35" s="12"/>
      <c r="F35" s="13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s="15" customFormat="1" ht="12" customHeight="1" x14ac:dyDescent="0.2">
      <c r="A36" s="12"/>
      <c r="B36" s="12"/>
      <c r="C36" s="26"/>
      <c r="D36" s="12"/>
      <c r="E36" s="12"/>
      <c r="F36" s="13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s="15" customFormat="1" ht="12" customHeight="1" x14ac:dyDescent="0.2">
      <c r="A37" s="12"/>
      <c r="B37" s="12"/>
      <c r="C37" s="26"/>
      <c r="D37" s="12"/>
      <c r="E37" s="12"/>
      <c r="F37" s="13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s="15" customFormat="1" ht="12" customHeight="1" x14ac:dyDescent="0.2">
      <c r="A38" s="12"/>
      <c r="B38" s="12"/>
      <c r="C38" s="26"/>
      <c r="D38" s="12"/>
      <c r="E38" s="12"/>
      <c r="F38" s="13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s="15" customFormat="1" ht="12" customHeight="1" x14ac:dyDescent="0.2">
      <c r="A39" s="12"/>
      <c r="B39" s="12"/>
      <c r="C39" s="26"/>
      <c r="D39" s="12"/>
      <c r="E39" s="12"/>
      <c r="F39" s="13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s="15" customFormat="1" ht="12" customHeight="1" x14ac:dyDescent="0.2">
      <c r="A40" s="12"/>
      <c r="B40" s="12"/>
      <c r="C40" s="26"/>
      <c r="D40" s="12"/>
      <c r="E40" s="12"/>
      <c r="F40" s="13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s="15" customFormat="1" ht="12" customHeight="1" x14ac:dyDescent="0.2">
      <c r="A41" s="12"/>
      <c r="B41" s="12"/>
      <c r="C41" s="26"/>
      <c r="D41" s="12"/>
      <c r="E41" s="12"/>
      <c r="F41" s="13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s="15" customFormat="1" ht="12" customHeight="1" x14ac:dyDescent="0.2">
      <c r="A42" s="12"/>
      <c r="B42" s="12"/>
      <c r="C42" s="26"/>
      <c r="D42" s="12"/>
      <c r="E42" s="12"/>
      <c r="F42" s="13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s="15" customFormat="1" ht="12" customHeight="1" x14ac:dyDescent="0.2">
      <c r="A43" s="12"/>
      <c r="B43" s="12"/>
      <c r="C43" s="26"/>
      <c r="D43" s="12"/>
      <c r="E43" s="12"/>
      <c r="F43" s="13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s="15" customFormat="1" ht="12" customHeight="1" x14ac:dyDescent="0.2">
      <c r="A44" s="12"/>
      <c r="B44" s="12"/>
      <c r="C44" s="26"/>
      <c r="D44" s="12"/>
      <c r="E44" s="12"/>
      <c r="F44" s="13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s="15" customFormat="1" ht="12" customHeight="1" x14ac:dyDescent="0.2">
      <c r="A45" s="12"/>
      <c r="B45" s="12"/>
      <c r="C45" s="26"/>
      <c r="D45" s="12"/>
      <c r="E45" s="12"/>
      <c r="F45" s="13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s="15" customFormat="1" ht="12" customHeight="1" x14ac:dyDescent="0.2">
      <c r="A46" s="12"/>
      <c r="B46" s="12"/>
      <c r="C46" s="26"/>
      <c r="D46" s="12"/>
      <c r="E46" s="12"/>
      <c r="F46" s="13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s="15" customFormat="1" ht="12" customHeight="1" x14ac:dyDescent="0.2">
      <c r="A47" s="12"/>
      <c r="B47" s="12"/>
      <c r="C47" s="26"/>
      <c r="D47" s="12"/>
      <c r="E47" s="12"/>
      <c r="F47" s="13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s="15" customFormat="1" ht="12" customHeight="1" x14ac:dyDescent="0.2">
      <c r="A48" s="12"/>
      <c r="B48" s="12"/>
      <c r="C48" s="26"/>
      <c r="D48" s="12"/>
      <c r="E48" s="12"/>
      <c r="F48" s="13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s="15" customFormat="1" ht="12" customHeight="1" x14ac:dyDescent="0.2">
      <c r="A49" s="12"/>
      <c r="B49" s="12"/>
      <c r="C49" s="26"/>
      <c r="D49" s="12"/>
      <c r="E49" s="12"/>
      <c r="F49" s="13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s="15" customFormat="1" ht="12" customHeight="1" x14ac:dyDescent="0.2">
      <c r="A50" s="12"/>
      <c r="B50" s="12"/>
      <c r="C50" s="26"/>
      <c r="D50" s="12"/>
      <c r="E50" s="12"/>
      <c r="F50" s="13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s="15" customFormat="1" ht="12" customHeight="1" x14ac:dyDescent="0.2">
      <c r="A51" s="12"/>
      <c r="B51" s="12"/>
      <c r="C51" s="26"/>
      <c r="D51" s="12"/>
      <c r="E51" s="12"/>
      <c r="F51" s="13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s="15" customFormat="1" ht="12" customHeight="1" x14ac:dyDescent="0.2">
      <c r="A52" s="12"/>
      <c r="B52" s="12"/>
      <c r="C52" s="26"/>
      <c r="D52" s="12"/>
      <c r="E52" s="12"/>
      <c r="F52" s="13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s="15" customFormat="1" ht="12" customHeight="1" x14ac:dyDescent="0.2">
      <c r="A53" s="12"/>
      <c r="B53" s="12"/>
      <c r="C53" s="26"/>
      <c r="D53" s="12"/>
      <c r="E53" s="12"/>
      <c r="F53" s="13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s="15" customFormat="1" ht="12" customHeight="1" x14ac:dyDescent="0.2">
      <c r="A54" s="12"/>
      <c r="B54" s="12"/>
      <c r="C54" s="26"/>
      <c r="D54" s="12"/>
      <c r="E54" s="12"/>
      <c r="F54" s="13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s="15" customFormat="1" ht="12" customHeight="1" x14ac:dyDescent="0.2">
      <c r="A55" s="12"/>
      <c r="B55" s="12"/>
      <c r="C55" s="26"/>
      <c r="D55" s="12"/>
      <c r="E55" s="12"/>
      <c r="F55" s="13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s="15" customFormat="1" ht="12" customHeight="1" x14ac:dyDescent="0.2">
      <c r="A56" s="12"/>
      <c r="B56" s="12"/>
      <c r="C56" s="26"/>
      <c r="D56" s="12"/>
      <c r="E56" s="12"/>
      <c r="F56" s="13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s="15" customFormat="1" ht="12" customHeight="1" x14ac:dyDescent="0.2">
      <c r="A57" s="12"/>
      <c r="B57" s="12"/>
      <c r="C57" s="26"/>
      <c r="D57" s="12"/>
      <c r="E57" s="12"/>
      <c r="F57" s="13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s="15" customFormat="1" ht="12" customHeight="1" x14ac:dyDescent="0.2">
      <c r="A58" s="12"/>
      <c r="B58" s="12"/>
      <c r="C58" s="26"/>
      <c r="D58" s="12"/>
      <c r="E58" s="12"/>
      <c r="F58" s="13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2" customHeight="1" x14ac:dyDescent="0.2">
      <c r="A59" s="8"/>
      <c r="B59" s="8"/>
      <c r="C59" s="10"/>
      <c r="D59" s="8"/>
      <c r="E59" s="16"/>
      <c r="F59" s="9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2" customHeight="1" x14ac:dyDescent="0.2">
      <c r="A60" s="8"/>
      <c r="B60" s="8"/>
      <c r="C60" s="10"/>
      <c r="D60" s="8"/>
      <c r="E60" s="8"/>
      <c r="F60" s="9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2" customHeight="1" x14ac:dyDescent="0.2">
      <c r="A61" s="8"/>
      <c r="B61" s="8"/>
      <c r="C61" s="10"/>
      <c r="D61" s="8"/>
      <c r="E61" s="8"/>
      <c r="F61" s="9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2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2" customHeight="1" x14ac:dyDescent="0.2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outlinePr summaryBelow="0"/>
  </sheetPr>
  <dimension ref="A1:M84"/>
  <sheetViews>
    <sheetView showGridLines="0" zoomScaleNormal="100" zoomScalePageLayoutView="85" workbookViewId="0">
      <pane ySplit="7" topLeftCell="A8" activePane="bottomLeft" state="frozen"/>
      <selection pane="bottomLeft" activeCell="F9" sqref="F9"/>
    </sheetView>
  </sheetViews>
  <sheetFormatPr defaultColWidth="8.85546875" defaultRowHeight="12.75" x14ac:dyDescent="0.2"/>
  <cols>
    <col min="1" max="1" width="7.28515625" style="3" customWidth="1"/>
    <col min="2" max="2" width="4.7109375" style="3" customWidth="1"/>
    <col min="3" max="3" width="3.7109375" style="17" customWidth="1"/>
    <col min="4" max="4" width="40.7109375" style="17" customWidth="1"/>
    <col min="5" max="7" width="12.7109375" style="3" customWidth="1"/>
    <col min="8" max="8" width="12.7109375" style="18" customWidth="1"/>
    <col min="9" max="13" width="12.7109375" style="3" customWidth="1"/>
    <col min="14" max="16384" width="8.85546875" style="3"/>
  </cols>
  <sheetData>
    <row r="1" spans="1:13" ht="23.25" x14ac:dyDescent="0.35">
      <c r="A1" s="21" t="str">
        <f>Formats!A1</f>
        <v>ModelOff 2015 - Finals - Section 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s="5" customFormat="1" ht="18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8" customHeight="1" x14ac:dyDescent="0.25">
      <c r="A3" s="6">
        <v>1</v>
      </c>
      <c r="B3" s="2"/>
      <c r="C3" s="7" t="s">
        <v>60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s="8" customFormat="1" ht="12" customHeight="1" x14ac:dyDescent="0.2"/>
    <row r="5" spans="1:13" s="8" customFormat="1" ht="12" customHeight="1" x14ac:dyDescent="0.2"/>
    <row r="6" spans="1:13" s="8" customFormat="1" ht="12" customHeight="1" x14ac:dyDescent="0.2">
      <c r="H6" s="16"/>
    </row>
    <row r="7" spans="1:13" s="8" customFormat="1" ht="12" customHeight="1" x14ac:dyDescent="0.2"/>
    <row r="8" spans="1:13" s="8" customFormat="1" ht="12" customHeight="1" x14ac:dyDescent="0.2"/>
    <row r="9" spans="1:13" s="8" customFormat="1" ht="12" customHeight="1" x14ac:dyDescent="0.2">
      <c r="F9" s="9"/>
    </row>
    <row r="10" spans="1:13" s="8" customFormat="1" ht="12" customHeight="1" x14ac:dyDescent="0.2"/>
    <row r="11" spans="1:13" ht="12" customHeight="1" x14ac:dyDescent="0.2">
      <c r="A11" s="14">
        <f>MAX(A$3:A10)+0.01</f>
        <v>1.01</v>
      </c>
      <c r="B11" s="14"/>
      <c r="C11" s="14" t="s">
        <v>61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s="15" customFormat="1" ht="12" customHeight="1" x14ac:dyDescent="0.2">
      <c r="A12" s="12"/>
      <c r="B12" s="12"/>
      <c r="C12" s="26"/>
      <c r="D12" s="12"/>
      <c r="E12" s="12"/>
      <c r="F12" s="13"/>
      <c r="G12" s="12"/>
      <c r="H12" s="12"/>
      <c r="I12" s="12"/>
      <c r="J12" s="12"/>
      <c r="K12" s="12"/>
      <c r="L12" s="12"/>
      <c r="M12" s="12"/>
    </row>
    <row r="13" spans="1:13" s="15" customFormat="1" ht="12" customHeight="1" x14ac:dyDescent="0.2">
      <c r="A13" s="12"/>
      <c r="B13" s="12"/>
      <c r="C13" s="26"/>
      <c r="D13" s="12" t="s">
        <v>64</v>
      </c>
      <c r="E13" s="12"/>
      <c r="F13" s="13"/>
      <c r="G13" s="12"/>
      <c r="H13" s="12"/>
      <c r="I13" s="12"/>
      <c r="J13" s="12"/>
      <c r="K13" s="12"/>
      <c r="L13" s="12"/>
      <c r="M13" s="12"/>
    </row>
    <row r="14" spans="1:13" s="15" customFormat="1" ht="12" customHeight="1" x14ac:dyDescent="0.2">
      <c r="A14" s="12"/>
      <c r="B14" s="12"/>
      <c r="C14" s="26"/>
      <c r="D14" s="12"/>
      <c r="E14" s="12"/>
      <c r="F14" s="13"/>
      <c r="G14" s="12"/>
      <c r="H14" s="12"/>
      <c r="I14" s="12"/>
      <c r="J14" s="12"/>
      <c r="K14" s="12"/>
      <c r="L14" s="12"/>
      <c r="M14" s="12"/>
    </row>
    <row r="15" spans="1:13" s="15" customFormat="1" ht="12" customHeight="1" x14ac:dyDescent="0.2">
      <c r="A15" s="12"/>
      <c r="B15" s="12"/>
      <c r="C15" s="26"/>
      <c r="D15" s="26" t="s">
        <v>62</v>
      </c>
      <c r="E15" s="12"/>
      <c r="F15" s="13" t="s">
        <v>65</v>
      </c>
      <c r="G15" s="12"/>
      <c r="H15" s="26" t="str">
        <f>Lists!E18</f>
        <v>GBP</v>
      </c>
      <c r="I15" s="12"/>
      <c r="J15" s="12"/>
      <c r="K15" s="12"/>
      <c r="L15" s="12"/>
      <c r="M15" s="12"/>
    </row>
    <row r="16" spans="1:13" s="15" customFormat="1" ht="12" customHeight="1" x14ac:dyDescent="0.2">
      <c r="A16" s="12"/>
      <c r="B16" s="12"/>
      <c r="C16" s="26"/>
      <c r="D16" s="12"/>
      <c r="E16" s="12"/>
      <c r="F16" s="13"/>
      <c r="G16" s="12"/>
      <c r="H16" s="12"/>
      <c r="I16" s="12"/>
      <c r="J16" s="12"/>
      <c r="K16" s="12"/>
      <c r="L16" s="12"/>
      <c r="M16" s="12"/>
    </row>
    <row r="17" spans="1:13" s="15" customFormat="1" ht="12" customHeight="1" x14ac:dyDescent="0.2">
      <c r="A17" s="12"/>
      <c r="B17" s="12"/>
      <c r="C17" s="26"/>
      <c r="D17" s="26" t="s">
        <v>67</v>
      </c>
      <c r="E17" s="12"/>
      <c r="F17" s="13"/>
      <c r="G17" s="12"/>
      <c r="M17" s="12"/>
    </row>
    <row r="18" spans="1:13" s="15" customFormat="1" ht="12" customHeight="1" x14ac:dyDescent="0.2">
      <c r="A18" s="12"/>
      <c r="B18" s="12"/>
      <c r="C18" s="26"/>
      <c r="D18" s="12"/>
      <c r="E18" s="12" t="s">
        <v>66</v>
      </c>
      <c r="F18" s="13" t="s">
        <v>28</v>
      </c>
      <c r="G18" s="12"/>
      <c r="H18" s="35" t="str">
        <f t="array" ref="H18:L18">TRANSPOSE(ListCurCode)</f>
        <v>USD</v>
      </c>
      <c r="I18" s="35" t="str">
        <v>EUR</v>
      </c>
      <c r="J18" s="35" t="str">
        <v>GBP</v>
      </c>
      <c r="K18" s="35" t="str">
        <v>JPY</v>
      </c>
      <c r="L18" s="35" t="str">
        <v>AUD</v>
      </c>
      <c r="M18" s="12"/>
    </row>
    <row r="19" spans="1:13" s="15" customFormat="1" ht="12" customHeight="1" x14ac:dyDescent="0.2">
      <c r="A19" s="12"/>
      <c r="B19" s="12"/>
      <c r="C19" s="26"/>
      <c r="D19" s="12"/>
      <c r="E19" s="41" t="s">
        <v>63</v>
      </c>
      <c r="F19" s="13"/>
      <c r="G19" s="12"/>
      <c r="H19" s="12"/>
      <c r="I19" s="12"/>
      <c r="J19" s="12"/>
      <c r="K19" s="12"/>
      <c r="L19" s="12"/>
      <c r="M19" s="12"/>
    </row>
    <row r="20" spans="1:13" s="15" customFormat="1" ht="12" customHeight="1" x14ac:dyDescent="0.2">
      <c r="A20" s="12"/>
      <c r="B20" s="12"/>
      <c r="C20" s="26"/>
      <c r="D20" s="12"/>
      <c r="E20" s="13" t="s">
        <v>31</v>
      </c>
      <c r="F20" s="13"/>
      <c r="G20" s="12"/>
      <c r="H20" s="13" t="str">
        <f>"["&amp;H18&amp;"/"&amp;$H$15&amp;"]"</f>
        <v>[USD/GBP]</v>
      </c>
      <c r="I20" s="13" t="str">
        <f>"["&amp;I18&amp;"/"&amp;$H$15&amp;"]"</f>
        <v>[EUR/GBP]</v>
      </c>
      <c r="J20" s="13" t="str">
        <f>"["&amp;J18&amp;"/"&amp;$H$15&amp;"]"</f>
        <v>[GBP/GBP]</v>
      </c>
      <c r="K20" s="13" t="str">
        <f>"["&amp;K18&amp;"/"&amp;$H$15&amp;"]"</f>
        <v>[JPY/GBP]</v>
      </c>
      <c r="L20" s="13" t="str">
        <f>"["&amp;L18&amp;"/"&amp;$H$15&amp;"]"</f>
        <v>[AUD/GBP]</v>
      </c>
      <c r="M20" s="12"/>
    </row>
    <row r="21" spans="1:13" s="15" customFormat="1" ht="12" customHeight="1" x14ac:dyDescent="0.2">
      <c r="A21" s="12"/>
      <c r="B21" s="12"/>
      <c r="C21" s="26"/>
      <c r="D21" s="12"/>
      <c r="E21" s="40">
        <v>40544</v>
      </c>
      <c r="F21" s="13"/>
      <c r="G21" s="12"/>
      <c r="H21" s="45">
        <v>1.4</v>
      </c>
      <c r="I21" s="45">
        <v>1.3</v>
      </c>
      <c r="J21" s="43">
        <v>1</v>
      </c>
      <c r="K21" s="45">
        <v>200</v>
      </c>
      <c r="L21" s="45">
        <v>2.1</v>
      </c>
      <c r="M21" s="12"/>
    </row>
    <row r="22" spans="1:13" s="15" customFormat="1" ht="12" customHeight="1" x14ac:dyDescent="0.2">
      <c r="A22" s="12"/>
      <c r="B22" s="12"/>
      <c r="C22" s="26"/>
      <c r="D22" s="12"/>
      <c r="E22" s="25">
        <f t="shared" ref="E22:E61" si="0">EDATE(E21,1)</f>
        <v>40575</v>
      </c>
      <c r="F22" s="13"/>
      <c r="G22" s="12"/>
      <c r="H22" s="42">
        <v>1.3670820830260872</v>
      </c>
      <c r="I22" s="42">
        <v>1.3409482022067665</v>
      </c>
      <c r="J22" s="43">
        <v>1</v>
      </c>
      <c r="K22" s="42">
        <v>207.23550711657967</v>
      </c>
      <c r="L22" s="42">
        <v>2.1240824003842369</v>
      </c>
      <c r="M22" s="12"/>
    </row>
    <row r="23" spans="1:13" s="15" customFormat="1" ht="12" customHeight="1" x14ac:dyDescent="0.2">
      <c r="A23" s="12"/>
      <c r="B23" s="12"/>
      <c r="C23" s="26"/>
      <c r="D23" s="12"/>
      <c r="E23" s="25">
        <f t="shared" si="0"/>
        <v>40603</v>
      </c>
      <c r="F23" s="13"/>
      <c r="G23" s="12"/>
      <c r="H23" s="42">
        <v>1.4145938529872228</v>
      </c>
      <c r="I23" s="42">
        <v>1.2970185996348169</v>
      </c>
      <c r="J23" s="43">
        <v>1</v>
      </c>
      <c r="K23" s="42">
        <v>210.95379539404149</v>
      </c>
      <c r="L23" s="42">
        <v>2.1979870727091191</v>
      </c>
      <c r="M23" s="12"/>
    </row>
    <row r="24" spans="1:13" s="15" customFormat="1" ht="12" customHeight="1" x14ac:dyDescent="0.2">
      <c r="A24" s="12"/>
      <c r="B24" s="12"/>
      <c r="C24" s="26"/>
      <c r="D24" s="12"/>
      <c r="E24" s="25">
        <f t="shared" si="0"/>
        <v>40634</v>
      </c>
      <c r="F24" s="13"/>
      <c r="G24" s="12"/>
      <c r="H24" s="42">
        <v>1.4038361775604045</v>
      </c>
      <c r="I24" s="42">
        <v>1.309585101589448</v>
      </c>
      <c r="J24" s="43">
        <v>1</v>
      </c>
      <c r="K24" s="42">
        <v>209.84115795907192</v>
      </c>
      <c r="L24" s="42">
        <v>2.2391242826220634</v>
      </c>
      <c r="M24" s="12"/>
    </row>
    <row r="25" spans="1:13" s="15" customFormat="1" ht="12" customHeight="1" x14ac:dyDescent="0.2">
      <c r="A25" s="12"/>
      <c r="B25" s="12"/>
      <c r="C25" s="26"/>
      <c r="D25" s="12"/>
      <c r="E25" s="25">
        <f t="shared" si="0"/>
        <v>40664</v>
      </c>
      <c r="F25" s="13"/>
      <c r="G25" s="12"/>
      <c r="H25" s="42">
        <v>1.4257841902741479</v>
      </c>
      <c r="I25" s="42">
        <v>1.2750119881101363</v>
      </c>
      <c r="J25" s="43">
        <v>1</v>
      </c>
      <c r="K25" s="42">
        <v>209.16670582203753</v>
      </c>
      <c r="L25" s="42">
        <v>2.276419674708833</v>
      </c>
      <c r="M25" s="12"/>
    </row>
    <row r="26" spans="1:13" s="15" customFormat="1" ht="12" customHeight="1" x14ac:dyDescent="0.2">
      <c r="A26" s="12"/>
      <c r="B26" s="12"/>
      <c r="C26" s="26"/>
      <c r="D26" s="12"/>
      <c r="E26" s="25">
        <f t="shared" si="0"/>
        <v>40695</v>
      </c>
      <c r="F26" s="13"/>
      <c r="G26" s="12"/>
      <c r="H26" s="42">
        <v>1.3846483279056703</v>
      </c>
      <c r="I26" s="42">
        <v>1.2379682530207961</v>
      </c>
      <c r="J26" s="43">
        <v>1</v>
      </c>
      <c r="K26" s="42">
        <v>207.14235000182535</v>
      </c>
      <c r="L26" s="42">
        <v>2.2573691113277343</v>
      </c>
      <c r="M26" s="12"/>
    </row>
    <row r="27" spans="1:13" s="15" customFormat="1" ht="12" customHeight="1" x14ac:dyDescent="0.2">
      <c r="A27" s="12"/>
      <c r="B27" s="12"/>
      <c r="C27" s="26"/>
      <c r="D27" s="12"/>
      <c r="E27" s="25">
        <f t="shared" si="0"/>
        <v>40725</v>
      </c>
      <c r="F27" s="13"/>
      <c r="G27" s="12"/>
      <c r="H27" s="42">
        <v>1.3352122193841327</v>
      </c>
      <c r="I27" s="42">
        <v>1.1975259047293971</v>
      </c>
      <c r="J27" s="43">
        <v>1</v>
      </c>
      <c r="K27" s="42">
        <v>209.92111321604932</v>
      </c>
      <c r="L27" s="42">
        <v>2.3256756939800685</v>
      </c>
      <c r="M27" s="12"/>
    </row>
    <row r="28" spans="1:13" s="15" customFormat="1" ht="12" customHeight="1" x14ac:dyDescent="0.2">
      <c r="A28" s="12"/>
      <c r="B28" s="12"/>
      <c r="C28" s="26"/>
      <c r="D28" s="12"/>
      <c r="E28" s="25">
        <f t="shared" si="0"/>
        <v>40756</v>
      </c>
      <c r="F28" s="13"/>
      <c r="G28" s="12"/>
      <c r="H28" s="42">
        <v>1.291716937571165</v>
      </c>
      <c r="I28" s="42">
        <v>1.151144630348512</v>
      </c>
      <c r="J28" s="43">
        <v>1</v>
      </c>
      <c r="K28" s="42">
        <v>215.75119867649039</v>
      </c>
      <c r="L28" s="42">
        <v>2.3550727253888057</v>
      </c>
      <c r="M28" s="12"/>
    </row>
    <row r="29" spans="1:13" s="15" customFormat="1" ht="12" customHeight="1" x14ac:dyDescent="0.2">
      <c r="A29" s="12"/>
      <c r="B29" s="12"/>
      <c r="C29" s="26"/>
      <c r="D29" s="12"/>
      <c r="E29" s="25">
        <f t="shared" si="0"/>
        <v>40787</v>
      </c>
      <c r="F29" s="13"/>
      <c r="G29" s="12"/>
      <c r="H29" s="42">
        <v>1.2695555126311813</v>
      </c>
      <c r="I29" s="42">
        <v>1.1593526719408322</v>
      </c>
      <c r="J29" s="43">
        <v>1</v>
      </c>
      <c r="K29" s="42">
        <v>216.47516628936165</v>
      </c>
      <c r="L29" s="42">
        <v>2.306949870865965</v>
      </c>
      <c r="M29" s="12"/>
    </row>
    <row r="30" spans="1:13" s="15" customFormat="1" ht="12" customHeight="1" x14ac:dyDescent="0.2">
      <c r="A30" s="12"/>
      <c r="B30" s="12"/>
      <c r="C30" s="26"/>
      <c r="D30" s="12"/>
      <c r="E30" s="25">
        <f t="shared" si="0"/>
        <v>40817</v>
      </c>
      <c r="F30" s="13"/>
      <c r="G30" s="12"/>
      <c r="H30" s="42">
        <v>1.3175336779560813</v>
      </c>
      <c r="I30" s="42">
        <v>1.1937726038505709</v>
      </c>
      <c r="J30" s="43">
        <v>1</v>
      </c>
      <c r="K30" s="42">
        <v>210.03659906709336</v>
      </c>
      <c r="L30" s="42">
        <v>2.3891620027337748</v>
      </c>
      <c r="M30" s="12"/>
    </row>
    <row r="31" spans="1:13" s="15" customFormat="1" ht="12" customHeight="1" x14ac:dyDescent="0.2">
      <c r="A31" s="12"/>
      <c r="B31" s="12"/>
      <c r="C31" s="26"/>
      <c r="D31" s="12"/>
      <c r="E31" s="25">
        <f t="shared" si="0"/>
        <v>40848</v>
      </c>
      <c r="F31" s="13"/>
      <c r="G31" s="12"/>
      <c r="H31" s="42">
        <v>1.3654168970714464</v>
      </c>
      <c r="I31" s="42">
        <v>1.2040792261627014</v>
      </c>
      <c r="J31" s="43">
        <v>1</v>
      </c>
      <c r="K31" s="42">
        <v>215.82906600319876</v>
      </c>
      <c r="L31" s="42">
        <v>2.3770061722099376</v>
      </c>
      <c r="M31" s="12"/>
    </row>
    <row r="32" spans="1:13" s="15" customFormat="1" ht="12" customHeight="1" x14ac:dyDescent="0.2">
      <c r="A32" s="12"/>
      <c r="B32" s="12"/>
      <c r="C32" s="26"/>
      <c r="D32" s="12"/>
      <c r="E32" s="25">
        <f t="shared" si="0"/>
        <v>40878</v>
      </c>
      <c r="F32" s="13"/>
      <c r="G32" s="12"/>
      <c r="H32" s="42">
        <v>1.3153926279953128</v>
      </c>
      <c r="I32" s="42">
        <v>1.1662742597314624</v>
      </c>
      <c r="J32" s="43">
        <v>1</v>
      </c>
      <c r="K32" s="42">
        <v>211.6107680249456</v>
      </c>
      <c r="L32" s="42">
        <v>2.4478732870468161</v>
      </c>
      <c r="M32" s="12"/>
    </row>
    <row r="33" spans="1:13" s="15" customFormat="1" ht="12" customHeight="1" x14ac:dyDescent="0.2">
      <c r="A33" s="12"/>
      <c r="B33" s="12"/>
      <c r="C33" s="26"/>
      <c r="D33" s="12"/>
      <c r="E33" s="25">
        <f t="shared" si="0"/>
        <v>40909</v>
      </c>
      <c r="F33" s="13"/>
      <c r="G33" s="12"/>
      <c r="H33" s="42">
        <v>1.2989797359202704</v>
      </c>
      <c r="I33" s="42">
        <v>1.1703474267775065</v>
      </c>
      <c r="J33" s="43">
        <v>1</v>
      </c>
      <c r="K33" s="42">
        <v>213.7755107627338</v>
      </c>
      <c r="L33" s="42">
        <v>2.4578573533524857</v>
      </c>
      <c r="M33" s="12"/>
    </row>
    <row r="34" spans="1:13" s="15" customFormat="1" ht="12" customHeight="1" x14ac:dyDescent="0.2">
      <c r="A34" s="12"/>
      <c r="B34" s="12"/>
      <c r="C34" s="26"/>
      <c r="D34" s="12"/>
      <c r="E34" s="25">
        <f t="shared" si="0"/>
        <v>40940</v>
      </c>
      <c r="F34" s="13"/>
      <c r="G34" s="12"/>
      <c r="H34" s="42">
        <v>1.3329406269738162</v>
      </c>
      <c r="I34" s="42">
        <v>1.1325123510809194</v>
      </c>
      <c r="J34" s="43">
        <v>1</v>
      </c>
      <c r="K34" s="42">
        <v>205.72404226029974</v>
      </c>
      <c r="L34" s="42">
        <v>2.4214921046469184</v>
      </c>
      <c r="M34" s="12"/>
    </row>
    <row r="35" spans="1:13" s="15" customFormat="1" ht="12" customHeight="1" x14ac:dyDescent="0.2">
      <c r="A35" s="12"/>
      <c r="B35" s="12"/>
      <c r="C35" s="26"/>
      <c r="D35" s="12"/>
      <c r="E35" s="25">
        <f t="shared" si="0"/>
        <v>40969</v>
      </c>
      <c r="F35" s="13"/>
      <c r="G35" s="12"/>
      <c r="H35" s="42">
        <v>1.3068949379651109</v>
      </c>
      <c r="I35" s="42">
        <v>1.1679600327650284</v>
      </c>
      <c r="J35" s="43">
        <v>1</v>
      </c>
      <c r="K35" s="42">
        <v>203.43240235388089</v>
      </c>
      <c r="L35" s="42">
        <v>2.3580510179225049</v>
      </c>
      <c r="M35" s="12"/>
    </row>
    <row r="36" spans="1:13" s="15" customFormat="1" ht="12" customHeight="1" x14ac:dyDescent="0.2">
      <c r="A36" s="12"/>
      <c r="B36" s="12"/>
      <c r="C36" s="26"/>
      <c r="D36" s="12"/>
      <c r="E36" s="25">
        <f t="shared" si="0"/>
        <v>41000</v>
      </c>
      <c r="F36" s="13"/>
      <c r="G36" s="12"/>
      <c r="H36" s="42">
        <v>1.2712489399472953</v>
      </c>
      <c r="I36" s="42">
        <v>1.1536682549986035</v>
      </c>
      <c r="J36" s="43">
        <v>1</v>
      </c>
      <c r="K36" s="42">
        <v>205.49849673569105</v>
      </c>
      <c r="L36" s="42">
        <v>2.3630791316825981</v>
      </c>
      <c r="M36" s="12"/>
    </row>
    <row r="37" spans="1:13" s="15" customFormat="1" ht="12" customHeight="1" x14ac:dyDescent="0.2">
      <c r="A37" s="12"/>
      <c r="B37" s="12"/>
      <c r="C37" s="26"/>
      <c r="D37" s="12"/>
      <c r="E37" s="25">
        <f t="shared" si="0"/>
        <v>41030</v>
      </c>
      <c r="F37" s="13"/>
      <c r="G37" s="12"/>
      <c r="H37" s="42">
        <v>1.2598770009960696</v>
      </c>
      <c r="I37" s="42">
        <v>1.1446395415050596</v>
      </c>
      <c r="J37" s="43">
        <v>1</v>
      </c>
      <c r="K37" s="42">
        <v>197.82022387361684</v>
      </c>
      <c r="L37" s="42">
        <v>2.4498745081628788</v>
      </c>
      <c r="M37" s="12"/>
    </row>
    <row r="38" spans="1:13" s="15" customFormat="1" ht="12" customHeight="1" x14ac:dyDescent="0.2">
      <c r="A38" s="12"/>
      <c r="B38" s="12"/>
      <c r="C38" s="26"/>
      <c r="D38" s="12"/>
      <c r="E38" s="25">
        <f t="shared" si="0"/>
        <v>41061</v>
      </c>
      <c r="F38" s="13"/>
      <c r="G38" s="12"/>
      <c r="H38" s="42">
        <v>1.2805265735187807</v>
      </c>
      <c r="I38" s="42">
        <v>1.1218181461408618</v>
      </c>
      <c r="J38" s="43">
        <v>1</v>
      </c>
      <c r="K38" s="42">
        <v>202.91084610557235</v>
      </c>
      <c r="L38" s="42">
        <v>2.4348899426628865</v>
      </c>
      <c r="M38" s="12"/>
    </row>
    <row r="39" spans="1:13" s="15" customFormat="1" ht="12" customHeight="1" x14ac:dyDescent="0.2">
      <c r="A39" s="12"/>
      <c r="B39" s="12"/>
      <c r="C39" s="26"/>
      <c r="D39" s="12"/>
      <c r="E39" s="25">
        <f t="shared" si="0"/>
        <v>41091</v>
      </c>
      <c r="F39" s="13"/>
      <c r="G39" s="12"/>
      <c r="H39" s="42">
        <v>1.248000405204756</v>
      </c>
      <c r="I39" s="42">
        <v>1.1502851742297437</v>
      </c>
      <c r="J39" s="43">
        <v>1</v>
      </c>
      <c r="K39" s="42">
        <v>201.34292619940547</v>
      </c>
      <c r="L39" s="42">
        <v>2.4581018469375615</v>
      </c>
      <c r="M39" s="12"/>
    </row>
    <row r="40" spans="1:13" s="15" customFormat="1" ht="12" customHeight="1" x14ac:dyDescent="0.2">
      <c r="A40" s="12"/>
      <c r="B40" s="12"/>
      <c r="C40" s="26"/>
      <c r="D40" s="12"/>
      <c r="E40" s="25">
        <f t="shared" si="0"/>
        <v>41122</v>
      </c>
      <c r="F40" s="13"/>
      <c r="G40" s="12"/>
      <c r="H40" s="42">
        <v>1.2056622728793791</v>
      </c>
      <c r="I40" s="42">
        <v>1.1699008626973941</v>
      </c>
      <c r="J40" s="43">
        <v>1</v>
      </c>
      <c r="K40" s="42">
        <v>203.62809264442288</v>
      </c>
      <c r="L40" s="42">
        <v>2.3751834583985758</v>
      </c>
      <c r="M40" s="12"/>
    </row>
    <row r="41" spans="1:13" s="15" customFormat="1" ht="12" customHeight="1" x14ac:dyDescent="0.2">
      <c r="A41" s="12"/>
      <c r="B41" s="12"/>
      <c r="C41" s="26"/>
      <c r="D41" s="12"/>
      <c r="E41" s="25">
        <f t="shared" si="0"/>
        <v>41153</v>
      </c>
      <c r="F41" s="13"/>
      <c r="G41" s="12"/>
      <c r="H41" s="42">
        <v>1.1942480210247264</v>
      </c>
      <c r="I41" s="42">
        <v>1.1936998121534799</v>
      </c>
      <c r="J41" s="43">
        <v>1</v>
      </c>
      <c r="K41" s="42">
        <v>208.52849385665658</v>
      </c>
      <c r="L41" s="42">
        <v>2.3613746080709683</v>
      </c>
      <c r="M41" s="12"/>
    </row>
    <row r="42" spans="1:13" s="15" customFormat="1" ht="12" customHeight="1" x14ac:dyDescent="0.2">
      <c r="A42" s="12"/>
      <c r="B42" s="12"/>
      <c r="C42" s="26"/>
      <c r="D42" s="12"/>
      <c r="E42" s="25">
        <f t="shared" si="0"/>
        <v>41183</v>
      </c>
      <c r="F42" s="13"/>
      <c r="G42" s="12"/>
      <c r="H42" s="42">
        <v>1.2191477779225435</v>
      </c>
      <c r="I42" s="42">
        <v>1.2402920691210921</v>
      </c>
      <c r="J42" s="43">
        <v>1</v>
      </c>
      <c r="K42" s="42">
        <v>205.32722678350223</v>
      </c>
      <c r="L42" s="42">
        <v>2.278371358215872</v>
      </c>
      <c r="M42" s="12"/>
    </row>
    <row r="43" spans="1:13" s="15" customFormat="1" ht="12" customHeight="1" x14ac:dyDescent="0.2">
      <c r="A43" s="12"/>
      <c r="B43" s="12"/>
      <c r="C43" s="26"/>
      <c r="D43" s="12"/>
      <c r="E43" s="25">
        <f t="shared" si="0"/>
        <v>41214</v>
      </c>
      <c r="F43" s="13"/>
      <c r="G43" s="12"/>
      <c r="H43" s="42">
        <v>1.1796678732408985</v>
      </c>
      <c r="I43" s="42">
        <v>1.2284138217483647</v>
      </c>
      <c r="J43" s="43">
        <v>1</v>
      </c>
      <c r="K43" s="42">
        <v>213.2379561575315</v>
      </c>
      <c r="L43" s="42">
        <v>2.2716900488074576</v>
      </c>
      <c r="M43" s="12"/>
    </row>
    <row r="44" spans="1:13" s="15" customFormat="1" ht="12" customHeight="1" x14ac:dyDescent="0.2">
      <c r="A44" s="12"/>
      <c r="B44" s="12"/>
      <c r="C44" s="26"/>
      <c r="D44" s="12"/>
      <c r="E44" s="25">
        <f t="shared" si="0"/>
        <v>41244</v>
      </c>
      <c r="F44" s="13"/>
      <c r="G44" s="12"/>
      <c r="H44" s="42">
        <v>1.1871099780170358</v>
      </c>
      <c r="I44" s="42">
        <v>1.1889759072548003</v>
      </c>
      <c r="J44" s="43">
        <v>1</v>
      </c>
      <c r="K44" s="42">
        <v>208.22018661820721</v>
      </c>
      <c r="L44" s="42">
        <v>2.33520024413904</v>
      </c>
      <c r="M44" s="12"/>
    </row>
    <row r="45" spans="1:13" s="15" customFormat="1" ht="12" customHeight="1" x14ac:dyDescent="0.2">
      <c r="A45" s="12"/>
      <c r="B45" s="12"/>
      <c r="C45" s="26"/>
      <c r="D45" s="12"/>
      <c r="E45" s="25">
        <f t="shared" si="0"/>
        <v>41275</v>
      </c>
      <c r="F45" s="13"/>
      <c r="G45" s="12"/>
      <c r="H45" s="42">
        <v>1.1697611998829061</v>
      </c>
      <c r="I45" s="42">
        <v>1.19669621638954</v>
      </c>
      <c r="J45" s="43">
        <v>1</v>
      </c>
      <c r="K45" s="42">
        <v>209.68308259931072</v>
      </c>
      <c r="L45" s="42">
        <v>2.33151979576279</v>
      </c>
      <c r="M45" s="12"/>
    </row>
    <row r="46" spans="1:13" s="15" customFormat="1" ht="12" customHeight="1" x14ac:dyDescent="0.2">
      <c r="A46" s="12"/>
      <c r="B46" s="12"/>
      <c r="C46" s="26"/>
      <c r="D46" s="12"/>
      <c r="E46" s="25">
        <f t="shared" si="0"/>
        <v>41306</v>
      </c>
      <c r="F46" s="13"/>
      <c r="G46" s="12"/>
      <c r="H46" s="42">
        <v>1.176507493938902</v>
      </c>
      <c r="I46" s="42">
        <v>1.2130584174080443</v>
      </c>
      <c r="J46" s="43">
        <v>1</v>
      </c>
      <c r="K46" s="42">
        <v>216.90997005931692</v>
      </c>
      <c r="L46" s="42">
        <v>2.397304492558066</v>
      </c>
      <c r="M46" s="12"/>
    </row>
    <row r="47" spans="1:13" s="15" customFormat="1" ht="12" customHeight="1" x14ac:dyDescent="0.2">
      <c r="A47" s="12"/>
      <c r="B47" s="12"/>
      <c r="C47" s="26"/>
      <c r="D47" s="12"/>
      <c r="E47" s="25">
        <f t="shared" si="0"/>
        <v>41334</v>
      </c>
      <c r="F47" s="13"/>
      <c r="G47" s="12"/>
      <c r="H47" s="42">
        <v>1.1708714557756215</v>
      </c>
      <c r="I47" s="42">
        <v>1.2012648569747044</v>
      </c>
      <c r="J47" s="43">
        <v>1</v>
      </c>
      <c r="K47" s="42">
        <v>214.08886377261865</v>
      </c>
      <c r="L47" s="42">
        <v>2.3320343566174109</v>
      </c>
      <c r="M47" s="12"/>
    </row>
    <row r="48" spans="1:13" s="15" customFormat="1" ht="12" customHeight="1" x14ac:dyDescent="0.2">
      <c r="A48" s="12"/>
      <c r="B48" s="12"/>
      <c r="C48" s="26"/>
      <c r="D48" s="12"/>
      <c r="E48" s="25">
        <f t="shared" si="0"/>
        <v>41365</v>
      </c>
      <c r="F48" s="13"/>
      <c r="G48" s="12"/>
      <c r="H48" s="42">
        <v>1.174898410660977</v>
      </c>
      <c r="I48" s="42">
        <v>1.2392734953780529</v>
      </c>
      <c r="J48" s="43">
        <v>1</v>
      </c>
      <c r="K48" s="42">
        <v>206.9349619085794</v>
      </c>
      <c r="L48" s="42">
        <v>2.2562713934903735</v>
      </c>
      <c r="M48" s="12"/>
    </row>
    <row r="49" spans="1:13" s="15" customFormat="1" ht="12" customHeight="1" x14ac:dyDescent="0.2">
      <c r="A49" s="12"/>
      <c r="B49" s="12"/>
      <c r="C49" s="26"/>
      <c r="D49" s="12"/>
      <c r="E49" s="25">
        <f t="shared" si="0"/>
        <v>41395</v>
      </c>
      <c r="F49" s="13"/>
      <c r="G49" s="12"/>
      <c r="H49" s="42">
        <v>1.1497508943660317</v>
      </c>
      <c r="I49" s="42">
        <v>1.2015736444617364</v>
      </c>
      <c r="J49" s="43">
        <v>1</v>
      </c>
      <c r="K49" s="42">
        <v>205.79337842345453</v>
      </c>
      <c r="L49" s="42">
        <v>2.2354793903313297</v>
      </c>
      <c r="M49" s="12"/>
    </row>
    <row r="50" spans="1:13" s="15" customFormat="1" ht="12" customHeight="1" x14ac:dyDescent="0.2">
      <c r="A50" s="12"/>
      <c r="B50" s="12"/>
      <c r="C50" s="26"/>
      <c r="D50" s="12"/>
      <c r="E50" s="25">
        <f t="shared" si="0"/>
        <v>41426</v>
      </c>
      <c r="F50" s="13"/>
      <c r="G50" s="12"/>
      <c r="H50" s="42">
        <v>1.1081441041923774</v>
      </c>
      <c r="I50" s="42">
        <v>1.1921346808010445</v>
      </c>
      <c r="J50" s="43">
        <v>1</v>
      </c>
      <c r="K50" s="42">
        <v>213.68472900489172</v>
      </c>
      <c r="L50" s="42">
        <v>2.256243725979632</v>
      </c>
      <c r="M50" s="12"/>
    </row>
    <row r="51" spans="1:13" s="15" customFormat="1" ht="12" customHeight="1" x14ac:dyDescent="0.2">
      <c r="A51" s="12"/>
      <c r="B51" s="12"/>
      <c r="C51" s="26"/>
      <c r="D51" s="12"/>
      <c r="E51" s="25">
        <f t="shared" si="0"/>
        <v>41456</v>
      </c>
      <c r="F51" s="13"/>
      <c r="G51" s="12"/>
      <c r="H51" s="42">
        <v>1.1500210155909771</v>
      </c>
      <c r="I51" s="42">
        <v>1.2183655264694662</v>
      </c>
      <c r="J51" s="43">
        <v>1</v>
      </c>
      <c r="K51" s="42">
        <v>218.80200500464335</v>
      </c>
      <c r="L51" s="42">
        <v>2.2096963921094699</v>
      </c>
      <c r="M51" s="12"/>
    </row>
    <row r="52" spans="1:13" s="15" customFormat="1" ht="12" customHeight="1" x14ac:dyDescent="0.2">
      <c r="A52" s="12"/>
      <c r="B52" s="12"/>
      <c r="C52" s="26"/>
      <c r="D52" s="12"/>
      <c r="E52" s="25">
        <f t="shared" si="0"/>
        <v>41487</v>
      </c>
      <c r="F52" s="13"/>
      <c r="G52" s="12"/>
      <c r="H52" s="42">
        <v>1.1414761582589759</v>
      </c>
      <c r="I52" s="42">
        <v>1.2041002231728657</v>
      </c>
      <c r="J52" s="43">
        <v>1</v>
      </c>
      <c r="K52" s="42">
        <v>215.04502777903338</v>
      </c>
      <c r="L52" s="42">
        <v>2.2342212999452142</v>
      </c>
      <c r="M52" s="12"/>
    </row>
    <row r="53" spans="1:13" s="15" customFormat="1" ht="12" customHeight="1" x14ac:dyDescent="0.2">
      <c r="A53" s="12"/>
      <c r="B53" s="12"/>
      <c r="C53" s="26"/>
      <c r="D53" s="12"/>
      <c r="E53" s="25">
        <f t="shared" si="0"/>
        <v>41518</v>
      </c>
      <c r="F53" s="13"/>
      <c r="G53" s="12"/>
      <c r="H53" s="42">
        <v>1.1338977406925341</v>
      </c>
      <c r="I53" s="42">
        <v>1.2304294382125829</v>
      </c>
      <c r="J53" s="43">
        <v>1</v>
      </c>
      <c r="K53" s="42">
        <v>209.43211834005433</v>
      </c>
      <c r="L53" s="42">
        <v>2.1639243015795948</v>
      </c>
      <c r="M53" s="12"/>
    </row>
    <row r="54" spans="1:13" s="15" customFormat="1" ht="12" customHeight="1" x14ac:dyDescent="0.2">
      <c r="A54" s="12"/>
      <c r="B54" s="12"/>
      <c r="C54" s="26"/>
      <c r="D54" s="12"/>
      <c r="E54" s="25">
        <f t="shared" si="0"/>
        <v>41548</v>
      </c>
      <c r="F54" s="13"/>
      <c r="G54" s="12"/>
      <c r="H54" s="42">
        <v>1.1768431361094509</v>
      </c>
      <c r="I54" s="42">
        <v>1.2461696550545951</v>
      </c>
      <c r="J54" s="43">
        <v>1</v>
      </c>
      <c r="K54" s="42">
        <v>211.42984635541541</v>
      </c>
      <c r="L54" s="42">
        <v>2.1241486755433789</v>
      </c>
      <c r="M54" s="12"/>
    </row>
    <row r="55" spans="1:13" s="15" customFormat="1" ht="12" customHeight="1" x14ac:dyDescent="0.2">
      <c r="A55" s="12"/>
      <c r="B55" s="12"/>
      <c r="C55" s="26"/>
      <c r="D55" s="12"/>
      <c r="E55" s="25">
        <f t="shared" si="0"/>
        <v>41579</v>
      </c>
      <c r="F55" s="13"/>
      <c r="G55" s="12"/>
      <c r="H55" s="42">
        <v>1.2050844508110226</v>
      </c>
      <c r="I55" s="42">
        <v>1.2121695153830527</v>
      </c>
      <c r="J55" s="43">
        <v>1</v>
      </c>
      <c r="K55" s="42">
        <v>206.87499462634204</v>
      </c>
      <c r="L55" s="42">
        <v>2.1901742118448744</v>
      </c>
      <c r="M55" s="12"/>
    </row>
    <row r="56" spans="1:13" s="15" customFormat="1" ht="12" customHeight="1" x14ac:dyDescent="0.2">
      <c r="A56" s="12"/>
      <c r="B56" s="12"/>
      <c r="C56" s="26"/>
      <c r="D56" s="12"/>
      <c r="E56" s="25">
        <f t="shared" si="0"/>
        <v>41609</v>
      </c>
      <c r="F56" s="13"/>
      <c r="G56" s="12"/>
      <c r="H56" s="42">
        <v>1.2514698830354938</v>
      </c>
      <c r="I56" s="42">
        <v>1.2296796329175221</v>
      </c>
      <c r="J56" s="43">
        <v>1</v>
      </c>
      <c r="K56" s="42">
        <v>214.65092628709289</v>
      </c>
      <c r="L56" s="42">
        <v>2.165500253876083</v>
      </c>
      <c r="M56" s="12"/>
    </row>
    <row r="57" spans="1:13" s="15" customFormat="1" ht="12" customHeight="1" x14ac:dyDescent="0.2">
      <c r="A57" s="12"/>
      <c r="B57" s="12"/>
      <c r="C57" s="26"/>
      <c r="D57" s="12"/>
      <c r="E57" s="25">
        <f t="shared" si="0"/>
        <v>41640</v>
      </c>
      <c r="F57" s="13"/>
      <c r="G57" s="12"/>
      <c r="H57" s="42">
        <v>1.2298509484230955</v>
      </c>
      <c r="I57" s="42">
        <v>1.2287520138329986</v>
      </c>
      <c r="J57" s="43">
        <v>1</v>
      </c>
      <c r="K57" s="42">
        <v>217.88763444555255</v>
      </c>
      <c r="L57" s="42">
        <v>2.1469629622494306</v>
      </c>
      <c r="M57" s="12"/>
    </row>
    <row r="58" spans="1:13" s="15" customFormat="1" ht="12" customHeight="1" x14ac:dyDescent="0.2">
      <c r="A58" s="12"/>
      <c r="B58" s="12"/>
      <c r="C58" s="26"/>
      <c r="D58" s="12"/>
      <c r="E58" s="25">
        <f t="shared" si="0"/>
        <v>41671</v>
      </c>
      <c r="F58" s="13"/>
      <c r="G58" s="12"/>
      <c r="H58" s="42">
        <v>1.2525498391681258</v>
      </c>
      <c r="I58" s="42">
        <v>1.1871610740000769</v>
      </c>
      <c r="J58" s="43">
        <v>1</v>
      </c>
      <c r="K58" s="42">
        <v>215.97146282297001</v>
      </c>
      <c r="L58" s="42">
        <v>2.0933861598914048</v>
      </c>
      <c r="M58" s="12"/>
    </row>
    <row r="59" spans="1:13" s="15" customFormat="1" ht="12" customHeight="1" x14ac:dyDescent="0.2">
      <c r="A59" s="12"/>
      <c r="B59" s="12"/>
      <c r="C59" s="26"/>
      <c r="D59" s="12"/>
      <c r="E59" s="25">
        <f t="shared" si="0"/>
        <v>41699</v>
      </c>
      <c r="F59" s="13"/>
      <c r="G59" s="12"/>
      <c r="H59" s="42">
        <v>1.2498894634042457</v>
      </c>
      <c r="I59" s="42">
        <v>1.1416773778738643</v>
      </c>
      <c r="J59" s="43">
        <v>1</v>
      </c>
      <c r="K59" s="42">
        <v>208.4500898456109</v>
      </c>
      <c r="L59" s="42">
        <v>2.1203785586956738</v>
      </c>
      <c r="M59" s="12"/>
    </row>
    <row r="60" spans="1:13" s="15" customFormat="1" ht="12" customHeight="1" x14ac:dyDescent="0.2">
      <c r="A60" s="12"/>
      <c r="B60" s="12"/>
      <c r="C60" s="26"/>
      <c r="D60" s="12"/>
      <c r="E60" s="25">
        <f t="shared" si="0"/>
        <v>41730</v>
      </c>
      <c r="F60" s="13"/>
      <c r="G60" s="12"/>
      <c r="H60" s="42">
        <v>1.2130204494942409</v>
      </c>
      <c r="I60" s="42">
        <v>1.1371055305342153</v>
      </c>
      <c r="J60" s="43">
        <v>1</v>
      </c>
      <c r="K60" s="42">
        <v>207.58480424506845</v>
      </c>
      <c r="L60" s="42">
        <v>2.0403307966163147</v>
      </c>
      <c r="M60" s="12"/>
    </row>
    <row r="61" spans="1:13" s="15" customFormat="1" ht="12" customHeight="1" x14ac:dyDescent="0.2">
      <c r="A61" s="12"/>
      <c r="B61" s="12"/>
      <c r="C61" s="26"/>
      <c r="D61" s="12"/>
      <c r="E61" s="25">
        <f t="shared" si="0"/>
        <v>41760</v>
      </c>
      <c r="F61" s="13"/>
      <c r="G61" s="12"/>
      <c r="H61" s="42">
        <v>1.2341919408999449</v>
      </c>
      <c r="I61" s="42">
        <v>1.129679146224486</v>
      </c>
      <c r="J61" s="43">
        <v>1</v>
      </c>
      <c r="K61" s="42">
        <v>203.44282140654704</v>
      </c>
      <c r="L61" s="42">
        <v>2.0400823873167999</v>
      </c>
      <c r="M61" s="12"/>
    </row>
    <row r="62" spans="1:13" s="15" customFormat="1" ht="12" customHeight="1" x14ac:dyDescent="0.2">
      <c r="A62" s="12"/>
      <c r="B62" s="12"/>
      <c r="C62" s="26"/>
      <c r="D62" s="12"/>
      <c r="E62" s="25">
        <f t="shared" ref="E62:E80" si="1">EDATE(E61,1)</f>
        <v>41791</v>
      </c>
      <c r="F62" s="13"/>
      <c r="G62" s="12"/>
      <c r="H62" s="42">
        <v>1.2572017884072508</v>
      </c>
      <c r="I62" s="42">
        <v>1.1176622575422079</v>
      </c>
      <c r="J62" s="43">
        <v>1</v>
      </c>
      <c r="K62" s="42">
        <v>209.07719838666711</v>
      </c>
      <c r="L62" s="42">
        <v>1.9985898540836493</v>
      </c>
      <c r="M62" s="12"/>
    </row>
    <row r="63" spans="1:13" s="15" customFormat="1" ht="12" customHeight="1" x14ac:dyDescent="0.2">
      <c r="A63" s="12"/>
      <c r="B63" s="12"/>
      <c r="C63" s="26"/>
      <c r="D63" s="12"/>
      <c r="E63" s="25">
        <f t="shared" si="1"/>
        <v>41821</v>
      </c>
      <c r="F63" s="13"/>
      <c r="G63" s="12"/>
      <c r="H63" s="42">
        <v>1.3034644511957183</v>
      </c>
      <c r="I63" s="42">
        <v>1.084346908414703</v>
      </c>
      <c r="J63" s="43">
        <v>1</v>
      </c>
      <c r="K63" s="42">
        <v>201.45012590066668</v>
      </c>
      <c r="L63" s="42">
        <v>2.0278767047339166</v>
      </c>
      <c r="M63" s="12"/>
    </row>
    <row r="64" spans="1:13" s="15" customFormat="1" ht="12" customHeight="1" x14ac:dyDescent="0.2">
      <c r="A64" s="12"/>
      <c r="B64" s="12"/>
      <c r="C64" s="26"/>
      <c r="D64" s="12"/>
      <c r="E64" s="25">
        <f t="shared" si="1"/>
        <v>41852</v>
      </c>
      <c r="F64" s="13"/>
      <c r="G64" s="12"/>
      <c r="H64" s="42">
        <v>1.3171065092429606</v>
      </c>
      <c r="I64" s="42">
        <v>1.0501764116571015</v>
      </c>
      <c r="J64" s="43">
        <v>1</v>
      </c>
      <c r="K64" s="42">
        <v>198.87133227899173</v>
      </c>
      <c r="L64" s="42">
        <v>2.0526839963485641</v>
      </c>
      <c r="M64" s="12"/>
    </row>
    <row r="65" spans="1:13" s="15" customFormat="1" ht="12" customHeight="1" x14ac:dyDescent="0.2">
      <c r="A65" s="12"/>
      <c r="B65" s="12"/>
      <c r="C65" s="26"/>
      <c r="D65" s="12"/>
      <c r="E65" s="25">
        <f t="shared" si="1"/>
        <v>41883</v>
      </c>
      <c r="F65" s="13"/>
      <c r="G65" s="12"/>
      <c r="H65" s="42">
        <v>1.3679400298738702</v>
      </c>
      <c r="I65" s="42">
        <v>1.0735653065538782</v>
      </c>
      <c r="J65" s="43">
        <v>1</v>
      </c>
      <c r="K65" s="42">
        <v>197.93732615342014</v>
      </c>
      <c r="L65" s="42">
        <v>2.0143966132439211</v>
      </c>
      <c r="M65" s="12"/>
    </row>
    <row r="66" spans="1:13" s="15" customFormat="1" ht="12" customHeight="1" x14ac:dyDescent="0.2">
      <c r="A66" s="12"/>
      <c r="B66" s="12"/>
      <c r="C66" s="26"/>
      <c r="D66" s="12"/>
      <c r="E66" s="25">
        <f t="shared" si="1"/>
        <v>41913</v>
      </c>
      <c r="F66" s="13"/>
      <c r="G66" s="12"/>
      <c r="H66" s="42">
        <v>1.3159551793028794</v>
      </c>
      <c r="I66" s="42">
        <v>1.0494848304839637</v>
      </c>
      <c r="J66" s="43">
        <v>1</v>
      </c>
      <c r="K66" s="42">
        <v>205.41844238066037</v>
      </c>
      <c r="L66" s="42">
        <v>1.9685797715205864</v>
      </c>
      <c r="M66" s="12"/>
    </row>
    <row r="67" spans="1:13" s="15" customFormat="1" ht="12" customHeight="1" x14ac:dyDescent="0.2">
      <c r="A67" s="12"/>
      <c r="B67" s="12"/>
      <c r="C67" s="26"/>
      <c r="D67" s="12"/>
      <c r="E67" s="25">
        <f t="shared" si="1"/>
        <v>41944</v>
      </c>
      <c r="F67" s="13"/>
      <c r="G67" s="12"/>
      <c r="H67" s="42">
        <v>1.3576207412801351</v>
      </c>
      <c r="I67" s="42">
        <v>1.0182939597026888</v>
      </c>
      <c r="J67" s="43">
        <v>1</v>
      </c>
      <c r="K67" s="42">
        <v>211.58078581770863</v>
      </c>
      <c r="L67" s="42">
        <v>1.9044118968021015</v>
      </c>
      <c r="M67" s="12"/>
    </row>
    <row r="68" spans="1:13" s="15" customFormat="1" ht="12" customHeight="1" x14ac:dyDescent="0.2">
      <c r="A68" s="12"/>
      <c r="B68" s="12"/>
      <c r="C68" s="26"/>
      <c r="D68" s="12"/>
      <c r="E68" s="25">
        <f t="shared" si="1"/>
        <v>41974</v>
      </c>
      <c r="F68" s="13"/>
      <c r="G68" s="12"/>
      <c r="H68" s="42">
        <v>1.3307652574818745</v>
      </c>
      <c r="I68" s="42">
        <v>1.0127473360875943</v>
      </c>
      <c r="J68" s="43">
        <v>1</v>
      </c>
      <c r="K68" s="42">
        <v>206.39889960992099</v>
      </c>
      <c r="L68" s="42">
        <v>1.9519379623465747</v>
      </c>
      <c r="M68" s="12"/>
    </row>
    <row r="69" spans="1:13" s="15" customFormat="1" ht="12" customHeight="1" x14ac:dyDescent="0.2">
      <c r="A69" s="12"/>
      <c r="B69" s="12"/>
      <c r="C69" s="26"/>
      <c r="D69" s="12"/>
      <c r="E69" s="25">
        <f t="shared" si="1"/>
        <v>42005</v>
      </c>
      <c r="F69" s="13"/>
      <c r="G69" s="12"/>
      <c r="H69" s="42">
        <v>1.3725596033279011</v>
      </c>
      <c r="I69" s="42">
        <v>1.0032799681707167</v>
      </c>
      <c r="J69" s="43">
        <v>1</v>
      </c>
      <c r="K69" s="42">
        <v>207.93927732433198</v>
      </c>
      <c r="L69" s="42">
        <v>1.9379571839390874</v>
      </c>
      <c r="M69" s="12"/>
    </row>
    <row r="70" spans="1:13" s="15" customFormat="1" ht="12" customHeight="1" x14ac:dyDescent="0.2">
      <c r="A70" s="12"/>
      <c r="B70" s="12"/>
      <c r="C70" s="26"/>
      <c r="D70" s="12"/>
      <c r="E70" s="25">
        <f t="shared" si="1"/>
        <v>42036</v>
      </c>
      <c r="F70" s="13"/>
      <c r="G70" s="12"/>
      <c r="H70" s="42">
        <v>1.4259989730077087</v>
      </c>
      <c r="I70" s="42">
        <v>0.98864695411019743</v>
      </c>
      <c r="J70" s="43">
        <v>1</v>
      </c>
      <c r="K70" s="42">
        <v>213.40721957595761</v>
      </c>
      <c r="L70" s="42">
        <v>1.9208378037186882</v>
      </c>
      <c r="M70" s="12"/>
    </row>
    <row r="71" spans="1:13" s="15" customFormat="1" ht="12" customHeight="1" x14ac:dyDescent="0.2">
      <c r="A71" s="12"/>
      <c r="B71" s="12"/>
      <c r="C71" s="26"/>
      <c r="D71" s="12"/>
      <c r="E71" s="25">
        <f t="shared" si="1"/>
        <v>42064</v>
      </c>
      <c r="F71" s="13"/>
      <c r="G71" s="12"/>
      <c r="H71" s="42">
        <v>1.4553030912641443</v>
      </c>
      <c r="I71" s="42">
        <v>0.9735819221195221</v>
      </c>
      <c r="J71" s="43">
        <v>1</v>
      </c>
      <c r="K71" s="42">
        <v>213.14860184857793</v>
      </c>
      <c r="L71" s="42">
        <v>1.9183361418907328</v>
      </c>
      <c r="M71" s="12"/>
    </row>
    <row r="72" spans="1:13" s="15" customFormat="1" ht="12" customHeight="1" x14ac:dyDescent="0.2">
      <c r="A72" s="12"/>
      <c r="B72" s="12"/>
      <c r="C72" s="26"/>
      <c r="D72" s="12"/>
      <c r="E72" s="25">
        <f t="shared" si="1"/>
        <v>42095</v>
      </c>
      <c r="F72" s="13"/>
      <c r="G72" s="12"/>
      <c r="H72" s="42">
        <v>1.432692907620871</v>
      </c>
      <c r="I72" s="42">
        <v>0.94556833580890176</v>
      </c>
      <c r="J72" s="43">
        <v>1</v>
      </c>
      <c r="K72" s="42">
        <v>206.5934399844171</v>
      </c>
      <c r="L72" s="42">
        <v>1.8505581939546396</v>
      </c>
      <c r="M72" s="12"/>
    </row>
    <row r="73" spans="1:13" s="15" customFormat="1" ht="12" customHeight="1" x14ac:dyDescent="0.2">
      <c r="A73" s="12"/>
      <c r="B73" s="12"/>
      <c r="C73" s="26"/>
      <c r="D73" s="12"/>
      <c r="E73" s="25">
        <f t="shared" si="1"/>
        <v>42125</v>
      </c>
      <c r="F73" s="13"/>
      <c r="G73" s="12"/>
      <c r="H73" s="42">
        <v>1.398488927077679</v>
      </c>
      <c r="I73" s="42">
        <v>0.97037979596913249</v>
      </c>
      <c r="J73" s="43">
        <v>1</v>
      </c>
      <c r="K73" s="42">
        <v>209.33032927263895</v>
      </c>
      <c r="L73" s="42">
        <v>1.8067429473709287</v>
      </c>
      <c r="M73" s="12"/>
    </row>
    <row r="74" spans="1:13" s="15" customFormat="1" ht="12" customHeight="1" x14ac:dyDescent="0.2">
      <c r="A74" s="12"/>
      <c r="B74" s="12"/>
      <c r="C74" s="26"/>
      <c r="D74" s="12"/>
      <c r="E74" s="25">
        <f t="shared" si="1"/>
        <v>42156</v>
      </c>
      <c r="F74" s="13"/>
      <c r="G74" s="12"/>
      <c r="H74" s="42">
        <v>1.3953630840846556</v>
      </c>
      <c r="I74" s="42">
        <v>0.97673644299022022</v>
      </c>
      <c r="J74" s="43">
        <v>1</v>
      </c>
      <c r="K74" s="42">
        <v>215.05307554584112</v>
      </c>
      <c r="L74" s="42">
        <v>1.8498454061314655</v>
      </c>
      <c r="M74" s="12"/>
    </row>
    <row r="75" spans="1:13" s="15" customFormat="1" ht="12" customHeight="1" x14ac:dyDescent="0.2">
      <c r="A75" s="12"/>
      <c r="B75" s="12"/>
      <c r="C75" s="26"/>
      <c r="D75" s="12"/>
      <c r="E75" s="25">
        <f t="shared" si="1"/>
        <v>42186</v>
      </c>
      <c r="F75" s="13"/>
      <c r="G75" s="12"/>
      <c r="H75" s="42">
        <v>1.3970520660409227</v>
      </c>
      <c r="I75" s="42">
        <v>1.0043793536056707</v>
      </c>
      <c r="J75" s="43">
        <v>1</v>
      </c>
      <c r="K75" s="42">
        <v>206.46075713157958</v>
      </c>
      <c r="L75" s="42">
        <v>1.8129693708368249</v>
      </c>
      <c r="M75" s="12"/>
    </row>
    <row r="76" spans="1:13" s="15" customFormat="1" ht="12" customHeight="1" x14ac:dyDescent="0.2">
      <c r="A76" s="12"/>
      <c r="B76" s="12"/>
      <c r="C76" s="26"/>
      <c r="D76" s="12"/>
      <c r="E76" s="25">
        <f t="shared" si="1"/>
        <v>42217</v>
      </c>
      <c r="F76" s="13"/>
      <c r="G76" s="12"/>
      <c r="H76" s="42">
        <v>1.448177879645848</v>
      </c>
      <c r="I76" s="42">
        <v>1.021179906502361</v>
      </c>
      <c r="J76" s="43">
        <v>1</v>
      </c>
      <c r="K76" s="42">
        <v>213.83887253711853</v>
      </c>
      <c r="L76" s="42">
        <v>1.8198987114060357</v>
      </c>
      <c r="M76" s="12"/>
    </row>
    <row r="77" spans="1:13" s="15" customFormat="1" ht="12" customHeight="1" x14ac:dyDescent="0.2">
      <c r="A77" s="12"/>
      <c r="B77" s="12"/>
      <c r="C77" s="26"/>
      <c r="D77" s="12"/>
      <c r="E77" s="25">
        <f t="shared" si="1"/>
        <v>42248</v>
      </c>
      <c r="F77" s="13"/>
      <c r="G77" s="12"/>
      <c r="H77" s="42">
        <v>1.5023572965089491</v>
      </c>
      <c r="I77" s="42">
        <v>1.0013483123255118</v>
      </c>
      <c r="J77" s="43">
        <v>1</v>
      </c>
      <c r="K77" s="42">
        <v>220.96262242840729</v>
      </c>
      <c r="L77" s="42">
        <v>1.823787584053485</v>
      </c>
      <c r="M77" s="12"/>
    </row>
    <row r="78" spans="1:13" s="15" customFormat="1" ht="12" customHeight="1" x14ac:dyDescent="0.2">
      <c r="A78" s="12"/>
      <c r="B78" s="12"/>
      <c r="C78" s="26"/>
      <c r="D78" s="12"/>
      <c r="E78" s="25">
        <f t="shared" si="1"/>
        <v>42278</v>
      </c>
      <c r="F78" s="13"/>
      <c r="G78" s="12"/>
      <c r="H78" s="42">
        <v>1.4456404791091242</v>
      </c>
      <c r="I78" s="42">
        <v>0.98849021668619264</v>
      </c>
      <c r="J78" s="43">
        <v>1</v>
      </c>
      <c r="K78" s="42">
        <v>217.47157531350132</v>
      </c>
      <c r="L78" s="42">
        <v>1.7770248993585471</v>
      </c>
      <c r="M78" s="12"/>
    </row>
    <row r="79" spans="1:13" s="15" customFormat="1" ht="12" customHeight="1" x14ac:dyDescent="0.2">
      <c r="A79" s="12"/>
      <c r="B79" s="12"/>
      <c r="C79" s="26"/>
      <c r="D79" s="12"/>
      <c r="E79" s="25">
        <f t="shared" si="1"/>
        <v>42309</v>
      </c>
      <c r="F79" s="13"/>
      <c r="G79" s="12"/>
      <c r="H79" s="42">
        <v>1.4525953230437942</v>
      </c>
      <c r="I79" s="42">
        <v>1.0077577205697659</v>
      </c>
      <c r="J79" s="43">
        <v>1</v>
      </c>
      <c r="K79" s="42">
        <v>211.53028695221715</v>
      </c>
      <c r="L79" s="42">
        <v>1.8004284561565713</v>
      </c>
      <c r="M79" s="12"/>
    </row>
    <row r="80" spans="1:13" s="15" customFormat="1" ht="12" customHeight="1" x14ac:dyDescent="0.2">
      <c r="A80" s="12"/>
      <c r="B80" s="12"/>
      <c r="C80" s="26"/>
      <c r="D80" s="12"/>
      <c r="E80" s="25">
        <f t="shared" si="1"/>
        <v>42339</v>
      </c>
      <c r="F80" s="13"/>
      <c r="G80" s="12"/>
      <c r="H80" s="42">
        <v>1.4018599210788707</v>
      </c>
      <c r="I80" s="42">
        <v>0.98451860891648579</v>
      </c>
      <c r="J80" s="43">
        <v>1</v>
      </c>
      <c r="K80" s="42">
        <v>209.07764604168807</v>
      </c>
      <c r="L80" s="42">
        <v>1.7945206323786751</v>
      </c>
      <c r="M80" s="12"/>
    </row>
    <row r="81" spans="1:13" s="15" customFormat="1" ht="12" customHeight="1" x14ac:dyDescent="0.2">
      <c r="A81" s="12"/>
      <c r="B81" s="12"/>
      <c r="C81" s="26"/>
      <c r="D81" s="12"/>
      <c r="E81" s="25"/>
      <c r="F81" s="13"/>
      <c r="G81" s="12"/>
      <c r="H81" s="12"/>
      <c r="I81" s="12"/>
      <c r="J81" s="12"/>
      <c r="K81" s="12"/>
      <c r="L81" s="12"/>
      <c r="M81" s="12"/>
    </row>
    <row r="82" spans="1:13" s="15" customFormat="1" ht="12" customHeight="1" x14ac:dyDescent="0.2">
      <c r="A82" s="12"/>
      <c r="B82" s="12"/>
      <c r="C82" s="26"/>
      <c r="D82" s="12"/>
      <c r="E82" s="25"/>
      <c r="F82" s="13"/>
      <c r="G82" s="12"/>
      <c r="H82" s="12"/>
      <c r="I82" s="12"/>
      <c r="J82" s="12"/>
      <c r="K82" s="12"/>
      <c r="L82" s="12"/>
      <c r="M82" s="12"/>
    </row>
    <row r="83" spans="1:13" ht="12" customHeight="1" x14ac:dyDescent="0.2">
      <c r="A83" s="14"/>
      <c r="B83" s="14"/>
      <c r="C83" s="14" t="s">
        <v>1</v>
      </c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ht="12" customHeight="1" x14ac:dyDescent="0.2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outlinePr summaryBelow="0"/>
  </sheetPr>
  <dimension ref="A1:AA58"/>
  <sheetViews>
    <sheetView showGridLines="0" tabSelected="1" zoomScaleNormal="100" zoomScalePageLayoutView="85" workbookViewId="0">
      <pane ySplit="7" topLeftCell="A8" activePane="bottomLeft" state="frozen"/>
      <selection pane="bottomLeft" activeCell="D36" sqref="D36"/>
    </sheetView>
  </sheetViews>
  <sheetFormatPr defaultColWidth="8.85546875" defaultRowHeight="12.75" x14ac:dyDescent="0.2"/>
  <cols>
    <col min="1" max="1" width="7.28515625" style="3" customWidth="1"/>
    <col min="2" max="2" width="4.7109375" style="3" customWidth="1"/>
    <col min="3" max="3" width="3.7109375" style="17" customWidth="1"/>
    <col min="4" max="4" width="40.7109375" style="17" customWidth="1"/>
    <col min="5" max="7" width="12.7109375" style="3" customWidth="1"/>
    <col min="8" max="8" width="12.7109375" style="18" customWidth="1"/>
    <col min="9" max="27" width="12.7109375" style="3" customWidth="1"/>
    <col min="28" max="16384" width="8.85546875" style="3"/>
  </cols>
  <sheetData>
    <row r="1" spans="1:27" ht="23.25" x14ac:dyDescent="0.35">
      <c r="A1" s="21" t="str">
        <f>Formats!A1</f>
        <v>ModelOff 2015 - Finals - Section 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5" customFormat="1" ht="18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8" customHeight="1" x14ac:dyDescent="0.25">
      <c r="A3" s="6">
        <v>2</v>
      </c>
      <c r="B3" s="2"/>
      <c r="C3" s="7" t="s">
        <v>74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s="8" customFormat="1" ht="12" customHeight="1" x14ac:dyDescent="0.2"/>
    <row r="5" spans="1:27" s="8" customFormat="1" ht="12" customHeight="1" x14ac:dyDescent="0.2"/>
    <row r="6" spans="1:27" s="8" customFormat="1" ht="12" customHeight="1" x14ac:dyDescent="0.2"/>
    <row r="7" spans="1:27" s="8" customFormat="1" ht="12" customHeight="1" x14ac:dyDescent="0.2"/>
    <row r="8" spans="1:27" s="8" customFormat="1" ht="12" customHeight="1" x14ac:dyDescent="0.2"/>
    <row r="9" spans="1:27" s="8" customFormat="1" ht="12" customHeight="1" x14ac:dyDescent="0.2">
      <c r="F9" s="9" t="s">
        <v>0</v>
      </c>
    </row>
    <row r="10" spans="1:27" s="8" customFormat="1" ht="12" customHeight="1" x14ac:dyDescent="0.2"/>
    <row r="11" spans="1:27" ht="12" customHeight="1" x14ac:dyDescent="0.2">
      <c r="A11" s="14">
        <f>MAX(A$3:A10)+0.01</f>
        <v>2.0099999999999998</v>
      </c>
      <c r="B11" s="14"/>
      <c r="C11" s="14" t="s">
        <v>71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s="8" customFormat="1" ht="12" customHeight="1" x14ac:dyDescent="0.2"/>
    <row r="13" spans="1:27" s="8" customFormat="1" ht="12" customHeight="1" x14ac:dyDescent="0.2"/>
    <row r="14" spans="1:27" s="8" customFormat="1" ht="12" customHeight="1" x14ac:dyDescent="0.2">
      <c r="D14" s="8" t="s">
        <v>73</v>
      </c>
      <c r="F14" s="9" t="s">
        <v>31</v>
      </c>
      <c r="H14" s="37">
        <v>40544</v>
      </c>
      <c r="I14" s="37">
        <v>40603</v>
      </c>
      <c r="J14" s="37">
        <v>40891</v>
      </c>
      <c r="K14" s="37">
        <v>40944</v>
      </c>
      <c r="L14" s="37">
        <v>41029</v>
      </c>
      <c r="M14" s="37">
        <v>41044</v>
      </c>
    </row>
    <row r="15" spans="1:27" s="8" customFormat="1" ht="12" customHeight="1" x14ac:dyDescent="0.2">
      <c r="D15" s="8" t="s">
        <v>72</v>
      </c>
      <c r="F15" s="9" t="str">
        <f>"["&amp;Lists!$E$18&amp;"]"</f>
        <v>[GBP]</v>
      </c>
      <c r="H15" s="38">
        <v>5000000</v>
      </c>
      <c r="I15" s="38">
        <v>2000000</v>
      </c>
      <c r="J15" s="38">
        <v>5000000</v>
      </c>
      <c r="K15" s="38">
        <v>10000000</v>
      </c>
      <c r="L15" s="38">
        <v>3000000</v>
      </c>
      <c r="M15" s="38">
        <v>2000000</v>
      </c>
    </row>
    <row r="16" spans="1:27" s="8" customFormat="1" ht="12" customHeight="1" x14ac:dyDescent="0.2"/>
    <row r="17" spans="1:27" ht="12" customHeight="1" x14ac:dyDescent="0.2">
      <c r="A17" s="14">
        <f>MAX(A$3:A16)+0.01</f>
        <v>2.0199999999999996</v>
      </c>
      <c r="B17" s="14"/>
      <c r="C17" s="14" t="s">
        <v>24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s="15" customFormat="1" ht="12" customHeight="1" x14ac:dyDescent="0.2">
      <c r="A18" s="12"/>
      <c r="B18" s="12"/>
      <c r="C18" s="26"/>
      <c r="D18" s="12"/>
      <c r="E18" s="12"/>
      <c r="F18" s="13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s="15" customFormat="1" ht="12" customHeight="1" x14ac:dyDescent="0.2">
      <c r="A19" s="12"/>
      <c r="B19" s="12"/>
      <c r="C19" s="26"/>
      <c r="D19" s="12" t="s">
        <v>26</v>
      </c>
      <c r="E19" s="12"/>
      <c r="F19" s="13" t="s">
        <v>29</v>
      </c>
      <c r="G19" s="12"/>
      <c r="H19" s="39" t="s">
        <v>38</v>
      </c>
      <c r="I19" s="39" t="s">
        <v>39</v>
      </c>
      <c r="J19" s="39" t="s">
        <v>40</v>
      </c>
      <c r="K19" s="39" t="s">
        <v>41</v>
      </c>
      <c r="L19" s="39" t="s">
        <v>42</v>
      </c>
      <c r="M19" s="39" t="s">
        <v>43</v>
      </c>
      <c r="N19" s="39" t="s">
        <v>69</v>
      </c>
      <c r="O19" s="39" t="s">
        <v>70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s="15" customFormat="1" ht="12" customHeight="1" x14ac:dyDescent="0.2">
      <c r="A20" s="12"/>
      <c r="B20" s="12"/>
      <c r="C20" s="26"/>
      <c r="D20" s="12"/>
      <c r="E20" s="12"/>
      <c r="F20" s="13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s="15" customFormat="1" ht="12" customHeight="1" x14ac:dyDescent="0.2">
      <c r="A21" s="12"/>
      <c r="B21" s="12"/>
      <c r="C21" s="26"/>
      <c r="D21" s="12" t="s">
        <v>32</v>
      </c>
      <c r="E21" s="12"/>
      <c r="F21" s="13" t="s">
        <v>31</v>
      </c>
      <c r="G21" s="12"/>
      <c r="H21" s="37">
        <v>40664</v>
      </c>
      <c r="I21" s="37">
        <v>40664</v>
      </c>
      <c r="J21" s="37">
        <v>40664</v>
      </c>
      <c r="K21" s="37">
        <v>40767</v>
      </c>
      <c r="L21" s="37">
        <v>40959</v>
      </c>
      <c r="M21" s="37">
        <v>41105</v>
      </c>
      <c r="N21" s="37">
        <v>41115</v>
      </c>
      <c r="O21" s="37">
        <v>41188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s="15" customFormat="1" ht="12" customHeight="1" x14ac:dyDescent="0.2">
      <c r="A22" s="12"/>
      <c r="B22" s="12"/>
      <c r="C22" s="26"/>
      <c r="D22" s="12" t="s">
        <v>27</v>
      </c>
      <c r="E22" s="12"/>
      <c r="F22" s="13" t="s">
        <v>34</v>
      </c>
      <c r="G22" s="12"/>
      <c r="H22" s="38" t="s">
        <v>53</v>
      </c>
      <c r="I22" s="38" t="s">
        <v>54</v>
      </c>
      <c r="J22" s="38" t="s">
        <v>55</v>
      </c>
      <c r="K22" s="38" t="s">
        <v>53</v>
      </c>
      <c r="L22" s="38" t="s">
        <v>57</v>
      </c>
      <c r="M22" s="38" t="s">
        <v>56</v>
      </c>
      <c r="N22" s="38" t="s">
        <v>54</v>
      </c>
      <c r="O22" s="38" t="s">
        <v>55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s="15" customFormat="1" ht="12" customHeight="1" x14ac:dyDescent="0.2">
      <c r="A23" s="12"/>
      <c r="B23" s="12"/>
      <c r="C23" s="26"/>
      <c r="D23" s="12" t="s">
        <v>33</v>
      </c>
      <c r="E23" s="12"/>
      <c r="F23" s="13" t="s">
        <v>35</v>
      </c>
      <c r="G23" s="12"/>
      <c r="H23" s="38">
        <v>2405210</v>
      </c>
      <c r="I23" s="38">
        <v>987123</v>
      </c>
      <c r="J23" s="38">
        <v>2200000</v>
      </c>
      <c r="K23" s="38">
        <v>500000</v>
      </c>
      <c r="L23" s="38">
        <v>10000000</v>
      </c>
      <c r="M23" s="38">
        <v>1600000</v>
      </c>
      <c r="N23" s="38">
        <v>2100000</v>
      </c>
      <c r="O23" s="38">
        <v>776000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s="15" customFormat="1" ht="12" customHeight="1" x14ac:dyDescent="0.2">
      <c r="A24" s="12"/>
      <c r="B24" s="12"/>
      <c r="C24" s="26"/>
      <c r="D24" s="12"/>
      <c r="E24" s="12"/>
      <c r="F24" s="13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s="15" customFormat="1" ht="12" customHeight="1" x14ac:dyDescent="0.2">
      <c r="A25" s="12"/>
      <c r="B25" s="12"/>
      <c r="C25" s="26"/>
      <c r="D25" s="12"/>
      <c r="E25" s="12"/>
      <c r="F25" s="13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2" customHeight="1" x14ac:dyDescent="0.2">
      <c r="A26" s="14">
        <f>MAX(A$3:A25)+0.01</f>
        <v>2.0299999999999994</v>
      </c>
      <c r="B26" s="14"/>
      <c r="C26" s="14" t="s">
        <v>25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s="15" customFormat="1" ht="12" customHeight="1" x14ac:dyDescent="0.2">
      <c r="A27" s="12"/>
      <c r="B27" s="12"/>
      <c r="C27" s="26"/>
      <c r="D27" s="12"/>
      <c r="E27" s="12"/>
      <c r="F27" s="13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s="15" customFormat="1" ht="12" customHeight="1" x14ac:dyDescent="0.2">
      <c r="A28" s="12"/>
      <c r="B28" s="12"/>
      <c r="C28" s="26"/>
      <c r="D28" s="12"/>
      <c r="E28" s="12"/>
      <c r="F28" s="13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s="15" customFormat="1" ht="12" customHeight="1" x14ac:dyDescent="0.2">
      <c r="A29" s="12"/>
      <c r="B29" s="12"/>
      <c r="C29" s="26"/>
      <c r="D29" s="12" t="s">
        <v>26</v>
      </c>
      <c r="E29" s="12"/>
      <c r="F29" s="13" t="s">
        <v>29</v>
      </c>
      <c r="G29" s="12"/>
      <c r="H29" s="35" t="str">
        <f>H19</f>
        <v>Asset 1</v>
      </c>
      <c r="I29" s="35" t="str">
        <f>I19</f>
        <v>Asset 2</v>
      </c>
      <c r="J29" s="35" t="str">
        <f>J19</f>
        <v>Asset 3</v>
      </c>
      <c r="K29" s="35" t="str">
        <f>K19</f>
        <v>Asset 4</v>
      </c>
      <c r="L29" s="35" t="str">
        <f>L19</f>
        <v>Asset 5</v>
      </c>
      <c r="M29" s="35" t="str">
        <f>M19</f>
        <v>Asset 6</v>
      </c>
      <c r="N29" s="35" t="str">
        <f>N19</f>
        <v>Asset 7</v>
      </c>
      <c r="O29" s="35" t="str">
        <f>O19</f>
        <v>Asset 8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s="15" customFormat="1" ht="12" customHeight="1" x14ac:dyDescent="0.2">
      <c r="A30" s="12"/>
      <c r="B30" s="12"/>
      <c r="C30" s="26"/>
      <c r="D30" s="12" t="s">
        <v>27</v>
      </c>
      <c r="E30" s="12"/>
      <c r="F30" s="13" t="s">
        <v>28</v>
      </c>
      <c r="G30" s="12"/>
      <c r="H30" s="35" t="str">
        <f>H22</f>
        <v>USD</v>
      </c>
      <c r="I30" s="35" t="str">
        <f>I22</f>
        <v>EUR</v>
      </c>
      <c r="J30" s="35" t="str">
        <f>J22</f>
        <v>GBP</v>
      </c>
      <c r="K30" s="35" t="str">
        <f>K22</f>
        <v>USD</v>
      </c>
      <c r="L30" s="35" t="str">
        <f>L22</f>
        <v>JPY</v>
      </c>
      <c r="M30" s="35" t="str">
        <f>M22</f>
        <v>AUD</v>
      </c>
      <c r="N30" s="35" t="str">
        <f>N22</f>
        <v>EUR</v>
      </c>
      <c r="O30" s="35" t="str">
        <f>O22</f>
        <v>GBP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s="15" customFormat="1" ht="12" customHeight="1" x14ac:dyDescent="0.2">
      <c r="A31" s="12"/>
      <c r="B31" s="12"/>
      <c r="C31" s="26"/>
      <c r="D31" s="12"/>
      <c r="E31" s="12"/>
      <c r="F31" s="13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s="15" customFormat="1" ht="12" customHeight="1" x14ac:dyDescent="0.2">
      <c r="A32" s="12"/>
      <c r="B32" s="12"/>
      <c r="C32" s="26"/>
      <c r="D32" s="12"/>
      <c r="E32" s="35"/>
      <c r="F32" s="13"/>
      <c r="G32" s="35" t="s">
        <v>30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s="15" customFormat="1" ht="12" customHeight="1" x14ac:dyDescent="0.2">
      <c r="A33" s="12"/>
      <c r="B33" s="12"/>
      <c r="C33" s="26"/>
      <c r="D33" s="12"/>
      <c r="E33" s="13"/>
      <c r="F33" s="13"/>
      <c r="G33" s="13" t="s">
        <v>31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s="15" customFormat="1" ht="12" customHeight="1" x14ac:dyDescent="0.2">
      <c r="A34" s="12"/>
      <c r="B34" s="12"/>
      <c r="C34" s="26"/>
      <c r="D34" s="26" t="s">
        <v>36</v>
      </c>
      <c r="E34" s="12"/>
      <c r="F34" s="13"/>
      <c r="G34" s="12"/>
      <c r="H34" s="44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s="15" customFormat="1" ht="12" customHeight="1" x14ac:dyDescent="0.2">
      <c r="A35" s="12"/>
      <c r="B35" s="12"/>
      <c r="C35" s="26"/>
      <c r="D35" s="12"/>
      <c r="E35" s="25"/>
      <c r="F35" s="13" t="s">
        <v>37</v>
      </c>
      <c r="G35" s="40">
        <v>40633</v>
      </c>
      <c r="H35" s="27"/>
      <c r="I35" s="27"/>
      <c r="J35" s="27"/>
      <c r="K35" s="27"/>
      <c r="L35" s="27"/>
      <c r="M35" s="27"/>
      <c r="N35" s="27"/>
      <c r="O35" s="27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s="15" customFormat="1" ht="12" customHeight="1" x14ac:dyDescent="0.2">
      <c r="A36" s="12"/>
      <c r="B36" s="12"/>
      <c r="C36" s="26"/>
      <c r="D36" s="12"/>
      <c r="E36" s="25"/>
      <c r="F36" s="13" t="s">
        <v>37</v>
      </c>
      <c r="G36" s="25">
        <f t="shared" ref="G36:G54" si="0">EOMONTH(G35,3)</f>
        <v>40724</v>
      </c>
      <c r="H36" s="27">
        <v>2312001.968955514</v>
      </c>
      <c r="I36" s="27">
        <v>1008107.5128369719</v>
      </c>
      <c r="J36" s="27">
        <v>2260524.332437865</v>
      </c>
      <c r="K36" s="27"/>
      <c r="L36" s="27"/>
      <c r="M36" s="27"/>
      <c r="N36" s="27"/>
      <c r="O36" s="27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s="15" customFormat="1" ht="12" customHeight="1" x14ac:dyDescent="0.2">
      <c r="A37" s="12"/>
      <c r="B37" s="12"/>
      <c r="C37" s="26"/>
      <c r="D37" s="12"/>
      <c r="E37" s="25"/>
      <c r="F37" s="13" t="s">
        <v>37</v>
      </c>
      <c r="G37" s="25">
        <f t="shared" si="0"/>
        <v>40816</v>
      </c>
      <c r="H37" s="27">
        <v>2359185.6826076675</v>
      </c>
      <c r="I37" s="27">
        <v>1028681.1355479305</v>
      </c>
      <c r="J37" s="27">
        <v>2306657.4820794542</v>
      </c>
      <c r="K37" s="27">
        <v>488178.20071637927</v>
      </c>
      <c r="L37" s="27"/>
      <c r="M37" s="27"/>
      <c r="N37" s="27"/>
      <c r="O37" s="27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s="15" customFormat="1" ht="12" customHeight="1" x14ac:dyDescent="0.2">
      <c r="A38" s="12"/>
      <c r="B38" s="12"/>
      <c r="C38" s="26"/>
      <c r="D38" s="12"/>
      <c r="E38" s="25"/>
      <c r="F38" s="13" t="s">
        <v>37</v>
      </c>
      <c r="G38" s="25">
        <f t="shared" si="0"/>
        <v>40908</v>
      </c>
      <c r="H38" s="27">
        <v>2474006.3426165292</v>
      </c>
      <c r="I38" s="27">
        <v>1053502.420841211</v>
      </c>
      <c r="J38" s="27">
        <v>2307401.9769246625</v>
      </c>
      <c r="K38" s="27">
        <v>498141.02113916253</v>
      </c>
      <c r="L38" s="27"/>
      <c r="M38" s="27"/>
      <c r="N38" s="27"/>
      <c r="O38" s="27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s="15" customFormat="1" ht="12" customHeight="1" x14ac:dyDescent="0.2">
      <c r="A39" s="12"/>
      <c r="B39" s="12"/>
      <c r="C39" s="26"/>
      <c r="D39" s="12"/>
      <c r="E39" s="25"/>
      <c r="F39" s="13" t="s">
        <v>37</v>
      </c>
      <c r="G39" s="25">
        <f t="shared" si="0"/>
        <v>40999</v>
      </c>
      <c r="H39" s="27">
        <v>2606689.4504301492</v>
      </c>
      <c r="I39" s="27">
        <v>1051111.9335961549</v>
      </c>
      <c r="J39" s="27">
        <v>2412836.8464813028</v>
      </c>
      <c r="K39" s="27">
        <v>503955.03605732298</v>
      </c>
      <c r="L39" s="27">
        <v>10515818.638846584</v>
      </c>
      <c r="M39" s="27"/>
      <c r="N39" s="27"/>
      <c r="O39" s="27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s="15" customFormat="1" ht="12" customHeight="1" x14ac:dyDescent="0.2">
      <c r="A40" s="12"/>
      <c r="B40" s="12"/>
      <c r="C40" s="26"/>
      <c r="D40" s="12"/>
      <c r="E40" s="25"/>
      <c r="F40" s="13" t="s">
        <v>37</v>
      </c>
      <c r="G40" s="25">
        <f t="shared" si="0"/>
        <v>41090</v>
      </c>
      <c r="H40" s="27">
        <v>2552314.5492844325</v>
      </c>
      <c r="I40" s="27">
        <v>1080809.4679797112</v>
      </c>
      <c r="J40" s="27">
        <v>2450316.8889786457</v>
      </c>
      <c r="K40" s="27">
        <v>517374.28799647087</v>
      </c>
      <c r="L40" s="27">
        <v>10730427.182496514</v>
      </c>
      <c r="M40" s="27"/>
      <c r="N40" s="27"/>
      <c r="O40" s="27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s="15" customFormat="1" ht="12" customHeight="1" x14ac:dyDescent="0.2">
      <c r="A41" s="12"/>
      <c r="B41" s="12"/>
      <c r="C41" s="26"/>
      <c r="D41" s="12"/>
      <c r="E41" s="25"/>
      <c r="F41" s="13" t="s">
        <v>37</v>
      </c>
      <c r="G41" s="25">
        <f t="shared" si="0"/>
        <v>41182</v>
      </c>
      <c r="H41" s="27">
        <v>2579176.6100053168</v>
      </c>
      <c r="I41" s="27">
        <v>1149370.8112227607</v>
      </c>
      <c r="J41" s="27">
        <v>2395837.5965250055</v>
      </c>
      <c r="K41" s="27">
        <v>551082.80985244806</v>
      </c>
      <c r="L41" s="27">
        <v>11018400.125318451</v>
      </c>
      <c r="M41" s="27">
        <v>1664101.8182709268</v>
      </c>
      <c r="N41" s="27">
        <v>2203428.3070023716</v>
      </c>
      <c r="O41" s="27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s="15" customFormat="1" ht="12" customHeight="1" x14ac:dyDescent="0.2">
      <c r="A42" s="12"/>
      <c r="B42" s="12"/>
      <c r="C42" s="26"/>
      <c r="D42" s="12"/>
      <c r="E42" s="25"/>
      <c r="F42" s="13" t="s">
        <v>37</v>
      </c>
      <c r="G42" s="25">
        <f t="shared" si="0"/>
        <v>41274</v>
      </c>
      <c r="H42" s="27">
        <v>2570377.0967300208</v>
      </c>
      <c r="I42" s="27">
        <v>1230021.6372323157</v>
      </c>
      <c r="J42" s="27">
        <v>2505415.6939478312</v>
      </c>
      <c r="K42" s="27">
        <v>572663.91621666087</v>
      </c>
      <c r="L42" s="27">
        <v>11292437.000465358</v>
      </c>
      <c r="M42" s="27">
        <v>1698063.0798682927</v>
      </c>
      <c r="N42" s="27">
        <v>2248396.2316350732</v>
      </c>
      <c r="O42" s="27">
        <v>746825.61301661073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s="15" customFormat="1" ht="12" customHeight="1" x14ac:dyDescent="0.2">
      <c r="A43" s="12"/>
      <c r="B43" s="12"/>
      <c r="C43" s="26"/>
      <c r="D43" s="12"/>
      <c r="E43" s="25"/>
      <c r="F43" s="13" t="s">
        <v>37</v>
      </c>
      <c r="G43" s="25">
        <f t="shared" si="0"/>
        <v>41364</v>
      </c>
      <c r="H43" s="27">
        <v>2546858.5988995396</v>
      </c>
      <c r="I43" s="27">
        <v>1225568.4875050457</v>
      </c>
      <c r="J43" s="27">
        <v>2684557.6905433605</v>
      </c>
      <c r="K43" s="27">
        <v>583494.84371468797</v>
      </c>
      <c r="L43" s="27">
        <v>11414092.834661281</v>
      </c>
      <c r="M43" s="27">
        <v>1719188.3832536181</v>
      </c>
      <c r="N43" s="27">
        <v>2259047.9318419751</v>
      </c>
      <c r="O43" s="27">
        <v>762066.95205776603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s="15" customFormat="1" ht="12" customHeight="1" x14ac:dyDescent="0.2">
      <c r="A44" s="12"/>
      <c r="B44" s="12"/>
      <c r="C44" s="26"/>
      <c r="D44" s="12"/>
      <c r="E44" s="25"/>
      <c r="F44" s="13" t="s">
        <v>37</v>
      </c>
      <c r="G44" s="25">
        <f t="shared" si="0"/>
        <v>41455</v>
      </c>
      <c r="H44" s="27">
        <v>2541630.85610615</v>
      </c>
      <c r="I44" s="27">
        <v>1239311.9583483024</v>
      </c>
      <c r="J44" s="27">
        <v>2732379.0396580836</v>
      </c>
      <c r="K44" s="27">
        <v>613095.61299214384</v>
      </c>
      <c r="L44" s="27">
        <v>11342990.599706978</v>
      </c>
      <c r="M44" s="27">
        <v>1775240.5356043286</v>
      </c>
      <c r="N44" s="27">
        <v>2401553.8169581122</v>
      </c>
      <c r="O44" s="27">
        <v>767930.63267349522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s="15" customFormat="1" ht="12" customHeight="1" x14ac:dyDescent="0.2">
      <c r="A45" s="12"/>
      <c r="B45" s="12"/>
      <c r="C45" s="26"/>
      <c r="D45" s="12"/>
      <c r="E45" s="25"/>
      <c r="F45" s="13" t="s">
        <v>37</v>
      </c>
      <c r="G45" s="25">
        <f t="shared" si="0"/>
        <v>41547</v>
      </c>
      <c r="H45" s="27">
        <v>2722122.6276942706</v>
      </c>
      <c r="I45" s="27">
        <v>1327039.7684917103</v>
      </c>
      <c r="J45" s="27">
        <v>2789187.7331311987</v>
      </c>
      <c r="K45" s="27">
        <v>624868.66481539351</v>
      </c>
      <c r="L45" s="27">
        <v>12158961.399827665</v>
      </c>
      <c r="M45" s="27">
        <v>1857590.0534079508</v>
      </c>
      <c r="N45" s="27">
        <v>2555464.5138634648</v>
      </c>
      <c r="O45" s="27">
        <v>821673.06110966473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s="15" customFormat="1" ht="12" customHeight="1" x14ac:dyDescent="0.2">
      <c r="A46" s="12"/>
      <c r="B46" s="12"/>
      <c r="C46" s="26"/>
      <c r="D46" s="12"/>
      <c r="E46" s="25"/>
      <c r="F46" s="13" t="s">
        <v>37</v>
      </c>
      <c r="G46" s="25">
        <f t="shared" si="0"/>
        <v>41639</v>
      </c>
      <c r="H46" s="27">
        <v>2887053.530481087</v>
      </c>
      <c r="I46" s="27">
        <v>1295480.4564169566</v>
      </c>
      <c r="J46" s="27">
        <v>2733802.2034257534</v>
      </c>
      <c r="K46" s="27">
        <v>664181.59561306285</v>
      </c>
      <c r="L46" s="27">
        <v>11931246.431557173</v>
      </c>
      <c r="M46" s="27">
        <v>1970020.2696459412</v>
      </c>
      <c r="N46" s="27">
        <v>2577474.1483834246</v>
      </c>
      <c r="O46" s="27">
        <v>833069.83973205241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s="15" customFormat="1" ht="12" customHeight="1" x14ac:dyDescent="0.2">
      <c r="A47" s="12"/>
      <c r="B47" s="12"/>
      <c r="C47" s="26"/>
      <c r="D47" s="12"/>
      <c r="E47" s="25"/>
      <c r="F47" s="13" t="s">
        <v>37</v>
      </c>
      <c r="G47" s="25">
        <f t="shared" si="0"/>
        <v>41729</v>
      </c>
      <c r="H47" s="27">
        <v>2946303.6292218203</v>
      </c>
      <c r="I47" s="27">
        <v>1286506.1041991853</v>
      </c>
      <c r="J47" s="27">
        <v>2898447.6518998481</v>
      </c>
      <c r="K47" s="27">
        <v>684312.3101254761</v>
      </c>
      <c r="L47" s="27">
        <v>12564779.263606936</v>
      </c>
      <c r="M47" s="27">
        <v>2044007.8716421786</v>
      </c>
      <c r="N47" s="27">
        <v>2637803.7749679941</v>
      </c>
      <c r="O47" s="27">
        <v>871335.97699781356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s="15" customFormat="1" ht="12" customHeight="1" x14ac:dyDescent="0.2">
      <c r="A48" s="12"/>
      <c r="B48" s="12"/>
      <c r="C48" s="26"/>
      <c r="D48" s="12"/>
      <c r="E48" s="25"/>
      <c r="F48" s="13" t="s">
        <v>37</v>
      </c>
      <c r="G48" s="25">
        <f t="shared" si="0"/>
        <v>41820</v>
      </c>
      <c r="H48" s="27">
        <v>2884034.5140986713</v>
      </c>
      <c r="I48" s="27">
        <v>1344461.9211755916</v>
      </c>
      <c r="J48" s="27">
        <v>2906510.9810104845</v>
      </c>
      <c r="K48" s="27">
        <v>710159.1211992508</v>
      </c>
      <c r="L48" s="27">
        <v>13287424.335575214</v>
      </c>
      <c r="M48" s="27">
        <v>2031052.8477722483</v>
      </c>
      <c r="N48" s="27">
        <v>2607610.7407983211</v>
      </c>
      <c r="O48" s="27">
        <v>931409.99050730572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s="15" customFormat="1" ht="12" customHeight="1" x14ac:dyDescent="0.2">
      <c r="A49" s="12"/>
      <c r="B49" s="12"/>
      <c r="C49" s="26"/>
      <c r="D49" s="12"/>
      <c r="E49" s="25"/>
      <c r="F49" s="13" t="s">
        <v>37</v>
      </c>
      <c r="G49" s="25">
        <f t="shared" si="0"/>
        <v>41912</v>
      </c>
      <c r="H49" s="27">
        <v>2963171.8714211937</v>
      </c>
      <c r="I49" s="27">
        <v>1354734.1642813566</v>
      </c>
      <c r="J49" s="27">
        <v>3115897.8136557578</v>
      </c>
      <c r="K49" s="27">
        <v>716595.58798746392</v>
      </c>
      <c r="L49" s="27">
        <v>13435707.176370457</v>
      </c>
      <c r="M49" s="27">
        <v>2070541.05436086</v>
      </c>
      <c r="N49" s="27">
        <v>2690353.4406370702</v>
      </c>
      <c r="O49" s="27">
        <v>931369.72479951882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s="15" customFormat="1" ht="12" customHeight="1" x14ac:dyDescent="0.2">
      <c r="A50" s="12"/>
      <c r="B50" s="12"/>
      <c r="C50" s="26"/>
      <c r="D50" s="12"/>
      <c r="E50" s="25"/>
      <c r="F50" s="13" t="s">
        <v>37</v>
      </c>
      <c r="G50" s="25">
        <f t="shared" si="0"/>
        <v>42004</v>
      </c>
      <c r="H50" s="27">
        <v>3180325.3678183393</v>
      </c>
      <c r="I50" s="27">
        <v>1356697.1480755524</v>
      </c>
      <c r="J50" s="27">
        <v>3300616.1422593356</v>
      </c>
      <c r="K50" s="27">
        <v>749367.68446316512</v>
      </c>
      <c r="L50" s="27">
        <v>13532216.769144582</v>
      </c>
      <c r="M50" s="27">
        <v>2077665.1411488943</v>
      </c>
      <c r="N50" s="27">
        <v>2636303.8353245757</v>
      </c>
      <c r="O50" s="27">
        <v>981817.44595117273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s="15" customFormat="1" ht="12" customHeight="1" x14ac:dyDescent="0.2">
      <c r="A51" s="12"/>
      <c r="B51" s="12"/>
      <c r="C51" s="26"/>
      <c r="D51" s="12"/>
      <c r="E51" s="25"/>
      <c r="F51" s="13" t="s">
        <v>37</v>
      </c>
      <c r="G51" s="25">
        <f t="shared" si="0"/>
        <v>42094</v>
      </c>
      <c r="H51" s="27">
        <v>3292450.3707265528</v>
      </c>
      <c r="I51" s="27">
        <v>1350202.1757959237</v>
      </c>
      <c r="J51" s="27">
        <v>3428742.0924123367</v>
      </c>
      <c r="K51" s="27">
        <v>776800.31229603512</v>
      </c>
      <c r="L51" s="27">
        <v>14085413.178573528</v>
      </c>
      <c r="M51" s="27">
        <v>2040443.2510475521</v>
      </c>
      <c r="N51" s="27">
        <v>2699455.0304886336</v>
      </c>
      <c r="O51" s="27">
        <v>983704.67668314953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s="15" customFormat="1" ht="12" customHeight="1" x14ac:dyDescent="0.2">
      <c r="A52" s="12"/>
      <c r="B52" s="12"/>
      <c r="C52" s="26"/>
      <c r="D52" s="12"/>
      <c r="E52" s="25"/>
      <c r="F52" s="13" t="s">
        <v>37</v>
      </c>
      <c r="G52" s="25">
        <f t="shared" si="0"/>
        <v>42185</v>
      </c>
      <c r="H52" s="27">
        <v>3440242.2435413147</v>
      </c>
      <c r="I52" s="27">
        <v>1377578.5645888266</v>
      </c>
      <c r="J52" s="27">
        <v>3402045.5878914227</v>
      </c>
      <c r="K52" s="27">
        <v>762894.65277875483</v>
      </c>
      <c r="L52" s="27">
        <v>14293022.433980338</v>
      </c>
      <c r="M52" s="27">
        <v>2037670.1398427312</v>
      </c>
      <c r="N52" s="27">
        <v>2734312.5205469457</v>
      </c>
      <c r="O52" s="27">
        <v>1055070.1722843142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s="15" customFormat="1" ht="12" customHeight="1" x14ac:dyDescent="0.2">
      <c r="A53" s="12"/>
      <c r="B53" s="12"/>
      <c r="C53" s="26"/>
      <c r="D53" s="12"/>
      <c r="E53" s="25"/>
      <c r="F53" s="13" t="s">
        <v>37</v>
      </c>
      <c r="G53" s="25">
        <f t="shared" si="0"/>
        <v>42277</v>
      </c>
      <c r="H53" s="27">
        <v>3438184.9006893374</v>
      </c>
      <c r="I53" s="27">
        <v>1469326.0450211829</v>
      </c>
      <c r="J53" s="27">
        <v>3642795.1357063605</v>
      </c>
      <c r="K53" s="27">
        <v>776301.68103658338</v>
      </c>
      <c r="L53" s="27">
        <v>14605651.630612887</v>
      </c>
      <c r="M53" s="27">
        <v>2029118.4090210747</v>
      </c>
      <c r="N53" s="27">
        <v>2852256.4795662281</v>
      </c>
      <c r="O53" s="27">
        <v>1074550.2751265611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s="15" customFormat="1" ht="12" customHeight="1" x14ac:dyDescent="0.2">
      <c r="A54" s="12"/>
      <c r="B54" s="12"/>
      <c r="C54" s="26"/>
      <c r="D54" s="12"/>
      <c r="E54" s="25"/>
      <c r="F54" s="13" t="s">
        <v>37</v>
      </c>
      <c r="G54" s="25">
        <f t="shared" si="0"/>
        <v>42369</v>
      </c>
      <c r="H54" s="27">
        <v>3628272.9231086038</v>
      </c>
      <c r="I54" s="27">
        <v>1505012.2121357103</v>
      </c>
      <c r="J54" s="27">
        <v>3563469.8133933377</v>
      </c>
      <c r="K54" s="27">
        <v>811650.06534732471</v>
      </c>
      <c r="L54" s="27">
        <v>14341900.330940109</v>
      </c>
      <c r="M54" s="27">
        <v>1982116.1498772269</v>
      </c>
      <c r="N54" s="27">
        <v>2805337.9898480661</v>
      </c>
      <c r="O54" s="27">
        <v>1095730.1045967592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2" customHeight="1" x14ac:dyDescent="0.2">
      <c r="A55" s="8"/>
      <c r="B55" s="8"/>
      <c r="C55" s="10"/>
      <c r="D55" s="8"/>
      <c r="E55" s="11"/>
      <c r="F55" s="9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2" customHeight="1" x14ac:dyDescent="0.2">
      <c r="A56" s="8"/>
      <c r="B56" s="8"/>
      <c r="C56" s="10"/>
      <c r="D56" s="8"/>
      <c r="E56" s="8"/>
      <c r="F56" s="9"/>
      <c r="G56" s="8"/>
      <c r="H56" s="8"/>
      <c r="I56" s="8"/>
      <c r="J56" s="8"/>
      <c r="K56" s="12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2" customHeight="1" x14ac:dyDescent="0.2">
      <c r="A57" s="14"/>
      <c r="B57" s="14"/>
      <c r="C57" s="14" t="s">
        <v>1</v>
      </c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" customHeight="1" x14ac:dyDescent="0.2"/>
  </sheetData>
  <conditionalFormatting sqref="H35:O54">
    <cfRule type="expression" dxfId="0" priority="3">
      <formula>($G35&lt;=H$21)</formula>
    </cfRule>
  </conditionalFormatting>
  <dataValidations count="1">
    <dataValidation type="list" allowBlank="1" showInputMessage="1" showErrorMessage="1" sqref="H22:O22">
      <formula1>ListCurCode</formula1>
    </dataValidation>
  </dataValidations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Formats</vt:lpstr>
      <vt:lpstr>Lists</vt:lpstr>
      <vt:lpstr>FX Rates</vt:lpstr>
      <vt:lpstr>Other Data</vt:lpstr>
      <vt:lpstr>ListCurCode</vt:lpstr>
      <vt:lpstr>ListCurName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Dan Mayoh</cp:lastModifiedBy>
  <dcterms:created xsi:type="dcterms:W3CDTF">2015-10-14T05:12:28Z</dcterms:created>
  <dcterms:modified xsi:type="dcterms:W3CDTF">2015-12-01T22:13:03Z</dcterms:modified>
</cp:coreProperties>
</file>