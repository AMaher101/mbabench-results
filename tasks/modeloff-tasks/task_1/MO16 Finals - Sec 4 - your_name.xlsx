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ew Zealand\ModelOff\2016\Finals\Financing\"/>
    </mc:Choice>
  </mc:AlternateContent>
  <bookViews>
    <workbookView xWindow="0" yWindow="0" windowWidth="23040" windowHeight="9420"/>
  </bookViews>
  <sheets>
    <sheet name="Formats" sheetId="8" r:id="rId1"/>
    <sheet name="Inputs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42374.9431018519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2" i="1" l="1"/>
  <c r="D131" i="1"/>
  <c r="E76" i="1" l="1"/>
  <c r="E75" i="1"/>
  <c r="E74" i="1"/>
  <c r="E73" i="1"/>
  <c r="E72" i="1"/>
  <c r="E63" i="1"/>
  <c r="E62" i="1"/>
  <c r="E61" i="1"/>
  <c r="E60" i="1"/>
  <c r="E59" i="1"/>
  <c r="E53" i="1"/>
  <c r="E52" i="1"/>
  <c r="E51" i="1"/>
  <c r="E50" i="1"/>
  <c r="E49" i="1"/>
  <c r="E44" i="1"/>
  <c r="E43" i="1"/>
  <c r="E42" i="1"/>
  <c r="E41" i="1"/>
  <c r="E40" i="1"/>
  <c r="E37" i="1"/>
  <c r="E36" i="1"/>
  <c r="E35" i="1"/>
  <c r="E34" i="1"/>
  <c r="E33" i="1"/>
  <c r="E30" i="1"/>
  <c r="E29" i="1"/>
  <c r="E28" i="1"/>
  <c r="E27" i="1"/>
  <c r="E26" i="1"/>
  <c r="L5" i="1" l="1"/>
  <c r="M5" i="1" l="1"/>
  <c r="N5" i="1" l="1"/>
  <c r="O5" i="1" l="1"/>
  <c r="P5" i="1" l="1"/>
  <c r="Q5" i="1" l="1"/>
  <c r="R5" i="1" l="1"/>
  <c r="S5" i="1" l="1"/>
  <c r="T5" i="1" l="1"/>
  <c r="U5" i="1" l="1"/>
  <c r="V5" i="1" l="1"/>
  <c r="W5" i="1" l="1"/>
  <c r="A9" i="1"/>
  <c r="L7" i="1"/>
  <c r="A23" i="1" l="1"/>
  <c r="M7" i="1"/>
  <c r="X5" i="1"/>
  <c r="A46" i="1" l="1"/>
  <c r="N7" i="1"/>
  <c r="Y5" i="1"/>
  <c r="A56" i="1" l="1"/>
  <c r="A69" i="1" s="1"/>
  <c r="O7" i="1"/>
  <c r="Z5" i="1"/>
  <c r="L6" i="1"/>
  <c r="A84" i="1" l="1"/>
  <c r="A97" i="1" s="1"/>
  <c r="A101" i="1" s="1"/>
  <c r="A120" i="1" s="1"/>
  <c r="A134" i="1" s="1"/>
  <c r="P7" i="1"/>
  <c r="AA5" i="1"/>
  <c r="M6" i="1"/>
  <c r="Q7" i="1" l="1"/>
  <c r="AB5" i="1"/>
  <c r="N6" i="1"/>
  <c r="AC5" i="1" l="1"/>
  <c r="R7" i="1"/>
  <c r="O6" i="1"/>
  <c r="AD5" i="1" l="1"/>
  <c r="S7" i="1"/>
  <c r="P6" i="1"/>
  <c r="T7" i="1" l="1"/>
  <c r="AE5" i="1"/>
  <c r="Q6" i="1"/>
  <c r="U7" i="1" l="1"/>
  <c r="AF5" i="1"/>
  <c r="R6" i="1"/>
  <c r="V7" i="1" l="1"/>
  <c r="AG5" i="1"/>
  <c r="S6" i="1"/>
  <c r="W7" i="1" l="1"/>
  <c r="AH5" i="1"/>
  <c r="T6" i="1"/>
  <c r="X7" i="1" l="1"/>
  <c r="AI5" i="1"/>
  <c r="U6" i="1"/>
  <c r="Y7" i="1" l="1"/>
  <c r="AJ5" i="1"/>
  <c r="V6" i="1"/>
  <c r="Z7" i="1" l="1"/>
  <c r="AK5" i="1"/>
  <c r="W6" i="1"/>
  <c r="AA7" i="1" l="1"/>
  <c r="AL5" i="1"/>
  <c r="X6" i="1"/>
  <c r="AB6" i="1" l="1"/>
  <c r="AB7" i="1"/>
  <c r="AM5" i="1"/>
  <c r="Y6" i="1"/>
  <c r="AN5" i="1" l="1"/>
  <c r="AC7" i="1"/>
  <c r="AC6" i="1"/>
  <c r="Z6" i="1"/>
  <c r="AO5" i="1" l="1"/>
  <c r="AD6" i="1"/>
  <c r="AD7" i="1"/>
  <c r="AA6" i="1"/>
  <c r="AE6" i="1" l="1"/>
  <c r="AE7" i="1"/>
  <c r="AF7" i="1" l="1"/>
  <c r="AF6" i="1"/>
  <c r="AG7" i="1" l="1"/>
  <c r="AG6" i="1"/>
  <c r="AH6" i="1" l="1"/>
  <c r="AH7" i="1"/>
  <c r="AI6" i="1" l="1"/>
  <c r="AI7" i="1"/>
  <c r="AJ7" i="1" l="1"/>
  <c r="AJ6" i="1"/>
  <c r="AK7" i="1" l="1"/>
  <c r="AK6" i="1"/>
  <c r="AL6" i="1" l="1"/>
  <c r="AL7" i="1"/>
  <c r="AM7" i="1" l="1"/>
  <c r="AM6" i="1"/>
  <c r="AN7" i="1" l="1"/>
  <c r="AN6" i="1"/>
  <c r="AO7" i="1" l="1"/>
  <c r="AO6" i="1"/>
</calcChain>
</file>

<file path=xl/sharedStrings.xml><?xml version="1.0" encoding="utf-8"?>
<sst xmlns="http://schemas.openxmlformats.org/spreadsheetml/2006/main" count="225" uniqueCount="123">
  <si>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</si>
  <si>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</si>
  <si>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</si>
  <si>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</si>
  <si>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</si>
  <si>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</si>
  <si>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</si>
  <si>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(negative, 0 decimal places)</t>
  </si>
  <si>
    <t>Calculation (2 decimal places)</t>
  </si>
  <si>
    <t>Calculation (percentage)</t>
  </si>
  <si>
    <t>Cell to be populated by model author</t>
  </si>
  <si>
    <t>Calculation (date)</t>
  </si>
  <si>
    <t>Unique formula in row</t>
  </si>
  <si>
    <t>red font</t>
  </si>
  <si>
    <t>Units label</t>
  </si>
  <si>
    <t>[$]</t>
  </si>
  <si>
    <t>Non Variable Assumption (0 decimal places)</t>
  </si>
  <si>
    <t>Bold Label</t>
  </si>
  <si>
    <t>Label</t>
  </si>
  <si>
    <t>Workings</t>
  </si>
  <si>
    <t>Top Sheet header</t>
  </si>
  <si>
    <t>Section header</t>
  </si>
  <si>
    <t>End Sheet</t>
  </si>
  <si>
    <t>Assumptions</t>
  </si>
  <si>
    <t>Period Start</t>
  </si>
  <si>
    <t>Period End</t>
  </si>
  <si>
    <t>Units</t>
  </si>
  <si>
    <t>[%]</t>
  </si>
  <si>
    <t>[$m]</t>
  </si>
  <si>
    <t>Capital expenditure</t>
  </si>
  <si>
    <t>[years]</t>
  </si>
  <si>
    <t>General inputs</t>
  </si>
  <si>
    <t>Tax rate</t>
  </si>
  <si>
    <t>Year Number</t>
  </si>
  <si>
    <t>[# vessels sold]</t>
  </si>
  <si>
    <t>Price inflation</t>
  </si>
  <si>
    <t>Vessel revenues</t>
  </si>
  <si>
    <t>Prices</t>
  </si>
  <si>
    <t>Vessel construction timeframes</t>
  </si>
  <si>
    <t>Platinum class</t>
  </si>
  <si>
    <t>Ruby class</t>
  </si>
  <si>
    <t>Emerald class</t>
  </si>
  <si>
    <t>Gold class</t>
  </si>
  <si>
    <t>Sapphire class</t>
  </si>
  <si>
    <t>Construction duration</t>
  </si>
  <si>
    <t>% of vessel price paid when order placed</t>
  </si>
  <si>
    <t>Vessel costs</t>
  </si>
  <si>
    <t>Cost of goods sold percentage</t>
  </si>
  <si>
    <t>Other operating expenses</t>
  </si>
  <si>
    <t>Head office costs</t>
  </si>
  <si>
    <t>Other</t>
  </si>
  <si>
    <t>Note - the questions will not change these values - you can assume they are fixed.</t>
  </si>
  <si>
    <t>Vessel price</t>
  </si>
  <si>
    <t>Vessel sales - base case</t>
  </si>
  <si>
    <t>Vessel sales - declining case</t>
  </si>
  <si>
    <t>Vessel sales - cyclical case</t>
  </si>
  <si>
    <t>Cost inflation (not applicable to COGS)</t>
  </si>
  <si>
    <t>[$m, real]</t>
  </si>
  <si>
    <t>Cash</t>
  </si>
  <si>
    <t>Equity</t>
  </si>
  <si>
    <t>Retained earnings</t>
  </si>
  <si>
    <t>Capital costs and depreciation</t>
  </si>
  <si>
    <t>Equipment</t>
  </si>
  <si>
    <t>Depreciation rates</t>
  </si>
  <si>
    <t>Note - all categories are depreciated on a DV basis for both tax and accounting purposes.</t>
  </si>
  <si>
    <t>[% pa]</t>
  </si>
  <si>
    <t>Government fees</t>
  </si>
  <si>
    <t>Insurance</t>
  </si>
  <si>
    <t>Senior debt - Tranche 1</t>
  </si>
  <si>
    <t>Senior debt - Tranche 2</t>
  </si>
  <si>
    <t>Subordinated debt</t>
  </si>
  <si>
    <t>Convertible debt</t>
  </si>
  <si>
    <t>Cash float</t>
  </si>
  <si>
    <t>Debt</t>
  </si>
  <si>
    <t>Cash float required</t>
  </si>
  <si>
    <t>Revolver</t>
  </si>
  <si>
    <t>Revolver limit</t>
  </si>
  <si>
    <t>Opening balances</t>
  </si>
  <si>
    <t>Debt facilities</t>
  </si>
  <si>
    <t>Revolver facility</t>
  </si>
  <si>
    <t>Cash - opening balance</t>
  </si>
  <si>
    <t>Equipment - opening balance</t>
  </si>
  <si>
    <t>Other - opening balance</t>
  </si>
  <si>
    <t>Fixed assets</t>
  </si>
  <si>
    <t>Revolver facility - opening balance</t>
  </si>
  <si>
    <t>Senior debt (Tranche 1) - opening balance</t>
  </si>
  <si>
    <t>Senior debt (Tranche 2) - opening balance</t>
  </si>
  <si>
    <t>Subordinated debt - opening balance</t>
  </si>
  <si>
    <t>Equity issued</t>
  </si>
  <si>
    <t>Class A shares - # issued</t>
  </si>
  <si>
    <t>Class B shares - # issued</t>
  </si>
  <si>
    <t>Class C shares - # issued</t>
  </si>
  <si>
    <t>Class A shares - price as issue</t>
  </si>
  <si>
    <t>Class B shares - price at issue</t>
  </si>
  <si>
    <t>Class C shares - price at issue</t>
  </si>
  <si>
    <t>[millions]</t>
  </si>
  <si>
    <t>Interest rates</t>
  </si>
  <si>
    <t>Scheduled repayments above entered as positive</t>
  </si>
  <si>
    <t>Senior debt - Tranche 1 - scheduled repayment</t>
  </si>
  <si>
    <t>Senior debt - Tranche 2 - scheduled repayment</t>
  </si>
  <si>
    <t>Class A shares (existing) - vesting year</t>
  </si>
  <si>
    <t>Class B shares (existing) - vesting year</t>
  </si>
  <si>
    <t>Class C shares (existing) - vesting year</t>
  </si>
  <si>
    <t>Existing shares - vesting year</t>
  </si>
  <si>
    <t>[year]</t>
  </si>
  <si>
    <t>Class C shares (new) - vesting period</t>
  </si>
  <si>
    <t>Converted shares - vesting period</t>
  </si>
  <si>
    <t>Share dividend rights - number of A shares worth</t>
  </si>
  <si>
    <t>[#]</t>
  </si>
  <si>
    <t>Base Case</t>
  </si>
  <si>
    <t>Declining Case</t>
  </si>
  <si>
    <t>Cyclical Case</t>
  </si>
  <si>
    <t>Vessel types</t>
  </si>
  <si>
    <t>Other expenses</t>
  </si>
  <si>
    <t>Senior debt</t>
  </si>
  <si>
    <t>Cash - positive balances</t>
  </si>
  <si>
    <t>Cash - negative balances</t>
  </si>
  <si>
    <t>Buildings</t>
  </si>
  <si>
    <t>Buildings - opening balance</t>
  </si>
  <si>
    <t>Vessel sales volumes</t>
  </si>
  <si>
    <t>Retained earnings - opening balance</t>
  </si>
  <si>
    <t>Convertible interest debt - opening balance</t>
  </si>
  <si>
    <t>ModelOff 2016 - Finals - Section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</si>
</sst>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0.00%_);\(0.00%\)"/>
    <numFmt numFmtId="169" formatCode="#,##0.;\-#,##0.;\-"/>
    <numFmt numFmtId="170" formatCode="#,##0_);\(#,##0\);\-"/>
    <numFmt numFmtId="171" formatCode="#,##0.00_);\(#,##0.00\);\-"/>
    <numFmt numFmtId="172" formatCode="0.00%_);\(0.00%\);\-"/>
    <numFmt numFmtId="173" formatCode="d\-mmm\-yy;d\-mmm\-yy;\-"/>
    <numFmt numFmtId="174" formatCode="0.00%_);\(0.00%\);&quot;-&quot;_);@_)"/>
    <numFmt numFmtId="175" formatCode="###0_);\(###0\);\-"/>
  </numFmts>
  <fonts count="30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C3E7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3" fillId="3" borderId="0" applyNumberFormat="0" applyAlignment="0"/>
    <xf numFmtId="170" fontId="5" fillId="0" borderId="0" applyBorder="0"/>
    <xf numFmtId="0" fontId="1" fillId="0" borderId="0" applyNumberFormat="0" applyFill="0" applyBorder="0">
      <alignment horizontal="right"/>
    </xf>
    <xf numFmtId="170" fontId="8" fillId="0" borderId="0" applyBorder="0"/>
    <xf numFmtId="4" fontId="8" fillId="4" borderId="2">
      <alignment horizontal="left"/>
    </xf>
    <xf numFmtId="171" fontId="5" fillId="0" borderId="0" applyBorder="0"/>
    <xf numFmtId="170" fontId="1" fillId="2" borderId="1">
      <protection locked="0"/>
    </xf>
    <xf numFmtId="171" fontId="1" fillId="2" borderId="1">
      <protection locked="0"/>
    </xf>
    <xf numFmtId="172" fontId="1" fillId="2" borderId="1">
      <protection locked="0"/>
    </xf>
    <xf numFmtId="173" fontId="1" fillId="2" borderId="1"/>
    <xf numFmtId="172" fontId="9" fillId="0" borderId="0" applyFill="0" applyBorder="0" applyAlignment="0"/>
    <xf numFmtId="173" fontId="5" fillId="0" borderId="0" applyBorder="0"/>
    <xf numFmtId="170" fontId="1" fillId="0" borderId="3"/>
    <xf numFmtId="0" fontId="11" fillId="0" borderId="0" applyNumberFormat="0" applyFill="0" applyBorder="0" applyAlignment="0"/>
    <xf numFmtId="16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7" applyNumberFormat="0" applyAlignment="0" applyProtection="0"/>
    <xf numFmtId="0" fontId="21" fillId="10" borderId="8" applyNumberFormat="0" applyAlignment="0" applyProtection="0"/>
    <xf numFmtId="0" fontId="22" fillId="10" borderId="7" applyNumberFormat="0" applyAlignment="0" applyProtection="0"/>
    <xf numFmtId="0" fontId="23" fillId="0" borderId="9" applyNumberFormat="0" applyFill="0" applyAlignment="0" applyProtection="0"/>
    <xf numFmtId="0" fontId="24" fillId="11" borderId="10" applyNumberFormat="0" applyAlignment="0" applyProtection="0"/>
    <xf numFmtId="0" fontId="25" fillId="0" borderId="0" applyNumberFormat="0" applyFill="0" applyBorder="0" applyAlignment="0" applyProtection="0"/>
    <xf numFmtId="0" fontId="12" fillId="12" borderId="11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7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7" fillId="36" borderId="0" applyNumberFormat="0" applyBorder="0" applyAlignment="0" applyProtection="0"/>
    <xf numFmtId="0" fontId="5" fillId="0" borderId="0"/>
  </cellStyleXfs>
  <cellXfs count="52">
    <xf numFmtId="0" fontId="0" fillId="0" borderId="0" xfId="0"/>
    <xf numFmtId="168" fontId="1" fillId="2" borderId="1" xfId="0" applyNumberFormat="1" applyFont="1" applyFill="1" applyBorder="1"/>
    <xf numFmtId="0" fontId="5" fillId="0" borderId="0" xfId="0" applyFont="1"/>
    <xf numFmtId="0" fontId="6" fillId="0" borderId="0" xfId="0" applyFont="1"/>
    <xf numFmtId="170" fontId="5" fillId="0" borderId="0" xfId="2"/>
    <xf numFmtId="170" fontId="1" fillId="0" borderId="0" xfId="3" applyNumberFormat="1">
      <alignment horizontal="right"/>
    </xf>
    <xf numFmtId="170" fontId="8" fillId="0" borderId="0" xfId="4"/>
    <xf numFmtId="4" fontId="8" fillId="4" borderId="2" xfId="5">
      <alignment horizontal="left"/>
    </xf>
    <xf numFmtId="171" fontId="5" fillId="0" borderId="0" xfId="6" applyBorder="1"/>
    <xf numFmtId="0" fontId="5" fillId="0" borderId="0" xfId="0" applyFont="1" applyBorder="1"/>
    <xf numFmtId="171" fontId="5" fillId="0" borderId="0" xfId="6"/>
    <xf numFmtId="171" fontId="5" fillId="0" borderId="0" xfId="6" quotePrefix="1"/>
    <xf numFmtId="171" fontId="1" fillId="0" borderId="0" xfId="3" applyNumberFormat="1">
      <alignment horizontal="right"/>
    </xf>
    <xf numFmtId="170" fontId="1" fillId="2" borderId="1" xfId="7">
      <protection locked="0"/>
    </xf>
    <xf numFmtId="171" fontId="1" fillId="2" borderId="1" xfId="8">
      <protection locked="0"/>
    </xf>
    <xf numFmtId="172" fontId="1" fillId="2" borderId="1" xfId="9">
      <protection locked="0"/>
    </xf>
    <xf numFmtId="173" fontId="1" fillId="2" borderId="1" xfId="10"/>
    <xf numFmtId="172" fontId="9" fillId="0" borderId="0" xfId="11"/>
    <xf numFmtId="171" fontId="5" fillId="5" borderId="0" xfId="6" applyFill="1"/>
    <xf numFmtId="173" fontId="5" fillId="0" borderId="0" xfId="12"/>
    <xf numFmtId="170" fontId="10" fillId="0" borderId="0" xfId="2" applyFont="1"/>
    <xf numFmtId="170" fontId="1" fillId="0" borderId="3" xfId="13"/>
    <xf numFmtId="170" fontId="11" fillId="0" borderId="0" xfId="14" applyNumberFormat="1"/>
    <xf numFmtId="171" fontId="3" fillId="3" borderId="0" xfId="1" applyNumberFormat="1"/>
    <xf numFmtId="0" fontId="11" fillId="0" borderId="0" xfId="0" applyFont="1"/>
    <xf numFmtId="0" fontId="1" fillId="0" borderId="0" xfId="3">
      <alignment horizontal="right"/>
    </xf>
    <xf numFmtId="173" fontId="10" fillId="0" borderId="0" xfId="12" applyFont="1"/>
    <xf numFmtId="170" fontId="10" fillId="0" borderId="0" xfId="12" applyNumberFormat="1" applyFont="1"/>
    <xf numFmtId="0" fontId="4" fillId="37" borderId="0" xfId="1" applyFont="1" applyFill="1" applyAlignment="1"/>
    <xf numFmtId="0" fontId="3" fillId="37" borderId="0" xfId="1" applyFill="1"/>
    <xf numFmtId="0" fontId="3" fillId="37" borderId="0" xfId="1" applyFont="1" applyFill="1"/>
    <xf numFmtId="169" fontId="7" fillId="37" borderId="0" xfId="1" applyNumberFormat="1" applyFont="1" applyFill="1" applyAlignment="1">
      <alignment horizontal="left"/>
    </xf>
    <xf numFmtId="0" fontId="7" fillId="37" borderId="0" xfId="1" applyFont="1" applyFill="1"/>
    <xf numFmtId="0" fontId="4" fillId="37" borderId="0" xfId="1" applyFont="1" applyFill="1"/>
    <xf numFmtId="170" fontId="8" fillId="0" borderId="0" xfId="2" applyFont="1"/>
    <xf numFmtId="170" fontId="28" fillId="0" borderId="0" xfId="2" applyFont="1"/>
    <xf numFmtId="170" fontId="5" fillId="0" borderId="0" xfId="2" applyFont="1"/>
    <xf numFmtId="170" fontId="5" fillId="0" borderId="0" xfId="2" applyNumberFormat="1" applyFont="1"/>
    <xf numFmtId="170" fontId="8" fillId="0" borderId="0" xfId="4" applyNumberFormat="1" applyFont="1"/>
    <xf numFmtId="170" fontId="8" fillId="0" borderId="0" xfId="4" applyFont="1"/>
    <xf numFmtId="170" fontId="1" fillId="0" borderId="0" xfId="3" applyNumberFormat="1" applyFont="1">
      <alignment horizontal="right"/>
    </xf>
    <xf numFmtId="173" fontId="5" fillId="0" borderId="0" xfId="12" applyFont="1"/>
    <xf numFmtId="173" fontId="5" fillId="0" borderId="0" xfId="12" applyFont="1" applyBorder="1"/>
    <xf numFmtId="170" fontId="5" fillId="0" borderId="0" xfId="2" applyFont="1" applyBorder="1"/>
    <xf numFmtId="4" fontId="8" fillId="4" borderId="2" xfId="5" applyFont="1">
      <alignment horizontal="left"/>
    </xf>
    <xf numFmtId="171" fontId="1" fillId="0" borderId="0" xfId="3" applyNumberFormat="1" applyFont="1" applyAlignment="1">
      <alignment horizontal="right"/>
    </xf>
    <xf numFmtId="174" fontId="5" fillId="0" borderId="0" xfId="2" applyNumberFormat="1" applyFont="1"/>
    <xf numFmtId="170" fontId="1" fillId="2" borderId="1" xfId="7" applyFont="1">
      <protection locked="0"/>
    </xf>
    <xf numFmtId="0" fontId="29" fillId="0" borderId="0" xfId="0" applyFont="1"/>
    <xf numFmtId="171" fontId="1" fillId="2" borderId="1" xfId="7" applyNumberFormat="1" applyFont="1">
      <protection locked="0"/>
    </xf>
    <xf numFmtId="175" fontId="1" fillId="2" borderId="1" xfId="7" applyNumberFormat="1" applyFont="1">
      <protection locked="0"/>
    </xf>
    <xf numFmtId="9" fontId="29" fillId="0" borderId="0" xfId="0" applyNumberFormat="1" applyFont="1"/>
  </cellXfs>
  <cellStyles count="61">
    <cellStyle name="20% - Accent1" xfId="37" builtinId="30" hidden="1"/>
    <cellStyle name="20% - Accent2" xfId="41" builtinId="34" hidden="1"/>
    <cellStyle name="20% - Accent3" xfId="45" builtinId="38" hidden="1"/>
    <cellStyle name="20% - Accent4" xfId="49" builtinId="42" hidden="1"/>
    <cellStyle name="20% - Accent5" xfId="53" builtinId="46" hidden="1"/>
    <cellStyle name="20% - Accent6" xfId="57" builtinId="50" hidden="1"/>
    <cellStyle name="40% - Accent1" xfId="38" builtinId="31" hidden="1"/>
    <cellStyle name="40% - Accent2" xfId="42" builtinId="35" hidden="1"/>
    <cellStyle name="40% - Accent3" xfId="46" builtinId="39" hidden="1"/>
    <cellStyle name="40% - Accent4" xfId="50" builtinId="43" hidden="1"/>
    <cellStyle name="40% - Accent5" xfId="54" builtinId="47" hidden="1"/>
    <cellStyle name="40% - Accent6" xfId="58" builtinId="51" hidden="1"/>
    <cellStyle name="60% - Accent1" xfId="39" builtinId="32" hidden="1"/>
    <cellStyle name="60% - Accent2" xfId="43" builtinId="36" hidden="1"/>
    <cellStyle name="60% - Accent3" xfId="47" builtinId="40" hidden="1"/>
    <cellStyle name="60% - Accent4" xfId="51" builtinId="44" hidden="1"/>
    <cellStyle name="60% - Accent5" xfId="55" builtinId="48" hidden="1"/>
    <cellStyle name="60% - Accent6" xfId="59" builtinId="52" hidden="1"/>
    <cellStyle name="Accent1" xfId="36" builtinId="29" hidden="1"/>
    <cellStyle name="Accent2" xfId="40" builtinId="33" hidden="1"/>
    <cellStyle name="Accent3" xfId="44" builtinId="37" hidden="1"/>
    <cellStyle name="Accent4" xfId="48" builtinId="41" hidden="1"/>
    <cellStyle name="Accent5" xfId="52" builtinId="45" hidden="1"/>
    <cellStyle name="Accent6" xfId="56" builtinId="49" hidden="1"/>
    <cellStyle name="Bad" xfId="25" builtinId="27" hidden="1"/>
    <cellStyle name="Calculation" xfId="29" builtinId="22" hidden="1"/>
    <cellStyle name="Check Cell" xfId="31" builtinId="23" hidden="1"/>
    <cellStyle name="Comma" xfId="15" builtinId="3" hidden="1"/>
    <cellStyle name="Comma [0]" xfId="16" builtinId="6" hidden="1"/>
    <cellStyle name="Currency" xfId="17" builtinId="4" hidden="1"/>
    <cellStyle name="Currency [0]" xfId="18" builtinId="7" hidden="1"/>
    <cellStyle name="Explanatory Text" xfId="34" builtinId="53" hidden="1"/>
    <cellStyle name="Good" xfId="24" builtinId="26" hidden="1"/>
    <cellStyle name="Heading 1" xfId="20" builtinId="16" hidden="1"/>
    <cellStyle name="Heading 2" xfId="21" builtinId="17" hidden="1"/>
    <cellStyle name="Heading 3" xfId="22" builtinId="18" hidden="1"/>
    <cellStyle name="Heading 4" xfId="23" builtinId="19" hidden="1"/>
    <cellStyle name="Input" xfId="27" builtinId="20" hidden="1"/>
    <cellStyle name="Linked Cell" xfId="30" builtinId="24" hidden="1"/>
    <cellStyle name="M Section Header" xfId="5"/>
    <cellStyle name="M TopHeader" xfId="1"/>
    <cellStyle name="M Units" xfId="3"/>
    <cellStyle name="M Wkg text" xfId="14"/>
    <cellStyle name="M-A 0dp" xfId="7"/>
    <cellStyle name="M-A 2dp" xfId="8"/>
    <cellStyle name="M-A Date" xfId="10"/>
    <cellStyle name="M-A Fixed 0dp" xfId="13"/>
    <cellStyle name="M-A Pct2dp" xfId="9"/>
    <cellStyle name="M-C 0dp Num" xfId="2"/>
    <cellStyle name="M-C 2dp Num" xfId="6"/>
    <cellStyle name="M-C Bld 0dp" xfId="4"/>
    <cellStyle name="M-C Date" xfId="12"/>
    <cellStyle name="M-C Pct 2DP" xfId="11"/>
    <cellStyle name="Neutral" xfId="26" builtinId="28" hidden="1"/>
    <cellStyle name="Normal" xfId="0" builtinId="0"/>
    <cellStyle name="Normal 2" xfId="60"/>
    <cellStyle name="Note" xfId="33" builtinId="10" hidden="1"/>
    <cellStyle name="Output" xfId="28" builtinId="21" hidden="1"/>
    <cellStyle name="Title" xfId="19" builtinId="15" hidden="1"/>
    <cellStyle name="Total" xfId="35" builtinId="25" hidden="1"/>
    <cellStyle name="Warning Text" xfId="32" builtinId="11" hidden="1"/>
  </cellStyles>
  <dxfs count="0"/>
  <tableStyles count="0" defaultTableStyle="TableStyleMedium2" defaultPivotStyle="PivotStyleLight16"/>
  <colors>
    <mruColors>
      <color rgb="FF0C3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8</xdr:col>
      <xdr:colOff>821054</xdr:colOff>
      <xdr:row>2</xdr:row>
      <xdr:rowOff>195340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3290" cy="715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8</xdr:col>
      <xdr:colOff>66674</xdr:colOff>
      <xdr:row>2</xdr:row>
      <xdr:rowOff>195340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1945" cy="715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tabSelected="1" zoomScale="85" zoomScaleNormal="85" zoomScalePageLayoutView="85" workbookViewId="0">
      <pane ySplit="3" topLeftCell="A4" activePane="bottomLeft" state="frozen"/>
      <selection pane="bottomLeft"/>
    </sheetView>
  </sheetViews>
  <sheetFormatPr defaultColWidth="8.88671875" defaultRowHeight="13.2" x14ac:dyDescent="0.25"/>
  <cols>
    <col min="1" max="1" width="7.33203125" style="2" customWidth="1"/>
    <col min="2" max="2" width="4.6640625" style="2" customWidth="1"/>
    <col min="3" max="3" width="3.6640625" style="24" customWidth="1"/>
    <col min="4" max="4" width="40.6640625" style="24" customWidth="1"/>
    <col min="5" max="6" width="12.6640625" style="2" customWidth="1"/>
    <col min="7" max="7" width="3.6640625" style="2" customWidth="1"/>
    <col min="8" max="8" width="10.6640625" style="25" customWidth="1"/>
    <col min="9" max="9" width="12.6640625" style="2" customWidth="1"/>
    <col min="10" max="10" width="15.6640625" style="2" customWidth="1"/>
    <col min="11" max="16384" width="8.88671875" style="2"/>
  </cols>
  <sheetData>
    <row r="1" spans="1:10" ht="22.8" x14ac:dyDescent="0.4">
      <c r="A1" s="33" t="s">
        <v>122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s="3" customFormat="1" ht="18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 x14ac:dyDescent="0.3">
      <c r="A3" s="31"/>
      <c r="B3" s="29"/>
      <c r="C3" s="32" t="s">
        <v>0</v>
      </c>
      <c r="D3" s="29"/>
      <c r="E3" s="29"/>
      <c r="F3" s="29"/>
      <c r="G3" s="29"/>
      <c r="H3" s="29"/>
      <c r="I3" s="29"/>
      <c r="J3" s="29"/>
    </row>
    <row r="4" spans="1:10" s="4" customFormat="1" ht="12" customHeight="1" x14ac:dyDescent="0.25">
      <c r="H4" s="5"/>
    </row>
    <row r="5" spans="1:10" s="4" customFormat="1" ht="12" customHeight="1" x14ac:dyDescent="0.25">
      <c r="H5" s="5"/>
    </row>
    <row r="6" spans="1:10" s="4" customFormat="1" ht="12" customHeight="1" x14ac:dyDescent="0.25">
      <c r="H6" s="5"/>
    </row>
    <row r="7" spans="1:10" s="4" customFormat="1" ht="12" customHeight="1" x14ac:dyDescent="0.25">
      <c r="H7" s="5"/>
    </row>
    <row r="8" spans="1:10" s="4" customFormat="1" ht="12" customHeight="1" x14ac:dyDescent="0.25">
      <c r="H8" s="5"/>
    </row>
    <row r="9" spans="1:10" s="4" customFormat="1" ht="12" customHeight="1" x14ac:dyDescent="0.25">
      <c r="H9" s="5"/>
    </row>
    <row r="10" spans="1:10" s="4" customFormat="1" ht="12" customHeight="1" x14ac:dyDescent="0.25">
      <c r="E10" s="6"/>
      <c r="H10" s="5"/>
    </row>
    <row r="11" spans="1:10" ht="12" customHeight="1" x14ac:dyDescent="0.25">
      <c r="A11" s="7"/>
      <c r="B11" s="7"/>
      <c r="C11" s="7" t="s">
        <v>1</v>
      </c>
      <c r="D11" s="7"/>
      <c r="E11" s="7"/>
      <c r="F11" s="7"/>
      <c r="G11" s="7"/>
      <c r="H11" s="7"/>
      <c r="I11" s="7"/>
      <c r="J11" s="7"/>
    </row>
    <row r="12" spans="1:10" s="9" customFormat="1" ht="12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2" customHeight="1" x14ac:dyDescent="0.25">
      <c r="A13" s="10"/>
      <c r="B13" s="10"/>
      <c r="C13" s="6"/>
      <c r="D13" s="10"/>
      <c r="E13" s="11"/>
      <c r="F13" s="10"/>
      <c r="G13" s="10"/>
      <c r="H13" s="10"/>
      <c r="I13" s="10"/>
      <c r="J13" s="10"/>
    </row>
    <row r="14" spans="1:10" ht="12" customHeight="1" x14ac:dyDescent="0.25">
      <c r="A14" s="10"/>
      <c r="B14" s="10"/>
      <c r="C14" s="10"/>
      <c r="D14" s="10" t="s">
        <v>2</v>
      </c>
      <c r="E14" s="11"/>
      <c r="F14" s="10"/>
      <c r="G14" s="10"/>
      <c r="H14" s="12"/>
      <c r="I14" s="13">
        <v>1000</v>
      </c>
      <c r="J14" s="10"/>
    </row>
    <row r="15" spans="1:10" ht="12" customHeight="1" x14ac:dyDescent="0.25">
      <c r="A15" s="10"/>
      <c r="B15" s="10"/>
      <c r="C15" s="10"/>
      <c r="D15" s="10"/>
      <c r="E15" s="11"/>
      <c r="F15" s="10"/>
      <c r="G15" s="10"/>
      <c r="H15" s="12"/>
      <c r="I15" s="10"/>
      <c r="J15" s="10"/>
    </row>
    <row r="16" spans="1:10" ht="12" customHeight="1" x14ac:dyDescent="0.25">
      <c r="A16" s="10"/>
      <c r="B16" s="10"/>
      <c r="C16" s="10"/>
      <c r="D16" s="10" t="s">
        <v>3</v>
      </c>
      <c r="E16" s="11"/>
      <c r="F16" s="10"/>
      <c r="G16" s="10"/>
      <c r="H16" s="12"/>
      <c r="I16" s="14">
        <v>1000</v>
      </c>
      <c r="J16" s="10"/>
    </row>
    <row r="17" spans="1:10" ht="12" customHeight="1" x14ac:dyDescent="0.25">
      <c r="A17" s="10"/>
      <c r="B17" s="10"/>
      <c r="C17" s="10"/>
      <c r="D17" s="10"/>
      <c r="E17" s="11"/>
      <c r="F17" s="10"/>
      <c r="G17" s="10"/>
      <c r="H17" s="10"/>
      <c r="I17" s="10"/>
      <c r="J17" s="10"/>
    </row>
    <row r="18" spans="1:10" ht="12" customHeight="1" x14ac:dyDescent="0.25">
      <c r="A18" s="10"/>
      <c r="B18" s="10"/>
      <c r="C18" s="10"/>
      <c r="D18" s="10" t="s">
        <v>4</v>
      </c>
      <c r="E18" s="11"/>
      <c r="F18" s="10"/>
      <c r="G18" s="10"/>
      <c r="H18" s="10"/>
      <c r="I18" s="15">
        <v>0.5</v>
      </c>
      <c r="J18" s="10"/>
    </row>
    <row r="19" spans="1:10" ht="12" customHeight="1" x14ac:dyDescent="0.25">
      <c r="A19" s="10"/>
      <c r="B19" s="10"/>
      <c r="C19" s="10"/>
      <c r="D19" s="10"/>
      <c r="E19" s="11"/>
      <c r="F19" s="10"/>
      <c r="G19" s="10"/>
      <c r="H19" s="10"/>
      <c r="I19" s="10"/>
      <c r="J19" s="10"/>
    </row>
    <row r="20" spans="1:10" ht="12" customHeight="1" x14ac:dyDescent="0.25">
      <c r="A20" s="10"/>
      <c r="B20" s="10"/>
      <c r="C20" s="10"/>
      <c r="D20" s="10" t="s">
        <v>5</v>
      </c>
      <c r="E20" s="11"/>
      <c r="F20" s="10"/>
      <c r="G20" s="10"/>
      <c r="H20" s="10"/>
      <c r="I20" s="16">
        <v>42369</v>
      </c>
      <c r="J20" s="10"/>
    </row>
    <row r="21" spans="1:10" ht="12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</row>
    <row r="22" spans="1:10" ht="12" customHeight="1" x14ac:dyDescent="0.25">
      <c r="A22" s="10"/>
      <c r="B22" s="10"/>
      <c r="C22" s="10"/>
      <c r="D22" s="10" t="s">
        <v>6</v>
      </c>
      <c r="E22" s="11"/>
      <c r="F22" s="10"/>
      <c r="G22" s="10"/>
      <c r="H22" s="10"/>
      <c r="I22" s="4">
        <v>1000</v>
      </c>
      <c r="J22" s="10"/>
    </row>
    <row r="23" spans="1:10" ht="12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</row>
    <row r="24" spans="1:10" ht="12" customHeight="1" x14ac:dyDescent="0.25">
      <c r="A24" s="10"/>
      <c r="B24" s="10"/>
      <c r="C24" s="10"/>
      <c r="D24" s="10" t="s">
        <v>7</v>
      </c>
      <c r="E24" s="11"/>
      <c r="F24" s="10"/>
      <c r="G24" s="10"/>
      <c r="H24" s="10"/>
      <c r="I24" s="4">
        <v>-1000</v>
      </c>
      <c r="J24" s="10"/>
    </row>
    <row r="25" spans="1:10" ht="12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</row>
    <row r="26" spans="1:10" ht="12" customHeight="1" x14ac:dyDescent="0.25">
      <c r="A26" s="10"/>
      <c r="B26" s="10"/>
      <c r="C26" s="10"/>
      <c r="D26" s="10" t="s">
        <v>8</v>
      </c>
      <c r="E26" s="11"/>
      <c r="F26" s="10"/>
      <c r="G26" s="10"/>
      <c r="H26" s="10"/>
      <c r="I26" s="10">
        <v>1000</v>
      </c>
      <c r="J26" s="10"/>
    </row>
    <row r="27" spans="1:10" ht="12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</row>
    <row r="28" spans="1:10" ht="12" customHeight="1" x14ac:dyDescent="0.25">
      <c r="A28" s="10"/>
      <c r="B28" s="10"/>
      <c r="C28" s="10"/>
      <c r="D28" s="10" t="s">
        <v>9</v>
      </c>
      <c r="E28" s="11"/>
      <c r="F28" s="10"/>
      <c r="G28" s="10"/>
      <c r="H28" s="10"/>
      <c r="I28" s="17">
        <v>0.5</v>
      </c>
      <c r="J28" s="10"/>
    </row>
    <row r="29" spans="1:10" ht="12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</row>
    <row r="30" spans="1:10" ht="12" customHeight="1" x14ac:dyDescent="0.25">
      <c r="A30" s="10"/>
      <c r="B30" s="10"/>
      <c r="C30" s="10"/>
      <c r="D30" s="10" t="s">
        <v>10</v>
      </c>
      <c r="E30" s="11"/>
      <c r="F30" s="10"/>
      <c r="G30" s="10"/>
      <c r="H30" s="10"/>
      <c r="I30" s="18">
        <v>0</v>
      </c>
      <c r="J30" s="10"/>
    </row>
    <row r="31" spans="1:10" ht="12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</row>
    <row r="32" spans="1:10" ht="12" customHeight="1" x14ac:dyDescent="0.25">
      <c r="A32" s="10"/>
      <c r="B32" s="10"/>
      <c r="C32" s="10"/>
      <c r="D32" s="10" t="s">
        <v>11</v>
      </c>
      <c r="E32" s="11"/>
      <c r="F32" s="10"/>
      <c r="G32" s="10"/>
      <c r="H32" s="10"/>
      <c r="I32" s="19">
        <v>42369</v>
      </c>
      <c r="J32" s="10"/>
    </row>
    <row r="33" spans="1:10" ht="12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</row>
    <row r="34" spans="1:10" ht="12" customHeight="1" x14ac:dyDescent="0.25">
      <c r="A34" s="10"/>
      <c r="B34" s="10"/>
      <c r="C34" s="10"/>
      <c r="D34" s="10" t="s">
        <v>12</v>
      </c>
      <c r="E34" s="11"/>
      <c r="F34" s="10"/>
      <c r="G34" s="10"/>
      <c r="H34" s="10"/>
      <c r="I34" s="20" t="s">
        <v>13</v>
      </c>
      <c r="J34" s="10"/>
    </row>
    <row r="35" spans="1:10" ht="12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</row>
    <row r="36" spans="1:10" ht="12" customHeight="1" x14ac:dyDescent="0.25">
      <c r="A36" s="10"/>
      <c r="B36" s="10"/>
      <c r="C36" s="10"/>
      <c r="D36" s="10" t="s">
        <v>14</v>
      </c>
      <c r="E36" s="11"/>
      <c r="F36" s="10"/>
      <c r="G36" s="10"/>
      <c r="H36" s="10"/>
      <c r="I36" s="12" t="s">
        <v>15</v>
      </c>
      <c r="J36" s="10"/>
    </row>
    <row r="37" spans="1:10" ht="12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</row>
    <row r="38" spans="1:10" ht="12" customHeight="1" x14ac:dyDescent="0.25">
      <c r="A38" s="10"/>
      <c r="B38" s="10"/>
      <c r="C38" s="10"/>
      <c r="D38" s="10" t="s">
        <v>16</v>
      </c>
      <c r="E38" s="11"/>
      <c r="F38" s="10"/>
      <c r="G38" s="10"/>
      <c r="H38" s="10"/>
      <c r="I38" s="21">
        <v>1000</v>
      </c>
      <c r="J38" s="10"/>
    </row>
    <row r="39" spans="1:10" ht="12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</row>
    <row r="40" spans="1:10" ht="12" customHeight="1" x14ac:dyDescent="0.25">
      <c r="A40" s="10"/>
      <c r="B40" s="10"/>
      <c r="C40" s="10"/>
      <c r="D40" s="10" t="s">
        <v>17</v>
      </c>
      <c r="E40" s="11"/>
      <c r="F40" s="10"/>
      <c r="G40" s="10"/>
      <c r="H40" s="10"/>
      <c r="I40" s="6" t="s">
        <v>18</v>
      </c>
      <c r="J40" s="10"/>
    </row>
    <row r="41" spans="1:10" ht="12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</row>
    <row r="42" spans="1:10" ht="12" customHeight="1" x14ac:dyDescent="0.25">
      <c r="A42" s="10"/>
      <c r="B42" s="10"/>
      <c r="C42" s="10"/>
      <c r="D42" s="10" t="s">
        <v>19</v>
      </c>
      <c r="E42" s="11"/>
      <c r="F42" s="10"/>
      <c r="G42" s="10"/>
      <c r="H42" s="10"/>
      <c r="I42" s="22">
        <v>1000</v>
      </c>
      <c r="J42" s="10"/>
    </row>
    <row r="43" spans="1:10" ht="12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</row>
    <row r="44" spans="1:10" ht="12" customHeight="1" x14ac:dyDescent="0.3">
      <c r="A44" s="10"/>
      <c r="B44" s="10"/>
      <c r="C44" s="10"/>
      <c r="D44" s="10" t="s">
        <v>20</v>
      </c>
      <c r="E44" s="11"/>
      <c r="F44" s="10"/>
      <c r="G44" s="10"/>
      <c r="H44" s="10"/>
      <c r="I44" s="23" t="s">
        <v>18</v>
      </c>
      <c r="J44" s="10"/>
    </row>
    <row r="45" spans="1:10" ht="12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</row>
    <row r="46" spans="1:10" ht="12" customHeight="1" x14ac:dyDescent="0.25">
      <c r="A46" s="10"/>
      <c r="B46" s="10"/>
      <c r="C46" s="10"/>
      <c r="D46" s="10" t="s">
        <v>21</v>
      </c>
      <c r="E46" s="11"/>
      <c r="F46" s="10"/>
      <c r="G46" s="10"/>
      <c r="H46" s="10"/>
      <c r="I46" s="7" t="s">
        <v>18</v>
      </c>
      <c r="J46" s="10"/>
    </row>
    <row r="47" spans="1:10" ht="1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ht="12" customHeight="1" x14ac:dyDescent="0.25">
      <c r="A48" s="7"/>
      <c r="B48" s="7"/>
      <c r="C48" s="7" t="s">
        <v>22</v>
      </c>
      <c r="D48" s="7"/>
      <c r="E48" s="7"/>
      <c r="F48" s="7"/>
      <c r="G48" s="7"/>
      <c r="H48" s="7"/>
      <c r="I48" s="7"/>
      <c r="J48" s="7"/>
    </row>
    <row r="49" ht="12" customHeight="1" x14ac:dyDescent="0.2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AO164"/>
  <sheetViews>
    <sheetView showGridLines="0" zoomScale="85" zoomScaleNormal="85" workbookViewId="0">
      <pane xSplit="11" ySplit="7" topLeftCell="L8" activePane="bottomRight" state="frozen"/>
      <selection pane="topRight" activeCell="M1" sqref="M1"/>
      <selection pane="bottomLeft" activeCell="A8" sqref="A8"/>
      <selection pane="bottomRight"/>
    </sheetView>
  </sheetViews>
  <sheetFormatPr defaultColWidth="0" defaultRowHeight="12" customHeight="1" x14ac:dyDescent="0.25"/>
  <cols>
    <col min="1" max="1" width="7.33203125" style="48" customWidth="1"/>
    <col min="2" max="2" width="4.6640625" style="48" customWidth="1"/>
    <col min="3" max="3" width="3.6640625" style="48" customWidth="1"/>
    <col min="4" max="4" width="40.6640625" style="48" customWidth="1"/>
    <col min="5" max="9" width="12.6640625" style="48" customWidth="1"/>
    <col min="10" max="10" width="3.6640625" style="48" customWidth="1"/>
    <col min="11" max="11" width="14.6640625" style="48" customWidth="1"/>
    <col min="12" max="41" width="13.6640625" style="48" customWidth="1"/>
    <col min="42" max="16384" width="8.88671875" style="48" hidden="1"/>
  </cols>
  <sheetData>
    <row r="1" spans="1:41" s="2" customFormat="1" ht="22.8" x14ac:dyDescent="0.4">
      <c r="A1" s="28" t="s">
        <v>122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s="3" customFormat="1" ht="18" customHeight="1" x14ac:dyDescent="0.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s="2" customFormat="1" ht="18" customHeight="1" x14ac:dyDescent="0.3">
      <c r="A3" s="31">
        <v>1</v>
      </c>
      <c r="B3" s="30"/>
      <c r="C3" s="32" t="s">
        <v>23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s="36" customFormat="1" ht="12" customHeight="1" x14ac:dyDescent="0.25"/>
    <row r="5" spans="1:41" s="37" customFormat="1" ht="12" customHeight="1" x14ac:dyDescent="0.25">
      <c r="E5" s="38" t="s">
        <v>33</v>
      </c>
      <c r="K5" s="27">
        <v>0</v>
      </c>
      <c r="L5" s="37">
        <f>K5+1</f>
        <v>1</v>
      </c>
      <c r="M5" s="37">
        <f t="shared" ref="M5:AE5" si="0">L5+1</f>
        <v>2</v>
      </c>
      <c r="N5" s="37">
        <f t="shared" si="0"/>
        <v>3</v>
      </c>
      <c r="O5" s="37">
        <f t="shared" si="0"/>
        <v>4</v>
      </c>
      <c r="P5" s="37">
        <f t="shared" si="0"/>
        <v>5</v>
      </c>
      <c r="Q5" s="37">
        <f t="shared" si="0"/>
        <v>6</v>
      </c>
      <c r="R5" s="37">
        <f t="shared" si="0"/>
        <v>7</v>
      </c>
      <c r="S5" s="37">
        <f t="shared" si="0"/>
        <v>8</v>
      </c>
      <c r="T5" s="37">
        <f t="shared" si="0"/>
        <v>9</v>
      </c>
      <c r="U5" s="37">
        <f t="shared" si="0"/>
        <v>10</v>
      </c>
      <c r="V5" s="37">
        <f t="shared" si="0"/>
        <v>11</v>
      </c>
      <c r="W5" s="37">
        <f t="shared" si="0"/>
        <v>12</v>
      </c>
      <c r="X5" s="37">
        <f t="shared" si="0"/>
        <v>13</v>
      </c>
      <c r="Y5" s="37">
        <f t="shared" si="0"/>
        <v>14</v>
      </c>
      <c r="Z5" s="37">
        <f t="shared" si="0"/>
        <v>15</v>
      </c>
      <c r="AA5" s="37">
        <f t="shared" si="0"/>
        <v>16</v>
      </c>
      <c r="AB5" s="37">
        <f t="shared" si="0"/>
        <v>17</v>
      </c>
      <c r="AC5" s="37">
        <f t="shared" si="0"/>
        <v>18</v>
      </c>
      <c r="AD5" s="37">
        <f t="shared" si="0"/>
        <v>19</v>
      </c>
      <c r="AE5" s="37">
        <f t="shared" si="0"/>
        <v>20</v>
      </c>
      <c r="AF5" s="37">
        <f t="shared" ref="AF5:AO5" si="1">AE5+1</f>
        <v>21</v>
      </c>
      <c r="AG5" s="37">
        <f t="shared" si="1"/>
        <v>22</v>
      </c>
      <c r="AH5" s="37">
        <f t="shared" si="1"/>
        <v>23</v>
      </c>
      <c r="AI5" s="37">
        <f t="shared" si="1"/>
        <v>24</v>
      </c>
      <c r="AJ5" s="37">
        <f t="shared" si="1"/>
        <v>25</v>
      </c>
      <c r="AK5" s="37">
        <f t="shared" si="1"/>
        <v>26</v>
      </c>
      <c r="AL5" s="37">
        <f t="shared" si="1"/>
        <v>27</v>
      </c>
      <c r="AM5" s="37">
        <f t="shared" si="1"/>
        <v>28</v>
      </c>
      <c r="AN5" s="37">
        <f t="shared" si="1"/>
        <v>29</v>
      </c>
      <c r="AO5" s="37">
        <f t="shared" si="1"/>
        <v>30</v>
      </c>
    </row>
    <row r="6" spans="1:41" s="36" customFormat="1" ht="12" customHeight="1" x14ac:dyDescent="0.25">
      <c r="E6" s="39" t="s">
        <v>24</v>
      </c>
      <c r="H6" s="40"/>
      <c r="K6" s="41"/>
      <c r="L6" s="41">
        <f t="shared" ref="L6:AE6" si="2">K7+1</f>
        <v>42736</v>
      </c>
      <c r="M6" s="41">
        <f t="shared" si="2"/>
        <v>43101</v>
      </c>
      <c r="N6" s="42">
        <f t="shared" si="2"/>
        <v>43466</v>
      </c>
      <c r="O6" s="41">
        <f t="shared" si="2"/>
        <v>43831</v>
      </c>
      <c r="P6" s="41">
        <f t="shared" si="2"/>
        <v>44197</v>
      </c>
      <c r="Q6" s="41">
        <f t="shared" si="2"/>
        <v>44562</v>
      </c>
      <c r="R6" s="41">
        <f t="shared" si="2"/>
        <v>44927</v>
      </c>
      <c r="S6" s="41">
        <f t="shared" si="2"/>
        <v>45292</v>
      </c>
      <c r="T6" s="41">
        <f t="shared" si="2"/>
        <v>45658</v>
      </c>
      <c r="U6" s="41">
        <f t="shared" si="2"/>
        <v>46023</v>
      </c>
      <c r="V6" s="41">
        <f t="shared" si="2"/>
        <v>46388</v>
      </c>
      <c r="W6" s="41">
        <f t="shared" si="2"/>
        <v>46753</v>
      </c>
      <c r="X6" s="41">
        <f t="shared" si="2"/>
        <v>47119</v>
      </c>
      <c r="Y6" s="41">
        <f t="shared" si="2"/>
        <v>47484</v>
      </c>
      <c r="Z6" s="41">
        <f t="shared" si="2"/>
        <v>47849</v>
      </c>
      <c r="AA6" s="41">
        <f t="shared" si="2"/>
        <v>48214</v>
      </c>
      <c r="AB6" s="41">
        <f t="shared" si="2"/>
        <v>48580</v>
      </c>
      <c r="AC6" s="41">
        <f t="shared" si="2"/>
        <v>48945</v>
      </c>
      <c r="AD6" s="41">
        <f t="shared" si="2"/>
        <v>49310</v>
      </c>
      <c r="AE6" s="41">
        <f t="shared" si="2"/>
        <v>49675</v>
      </c>
      <c r="AF6" s="41">
        <f t="shared" ref="AF6:AO6" si="3">AE7+1</f>
        <v>50041</v>
      </c>
      <c r="AG6" s="41">
        <f t="shared" si="3"/>
        <v>50406</v>
      </c>
      <c r="AH6" s="41">
        <f t="shared" si="3"/>
        <v>50771</v>
      </c>
      <c r="AI6" s="41">
        <f t="shared" si="3"/>
        <v>51136</v>
      </c>
      <c r="AJ6" s="41">
        <f t="shared" si="3"/>
        <v>51502</v>
      </c>
      <c r="AK6" s="41">
        <f t="shared" si="3"/>
        <v>51867</v>
      </c>
      <c r="AL6" s="41">
        <f t="shared" si="3"/>
        <v>52232</v>
      </c>
      <c r="AM6" s="41">
        <f t="shared" si="3"/>
        <v>52597</v>
      </c>
      <c r="AN6" s="41">
        <f t="shared" si="3"/>
        <v>52963</v>
      </c>
      <c r="AO6" s="41">
        <f t="shared" si="3"/>
        <v>53328</v>
      </c>
    </row>
    <row r="7" spans="1:41" s="36" customFormat="1" ht="12" customHeight="1" x14ac:dyDescent="0.25">
      <c r="E7" s="39" t="s">
        <v>25</v>
      </c>
      <c r="I7" s="40" t="s">
        <v>26</v>
      </c>
      <c r="K7" s="26">
        <v>42735</v>
      </c>
      <c r="L7" s="41">
        <f t="shared" ref="L7:AE7" si="4">EOMONTH(K7,12)</f>
        <v>43100</v>
      </c>
      <c r="M7" s="41">
        <f t="shared" si="4"/>
        <v>43465</v>
      </c>
      <c r="N7" s="41">
        <f t="shared" si="4"/>
        <v>43830</v>
      </c>
      <c r="O7" s="41">
        <f t="shared" si="4"/>
        <v>44196</v>
      </c>
      <c r="P7" s="41">
        <f t="shared" si="4"/>
        <v>44561</v>
      </c>
      <c r="Q7" s="41">
        <f t="shared" si="4"/>
        <v>44926</v>
      </c>
      <c r="R7" s="41">
        <f t="shared" si="4"/>
        <v>45291</v>
      </c>
      <c r="S7" s="41">
        <f t="shared" si="4"/>
        <v>45657</v>
      </c>
      <c r="T7" s="41">
        <f t="shared" si="4"/>
        <v>46022</v>
      </c>
      <c r="U7" s="41">
        <f t="shared" si="4"/>
        <v>46387</v>
      </c>
      <c r="V7" s="41">
        <f t="shared" si="4"/>
        <v>46752</v>
      </c>
      <c r="W7" s="41">
        <f t="shared" si="4"/>
        <v>47118</v>
      </c>
      <c r="X7" s="41">
        <f t="shared" si="4"/>
        <v>47483</v>
      </c>
      <c r="Y7" s="41">
        <f t="shared" si="4"/>
        <v>47848</v>
      </c>
      <c r="Z7" s="41">
        <f t="shared" si="4"/>
        <v>48213</v>
      </c>
      <c r="AA7" s="41">
        <f t="shared" si="4"/>
        <v>48579</v>
      </c>
      <c r="AB7" s="41">
        <f t="shared" si="4"/>
        <v>48944</v>
      </c>
      <c r="AC7" s="41">
        <f t="shared" si="4"/>
        <v>49309</v>
      </c>
      <c r="AD7" s="41">
        <f t="shared" si="4"/>
        <v>49674</v>
      </c>
      <c r="AE7" s="41">
        <f t="shared" si="4"/>
        <v>50040</v>
      </c>
      <c r="AF7" s="41">
        <f t="shared" ref="AF7:AO7" si="5">EOMONTH(AE7,12)</f>
        <v>50405</v>
      </c>
      <c r="AG7" s="41">
        <f t="shared" si="5"/>
        <v>50770</v>
      </c>
      <c r="AH7" s="41">
        <f t="shared" si="5"/>
        <v>51135</v>
      </c>
      <c r="AI7" s="41">
        <f t="shared" si="5"/>
        <v>51501</v>
      </c>
      <c r="AJ7" s="41">
        <f t="shared" si="5"/>
        <v>51866</v>
      </c>
      <c r="AK7" s="41">
        <f t="shared" si="5"/>
        <v>52231</v>
      </c>
      <c r="AL7" s="41">
        <f t="shared" si="5"/>
        <v>52596</v>
      </c>
      <c r="AM7" s="41">
        <f t="shared" si="5"/>
        <v>52962</v>
      </c>
      <c r="AN7" s="41">
        <f t="shared" si="5"/>
        <v>53327</v>
      </c>
      <c r="AO7" s="41">
        <f t="shared" si="5"/>
        <v>53692</v>
      </c>
    </row>
    <row r="8" spans="1:41" s="36" customFormat="1" ht="12" customHeight="1" x14ac:dyDescent="0.25">
      <c r="L8" s="37"/>
      <c r="N8" s="43"/>
    </row>
    <row r="9" spans="1:41" s="2" customFormat="1" ht="12" customHeight="1" x14ac:dyDescent="0.25">
      <c r="A9" s="44">
        <f>MAX(A$3:A8)+0.01</f>
        <v>1.01</v>
      </c>
      <c r="B9" s="44"/>
      <c r="C9" s="44" t="s">
        <v>31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</row>
    <row r="10" spans="1:41" s="36" customFormat="1" ht="12" customHeight="1" x14ac:dyDescent="0.25">
      <c r="L10" s="37"/>
      <c r="N10" s="43"/>
    </row>
    <row r="11" spans="1:41" s="36" customFormat="1" ht="12" customHeight="1" x14ac:dyDescent="0.25">
      <c r="D11" s="36" t="s">
        <v>32</v>
      </c>
      <c r="I11" s="45" t="s">
        <v>27</v>
      </c>
      <c r="K11" s="1">
        <v>0.32</v>
      </c>
      <c r="L11" s="37"/>
      <c r="N11" s="43"/>
    </row>
    <row r="12" spans="1:41" s="36" customFormat="1" ht="12" customHeight="1" x14ac:dyDescent="0.25">
      <c r="L12" s="37"/>
      <c r="N12" s="43"/>
    </row>
    <row r="13" spans="1:41" s="36" customFormat="1" ht="12" customHeight="1" x14ac:dyDescent="0.25">
      <c r="D13" s="36" t="s">
        <v>35</v>
      </c>
      <c r="I13" s="45" t="s">
        <v>27</v>
      </c>
      <c r="L13" s="1">
        <v>0.02</v>
      </c>
      <c r="M13" s="1">
        <v>0.02</v>
      </c>
      <c r="N13" s="1">
        <v>0.02</v>
      </c>
      <c r="O13" s="1">
        <v>0.02</v>
      </c>
      <c r="P13" s="1">
        <v>0.02</v>
      </c>
      <c r="Q13" s="1">
        <v>0.02</v>
      </c>
      <c r="R13" s="1">
        <v>0.02</v>
      </c>
      <c r="S13" s="1">
        <v>0.02</v>
      </c>
      <c r="T13" s="1">
        <v>0.02</v>
      </c>
      <c r="U13" s="1">
        <v>0.02</v>
      </c>
      <c r="V13" s="1">
        <v>0.02</v>
      </c>
      <c r="W13" s="1">
        <v>0.02</v>
      </c>
      <c r="X13" s="1">
        <v>0.02</v>
      </c>
      <c r="Y13" s="1">
        <v>0.02</v>
      </c>
      <c r="Z13" s="1">
        <v>0.02</v>
      </c>
      <c r="AA13" s="1">
        <v>0.02</v>
      </c>
      <c r="AB13" s="1">
        <v>0.02</v>
      </c>
      <c r="AC13" s="1">
        <v>0.02</v>
      </c>
      <c r="AD13" s="1">
        <v>0.02</v>
      </c>
      <c r="AE13" s="1">
        <v>0.02</v>
      </c>
      <c r="AF13" s="1">
        <v>0.02</v>
      </c>
      <c r="AG13" s="1">
        <v>0.02</v>
      </c>
      <c r="AH13" s="1">
        <v>0.02</v>
      </c>
      <c r="AI13" s="1">
        <v>0.02</v>
      </c>
      <c r="AJ13" s="1">
        <v>0.02</v>
      </c>
      <c r="AK13" s="1">
        <v>0.02</v>
      </c>
      <c r="AL13" s="1">
        <v>0.02</v>
      </c>
      <c r="AM13" s="1">
        <v>0.02</v>
      </c>
      <c r="AN13" s="1">
        <v>0.02</v>
      </c>
      <c r="AO13" s="1">
        <v>0.02</v>
      </c>
    </row>
    <row r="14" spans="1:41" s="36" customFormat="1" ht="12" customHeight="1" x14ac:dyDescent="0.25">
      <c r="D14" s="36" t="s">
        <v>56</v>
      </c>
      <c r="I14" s="45" t="s">
        <v>27</v>
      </c>
      <c r="L14" s="1">
        <v>2.5000000000000001E-2</v>
      </c>
      <c r="M14" s="1">
        <v>2.5000000000000001E-2</v>
      </c>
      <c r="N14" s="1">
        <v>2.5000000000000001E-2</v>
      </c>
      <c r="O14" s="1">
        <v>2.5000000000000001E-2</v>
      </c>
      <c r="P14" s="1">
        <v>2.5000000000000001E-2</v>
      </c>
      <c r="Q14" s="1">
        <v>2.5000000000000001E-2</v>
      </c>
      <c r="R14" s="1">
        <v>2.5000000000000001E-2</v>
      </c>
      <c r="S14" s="1">
        <v>2.5000000000000001E-2</v>
      </c>
      <c r="T14" s="1">
        <v>2.5000000000000001E-2</v>
      </c>
      <c r="U14" s="1">
        <v>2.5000000000000001E-2</v>
      </c>
      <c r="V14" s="1">
        <v>2.5000000000000001E-2</v>
      </c>
      <c r="W14" s="1">
        <v>2.5000000000000001E-2</v>
      </c>
      <c r="X14" s="1">
        <v>2.5000000000000001E-2</v>
      </c>
      <c r="Y14" s="1">
        <v>2.5000000000000001E-2</v>
      </c>
      <c r="Z14" s="1">
        <v>2.5000000000000001E-2</v>
      </c>
      <c r="AA14" s="1">
        <v>2.5000000000000001E-2</v>
      </c>
      <c r="AB14" s="1">
        <v>2.5000000000000001E-2</v>
      </c>
      <c r="AC14" s="1">
        <v>2.5000000000000001E-2</v>
      </c>
      <c r="AD14" s="1">
        <v>2.5000000000000001E-2</v>
      </c>
      <c r="AE14" s="1">
        <v>2.5000000000000001E-2</v>
      </c>
      <c r="AF14" s="1">
        <v>2.5000000000000001E-2</v>
      </c>
      <c r="AG14" s="1">
        <v>2.5000000000000001E-2</v>
      </c>
      <c r="AH14" s="1">
        <v>2.5000000000000001E-2</v>
      </c>
      <c r="AI14" s="1">
        <v>2.5000000000000001E-2</v>
      </c>
      <c r="AJ14" s="1">
        <v>2.5000000000000001E-2</v>
      </c>
      <c r="AK14" s="1">
        <v>2.5000000000000001E-2</v>
      </c>
      <c r="AL14" s="1">
        <v>2.5000000000000001E-2</v>
      </c>
      <c r="AM14" s="1">
        <v>2.5000000000000001E-2</v>
      </c>
      <c r="AN14" s="1">
        <v>2.5000000000000001E-2</v>
      </c>
      <c r="AO14" s="1">
        <v>2.5000000000000001E-2</v>
      </c>
    </row>
    <row r="15" spans="1:41" s="36" customFormat="1" ht="12" customHeight="1" x14ac:dyDescent="0.25">
      <c r="K15" s="46"/>
      <c r="L15" s="37"/>
      <c r="N15" s="43"/>
    </row>
    <row r="16" spans="1:41" s="36" customFormat="1" ht="12" customHeight="1" x14ac:dyDescent="0.25">
      <c r="C16" s="34" t="s">
        <v>112</v>
      </c>
      <c r="L16" s="37"/>
      <c r="N16" s="43"/>
    </row>
    <row r="17" spans="1:41" s="36" customFormat="1" ht="12" customHeight="1" x14ac:dyDescent="0.25">
      <c r="D17" s="36" t="s">
        <v>39</v>
      </c>
      <c r="L17" s="37"/>
      <c r="N17" s="43"/>
    </row>
    <row r="18" spans="1:41" s="36" customFormat="1" ht="12" customHeight="1" x14ac:dyDescent="0.25">
      <c r="D18" s="36" t="s">
        <v>40</v>
      </c>
      <c r="L18" s="37"/>
      <c r="N18" s="43"/>
    </row>
    <row r="19" spans="1:41" s="36" customFormat="1" ht="12" customHeight="1" x14ac:dyDescent="0.25">
      <c r="D19" s="36" t="s">
        <v>41</v>
      </c>
      <c r="L19" s="37"/>
      <c r="N19" s="43"/>
    </row>
    <row r="20" spans="1:41" s="36" customFormat="1" ht="12" customHeight="1" x14ac:dyDescent="0.25">
      <c r="D20" s="36" t="s">
        <v>42</v>
      </c>
      <c r="L20" s="37"/>
      <c r="N20" s="43"/>
    </row>
    <row r="21" spans="1:41" s="36" customFormat="1" ht="12" customHeight="1" x14ac:dyDescent="0.25">
      <c r="D21" s="36" t="s">
        <v>43</v>
      </c>
      <c r="L21" s="37"/>
      <c r="N21" s="43"/>
    </row>
    <row r="22" spans="1:41" s="36" customFormat="1" ht="12" customHeight="1" x14ac:dyDescent="0.25">
      <c r="L22" s="37"/>
      <c r="N22" s="43"/>
    </row>
    <row r="23" spans="1:41" s="2" customFormat="1" ht="12" customHeight="1" x14ac:dyDescent="0.25">
      <c r="A23" s="44">
        <f>MAX(A$3:A22)+0.01</f>
        <v>1.02</v>
      </c>
      <c r="B23" s="44"/>
      <c r="C23" s="44" t="s">
        <v>119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</row>
    <row r="24" spans="1:41" s="36" customFormat="1" ht="12" customHeight="1" x14ac:dyDescent="0.25">
      <c r="L24" s="37"/>
      <c r="N24" s="43"/>
    </row>
    <row r="25" spans="1:41" s="36" customFormat="1" ht="12" customHeight="1" x14ac:dyDescent="0.25">
      <c r="C25" s="34" t="s">
        <v>109</v>
      </c>
      <c r="L25" s="37"/>
      <c r="N25" s="43"/>
    </row>
    <row r="26" spans="1:41" s="36" customFormat="1" ht="12" customHeight="1" x14ac:dyDescent="0.25">
      <c r="D26" s="36" t="s">
        <v>53</v>
      </c>
      <c r="E26" s="36" t="str">
        <f>D$17</f>
        <v>Platinum class</v>
      </c>
      <c r="I26" s="45" t="s">
        <v>34</v>
      </c>
      <c r="L26" s="47">
        <v>4</v>
      </c>
      <c r="M26" s="47">
        <v>4</v>
      </c>
      <c r="N26" s="47">
        <v>4</v>
      </c>
      <c r="O26" s="47">
        <v>5</v>
      </c>
      <c r="P26" s="47">
        <v>5</v>
      </c>
      <c r="Q26" s="47">
        <v>5</v>
      </c>
      <c r="R26" s="47">
        <v>6</v>
      </c>
      <c r="S26" s="47">
        <v>6</v>
      </c>
      <c r="T26" s="47">
        <v>6</v>
      </c>
      <c r="U26" s="47">
        <v>7</v>
      </c>
      <c r="V26" s="47">
        <v>7</v>
      </c>
      <c r="W26" s="47">
        <v>7</v>
      </c>
      <c r="X26" s="47">
        <v>8</v>
      </c>
      <c r="Y26" s="47">
        <v>8</v>
      </c>
      <c r="Z26" s="47">
        <v>8</v>
      </c>
      <c r="AA26" s="47">
        <v>9</v>
      </c>
      <c r="AB26" s="47">
        <v>9</v>
      </c>
      <c r="AC26" s="47">
        <v>9</v>
      </c>
      <c r="AD26" s="47">
        <v>10</v>
      </c>
      <c r="AE26" s="47">
        <v>10</v>
      </c>
      <c r="AF26" s="47">
        <v>10</v>
      </c>
      <c r="AG26" s="47">
        <v>11</v>
      </c>
      <c r="AH26" s="47">
        <v>11</v>
      </c>
      <c r="AI26" s="47">
        <v>11</v>
      </c>
      <c r="AJ26" s="47">
        <v>12</v>
      </c>
      <c r="AK26" s="47">
        <v>12</v>
      </c>
      <c r="AL26" s="47">
        <v>12</v>
      </c>
      <c r="AM26" s="47">
        <v>13</v>
      </c>
      <c r="AN26" s="47">
        <v>13</v>
      </c>
      <c r="AO26" s="47">
        <v>13</v>
      </c>
    </row>
    <row r="27" spans="1:41" s="36" customFormat="1" ht="12" customHeight="1" x14ac:dyDescent="0.25">
      <c r="D27" s="36" t="s">
        <v>53</v>
      </c>
      <c r="E27" s="36" t="str">
        <f>D$18</f>
        <v>Ruby class</v>
      </c>
      <c r="I27" s="45" t="s">
        <v>34</v>
      </c>
      <c r="L27" s="47">
        <v>6</v>
      </c>
      <c r="M27" s="47">
        <v>6</v>
      </c>
      <c r="N27" s="47">
        <v>6</v>
      </c>
      <c r="O27" s="47">
        <v>6</v>
      </c>
      <c r="P27" s="47">
        <v>8</v>
      </c>
      <c r="Q27" s="47">
        <v>8</v>
      </c>
      <c r="R27" s="47">
        <v>8</v>
      </c>
      <c r="S27" s="47">
        <v>8</v>
      </c>
      <c r="T27" s="47">
        <v>10</v>
      </c>
      <c r="U27" s="47">
        <v>10</v>
      </c>
      <c r="V27" s="47">
        <v>10</v>
      </c>
      <c r="W27" s="47">
        <v>10</v>
      </c>
      <c r="X27" s="47">
        <v>12</v>
      </c>
      <c r="Y27" s="47">
        <v>12</v>
      </c>
      <c r="Z27" s="47">
        <v>12</v>
      </c>
      <c r="AA27" s="47">
        <v>12</v>
      </c>
      <c r="AB27" s="47">
        <v>14</v>
      </c>
      <c r="AC27" s="47">
        <v>14</v>
      </c>
      <c r="AD27" s="47">
        <v>14</v>
      </c>
      <c r="AE27" s="47">
        <v>14</v>
      </c>
      <c r="AF27" s="47">
        <v>16</v>
      </c>
      <c r="AG27" s="47">
        <v>16</v>
      </c>
      <c r="AH27" s="47">
        <v>16</v>
      </c>
      <c r="AI27" s="47">
        <v>16</v>
      </c>
      <c r="AJ27" s="47">
        <v>18</v>
      </c>
      <c r="AK27" s="47">
        <v>18</v>
      </c>
      <c r="AL27" s="47">
        <v>18</v>
      </c>
      <c r="AM27" s="47">
        <v>18</v>
      </c>
      <c r="AN27" s="47">
        <v>20</v>
      </c>
      <c r="AO27" s="47">
        <v>20</v>
      </c>
    </row>
    <row r="28" spans="1:41" s="36" customFormat="1" ht="12" customHeight="1" x14ac:dyDescent="0.25">
      <c r="D28" s="36" t="s">
        <v>53</v>
      </c>
      <c r="E28" s="36" t="str">
        <f>D$19</f>
        <v>Emerald class</v>
      </c>
      <c r="I28" s="45" t="s">
        <v>34</v>
      </c>
      <c r="L28" s="47">
        <v>7</v>
      </c>
      <c r="M28" s="47">
        <v>7</v>
      </c>
      <c r="N28" s="47">
        <v>7</v>
      </c>
      <c r="O28" s="47">
        <v>7</v>
      </c>
      <c r="P28" s="47">
        <v>7</v>
      </c>
      <c r="Q28" s="47">
        <v>10</v>
      </c>
      <c r="R28" s="47">
        <v>10</v>
      </c>
      <c r="S28" s="47">
        <v>10</v>
      </c>
      <c r="T28" s="47">
        <v>10</v>
      </c>
      <c r="U28" s="47">
        <v>10</v>
      </c>
      <c r="V28" s="47">
        <v>13</v>
      </c>
      <c r="W28" s="47">
        <v>13</v>
      </c>
      <c r="X28" s="47">
        <v>13</v>
      </c>
      <c r="Y28" s="47">
        <v>13</v>
      </c>
      <c r="Z28" s="47">
        <v>13</v>
      </c>
      <c r="AA28" s="47">
        <v>16</v>
      </c>
      <c r="AB28" s="47">
        <v>16</v>
      </c>
      <c r="AC28" s="47">
        <v>16</v>
      </c>
      <c r="AD28" s="47">
        <v>16</v>
      </c>
      <c r="AE28" s="47">
        <v>16</v>
      </c>
      <c r="AF28" s="47">
        <v>19</v>
      </c>
      <c r="AG28" s="47">
        <v>19</v>
      </c>
      <c r="AH28" s="47">
        <v>19</v>
      </c>
      <c r="AI28" s="47">
        <v>19</v>
      </c>
      <c r="AJ28" s="47">
        <v>19</v>
      </c>
      <c r="AK28" s="47">
        <v>22</v>
      </c>
      <c r="AL28" s="47">
        <v>22</v>
      </c>
      <c r="AM28" s="47">
        <v>22</v>
      </c>
      <c r="AN28" s="47">
        <v>22</v>
      </c>
      <c r="AO28" s="47">
        <v>22</v>
      </c>
    </row>
    <row r="29" spans="1:41" s="36" customFormat="1" ht="12" customHeight="1" x14ac:dyDescent="0.25">
      <c r="D29" s="36" t="s">
        <v>53</v>
      </c>
      <c r="E29" s="36" t="str">
        <f>D$20</f>
        <v>Gold class</v>
      </c>
      <c r="I29" s="45" t="s">
        <v>34</v>
      </c>
      <c r="L29" s="47">
        <v>15</v>
      </c>
      <c r="M29" s="47">
        <v>15</v>
      </c>
      <c r="N29" s="47">
        <v>16</v>
      </c>
      <c r="O29" s="47">
        <v>16</v>
      </c>
      <c r="P29" s="47">
        <v>17</v>
      </c>
      <c r="Q29" s="47">
        <v>17</v>
      </c>
      <c r="R29" s="47">
        <v>18</v>
      </c>
      <c r="S29" s="47">
        <v>18</v>
      </c>
      <c r="T29" s="47">
        <v>19</v>
      </c>
      <c r="U29" s="47">
        <v>19</v>
      </c>
      <c r="V29" s="47">
        <v>20</v>
      </c>
      <c r="W29" s="47">
        <v>20</v>
      </c>
      <c r="X29" s="47">
        <v>21</v>
      </c>
      <c r="Y29" s="47">
        <v>21</v>
      </c>
      <c r="Z29" s="47">
        <v>22</v>
      </c>
      <c r="AA29" s="47">
        <v>22</v>
      </c>
      <c r="AB29" s="47">
        <v>23</v>
      </c>
      <c r="AC29" s="47">
        <v>23</v>
      </c>
      <c r="AD29" s="47">
        <v>24</v>
      </c>
      <c r="AE29" s="47">
        <v>24</v>
      </c>
      <c r="AF29" s="47">
        <v>25</v>
      </c>
      <c r="AG29" s="47">
        <v>25</v>
      </c>
      <c r="AH29" s="47">
        <v>26</v>
      </c>
      <c r="AI29" s="47">
        <v>26</v>
      </c>
      <c r="AJ29" s="47">
        <v>27</v>
      </c>
      <c r="AK29" s="47">
        <v>27</v>
      </c>
      <c r="AL29" s="47">
        <v>28</v>
      </c>
      <c r="AM29" s="47">
        <v>28</v>
      </c>
      <c r="AN29" s="47">
        <v>29</v>
      </c>
      <c r="AO29" s="47">
        <v>29</v>
      </c>
    </row>
    <row r="30" spans="1:41" s="36" customFormat="1" ht="12" customHeight="1" x14ac:dyDescent="0.25">
      <c r="D30" s="36" t="s">
        <v>53</v>
      </c>
      <c r="E30" s="36" t="str">
        <f>D$21</f>
        <v>Sapphire class</v>
      </c>
      <c r="I30" s="45" t="s">
        <v>34</v>
      </c>
      <c r="L30" s="47">
        <v>18</v>
      </c>
      <c r="M30" s="47">
        <v>19</v>
      </c>
      <c r="N30" s="47">
        <v>20</v>
      </c>
      <c r="O30" s="47">
        <v>21</v>
      </c>
      <c r="P30" s="47">
        <v>22</v>
      </c>
      <c r="Q30" s="47">
        <v>23</v>
      </c>
      <c r="R30" s="47">
        <v>24</v>
      </c>
      <c r="S30" s="47">
        <v>25</v>
      </c>
      <c r="T30" s="47">
        <v>26</v>
      </c>
      <c r="U30" s="47">
        <v>27</v>
      </c>
      <c r="V30" s="47">
        <v>28</v>
      </c>
      <c r="W30" s="47">
        <v>29</v>
      </c>
      <c r="X30" s="47">
        <v>30</v>
      </c>
      <c r="Y30" s="47">
        <v>31</v>
      </c>
      <c r="Z30" s="47">
        <v>32</v>
      </c>
      <c r="AA30" s="47">
        <v>33</v>
      </c>
      <c r="AB30" s="47">
        <v>34</v>
      </c>
      <c r="AC30" s="47">
        <v>35</v>
      </c>
      <c r="AD30" s="47">
        <v>36</v>
      </c>
      <c r="AE30" s="47">
        <v>37</v>
      </c>
      <c r="AF30" s="47">
        <v>38</v>
      </c>
      <c r="AG30" s="47">
        <v>39</v>
      </c>
      <c r="AH30" s="47">
        <v>40</v>
      </c>
      <c r="AI30" s="47">
        <v>41</v>
      </c>
      <c r="AJ30" s="47">
        <v>42</v>
      </c>
      <c r="AK30" s="47">
        <v>43</v>
      </c>
      <c r="AL30" s="47">
        <v>44</v>
      </c>
      <c r="AM30" s="47">
        <v>45</v>
      </c>
      <c r="AN30" s="47">
        <v>46</v>
      </c>
      <c r="AO30" s="47">
        <v>47</v>
      </c>
    </row>
    <row r="31" spans="1:41" s="36" customFormat="1" ht="12" customHeight="1" x14ac:dyDescent="0.25">
      <c r="L31" s="37"/>
      <c r="N31" s="43"/>
    </row>
    <row r="32" spans="1:41" s="36" customFormat="1" ht="12" customHeight="1" x14ac:dyDescent="0.25">
      <c r="C32" s="34" t="s">
        <v>110</v>
      </c>
      <c r="L32" s="37"/>
      <c r="N32" s="43"/>
      <c r="U32" s="36">
        <v>9</v>
      </c>
      <c r="V32" s="36">
        <v>8</v>
      </c>
      <c r="W32" s="36">
        <v>7</v>
      </c>
      <c r="X32" s="36">
        <v>6</v>
      </c>
      <c r="Y32" s="36">
        <v>5</v>
      </c>
      <c r="Z32" s="36">
        <v>4</v>
      </c>
      <c r="AA32" s="36">
        <v>3</v>
      </c>
      <c r="AB32" s="36">
        <v>2</v>
      </c>
      <c r="AC32" s="36">
        <v>1</v>
      </c>
    </row>
    <row r="33" spans="1:41" s="36" customFormat="1" ht="12" customHeight="1" x14ac:dyDescent="0.25">
      <c r="D33" s="36" t="s">
        <v>54</v>
      </c>
      <c r="E33" s="36" t="str">
        <f>D$17</f>
        <v>Platinum class</v>
      </c>
      <c r="I33" s="45" t="s">
        <v>34</v>
      </c>
      <c r="L33" s="47">
        <v>3</v>
      </c>
      <c r="M33" s="47">
        <v>3</v>
      </c>
      <c r="N33" s="47">
        <v>3</v>
      </c>
      <c r="O33" s="47">
        <v>5</v>
      </c>
      <c r="P33" s="47">
        <v>5</v>
      </c>
      <c r="Q33" s="47">
        <v>5</v>
      </c>
      <c r="R33" s="47">
        <v>6</v>
      </c>
      <c r="S33" s="47">
        <v>6</v>
      </c>
      <c r="T33" s="47">
        <v>6</v>
      </c>
      <c r="U33" s="47">
        <v>5</v>
      </c>
      <c r="V33" s="47">
        <v>5</v>
      </c>
      <c r="W33" s="47">
        <v>5</v>
      </c>
      <c r="X33" s="47">
        <v>4</v>
      </c>
      <c r="Y33" s="47">
        <v>4</v>
      </c>
      <c r="Z33" s="47">
        <v>4</v>
      </c>
      <c r="AA33" s="47">
        <v>3</v>
      </c>
      <c r="AB33" s="47">
        <v>3</v>
      </c>
      <c r="AC33" s="47">
        <v>3</v>
      </c>
      <c r="AD33" s="47">
        <v>2</v>
      </c>
      <c r="AE33" s="47">
        <v>2</v>
      </c>
      <c r="AF33" s="47">
        <v>2</v>
      </c>
      <c r="AG33" s="47">
        <v>1</v>
      </c>
      <c r="AH33" s="47">
        <v>1</v>
      </c>
      <c r="AI33" s="47">
        <v>1</v>
      </c>
      <c r="AJ33" s="47">
        <v>0</v>
      </c>
      <c r="AK33" s="47">
        <v>0</v>
      </c>
      <c r="AL33" s="47">
        <v>0</v>
      </c>
      <c r="AM33" s="47">
        <v>-1</v>
      </c>
      <c r="AN33" s="47">
        <v>-1</v>
      </c>
      <c r="AO33" s="47">
        <v>-1</v>
      </c>
    </row>
    <row r="34" spans="1:41" s="36" customFormat="1" ht="12" customHeight="1" x14ac:dyDescent="0.25">
      <c r="D34" s="36" t="s">
        <v>54</v>
      </c>
      <c r="E34" s="36" t="str">
        <f>D$18</f>
        <v>Ruby class</v>
      </c>
      <c r="I34" s="45" t="s">
        <v>34</v>
      </c>
      <c r="L34" s="47">
        <v>5</v>
      </c>
      <c r="M34" s="47">
        <v>5</v>
      </c>
      <c r="N34" s="47">
        <v>5</v>
      </c>
      <c r="O34" s="47">
        <v>6</v>
      </c>
      <c r="P34" s="47">
        <v>8</v>
      </c>
      <c r="Q34" s="47">
        <v>8</v>
      </c>
      <c r="R34" s="47">
        <v>8</v>
      </c>
      <c r="S34" s="47">
        <v>8</v>
      </c>
      <c r="T34" s="47">
        <v>10</v>
      </c>
      <c r="U34" s="47">
        <v>9</v>
      </c>
      <c r="V34" s="47">
        <v>7</v>
      </c>
      <c r="W34" s="47">
        <v>7</v>
      </c>
      <c r="X34" s="47">
        <v>7</v>
      </c>
      <c r="Y34" s="47">
        <v>7</v>
      </c>
      <c r="Z34" s="47">
        <v>5</v>
      </c>
      <c r="AA34" s="47">
        <v>5</v>
      </c>
      <c r="AB34" s="47">
        <v>5</v>
      </c>
      <c r="AC34" s="47">
        <v>5</v>
      </c>
      <c r="AD34" s="47">
        <v>4</v>
      </c>
      <c r="AE34" s="47">
        <v>2</v>
      </c>
      <c r="AF34" s="47">
        <v>2</v>
      </c>
      <c r="AG34" s="47">
        <v>2</v>
      </c>
      <c r="AH34" s="47">
        <v>2</v>
      </c>
      <c r="AI34" s="47">
        <v>0</v>
      </c>
      <c r="AJ34" s="47">
        <v>0</v>
      </c>
      <c r="AK34" s="47">
        <v>0</v>
      </c>
      <c r="AL34" s="47">
        <v>0</v>
      </c>
      <c r="AM34" s="47">
        <v>-1</v>
      </c>
      <c r="AN34" s="47">
        <v>-3</v>
      </c>
      <c r="AO34" s="47">
        <v>-3</v>
      </c>
    </row>
    <row r="35" spans="1:41" s="36" customFormat="1" ht="12" customHeight="1" x14ac:dyDescent="0.25">
      <c r="D35" s="36" t="s">
        <v>54</v>
      </c>
      <c r="E35" s="36" t="str">
        <f>D$19</f>
        <v>Emerald class</v>
      </c>
      <c r="I35" s="45" t="s">
        <v>34</v>
      </c>
      <c r="L35" s="47">
        <v>6</v>
      </c>
      <c r="M35" s="47">
        <v>6</v>
      </c>
      <c r="N35" s="47">
        <v>6</v>
      </c>
      <c r="O35" s="47">
        <v>7</v>
      </c>
      <c r="P35" s="47">
        <v>7</v>
      </c>
      <c r="Q35" s="47">
        <v>10</v>
      </c>
      <c r="R35" s="47">
        <v>10</v>
      </c>
      <c r="S35" s="47">
        <v>10</v>
      </c>
      <c r="T35" s="47">
        <v>10</v>
      </c>
      <c r="U35" s="47">
        <v>9</v>
      </c>
      <c r="V35" s="47">
        <v>9</v>
      </c>
      <c r="W35" s="47">
        <v>9</v>
      </c>
      <c r="X35" s="47">
        <v>9</v>
      </c>
      <c r="Y35" s="47">
        <v>6</v>
      </c>
      <c r="Z35" s="47">
        <v>6</v>
      </c>
      <c r="AA35" s="47">
        <v>6</v>
      </c>
      <c r="AB35" s="47">
        <v>6</v>
      </c>
      <c r="AC35" s="47">
        <v>6</v>
      </c>
      <c r="AD35" s="47">
        <v>5</v>
      </c>
      <c r="AE35" s="47">
        <v>5</v>
      </c>
      <c r="AF35" s="47">
        <v>5</v>
      </c>
      <c r="AG35" s="47">
        <v>5</v>
      </c>
      <c r="AH35" s="47">
        <v>2</v>
      </c>
      <c r="AI35" s="47">
        <v>2</v>
      </c>
      <c r="AJ35" s="47">
        <v>2</v>
      </c>
      <c r="AK35" s="47">
        <v>2</v>
      </c>
      <c r="AL35" s="47">
        <v>2</v>
      </c>
      <c r="AM35" s="47">
        <v>1</v>
      </c>
      <c r="AN35" s="47">
        <v>1</v>
      </c>
      <c r="AO35" s="47">
        <v>1</v>
      </c>
    </row>
    <row r="36" spans="1:41" s="36" customFormat="1" ht="12" customHeight="1" x14ac:dyDescent="0.25">
      <c r="D36" s="36" t="s">
        <v>54</v>
      </c>
      <c r="E36" s="36" t="str">
        <f>D$20</f>
        <v>Gold class</v>
      </c>
      <c r="I36" s="45" t="s">
        <v>34</v>
      </c>
      <c r="L36" s="47">
        <v>14</v>
      </c>
      <c r="M36" s="47">
        <v>14</v>
      </c>
      <c r="N36" s="47">
        <v>15</v>
      </c>
      <c r="O36" s="47">
        <v>16</v>
      </c>
      <c r="P36" s="47">
        <v>17</v>
      </c>
      <c r="Q36" s="47">
        <v>17</v>
      </c>
      <c r="R36" s="47">
        <v>18</v>
      </c>
      <c r="S36" s="47">
        <v>18</v>
      </c>
      <c r="T36" s="47">
        <v>19</v>
      </c>
      <c r="U36" s="47">
        <v>18</v>
      </c>
      <c r="V36" s="47">
        <v>17</v>
      </c>
      <c r="W36" s="47">
        <v>17</v>
      </c>
      <c r="X36" s="47">
        <v>16</v>
      </c>
      <c r="Y36" s="47">
        <v>16</v>
      </c>
      <c r="Z36" s="47">
        <v>15</v>
      </c>
      <c r="AA36" s="47">
        <v>15</v>
      </c>
      <c r="AB36" s="47">
        <v>14</v>
      </c>
      <c r="AC36" s="47">
        <v>14</v>
      </c>
      <c r="AD36" s="47">
        <v>13</v>
      </c>
      <c r="AE36" s="47">
        <v>12</v>
      </c>
      <c r="AF36" s="47">
        <v>12</v>
      </c>
      <c r="AG36" s="47">
        <v>11</v>
      </c>
      <c r="AH36" s="47">
        <v>11</v>
      </c>
      <c r="AI36" s="47">
        <v>10</v>
      </c>
      <c r="AJ36" s="47">
        <v>10</v>
      </c>
      <c r="AK36" s="47">
        <v>9</v>
      </c>
      <c r="AL36" s="47">
        <v>9</v>
      </c>
      <c r="AM36" s="47">
        <v>8</v>
      </c>
      <c r="AN36" s="47">
        <v>7</v>
      </c>
      <c r="AO36" s="47">
        <v>7</v>
      </c>
    </row>
    <row r="37" spans="1:41" s="36" customFormat="1" ht="12" customHeight="1" x14ac:dyDescent="0.25">
      <c r="D37" s="36" t="s">
        <v>54</v>
      </c>
      <c r="E37" s="36" t="str">
        <f>D$21</f>
        <v>Sapphire class</v>
      </c>
      <c r="I37" s="45" t="s">
        <v>34</v>
      </c>
      <c r="L37" s="47">
        <v>17</v>
      </c>
      <c r="M37" s="47">
        <v>18</v>
      </c>
      <c r="N37" s="47">
        <v>19</v>
      </c>
      <c r="O37" s="47">
        <v>21</v>
      </c>
      <c r="P37" s="47">
        <v>22</v>
      </c>
      <c r="Q37" s="47">
        <v>23</v>
      </c>
      <c r="R37" s="47">
        <v>24</v>
      </c>
      <c r="S37" s="47">
        <v>25</v>
      </c>
      <c r="T37" s="47">
        <v>26</v>
      </c>
      <c r="U37" s="47">
        <v>25</v>
      </c>
      <c r="V37" s="47">
        <v>24</v>
      </c>
      <c r="W37" s="47">
        <v>23</v>
      </c>
      <c r="X37" s="47">
        <v>22</v>
      </c>
      <c r="Y37" s="47">
        <v>21</v>
      </c>
      <c r="Z37" s="47">
        <v>20</v>
      </c>
      <c r="AA37" s="47">
        <v>19</v>
      </c>
      <c r="AB37" s="47">
        <v>18</v>
      </c>
      <c r="AC37" s="47">
        <v>17</v>
      </c>
      <c r="AD37" s="47">
        <v>16</v>
      </c>
      <c r="AE37" s="47">
        <v>15</v>
      </c>
      <c r="AF37" s="47">
        <v>14</v>
      </c>
      <c r="AG37" s="47">
        <v>13</v>
      </c>
      <c r="AH37" s="47">
        <v>12</v>
      </c>
      <c r="AI37" s="47">
        <v>11</v>
      </c>
      <c r="AJ37" s="47">
        <v>10</v>
      </c>
      <c r="AK37" s="47">
        <v>9</v>
      </c>
      <c r="AL37" s="47">
        <v>8</v>
      </c>
      <c r="AM37" s="47">
        <v>7</v>
      </c>
      <c r="AN37" s="47">
        <v>6</v>
      </c>
      <c r="AO37" s="47">
        <v>5</v>
      </c>
    </row>
    <row r="38" spans="1:41" s="36" customFormat="1" ht="12" customHeight="1" x14ac:dyDescent="0.25">
      <c r="I38" s="45"/>
    </row>
    <row r="39" spans="1:41" s="36" customFormat="1" ht="12" customHeight="1" x14ac:dyDescent="0.25">
      <c r="C39" s="34" t="s">
        <v>111</v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 s="36" customFormat="1" ht="12" customHeight="1" x14ac:dyDescent="0.25">
      <c r="D40" s="36" t="s">
        <v>55</v>
      </c>
      <c r="E40" s="36" t="str">
        <f>D$17</f>
        <v>Platinum class</v>
      </c>
      <c r="I40" s="45" t="s">
        <v>34</v>
      </c>
      <c r="L40" s="47">
        <v>2</v>
      </c>
      <c r="M40" s="47">
        <v>3</v>
      </c>
      <c r="N40" s="47">
        <v>4</v>
      </c>
      <c r="O40" s="47">
        <v>5</v>
      </c>
      <c r="P40" s="47">
        <v>5</v>
      </c>
      <c r="Q40" s="47">
        <v>5</v>
      </c>
      <c r="R40" s="47">
        <v>5</v>
      </c>
      <c r="S40" s="47">
        <v>5</v>
      </c>
      <c r="T40" s="47">
        <v>1</v>
      </c>
      <c r="U40" s="47">
        <v>2</v>
      </c>
      <c r="V40" s="47">
        <v>2</v>
      </c>
      <c r="W40" s="47">
        <v>2</v>
      </c>
      <c r="X40" s="47">
        <v>2</v>
      </c>
      <c r="Y40" s="47">
        <v>2</v>
      </c>
      <c r="Z40" s="47">
        <v>2</v>
      </c>
      <c r="AA40" s="47">
        <v>1</v>
      </c>
      <c r="AB40" s="47">
        <v>1</v>
      </c>
      <c r="AC40" s="47">
        <v>0</v>
      </c>
      <c r="AD40" s="47">
        <v>0</v>
      </c>
      <c r="AE40" s="47">
        <v>0</v>
      </c>
      <c r="AF40" s="47">
        <v>8</v>
      </c>
      <c r="AG40" s="47">
        <v>7</v>
      </c>
      <c r="AH40" s="47">
        <v>7</v>
      </c>
      <c r="AI40" s="47">
        <v>6</v>
      </c>
      <c r="AJ40" s="47">
        <v>6</v>
      </c>
      <c r="AK40" s="47">
        <v>6</v>
      </c>
      <c r="AL40" s="47">
        <v>14</v>
      </c>
      <c r="AM40" s="47">
        <v>13</v>
      </c>
      <c r="AN40" s="47">
        <v>13</v>
      </c>
      <c r="AO40" s="47">
        <v>12</v>
      </c>
    </row>
    <row r="41" spans="1:41" s="36" customFormat="1" ht="12" customHeight="1" x14ac:dyDescent="0.25">
      <c r="D41" s="36" t="s">
        <v>55</v>
      </c>
      <c r="E41" s="36" t="str">
        <f>D$18</f>
        <v>Ruby class</v>
      </c>
      <c r="I41" s="45" t="s">
        <v>34</v>
      </c>
      <c r="L41" s="47">
        <v>4</v>
      </c>
      <c r="M41" s="47">
        <v>5</v>
      </c>
      <c r="N41" s="47">
        <v>6</v>
      </c>
      <c r="O41" s="47">
        <v>6</v>
      </c>
      <c r="P41" s="47">
        <v>8</v>
      </c>
      <c r="Q41" s="47">
        <v>8</v>
      </c>
      <c r="R41" s="47">
        <v>8</v>
      </c>
      <c r="S41" s="47">
        <v>8</v>
      </c>
      <c r="T41" s="47">
        <v>3</v>
      </c>
      <c r="U41" s="47">
        <v>3</v>
      </c>
      <c r="V41" s="47">
        <v>5</v>
      </c>
      <c r="W41" s="47">
        <v>5</v>
      </c>
      <c r="X41" s="47">
        <v>5</v>
      </c>
      <c r="Y41" s="47">
        <v>5</v>
      </c>
      <c r="Z41" s="47">
        <v>4</v>
      </c>
      <c r="AA41" s="47">
        <v>3</v>
      </c>
      <c r="AB41" s="47">
        <v>3</v>
      </c>
      <c r="AC41" s="47">
        <v>2</v>
      </c>
      <c r="AD41" s="47">
        <v>2</v>
      </c>
      <c r="AE41" s="47">
        <v>2</v>
      </c>
      <c r="AF41" s="47">
        <v>10</v>
      </c>
      <c r="AG41" s="47">
        <v>9</v>
      </c>
      <c r="AH41" s="47">
        <v>8</v>
      </c>
      <c r="AI41" s="47">
        <v>8</v>
      </c>
      <c r="AJ41" s="47">
        <v>8</v>
      </c>
      <c r="AK41" s="47">
        <v>8</v>
      </c>
      <c r="AL41" s="47">
        <v>16</v>
      </c>
      <c r="AM41" s="47">
        <v>15</v>
      </c>
      <c r="AN41" s="47">
        <v>14</v>
      </c>
      <c r="AO41" s="47">
        <v>14</v>
      </c>
    </row>
    <row r="42" spans="1:41" s="36" customFormat="1" ht="12" customHeight="1" x14ac:dyDescent="0.25">
      <c r="D42" s="36" t="s">
        <v>55</v>
      </c>
      <c r="E42" s="36" t="str">
        <f>D$19</f>
        <v>Emerald class</v>
      </c>
      <c r="I42" s="45" t="s">
        <v>34</v>
      </c>
      <c r="L42" s="47">
        <v>5</v>
      </c>
      <c r="M42" s="47">
        <v>6</v>
      </c>
      <c r="N42" s="47">
        <v>7</v>
      </c>
      <c r="O42" s="47">
        <v>7</v>
      </c>
      <c r="P42" s="47">
        <v>7</v>
      </c>
      <c r="Q42" s="47">
        <v>10</v>
      </c>
      <c r="R42" s="47">
        <v>11</v>
      </c>
      <c r="S42" s="47">
        <v>11</v>
      </c>
      <c r="T42" s="47">
        <v>4</v>
      </c>
      <c r="U42" s="47">
        <v>4</v>
      </c>
      <c r="V42" s="47">
        <v>4</v>
      </c>
      <c r="W42" s="47">
        <v>7</v>
      </c>
      <c r="X42" s="47">
        <v>8</v>
      </c>
      <c r="Y42" s="47">
        <v>8</v>
      </c>
      <c r="Z42" s="47">
        <v>6</v>
      </c>
      <c r="AA42" s="47">
        <v>4</v>
      </c>
      <c r="AB42" s="47">
        <v>4</v>
      </c>
      <c r="AC42" s="47">
        <v>4</v>
      </c>
      <c r="AD42" s="47">
        <v>5</v>
      </c>
      <c r="AE42" s="47">
        <v>5</v>
      </c>
      <c r="AF42" s="47">
        <v>12</v>
      </c>
      <c r="AG42" s="47">
        <v>10</v>
      </c>
      <c r="AH42" s="47">
        <v>9</v>
      </c>
      <c r="AI42" s="47">
        <v>10</v>
      </c>
      <c r="AJ42" s="47">
        <v>11</v>
      </c>
      <c r="AK42" s="47">
        <v>11</v>
      </c>
      <c r="AL42" s="47">
        <v>18</v>
      </c>
      <c r="AM42" s="47">
        <v>16</v>
      </c>
      <c r="AN42" s="47">
        <v>15</v>
      </c>
      <c r="AO42" s="47">
        <v>16</v>
      </c>
    </row>
    <row r="43" spans="1:41" s="36" customFormat="1" ht="12" customHeight="1" x14ac:dyDescent="0.25">
      <c r="D43" s="36" t="s">
        <v>55</v>
      </c>
      <c r="E43" s="36" t="str">
        <f>D$20</f>
        <v>Gold class</v>
      </c>
      <c r="I43" s="45" t="s">
        <v>34</v>
      </c>
      <c r="L43" s="47">
        <v>13</v>
      </c>
      <c r="M43" s="47">
        <v>14</v>
      </c>
      <c r="N43" s="47">
        <v>16</v>
      </c>
      <c r="O43" s="47">
        <v>16</v>
      </c>
      <c r="P43" s="47">
        <v>17</v>
      </c>
      <c r="Q43" s="47">
        <v>17</v>
      </c>
      <c r="R43" s="47">
        <v>23</v>
      </c>
      <c r="S43" s="47">
        <v>23</v>
      </c>
      <c r="T43" s="47">
        <v>13</v>
      </c>
      <c r="U43" s="47">
        <v>13</v>
      </c>
      <c r="V43" s="47">
        <v>14</v>
      </c>
      <c r="W43" s="47">
        <v>14</v>
      </c>
      <c r="X43" s="47">
        <v>20</v>
      </c>
      <c r="Y43" s="47">
        <v>20</v>
      </c>
      <c r="Z43" s="47">
        <v>12</v>
      </c>
      <c r="AA43" s="47">
        <v>10</v>
      </c>
      <c r="AB43" s="47">
        <v>12</v>
      </c>
      <c r="AC43" s="47">
        <v>12</v>
      </c>
      <c r="AD43" s="47">
        <v>17</v>
      </c>
      <c r="AE43" s="47">
        <v>17</v>
      </c>
      <c r="AF43" s="47">
        <v>18</v>
      </c>
      <c r="AG43" s="47">
        <v>16</v>
      </c>
      <c r="AH43" s="47">
        <v>16</v>
      </c>
      <c r="AI43" s="47">
        <v>17</v>
      </c>
      <c r="AJ43" s="47">
        <v>23</v>
      </c>
      <c r="AK43" s="47">
        <v>23</v>
      </c>
      <c r="AL43" s="47">
        <v>24</v>
      </c>
      <c r="AM43" s="47">
        <v>22</v>
      </c>
      <c r="AN43" s="47">
        <v>22</v>
      </c>
      <c r="AO43" s="47">
        <v>23</v>
      </c>
    </row>
    <row r="44" spans="1:41" s="36" customFormat="1" ht="12" customHeight="1" x14ac:dyDescent="0.25">
      <c r="D44" s="36" t="s">
        <v>55</v>
      </c>
      <c r="E44" s="36" t="str">
        <f>D$21</f>
        <v>Sapphire class</v>
      </c>
      <c r="I44" s="45" t="s">
        <v>34</v>
      </c>
      <c r="L44" s="47">
        <v>16</v>
      </c>
      <c r="M44" s="47">
        <v>18</v>
      </c>
      <c r="N44" s="47">
        <v>20</v>
      </c>
      <c r="O44" s="47">
        <v>21</v>
      </c>
      <c r="P44" s="47">
        <v>22</v>
      </c>
      <c r="Q44" s="47">
        <v>23</v>
      </c>
      <c r="R44" s="47">
        <v>28</v>
      </c>
      <c r="S44" s="47">
        <v>29</v>
      </c>
      <c r="T44" s="47">
        <v>17</v>
      </c>
      <c r="U44" s="47">
        <v>18</v>
      </c>
      <c r="V44" s="47">
        <v>19</v>
      </c>
      <c r="W44" s="47">
        <v>20</v>
      </c>
      <c r="X44" s="47">
        <v>25</v>
      </c>
      <c r="Y44" s="47">
        <v>26</v>
      </c>
      <c r="Z44" s="47">
        <v>22</v>
      </c>
      <c r="AA44" s="47">
        <v>18</v>
      </c>
      <c r="AB44" s="47">
        <v>18</v>
      </c>
      <c r="AC44" s="47">
        <v>17</v>
      </c>
      <c r="AD44" s="47">
        <v>22</v>
      </c>
      <c r="AE44" s="47">
        <v>23</v>
      </c>
      <c r="AF44" s="47">
        <v>28</v>
      </c>
      <c r="AG44" s="47">
        <v>24</v>
      </c>
      <c r="AH44" s="47">
        <v>22</v>
      </c>
      <c r="AI44" s="47">
        <v>23</v>
      </c>
      <c r="AJ44" s="47">
        <v>28</v>
      </c>
      <c r="AK44" s="47">
        <v>29</v>
      </c>
      <c r="AL44" s="47">
        <v>34</v>
      </c>
      <c r="AM44" s="47">
        <v>30</v>
      </c>
      <c r="AN44" s="47">
        <v>28</v>
      </c>
      <c r="AO44" s="47">
        <v>29</v>
      </c>
    </row>
    <row r="45" spans="1:41" s="36" customFormat="1" ht="12" customHeight="1" x14ac:dyDescent="0.25">
      <c r="I45" s="45"/>
    </row>
    <row r="46" spans="1:41" s="2" customFormat="1" ht="12" customHeight="1" x14ac:dyDescent="0.25">
      <c r="A46" s="44">
        <f>MAX(A$3:A45)+0.01</f>
        <v>1.03</v>
      </c>
      <c r="B46" s="44"/>
      <c r="C46" s="44" t="s">
        <v>38</v>
      </c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</row>
    <row r="47" spans="1:41" s="36" customFormat="1" ht="12" customHeight="1" x14ac:dyDescent="0.25">
      <c r="L47" s="37"/>
      <c r="N47" s="43"/>
    </row>
    <row r="48" spans="1:41" s="36" customFormat="1" ht="12" customHeight="1" x14ac:dyDescent="0.25">
      <c r="C48" s="34" t="s">
        <v>44</v>
      </c>
      <c r="L48" s="37"/>
      <c r="N48" s="43"/>
    </row>
    <row r="49" spans="1:41" s="36" customFormat="1" ht="12" customHeight="1" x14ac:dyDescent="0.25">
      <c r="D49" s="36" t="s">
        <v>44</v>
      </c>
      <c r="E49" s="36" t="str">
        <f>D$17</f>
        <v>Platinum class</v>
      </c>
      <c r="I49" s="45" t="s">
        <v>30</v>
      </c>
      <c r="K49" s="47">
        <v>5</v>
      </c>
      <c r="L49" s="37"/>
      <c r="N49" s="43"/>
    </row>
    <row r="50" spans="1:41" s="36" customFormat="1" ht="12" customHeight="1" x14ac:dyDescent="0.25">
      <c r="D50" s="36" t="s">
        <v>44</v>
      </c>
      <c r="E50" s="36" t="str">
        <f>D$18</f>
        <v>Ruby class</v>
      </c>
      <c r="I50" s="45" t="s">
        <v>30</v>
      </c>
      <c r="K50" s="47">
        <v>4</v>
      </c>
      <c r="L50" s="37"/>
      <c r="N50" s="43"/>
    </row>
    <row r="51" spans="1:41" s="36" customFormat="1" ht="12" customHeight="1" x14ac:dyDescent="0.25">
      <c r="D51" s="36" t="s">
        <v>44</v>
      </c>
      <c r="E51" s="36" t="str">
        <f>D$19</f>
        <v>Emerald class</v>
      </c>
      <c r="I51" s="45" t="s">
        <v>30</v>
      </c>
      <c r="K51" s="47">
        <v>4</v>
      </c>
      <c r="L51" s="37"/>
      <c r="N51" s="43"/>
    </row>
    <row r="52" spans="1:41" s="36" customFormat="1" ht="12" customHeight="1" x14ac:dyDescent="0.25">
      <c r="D52" s="36" t="s">
        <v>44</v>
      </c>
      <c r="E52" s="36" t="str">
        <f>D$20</f>
        <v>Gold class</v>
      </c>
      <c r="I52" s="45" t="s">
        <v>30</v>
      </c>
      <c r="K52" s="47">
        <v>3</v>
      </c>
      <c r="L52" s="37"/>
      <c r="N52" s="43"/>
    </row>
    <row r="53" spans="1:41" s="36" customFormat="1" ht="12" customHeight="1" x14ac:dyDescent="0.25">
      <c r="D53" s="36" t="s">
        <v>44</v>
      </c>
      <c r="E53" s="36" t="str">
        <f>D$21</f>
        <v>Sapphire class</v>
      </c>
      <c r="I53" s="45" t="s">
        <v>30</v>
      </c>
      <c r="K53" s="47">
        <v>3</v>
      </c>
      <c r="L53" s="37"/>
      <c r="N53" s="43"/>
    </row>
    <row r="54" spans="1:41" s="36" customFormat="1" ht="12" customHeight="1" x14ac:dyDescent="0.25">
      <c r="D54" s="35" t="s">
        <v>51</v>
      </c>
      <c r="L54" s="37"/>
      <c r="N54" s="43"/>
    </row>
    <row r="55" spans="1:41" s="36" customFormat="1" ht="12" customHeight="1" x14ac:dyDescent="0.25">
      <c r="L55" s="37"/>
      <c r="N55" s="43"/>
    </row>
    <row r="56" spans="1:41" s="2" customFormat="1" ht="12" customHeight="1" x14ac:dyDescent="0.25">
      <c r="A56" s="44">
        <f>MAX(A$3:A55)+0.01</f>
        <v>1.04</v>
      </c>
      <c r="B56" s="44"/>
      <c r="C56" s="44" t="s">
        <v>36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</row>
    <row r="57" spans="1:41" s="36" customFormat="1" ht="12" customHeight="1" x14ac:dyDescent="0.25">
      <c r="L57" s="37"/>
      <c r="N57" s="43"/>
    </row>
    <row r="58" spans="1:41" s="36" customFormat="1" ht="12" customHeight="1" x14ac:dyDescent="0.25">
      <c r="C58" s="34" t="s">
        <v>37</v>
      </c>
      <c r="L58" s="37"/>
      <c r="N58" s="43"/>
    </row>
    <row r="59" spans="1:41" s="36" customFormat="1" ht="12" customHeight="1" x14ac:dyDescent="0.25">
      <c r="D59" s="36" t="s">
        <v>52</v>
      </c>
      <c r="E59" s="36" t="str">
        <f>D$17</f>
        <v>Platinum class</v>
      </c>
      <c r="I59" s="45" t="s">
        <v>57</v>
      </c>
      <c r="K59" s="47">
        <v>600</v>
      </c>
    </row>
    <row r="60" spans="1:41" s="36" customFormat="1" ht="12" customHeight="1" x14ac:dyDescent="0.25">
      <c r="D60" s="36" t="s">
        <v>52</v>
      </c>
      <c r="E60" s="36" t="str">
        <f>D$18</f>
        <v>Ruby class</v>
      </c>
      <c r="I60" s="45" t="s">
        <v>57</v>
      </c>
      <c r="K60" s="47">
        <v>375</v>
      </c>
    </row>
    <row r="61" spans="1:41" s="36" customFormat="1" ht="12" customHeight="1" x14ac:dyDescent="0.25">
      <c r="D61" s="36" t="s">
        <v>52</v>
      </c>
      <c r="E61" s="36" t="str">
        <f>D$19</f>
        <v>Emerald class</v>
      </c>
      <c r="I61" s="45" t="s">
        <v>57</v>
      </c>
      <c r="K61" s="47">
        <v>270</v>
      </c>
    </row>
    <row r="62" spans="1:41" s="36" customFormat="1" ht="12" customHeight="1" x14ac:dyDescent="0.25">
      <c r="D62" s="36" t="s">
        <v>52</v>
      </c>
      <c r="E62" s="36" t="str">
        <f>D$20</f>
        <v>Gold class</v>
      </c>
      <c r="I62" s="45" t="s">
        <v>57</v>
      </c>
      <c r="K62" s="47">
        <v>180</v>
      </c>
    </row>
    <row r="63" spans="1:41" s="36" customFormat="1" ht="12" customHeight="1" x14ac:dyDescent="0.25">
      <c r="D63" s="36" t="s">
        <v>52</v>
      </c>
      <c r="E63" s="36" t="str">
        <f>D$21</f>
        <v>Sapphire class</v>
      </c>
      <c r="I63" s="45" t="s">
        <v>57</v>
      </c>
      <c r="K63" s="47">
        <v>120</v>
      </c>
    </row>
    <row r="64" spans="1:41" s="36" customFormat="1" ht="12" customHeight="1" x14ac:dyDescent="0.25">
      <c r="L64" s="37"/>
      <c r="N64" s="43"/>
    </row>
    <row r="65" spans="1:41" s="36" customFormat="1" ht="12" customHeight="1" x14ac:dyDescent="0.25">
      <c r="C65" s="34" t="s">
        <v>45</v>
      </c>
      <c r="L65" s="37"/>
      <c r="N65" s="43"/>
    </row>
    <row r="66" spans="1:41" s="36" customFormat="1" ht="12" customHeight="1" x14ac:dyDescent="0.25">
      <c r="D66" s="36" t="s">
        <v>45</v>
      </c>
      <c r="I66" s="45" t="s">
        <v>27</v>
      </c>
      <c r="K66" s="1">
        <v>0.5</v>
      </c>
      <c r="L66" s="37"/>
      <c r="N66" s="43"/>
    </row>
    <row r="67" spans="1:41" s="36" customFormat="1" ht="12" customHeight="1" x14ac:dyDescent="0.25">
      <c r="L67" s="37"/>
      <c r="N67" s="43"/>
    </row>
    <row r="68" spans="1:41" s="36" customFormat="1" ht="12" customHeight="1" x14ac:dyDescent="0.25">
      <c r="L68" s="37"/>
      <c r="N68" s="43"/>
    </row>
    <row r="69" spans="1:41" s="2" customFormat="1" ht="12" customHeight="1" x14ac:dyDescent="0.25">
      <c r="A69" s="44">
        <f>MAX(A$3:A68)+0.01</f>
        <v>1.05</v>
      </c>
      <c r="B69" s="44"/>
      <c r="C69" s="44" t="s">
        <v>46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</row>
    <row r="70" spans="1:41" ht="12" customHeight="1" x14ac:dyDescent="0.25">
      <c r="C70" s="36"/>
      <c r="D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</row>
    <row r="71" spans="1:41" ht="12" customHeight="1" x14ac:dyDescent="0.25">
      <c r="C71" s="34" t="s">
        <v>47</v>
      </c>
      <c r="D71" s="36"/>
      <c r="L71" s="51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</row>
    <row r="72" spans="1:41" ht="12" customHeight="1" x14ac:dyDescent="0.25">
      <c r="C72" s="36"/>
      <c r="D72" s="36" t="s">
        <v>47</v>
      </c>
      <c r="E72" s="36" t="str">
        <f>D$17</f>
        <v>Platinum class</v>
      </c>
      <c r="I72" s="45" t="s">
        <v>27</v>
      </c>
      <c r="J72" s="36"/>
      <c r="K72" s="1">
        <v>0.60000000000000009</v>
      </c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</row>
    <row r="73" spans="1:41" ht="12" customHeight="1" x14ac:dyDescent="0.25">
      <c r="C73" s="36"/>
      <c r="D73" s="36" t="s">
        <v>47</v>
      </c>
      <c r="E73" s="36" t="str">
        <f>D$18</f>
        <v>Ruby class</v>
      </c>
      <c r="I73" s="45" t="s">
        <v>27</v>
      </c>
      <c r="J73" s="36"/>
      <c r="K73" s="1">
        <v>0.625</v>
      </c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 spans="1:41" ht="12" customHeight="1" x14ac:dyDescent="0.25">
      <c r="C74" s="36"/>
      <c r="D74" s="36" t="s">
        <v>47</v>
      </c>
      <c r="E74" s="36" t="str">
        <f>D$19</f>
        <v>Emerald class</v>
      </c>
      <c r="I74" s="45" t="s">
        <v>27</v>
      </c>
      <c r="J74" s="36"/>
      <c r="K74" s="1">
        <v>0.65</v>
      </c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</row>
    <row r="75" spans="1:41" ht="12" customHeight="1" x14ac:dyDescent="0.25">
      <c r="C75" s="36"/>
      <c r="D75" s="36" t="s">
        <v>47</v>
      </c>
      <c r="E75" s="36" t="str">
        <f>D$20</f>
        <v>Gold class</v>
      </c>
      <c r="I75" s="45" t="s">
        <v>27</v>
      </c>
      <c r="J75" s="36"/>
      <c r="K75" s="1">
        <v>0.7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</row>
    <row r="76" spans="1:41" ht="12" customHeight="1" x14ac:dyDescent="0.25">
      <c r="C76" s="36"/>
      <c r="D76" s="36" t="s">
        <v>47</v>
      </c>
      <c r="E76" s="36" t="str">
        <f>D$21</f>
        <v>Sapphire class</v>
      </c>
      <c r="I76" s="45" t="s">
        <v>27</v>
      </c>
      <c r="J76" s="36"/>
      <c r="K76" s="1">
        <v>0.75</v>
      </c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</row>
    <row r="77" spans="1:41" s="36" customFormat="1" ht="12" customHeight="1" x14ac:dyDescent="0.25">
      <c r="L77" s="37"/>
      <c r="N77" s="43"/>
    </row>
    <row r="78" spans="1:41" s="36" customFormat="1" ht="12" customHeight="1" x14ac:dyDescent="0.25">
      <c r="C78" s="34" t="s">
        <v>48</v>
      </c>
      <c r="L78" s="37"/>
      <c r="N78" s="43"/>
    </row>
    <row r="79" spans="1:41" s="36" customFormat="1" ht="12" customHeight="1" x14ac:dyDescent="0.25">
      <c r="D79" s="36" t="s">
        <v>49</v>
      </c>
      <c r="I79" s="45" t="s">
        <v>57</v>
      </c>
      <c r="L79" s="47">
        <v>50</v>
      </c>
      <c r="M79" s="47">
        <v>50</v>
      </c>
      <c r="N79" s="47">
        <v>50</v>
      </c>
      <c r="O79" s="47">
        <v>50</v>
      </c>
      <c r="P79" s="47">
        <v>50</v>
      </c>
      <c r="Q79" s="47">
        <v>50</v>
      </c>
      <c r="R79" s="47">
        <v>50</v>
      </c>
      <c r="S79" s="47">
        <v>50</v>
      </c>
      <c r="T79" s="47">
        <v>50</v>
      </c>
      <c r="U79" s="47">
        <v>50</v>
      </c>
      <c r="V79" s="47">
        <v>50</v>
      </c>
      <c r="W79" s="47">
        <v>50</v>
      </c>
      <c r="X79" s="47">
        <v>50</v>
      </c>
      <c r="Y79" s="47">
        <v>50</v>
      </c>
      <c r="Z79" s="47">
        <v>50</v>
      </c>
      <c r="AA79" s="47">
        <v>50</v>
      </c>
      <c r="AB79" s="47">
        <v>50</v>
      </c>
      <c r="AC79" s="47">
        <v>50</v>
      </c>
      <c r="AD79" s="47">
        <v>50</v>
      </c>
      <c r="AE79" s="47">
        <v>50</v>
      </c>
      <c r="AF79" s="47">
        <v>50</v>
      </c>
      <c r="AG79" s="47">
        <v>50</v>
      </c>
      <c r="AH79" s="47">
        <v>50</v>
      </c>
      <c r="AI79" s="47">
        <v>50</v>
      </c>
      <c r="AJ79" s="47">
        <v>50</v>
      </c>
      <c r="AK79" s="47">
        <v>50</v>
      </c>
      <c r="AL79" s="47">
        <v>50</v>
      </c>
      <c r="AM79" s="47">
        <v>50</v>
      </c>
      <c r="AN79" s="47">
        <v>50</v>
      </c>
      <c r="AO79" s="47">
        <v>50</v>
      </c>
    </row>
    <row r="80" spans="1:41" s="36" customFormat="1" ht="12" customHeight="1" x14ac:dyDescent="0.25">
      <c r="D80" s="36" t="s">
        <v>67</v>
      </c>
      <c r="I80" s="45" t="s">
        <v>57</v>
      </c>
      <c r="L80" s="47">
        <v>25</v>
      </c>
      <c r="M80" s="47">
        <v>25</v>
      </c>
      <c r="N80" s="47">
        <v>25</v>
      </c>
      <c r="O80" s="47">
        <v>25</v>
      </c>
      <c r="P80" s="47">
        <v>25</v>
      </c>
      <c r="Q80" s="47">
        <v>25</v>
      </c>
      <c r="R80" s="47">
        <v>25</v>
      </c>
      <c r="S80" s="47">
        <v>25</v>
      </c>
      <c r="T80" s="47">
        <v>25</v>
      </c>
      <c r="U80" s="47">
        <v>25</v>
      </c>
      <c r="V80" s="47">
        <v>25</v>
      </c>
      <c r="W80" s="47">
        <v>25</v>
      </c>
      <c r="X80" s="47">
        <v>25</v>
      </c>
      <c r="Y80" s="47">
        <v>25</v>
      </c>
      <c r="Z80" s="47">
        <v>25</v>
      </c>
      <c r="AA80" s="47">
        <v>25</v>
      </c>
      <c r="AB80" s="47">
        <v>25</v>
      </c>
      <c r="AC80" s="47">
        <v>25</v>
      </c>
      <c r="AD80" s="47">
        <v>25</v>
      </c>
      <c r="AE80" s="47">
        <v>25</v>
      </c>
      <c r="AF80" s="47">
        <v>25</v>
      </c>
      <c r="AG80" s="47">
        <v>25</v>
      </c>
      <c r="AH80" s="47">
        <v>25</v>
      </c>
      <c r="AI80" s="47">
        <v>25</v>
      </c>
      <c r="AJ80" s="47">
        <v>25</v>
      </c>
      <c r="AK80" s="47">
        <v>25</v>
      </c>
      <c r="AL80" s="47">
        <v>25</v>
      </c>
      <c r="AM80" s="47">
        <v>25</v>
      </c>
      <c r="AN80" s="47">
        <v>25</v>
      </c>
      <c r="AO80" s="47">
        <v>25</v>
      </c>
    </row>
    <row r="81" spans="1:41" s="36" customFormat="1" ht="12" customHeight="1" x14ac:dyDescent="0.25">
      <c r="D81" s="36" t="s">
        <v>66</v>
      </c>
      <c r="I81" s="45" t="s">
        <v>57</v>
      </c>
      <c r="L81" s="47">
        <v>10</v>
      </c>
      <c r="M81" s="47">
        <v>10</v>
      </c>
      <c r="N81" s="47">
        <v>10</v>
      </c>
      <c r="O81" s="47">
        <v>10</v>
      </c>
      <c r="P81" s="47">
        <v>10</v>
      </c>
      <c r="Q81" s="47">
        <v>10</v>
      </c>
      <c r="R81" s="47">
        <v>10</v>
      </c>
      <c r="S81" s="47">
        <v>10</v>
      </c>
      <c r="T81" s="47">
        <v>10</v>
      </c>
      <c r="U81" s="47">
        <v>10</v>
      </c>
      <c r="V81" s="47">
        <v>10</v>
      </c>
      <c r="W81" s="47">
        <v>10</v>
      </c>
      <c r="X81" s="47">
        <v>10</v>
      </c>
      <c r="Y81" s="47">
        <v>10</v>
      </c>
      <c r="Z81" s="47">
        <v>10</v>
      </c>
      <c r="AA81" s="47">
        <v>10</v>
      </c>
      <c r="AB81" s="47">
        <v>10</v>
      </c>
      <c r="AC81" s="47">
        <v>10</v>
      </c>
      <c r="AD81" s="47">
        <v>10</v>
      </c>
      <c r="AE81" s="47">
        <v>10</v>
      </c>
      <c r="AF81" s="47">
        <v>10</v>
      </c>
      <c r="AG81" s="47">
        <v>10</v>
      </c>
      <c r="AH81" s="47">
        <v>10</v>
      </c>
      <c r="AI81" s="47">
        <v>10</v>
      </c>
      <c r="AJ81" s="47">
        <v>10</v>
      </c>
      <c r="AK81" s="47">
        <v>10</v>
      </c>
      <c r="AL81" s="47">
        <v>10</v>
      </c>
      <c r="AM81" s="47">
        <v>10</v>
      </c>
      <c r="AN81" s="47">
        <v>10</v>
      </c>
      <c r="AO81" s="47">
        <v>10</v>
      </c>
    </row>
    <row r="82" spans="1:41" s="36" customFormat="1" ht="12" customHeight="1" x14ac:dyDescent="0.25">
      <c r="D82" s="36" t="s">
        <v>113</v>
      </c>
      <c r="I82" s="45" t="s">
        <v>57</v>
      </c>
      <c r="L82" s="47">
        <v>30</v>
      </c>
      <c r="M82" s="47">
        <v>30</v>
      </c>
      <c r="N82" s="47">
        <v>30</v>
      </c>
      <c r="O82" s="47">
        <v>30</v>
      </c>
      <c r="P82" s="47">
        <v>30</v>
      </c>
      <c r="Q82" s="47">
        <v>30</v>
      </c>
      <c r="R82" s="47">
        <v>30</v>
      </c>
      <c r="S82" s="47">
        <v>30</v>
      </c>
      <c r="T82" s="47">
        <v>30</v>
      </c>
      <c r="U82" s="47">
        <v>30</v>
      </c>
      <c r="V82" s="47">
        <v>30</v>
      </c>
      <c r="W82" s="47">
        <v>30</v>
      </c>
      <c r="X82" s="47">
        <v>30</v>
      </c>
      <c r="Y82" s="47">
        <v>30</v>
      </c>
      <c r="Z82" s="47">
        <v>30</v>
      </c>
      <c r="AA82" s="47">
        <v>30</v>
      </c>
      <c r="AB82" s="47">
        <v>30</v>
      </c>
      <c r="AC82" s="47">
        <v>30</v>
      </c>
      <c r="AD82" s="47">
        <v>30</v>
      </c>
      <c r="AE82" s="47">
        <v>30</v>
      </c>
      <c r="AF82" s="47">
        <v>30</v>
      </c>
      <c r="AG82" s="47">
        <v>30</v>
      </c>
      <c r="AH82" s="47">
        <v>30</v>
      </c>
      <c r="AI82" s="47">
        <v>30</v>
      </c>
      <c r="AJ82" s="47">
        <v>30</v>
      </c>
      <c r="AK82" s="47">
        <v>30</v>
      </c>
      <c r="AL82" s="47">
        <v>30</v>
      </c>
      <c r="AM82" s="47">
        <v>30</v>
      </c>
      <c r="AN82" s="47">
        <v>30</v>
      </c>
      <c r="AO82" s="47">
        <v>30</v>
      </c>
    </row>
    <row r="83" spans="1:41" s="36" customFormat="1" ht="12" customHeight="1" x14ac:dyDescent="0.25">
      <c r="L83" s="37"/>
      <c r="N83" s="43"/>
    </row>
    <row r="84" spans="1:41" s="2" customFormat="1" ht="12" customHeight="1" x14ac:dyDescent="0.25">
      <c r="A84" s="44">
        <f>MAX(A$3:A83)+0.01</f>
        <v>1.06</v>
      </c>
      <c r="B84" s="44"/>
      <c r="C84" s="44" t="s">
        <v>61</v>
      </c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</row>
    <row r="85" spans="1:41" ht="12" customHeight="1" x14ac:dyDescent="0.25">
      <c r="C85" s="36"/>
      <c r="D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</row>
    <row r="86" spans="1:41" s="36" customFormat="1" ht="12" customHeight="1" x14ac:dyDescent="0.25">
      <c r="C86" s="34" t="s">
        <v>29</v>
      </c>
      <c r="L86" s="37"/>
      <c r="N86" s="43"/>
    </row>
    <row r="87" spans="1:41" s="36" customFormat="1" ht="12" customHeight="1" x14ac:dyDescent="0.25">
      <c r="D87" s="36" t="s">
        <v>117</v>
      </c>
      <c r="I87" s="45" t="s">
        <v>57</v>
      </c>
      <c r="L87" s="47">
        <v>0</v>
      </c>
      <c r="M87" s="47">
        <v>0</v>
      </c>
      <c r="N87" s="47">
        <v>10000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</row>
    <row r="88" spans="1:41" s="36" customFormat="1" ht="12" customHeight="1" x14ac:dyDescent="0.25">
      <c r="D88" s="36" t="s">
        <v>62</v>
      </c>
      <c r="I88" s="45" t="s">
        <v>57</v>
      </c>
      <c r="L88" s="47">
        <v>3000</v>
      </c>
      <c r="M88" s="47">
        <v>0</v>
      </c>
      <c r="N88" s="47">
        <v>0</v>
      </c>
      <c r="O88" s="47">
        <v>0</v>
      </c>
      <c r="P88" s="47">
        <v>0</v>
      </c>
      <c r="Q88" s="47">
        <v>3000</v>
      </c>
      <c r="R88" s="47">
        <v>0</v>
      </c>
      <c r="S88" s="47">
        <v>0</v>
      </c>
      <c r="T88" s="47">
        <v>0</v>
      </c>
      <c r="U88" s="47">
        <v>0</v>
      </c>
      <c r="V88" s="47">
        <v>3000</v>
      </c>
      <c r="W88" s="47">
        <v>0</v>
      </c>
      <c r="X88" s="47">
        <v>0</v>
      </c>
      <c r="Y88" s="47">
        <v>0</v>
      </c>
      <c r="Z88" s="47">
        <v>0</v>
      </c>
      <c r="AA88" s="47">
        <v>3000</v>
      </c>
      <c r="AB88" s="47">
        <v>0</v>
      </c>
      <c r="AC88" s="47">
        <v>0</v>
      </c>
      <c r="AD88" s="47">
        <v>0</v>
      </c>
      <c r="AE88" s="47">
        <v>0</v>
      </c>
      <c r="AF88" s="47">
        <v>3000</v>
      </c>
      <c r="AG88" s="47">
        <v>0</v>
      </c>
      <c r="AH88" s="47">
        <v>0</v>
      </c>
      <c r="AI88" s="47">
        <v>0</v>
      </c>
      <c r="AJ88" s="47">
        <v>0</v>
      </c>
      <c r="AK88" s="47">
        <v>3000</v>
      </c>
      <c r="AL88" s="47">
        <v>0</v>
      </c>
      <c r="AM88" s="47">
        <v>0</v>
      </c>
      <c r="AN88" s="47">
        <v>0</v>
      </c>
      <c r="AO88" s="47">
        <v>0</v>
      </c>
    </row>
    <row r="89" spans="1:41" s="36" customFormat="1" ht="12" customHeight="1" x14ac:dyDescent="0.25">
      <c r="D89" s="36" t="s">
        <v>50</v>
      </c>
      <c r="I89" s="45" t="s">
        <v>57</v>
      </c>
      <c r="L89" s="47">
        <v>1000</v>
      </c>
      <c r="M89" s="47">
        <v>1000</v>
      </c>
      <c r="N89" s="47">
        <v>1000</v>
      </c>
      <c r="O89" s="47">
        <v>1000</v>
      </c>
      <c r="P89" s="47">
        <v>1000</v>
      </c>
      <c r="Q89" s="47">
        <v>1000</v>
      </c>
      <c r="R89" s="47">
        <v>1000</v>
      </c>
      <c r="S89" s="47">
        <v>1000</v>
      </c>
      <c r="T89" s="47">
        <v>1000</v>
      </c>
      <c r="U89" s="47">
        <v>1000</v>
      </c>
      <c r="V89" s="47">
        <v>1000</v>
      </c>
      <c r="W89" s="47">
        <v>1000</v>
      </c>
      <c r="X89" s="47">
        <v>1000</v>
      </c>
      <c r="Y89" s="47">
        <v>1000</v>
      </c>
      <c r="Z89" s="47">
        <v>1000</v>
      </c>
      <c r="AA89" s="47">
        <v>1000</v>
      </c>
      <c r="AB89" s="47">
        <v>1000</v>
      </c>
      <c r="AC89" s="47">
        <v>1000</v>
      </c>
      <c r="AD89" s="47">
        <v>1000</v>
      </c>
      <c r="AE89" s="47">
        <v>1000</v>
      </c>
      <c r="AF89" s="47">
        <v>1000</v>
      </c>
      <c r="AG89" s="47">
        <v>1000</v>
      </c>
      <c r="AH89" s="47">
        <v>1000</v>
      </c>
      <c r="AI89" s="47">
        <v>1000</v>
      </c>
      <c r="AJ89" s="47">
        <v>1000</v>
      </c>
      <c r="AK89" s="47">
        <v>1000</v>
      </c>
      <c r="AL89" s="47">
        <v>1000</v>
      </c>
      <c r="AM89" s="47">
        <v>1000</v>
      </c>
      <c r="AN89" s="47">
        <v>1000</v>
      </c>
      <c r="AO89" s="47">
        <v>1000</v>
      </c>
    </row>
    <row r="90" spans="1:41" s="36" customFormat="1" ht="12" customHeight="1" x14ac:dyDescent="0.25">
      <c r="L90" s="37"/>
      <c r="N90" s="43"/>
    </row>
    <row r="91" spans="1:41" s="36" customFormat="1" ht="12" customHeight="1" x14ac:dyDescent="0.25">
      <c r="C91" s="34" t="s">
        <v>63</v>
      </c>
      <c r="L91" s="37"/>
      <c r="N91" s="43"/>
    </row>
    <row r="92" spans="1:41" s="36" customFormat="1" ht="12" customHeight="1" x14ac:dyDescent="0.25">
      <c r="D92" s="36" t="s">
        <v>117</v>
      </c>
      <c r="I92" s="45" t="s">
        <v>65</v>
      </c>
      <c r="K92" s="1">
        <v>2.5000000000000001E-2</v>
      </c>
      <c r="L92" s="37"/>
      <c r="N92" s="43"/>
    </row>
    <row r="93" spans="1:41" s="36" customFormat="1" ht="12" customHeight="1" x14ac:dyDescent="0.25">
      <c r="D93" s="36" t="s">
        <v>62</v>
      </c>
      <c r="I93" s="45" t="s">
        <v>65</v>
      </c>
      <c r="K93" s="1">
        <v>0.15</v>
      </c>
      <c r="L93" s="37"/>
      <c r="N93" s="43"/>
    </row>
    <row r="94" spans="1:41" s="36" customFormat="1" ht="12" customHeight="1" x14ac:dyDescent="0.25">
      <c r="D94" s="36" t="s">
        <v>50</v>
      </c>
      <c r="I94" s="45" t="s">
        <v>65</v>
      </c>
      <c r="K94" s="1">
        <v>0.3</v>
      </c>
      <c r="L94" s="37"/>
      <c r="N94" s="43"/>
    </row>
    <row r="95" spans="1:41" s="36" customFormat="1" ht="12" customHeight="1" x14ac:dyDescent="0.25">
      <c r="D95" s="35" t="s">
        <v>64</v>
      </c>
      <c r="L95" s="37"/>
      <c r="N95" s="43"/>
    </row>
    <row r="96" spans="1:41" s="36" customFormat="1" ht="12" customHeight="1" x14ac:dyDescent="0.25">
      <c r="L96" s="37"/>
      <c r="N96" s="43"/>
    </row>
    <row r="97" spans="1:41" s="2" customFormat="1" ht="12" customHeight="1" x14ac:dyDescent="0.25">
      <c r="A97" s="44">
        <f>MAX(A$3:A96)+0.01</f>
        <v>1.07</v>
      </c>
      <c r="B97" s="44"/>
      <c r="C97" s="44" t="s">
        <v>72</v>
      </c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</row>
    <row r="98" spans="1:41" ht="12" customHeight="1" x14ac:dyDescent="0.25">
      <c r="C98" s="36"/>
      <c r="D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</row>
    <row r="99" spans="1:41" ht="12" customHeight="1" x14ac:dyDescent="0.25">
      <c r="C99" s="36"/>
      <c r="D99" s="36" t="s">
        <v>74</v>
      </c>
      <c r="I99" s="45" t="s">
        <v>28</v>
      </c>
      <c r="L99" s="47">
        <v>100</v>
      </c>
      <c r="M99" s="47">
        <v>100</v>
      </c>
      <c r="N99" s="47">
        <v>100</v>
      </c>
      <c r="O99" s="47">
        <v>100</v>
      </c>
      <c r="P99" s="47">
        <v>100</v>
      </c>
      <c r="Q99" s="47">
        <v>100</v>
      </c>
      <c r="R99" s="47">
        <v>100</v>
      </c>
      <c r="S99" s="47">
        <v>100</v>
      </c>
      <c r="T99" s="47">
        <v>100</v>
      </c>
      <c r="U99" s="47">
        <v>100</v>
      </c>
      <c r="V99" s="47">
        <v>100</v>
      </c>
      <c r="W99" s="47">
        <v>100</v>
      </c>
      <c r="X99" s="47">
        <v>100</v>
      </c>
      <c r="Y99" s="47">
        <v>100</v>
      </c>
      <c r="Z99" s="47">
        <v>100</v>
      </c>
      <c r="AA99" s="47">
        <v>100</v>
      </c>
      <c r="AB99" s="47">
        <v>100</v>
      </c>
      <c r="AC99" s="47">
        <v>100</v>
      </c>
      <c r="AD99" s="47">
        <v>100</v>
      </c>
      <c r="AE99" s="47">
        <v>100</v>
      </c>
      <c r="AF99" s="47">
        <v>100</v>
      </c>
      <c r="AG99" s="47">
        <v>100</v>
      </c>
      <c r="AH99" s="47">
        <v>100</v>
      </c>
      <c r="AI99" s="47">
        <v>100</v>
      </c>
      <c r="AJ99" s="47">
        <v>100</v>
      </c>
      <c r="AK99" s="47">
        <v>100</v>
      </c>
      <c r="AL99" s="47">
        <v>100</v>
      </c>
      <c r="AM99" s="47">
        <v>100</v>
      </c>
      <c r="AN99" s="47">
        <v>100</v>
      </c>
      <c r="AO99" s="47">
        <v>100</v>
      </c>
    </row>
    <row r="100" spans="1:41" ht="12" customHeight="1" x14ac:dyDescent="0.25">
      <c r="C100" s="36"/>
      <c r="D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</row>
    <row r="101" spans="1:41" s="2" customFormat="1" ht="12" customHeight="1" x14ac:dyDescent="0.25">
      <c r="A101" s="44">
        <f>MAX(A$3:A100)+0.01</f>
        <v>1.08</v>
      </c>
      <c r="B101" s="44"/>
      <c r="C101" s="44" t="s">
        <v>73</v>
      </c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</row>
    <row r="102" spans="1:41" ht="12" customHeight="1" x14ac:dyDescent="0.25">
      <c r="C102" s="36"/>
      <c r="D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</row>
    <row r="103" spans="1:41" ht="12" customHeight="1" x14ac:dyDescent="0.25">
      <c r="C103" s="34" t="s">
        <v>114</v>
      </c>
      <c r="D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</row>
    <row r="104" spans="1:41" ht="12" customHeight="1" x14ac:dyDescent="0.25">
      <c r="C104" s="36"/>
      <c r="D104" s="36" t="s">
        <v>98</v>
      </c>
      <c r="I104" s="45" t="s">
        <v>28</v>
      </c>
      <c r="L104" s="47">
        <v>166</v>
      </c>
      <c r="M104" s="47">
        <v>166</v>
      </c>
      <c r="N104" s="47">
        <v>166</v>
      </c>
      <c r="O104" s="47">
        <v>166</v>
      </c>
      <c r="P104" s="47">
        <v>166</v>
      </c>
      <c r="Q104" s="47">
        <v>166</v>
      </c>
      <c r="R104" s="47">
        <v>166</v>
      </c>
      <c r="S104" s="47">
        <v>166</v>
      </c>
      <c r="T104" s="47">
        <v>166</v>
      </c>
      <c r="U104" s="47">
        <v>166</v>
      </c>
      <c r="V104" s="47">
        <v>166</v>
      </c>
      <c r="W104" s="47">
        <v>166</v>
      </c>
      <c r="X104" s="47">
        <v>166</v>
      </c>
      <c r="Y104" s="47">
        <v>166</v>
      </c>
      <c r="Z104" s="47">
        <v>166</v>
      </c>
      <c r="AA104" s="47">
        <v>166</v>
      </c>
      <c r="AB104" s="47">
        <v>166</v>
      </c>
      <c r="AC104" s="47">
        <v>166</v>
      </c>
      <c r="AD104" s="47">
        <v>166</v>
      </c>
      <c r="AE104" s="47">
        <v>166</v>
      </c>
      <c r="AF104" s="47">
        <v>498</v>
      </c>
      <c r="AG104" s="47">
        <v>498</v>
      </c>
      <c r="AH104" s="47">
        <v>498</v>
      </c>
      <c r="AI104" s="47">
        <v>498</v>
      </c>
      <c r="AJ104" s="47">
        <v>498</v>
      </c>
      <c r="AK104" s="47">
        <v>498</v>
      </c>
      <c r="AL104" s="47">
        <v>498</v>
      </c>
      <c r="AM104" s="47">
        <v>498</v>
      </c>
      <c r="AN104" s="47">
        <v>498</v>
      </c>
      <c r="AO104" s="47">
        <v>498</v>
      </c>
    </row>
    <row r="105" spans="1:41" s="2" customFormat="1" ht="12" customHeight="1" x14ac:dyDescent="0.25">
      <c r="C105" s="36"/>
      <c r="D105" s="36" t="s">
        <v>99</v>
      </c>
      <c r="I105" s="45" t="s">
        <v>28</v>
      </c>
      <c r="L105" s="47">
        <v>206.66666666666666</v>
      </c>
      <c r="M105" s="47">
        <v>206.66666666666666</v>
      </c>
      <c r="N105" s="47">
        <v>206.66666666666666</v>
      </c>
      <c r="O105" s="47">
        <v>206.66666666666666</v>
      </c>
      <c r="P105" s="47">
        <v>206.66666666666666</v>
      </c>
      <c r="Q105" s="47">
        <v>206.66666666666666</v>
      </c>
      <c r="R105" s="47">
        <v>206.66666666666666</v>
      </c>
      <c r="S105" s="47">
        <v>206.66666666666666</v>
      </c>
      <c r="T105" s="47">
        <v>206.66666666666666</v>
      </c>
      <c r="U105" s="47">
        <v>206.66666666666666</v>
      </c>
      <c r="V105" s="47">
        <v>206.66666666666666</v>
      </c>
      <c r="W105" s="47">
        <v>206.66666666666666</v>
      </c>
      <c r="X105" s="47">
        <v>206.66666666666666</v>
      </c>
      <c r="Y105" s="47">
        <v>206.66666666666666</v>
      </c>
      <c r="Z105" s="47">
        <v>206.66666666666666</v>
      </c>
      <c r="AA105" s="47">
        <v>206.66666666666666</v>
      </c>
      <c r="AB105" s="47">
        <v>206.66666666666666</v>
      </c>
      <c r="AC105" s="47">
        <v>206.66666666666666</v>
      </c>
      <c r="AD105" s="47">
        <v>206.66666666666666</v>
      </c>
      <c r="AE105" s="47">
        <v>206.66666666666666</v>
      </c>
      <c r="AF105" s="47">
        <v>206.66666666666666</v>
      </c>
      <c r="AG105" s="47">
        <v>206.66666666666666</v>
      </c>
      <c r="AH105" s="47">
        <v>206.66666666666666</v>
      </c>
      <c r="AI105" s="47">
        <v>206.66666666666666</v>
      </c>
      <c r="AJ105" s="47">
        <v>206.66666666666666</v>
      </c>
      <c r="AK105" s="47">
        <v>206.66666666666666</v>
      </c>
      <c r="AL105" s="47">
        <v>206.66666666666666</v>
      </c>
      <c r="AM105" s="47">
        <v>206.66666666666666</v>
      </c>
      <c r="AN105" s="47">
        <v>206.66666666666666</v>
      </c>
      <c r="AO105" s="47">
        <v>206.66666666666666</v>
      </c>
    </row>
    <row r="106" spans="1:41" s="2" customFormat="1" ht="12" customHeight="1" x14ac:dyDescent="0.25">
      <c r="C106" s="36"/>
      <c r="D106" s="35" t="s">
        <v>97</v>
      </c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</row>
    <row r="107" spans="1:41" s="2" customFormat="1" ht="12" customHeight="1" x14ac:dyDescent="0.25">
      <c r="C107" s="36"/>
      <c r="D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</row>
    <row r="108" spans="1:41" s="2" customFormat="1" ht="12" customHeight="1" x14ac:dyDescent="0.25">
      <c r="C108" s="34" t="s">
        <v>79</v>
      </c>
      <c r="D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</row>
    <row r="109" spans="1:41" ht="12" customHeight="1" x14ac:dyDescent="0.25">
      <c r="C109" s="36"/>
      <c r="D109" s="36" t="s">
        <v>76</v>
      </c>
      <c r="I109" s="45" t="s">
        <v>28</v>
      </c>
      <c r="K109" s="47">
        <v>5000</v>
      </c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</row>
    <row r="110" spans="1:41" ht="12" customHeight="1" x14ac:dyDescent="0.25">
      <c r="C110" s="36"/>
      <c r="D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</row>
    <row r="111" spans="1:41" ht="12" customHeight="1" x14ac:dyDescent="0.25">
      <c r="C111" s="34" t="s">
        <v>96</v>
      </c>
      <c r="D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</row>
    <row r="112" spans="1:41" ht="12" customHeight="1" x14ac:dyDescent="0.25">
      <c r="C112" s="34"/>
      <c r="D112" s="36" t="s">
        <v>115</v>
      </c>
      <c r="I112" s="45" t="s">
        <v>65</v>
      </c>
      <c r="J112" s="36"/>
      <c r="K112" s="1">
        <v>2.5000000000000001E-2</v>
      </c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</row>
    <row r="113" spans="1:41" ht="12" customHeight="1" x14ac:dyDescent="0.25">
      <c r="C113" s="34"/>
      <c r="D113" s="36" t="s">
        <v>116</v>
      </c>
      <c r="I113" s="45" t="s">
        <v>65</v>
      </c>
      <c r="J113" s="36"/>
      <c r="K113" s="1">
        <v>0.2</v>
      </c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</row>
    <row r="114" spans="1:41" ht="12" customHeight="1" x14ac:dyDescent="0.25">
      <c r="C114" s="34"/>
      <c r="D114" s="36" t="s">
        <v>75</v>
      </c>
      <c r="I114" s="45" t="s">
        <v>65</v>
      </c>
      <c r="J114" s="36"/>
      <c r="K114" s="1">
        <v>0.13</v>
      </c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</row>
    <row r="115" spans="1:41" ht="12" customHeight="1" x14ac:dyDescent="0.25">
      <c r="C115" s="34"/>
      <c r="D115" s="36" t="s">
        <v>68</v>
      </c>
      <c r="I115" s="45" t="s">
        <v>65</v>
      </c>
      <c r="J115" s="36"/>
      <c r="K115" s="1">
        <v>3.9999999999999994E-2</v>
      </c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</row>
    <row r="116" spans="1:41" ht="12" customHeight="1" x14ac:dyDescent="0.25">
      <c r="C116" s="34"/>
      <c r="D116" s="36" t="s">
        <v>69</v>
      </c>
      <c r="I116" s="45" t="s">
        <v>65</v>
      </c>
      <c r="J116" s="36"/>
      <c r="K116" s="1">
        <v>0.06</v>
      </c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</row>
    <row r="117" spans="1:41" ht="12" customHeight="1" x14ac:dyDescent="0.25">
      <c r="C117" s="34"/>
      <c r="D117" s="36" t="s">
        <v>70</v>
      </c>
      <c r="I117" s="45" t="s">
        <v>65</v>
      </c>
      <c r="J117" s="36"/>
      <c r="K117" s="1">
        <v>0.08</v>
      </c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</row>
    <row r="118" spans="1:41" ht="12" customHeight="1" x14ac:dyDescent="0.25">
      <c r="C118" s="34"/>
      <c r="D118" s="36" t="s">
        <v>71</v>
      </c>
      <c r="I118" s="45" t="s">
        <v>65</v>
      </c>
      <c r="J118" s="36"/>
      <c r="K118" s="1">
        <v>0.12000000000000001</v>
      </c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</row>
    <row r="119" spans="1:41" ht="12" customHeight="1" x14ac:dyDescent="0.25">
      <c r="C119" s="36"/>
      <c r="D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</row>
    <row r="120" spans="1:41" s="2" customFormat="1" ht="12" customHeight="1" x14ac:dyDescent="0.25">
      <c r="A120" s="44">
        <f>MAX(A$3:A119)+0.01</f>
        <v>1.0900000000000001</v>
      </c>
      <c r="B120" s="44"/>
      <c r="C120" s="44" t="s">
        <v>59</v>
      </c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</row>
    <row r="121" spans="1:41" s="2" customFormat="1" ht="12" customHeight="1" x14ac:dyDescent="0.25">
      <c r="C121" s="36"/>
      <c r="D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</row>
    <row r="122" spans="1:41" s="2" customFormat="1" ht="12" customHeight="1" x14ac:dyDescent="0.25">
      <c r="C122" s="34" t="s">
        <v>103</v>
      </c>
      <c r="D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</row>
    <row r="123" spans="1:41" s="2" customFormat="1" ht="12" customHeight="1" x14ac:dyDescent="0.25">
      <c r="C123" s="36"/>
      <c r="D123" s="36" t="s">
        <v>100</v>
      </c>
      <c r="I123" s="45" t="s">
        <v>104</v>
      </c>
      <c r="K123" s="50">
        <v>2025</v>
      </c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</row>
    <row r="124" spans="1:41" s="2" customFormat="1" ht="12" customHeight="1" x14ac:dyDescent="0.25">
      <c r="C124" s="36"/>
      <c r="D124" s="36" t="s">
        <v>101</v>
      </c>
      <c r="I124" s="45" t="s">
        <v>104</v>
      </c>
      <c r="K124" s="50">
        <v>2028</v>
      </c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</row>
    <row r="125" spans="1:41" s="2" customFormat="1" ht="12" customHeight="1" x14ac:dyDescent="0.25">
      <c r="C125" s="36"/>
      <c r="D125" s="36" t="s">
        <v>102</v>
      </c>
      <c r="I125" s="45" t="s">
        <v>104</v>
      </c>
      <c r="K125" s="50">
        <v>2031</v>
      </c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</row>
    <row r="126" spans="1:41" s="2" customFormat="1" ht="12" customHeight="1" x14ac:dyDescent="0.25">
      <c r="C126" s="36"/>
      <c r="D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</row>
    <row r="127" spans="1:41" s="2" customFormat="1" ht="12" customHeight="1" x14ac:dyDescent="0.25">
      <c r="C127" s="34" t="s">
        <v>106</v>
      </c>
      <c r="D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</row>
    <row r="128" spans="1:41" s="2" customFormat="1" ht="12" customHeight="1" x14ac:dyDescent="0.25">
      <c r="C128" s="36"/>
      <c r="D128" s="36" t="s">
        <v>105</v>
      </c>
      <c r="I128" s="45" t="s">
        <v>30</v>
      </c>
      <c r="K128" s="47">
        <v>2</v>
      </c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</row>
    <row r="129" spans="1:41" s="2" customFormat="1" ht="12" customHeight="1" x14ac:dyDescent="0.25">
      <c r="C129" s="36"/>
      <c r="D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</row>
    <row r="130" spans="1:41" s="2" customFormat="1" ht="12" customHeight="1" x14ac:dyDescent="0.25">
      <c r="C130" s="34" t="s">
        <v>107</v>
      </c>
      <c r="D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</row>
    <row r="131" spans="1:41" s="2" customFormat="1" ht="12" customHeight="1" x14ac:dyDescent="0.25">
      <c r="C131" s="36"/>
      <c r="D131" s="36" t="str">
        <f>"One B share is worth "&amp;K131&amp;" A shares"</f>
        <v>One B share is worth 0.5 A shares</v>
      </c>
      <c r="I131" s="45" t="s">
        <v>108</v>
      </c>
      <c r="K131" s="49">
        <v>0.5</v>
      </c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</row>
    <row r="132" spans="1:41" s="2" customFormat="1" ht="12" customHeight="1" x14ac:dyDescent="0.25">
      <c r="C132" s="36"/>
      <c r="D132" s="36" t="str">
        <f>"One C share is worth "&amp;K132&amp;" A shares"</f>
        <v>One C share is worth 0.2 A shares</v>
      </c>
      <c r="I132" s="45" t="s">
        <v>108</v>
      </c>
      <c r="K132" s="49">
        <v>0.2</v>
      </c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</row>
    <row r="133" spans="1:41" s="2" customFormat="1" ht="12" customHeight="1" x14ac:dyDescent="0.25">
      <c r="C133" s="36"/>
      <c r="D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</row>
    <row r="134" spans="1:41" s="2" customFormat="1" ht="12" customHeight="1" x14ac:dyDescent="0.25">
      <c r="A134" s="44">
        <f>MAX(A$3:A133)+0.01</f>
        <v>1.1000000000000001</v>
      </c>
      <c r="B134" s="44"/>
      <c r="C134" s="44" t="s">
        <v>77</v>
      </c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</row>
    <row r="135" spans="1:41" s="2" customFormat="1" ht="12" customHeight="1" x14ac:dyDescent="0.25">
      <c r="C135" s="36"/>
      <c r="D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</row>
    <row r="136" spans="1:41" s="2" customFormat="1" ht="12" customHeight="1" x14ac:dyDescent="0.25">
      <c r="C136" s="34" t="s">
        <v>58</v>
      </c>
      <c r="D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</row>
    <row r="137" spans="1:41" s="2" customFormat="1" ht="12" customHeight="1" x14ac:dyDescent="0.25">
      <c r="C137" s="36"/>
      <c r="D137" s="36" t="s">
        <v>80</v>
      </c>
      <c r="E137" s="36"/>
      <c r="F137" s="36"/>
      <c r="G137" s="36"/>
      <c r="H137" s="36"/>
      <c r="I137" s="45" t="s">
        <v>28</v>
      </c>
      <c r="J137" s="36"/>
      <c r="K137" s="47">
        <v>100</v>
      </c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</row>
    <row r="138" spans="1:41" s="2" customFormat="1" ht="12" customHeight="1" x14ac:dyDescent="0.25">
      <c r="C138" s="36"/>
      <c r="D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</row>
    <row r="139" spans="1:41" s="2" customFormat="1" ht="12" customHeight="1" x14ac:dyDescent="0.25">
      <c r="C139" s="34" t="s">
        <v>60</v>
      </c>
      <c r="D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</row>
    <row r="140" spans="1:41" s="36" customFormat="1" ht="12" customHeight="1" x14ac:dyDescent="0.25">
      <c r="D140" s="36" t="s">
        <v>120</v>
      </c>
      <c r="I140" s="45" t="s">
        <v>28</v>
      </c>
      <c r="K140" s="47">
        <v>0</v>
      </c>
      <c r="L140" s="37"/>
      <c r="N140" s="43"/>
    </row>
    <row r="141" spans="1:41" s="2" customFormat="1" ht="12" customHeight="1" x14ac:dyDescent="0.25">
      <c r="C141" s="36"/>
      <c r="D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</row>
    <row r="142" spans="1:41" s="2" customFormat="1" ht="12" customHeight="1" x14ac:dyDescent="0.25">
      <c r="C142" s="34" t="s">
        <v>83</v>
      </c>
      <c r="D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</row>
    <row r="143" spans="1:41" s="2" customFormat="1" ht="12" customHeight="1" x14ac:dyDescent="0.25">
      <c r="C143" s="36"/>
      <c r="D143" s="36" t="s">
        <v>118</v>
      </c>
      <c r="I143" s="45" t="s">
        <v>28</v>
      </c>
      <c r="K143" s="47">
        <v>35000</v>
      </c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</row>
    <row r="144" spans="1:41" s="2" customFormat="1" ht="12" customHeight="1" x14ac:dyDescent="0.25">
      <c r="C144" s="36"/>
      <c r="D144" s="36" t="s">
        <v>81</v>
      </c>
      <c r="I144" s="45" t="s">
        <v>28</v>
      </c>
      <c r="K144" s="47">
        <v>5000</v>
      </c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</row>
    <row r="145" spans="3:41" s="2" customFormat="1" ht="12" customHeight="1" x14ac:dyDescent="0.25">
      <c r="C145" s="36"/>
      <c r="D145" s="36" t="s">
        <v>82</v>
      </c>
      <c r="I145" s="45" t="s">
        <v>28</v>
      </c>
      <c r="K145" s="47">
        <v>1000</v>
      </c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</row>
    <row r="146" spans="3:41" s="2" customFormat="1" ht="12" customHeight="1" x14ac:dyDescent="0.25">
      <c r="C146" s="36"/>
      <c r="D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</row>
    <row r="147" spans="3:41" s="2" customFormat="1" ht="12" customHeight="1" x14ac:dyDescent="0.25">
      <c r="C147" s="34" t="s">
        <v>78</v>
      </c>
      <c r="D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</row>
    <row r="148" spans="3:41" s="2" customFormat="1" ht="12" customHeight="1" x14ac:dyDescent="0.25">
      <c r="C148" s="36"/>
      <c r="D148" s="36" t="s">
        <v>84</v>
      </c>
      <c r="I148" s="45" t="s">
        <v>28</v>
      </c>
      <c r="K148" s="47">
        <v>0</v>
      </c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</row>
    <row r="149" spans="3:41" s="2" customFormat="1" ht="12" customHeight="1" x14ac:dyDescent="0.25">
      <c r="C149" s="36"/>
      <c r="D149" s="36" t="s">
        <v>85</v>
      </c>
      <c r="I149" s="45" t="s">
        <v>28</v>
      </c>
      <c r="K149" s="47">
        <v>8300</v>
      </c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</row>
    <row r="150" spans="3:41" s="2" customFormat="1" ht="12" customHeight="1" x14ac:dyDescent="0.25">
      <c r="C150" s="36"/>
      <c r="D150" s="36" t="s">
        <v>86</v>
      </c>
      <c r="I150" s="45" t="s">
        <v>28</v>
      </c>
      <c r="K150" s="47">
        <v>6200</v>
      </c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</row>
    <row r="151" spans="3:41" s="2" customFormat="1" ht="12" customHeight="1" x14ac:dyDescent="0.25">
      <c r="C151" s="36"/>
      <c r="D151" s="36" t="s">
        <v>87</v>
      </c>
      <c r="I151" s="45" t="s">
        <v>28</v>
      </c>
      <c r="K151" s="47">
        <v>1800</v>
      </c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</row>
    <row r="152" spans="3:41" s="2" customFormat="1" ht="12" customHeight="1" x14ac:dyDescent="0.25">
      <c r="C152" s="36"/>
      <c r="D152" s="36" t="s">
        <v>121</v>
      </c>
      <c r="I152" s="45" t="s">
        <v>28</v>
      </c>
      <c r="K152" s="47">
        <v>600</v>
      </c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</row>
    <row r="153" spans="3:41" s="2" customFormat="1" ht="12" customHeight="1" x14ac:dyDescent="0.25">
      <c r="C153" s="36"/>
      <c r="D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</row>
    <row r="154" spans="3:41" s="2" customFormat="1" ht="12" customHeight="1" x14ac:dyDescent="0.25">
      <c r="C154" s="34" t="s">
        <v>88</v>
      </c>
      <c r="D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</row>
    <row r="155" spans="3:41" s="2" customFormat="1" ht="12" customHeight="1" x14ac:dyDescent="0.25">
      <c r="C155" s="36"/>
      <c r="D155" s="36" t="s">
        <v>89</v>
      </c>
      <c r="I155" s="45" t="s">
        <v>95</v>
      </c>
      <c r="K155" s="47">
        <v>2525</v>
      </c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</row>
    <row r="156" spans="3:41" s="2" customFormat="1" ht="12" customHeight="1" x14ac:dyDescent="0.25">
      <c r="C156" s="36"/>
      <c r="D156" s="36" t="s">
        <v>90</v>
      </c>
      <c r="I156" s="45" t="s">
        <v>95</v>
      </c>
      <c r="K156" s="47">
        <v>1300</v>
      </c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</row>
    <row r="157" spans="3:41" s="2" customFormat="1" ht="12" customHeight="1" x14ac:dyDescent="0.25">
      <c r="C157" s="36"/>
      <c r="D157" s="36" t="s">
        <v>91</v>
      </c>
      <c r="I157" s="45" t="s">
        <v>95</v>
      </c>
      <c r="K157" s="47">
        <v>700</v>
      </c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</row>
    <row r="158" spans="3:41" s="2" customFormat="1" ht="12" customHeight="1" x14ac:dyDescent="0.25">
      <c r="C158" s="36"/>
      <c r="D158" s="36"/>
      <c r="I158" s="4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</row>
    <row r="159" spans="3:41" s="2" customFormat="1" ht="12" customHeight="1" x14ac:dyDescent="0.25">
      <c r="C159" s="36"/>
      <c r="D159" s="36" t="s">
        <v>92</v>
      </c>
      <c r="I159" s="45" t="s">
        <v>15</v>
      </c>
      <c r="K159" s="49">
        <v>4</v>
      </c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</row>
    <row r="160" spans="3:41" s="2" customFormat="1" ht="12" customHeight="1" x14ac:dyDescent="0.25">
      <c r="C160" s="36"/>
      <c r="D160" s="36" t="s">
        <v>93</v>
      </c>
      <c r="I160" s="45" t="s">
        <v>15</v>
      </c>
      <c r="K160" s="49">
        <v>6</v>
      </c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</row>
    <row r="161" spans="1:41" s="2" customFormat="1" ht="12" customHeight="1" x14ac:dyDescent="0.25">
      <c r="C161" s="36"/>
      <c r="D161" s="36" t="s">
        <v>94</v>
      </c>
      <c r="I161" s="45" t="s">
        <v>15</v>
      </c>
      <c r="K161" s="49">
        <v>9</v>
      </c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</row>
    <row r="162" spans="1:41" s="2" customFormat="1" ht="12" customHeight="1" x14ac:dyDescent="0.25">
      <c r="C162" s="36"/>
      <c r="D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</row>
    <row r="163" spans="1:41" s="2" customFormat="1" ht="12" customHeight="1" x14ac:dyDescent="0.25">
      <c r="C163" s="36"/>
      <c r="D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</row>
    <row r="164" spans="1:41" s="2" customFormat="1" ht="12" customHeight="1" x14ac:dyDescent="0.25">
      <c r="A164" s="44"/>
      <c r="B164" s="44"/>
      <c r="C164" s="44" t="s">
        <v>22</v>
      </c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Inputs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Alex Gordon</cp:lastModifiedBy>
  <dcterms:created xsi:type="dcterms:W3CDTF">2015-10-28T14:45:33Z</dcterms:created>
  <dcterms:modified xsi:type="dcterms:W3CDTF">2016-12-01T08:23:43Z</dcterms:modified>
</cp:coreProperties>
</file>