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an\Desktop\usb december\take december\modeloff 2013\finals\q1 toll\sat night\"/>
    </mc:Choice>
  </mc:AlternateContent>
  <bookViews>
    <workbookView xWindow="2370" yWindow="0" windowWidth="27615" windowHeight="11790"/>
  </bookViews>
  <sheets>
    <sheet name="Formats" sheetId="19" r:id="rId1"/>
    <sheet name="Ass" sheetId="9" r:id="rId2"/>
    <sheet name="Accounts" sheetId="18" r:id="rId3"/>
  </sheets>
  <calcPr calcId="152511" calcOnSave="0"/>
</workbook>
</file>

<file path=xl/calcChain.xml><?xml version="1.0" encoding="utf-8"?>
<calcChain xmlns="http://schemas.openxmlformats.org/spreadsheetml/2006/main">
  <c r="I135" i="9" l="1"/>
  <c r="I130" i="9"/>
  <c r="I132" i="9" s="1"/>
  <c r="I124" i="9"/>
  <c r="I122" i="9"/>
  <c r="I119" i="9"/>
  <c r="L55" i="18" l="1"/>
  <c r="L56" i="18"/>
  <c r="L58" i="18"/>
  <c r="L43" i="18"/>
  <c r="L44" i="18"/>
  <c r="L45" i="18"/>
  <c r="L46" i="18" l="1"/>
  <c r="L7" i="18"/>
  <c r="M6" i="18" s="1"/>
  <c r="L6" i="18"/>
  <c r="M7" i="18" l="1"/>
  <c r="N7" i="18" s="1"/>
  <c r="O7" i="18" s="1"/>
  <c r="Q78" i="9"/>
  <c r="D85" i="9" s="1"/>
  <c r="I33" i="9"/>
  <c r="N6" i="18" l="1"/>
  <c r="O6" i="18"/>
  <c r="P7" i="18"/>
  <c r="P6" i="18"/>
  <c r="A9" i="18" l="1"/>
  <c r="Q6" i="18"/>
  <c r="Q7" i="18"/>
  <c r="I108" i="9"/>
  <c r="I96" i="9"/>
  <c r="I78" i="9"/>
  <c r="D89" i="9"/>
  <c r="D90" i="9"/>
  <c r="D91" i="9"/>
  <c r="D92" i="9"/>
  <c r="D88" i="9"/>
  <c r="I57" i="9"/>
  <c r="I56" i="9"/>
  <c r="A40" i="18" l="1"/>
  <c r="A69" i="18" s="1"/>
  <c r="L48" i="18"/>
  <c r="L50" i="18" s="1"/>
  <c r="L52" i="18" s="1"/>
  <c r="J96" i="9"/>
  <c r="K96" i="9" s="1"/>
  <c r="L96" i="9" s="1"/>
  <c r="M96" i="9" s="1"/>
  <c r="N96" i="9" s="1"/>
  <c r="O96" i="9" s="1"/>
  <c r="P96" i="9" s="1"/>
  <c r="J108" i="9"/>
  <c r="J78" i="9"/>
  <c r="K78" i="9" s="1"/>
  <c r="L78" i="9" s="1"/>
  <c r="M78" i="9" s="1"/>
  <c r="N78" i="9" s="1"/>
  <c r="O78" i="9" s="1"/>
  <c r="P78" i="9" s="1"/>
  <c r="R6" i="18"/>
  <c r="R7" i="18"/>
  <c r="A9" i="9"/>
  <c r="L57" i="18" l="1"/>
  <c r="L59" i="18" s="1"/>
  <c r="L61" i="18" s="1"/>
  <c r="K108" i="9"/>
  <c r="S7" i="18"/>
  <c r="S6" i="18"/>
  <c r="L63" i="18"/>
  <c r="L65" i="18" s="1"/>
  <c r="L67" i="18" l="1"/>
  <c r="L108" i="9"/>
  <c r="T7" i="18"/>
  <c r="T6" i="18"/>
  <c r="M108" i="9" l="1"/>
  <c r="U6" i="18"/>
  <c r="U7" i="18"/>
  <c r="M20" i="18" l="1"/>
  <c r="N108" i="9"/>
  <c r="V7" i="18"/>
  <c r="V6" i="18"/>
  <c r="O108" i="9" l="1"/>
  <c r="W7" i="18"/>
  <c r="W6" i="18"/>
  <c r="M15" i="18" l="1"/>
  <c r="M22" i="18" s="1"/>
  <c r="P108" i="9"/>
  <c r="X7" i="18"/>
  <c r="X6" i="18"/>
  <c r="N15" i="18" l="1"/>
  <c r="N20" i="18"/>
  <c r="O20" i="18"/>
  <c r="P20" i="18"/>
  <c r="Q108" i="9"/>
  <c r="Y6" i="18"/>
  <c r="Y7" i="18"/>
  <c r="N22" i="18" l="1"/>
  <c r="O15" i="18"/>
  <c r="R108" i="9"/>
  <c r="Z7" i="18"/>
  <c r="Z6" i="18"/>
  <c r="O22" i="18" l="1"/>
  <c r="P15" i="18"/>
  <c r="P22" i="18" s="1"/>
  <c r="S108" i="9"/>
  <c r="AA7" i="18"/>
  <c r="AA6" i="18"/>
  <c r="Q20" i="18" l="1"/>
  <c r="Q15" i="18"/>
  <c r="R20" i="18"/>
  <c r="S20" i="18"/>
  <c r="T108" i="9"/>
  <c r="S15" i="18"/>
  <c r="R15" i="18"/>
  <c r="R22" i="18" s="1"/>
  <c r="AB7" i="18"/>
  <c r="AB6" i="18"/>
  <c r="Q22" i="18" l="1"/>
  <c r="S22" i="18"/>
  <c r="T20" i="18"/>
  <c r="U108" i="9"/>
  <c r="AC6" i="18"/>
  <c r="AC7" i="18"/>
  <c r="U20" i="18" l="1"/>
  <c r="T15" i="18"/>
  <c r="T22" i="18" s="1"/>
  <c r="V108" i="9"/>
  <c r="U15" i="18"/>
  <c r="AD6" i="18"/>
  <c r="AD7" i="18"/>
  <c r="U22" i="18" l="1"/>
  <c r="V20" i="18"/>
  <c r="W108" i="9"/>
  <c r="AE7" i="18"/>
  <c r="AE6" i="18"/>
  <c r="W20" i="18" l="1"/>
  <c r="V15" i="18"/>
  <c r="V22" i="18" s="1"/>
  <c r="W15" i="18"/>
  <c r="W22" i="18" s="1"/>
  <c r="X108" i="9"/>
  <c r="AF7" i="18"/>
  <c r="AF6" i="18"/>
  <c r="Y20" i="18" l="1"/>
  <c r="X20" i="18"/>
  <c r="Y108" i="9"/>
  <c r="AG7" i="18"/>
  <c r="AG6" i="18"/>
  <c r="X15" i="18" l="1"/>
  <c r="X22" i="18" s="1"/>
  <c r="Y15" i="18"/>
  <c r="Y22" i="18" s="1"/>
  <c r="Z108" i="9"/>
  <c r="AH7" i="18"/>
  <c r="AH6" i="18"/>
  <c r="Z20" i="18" l="1"/>
  <c r="AA20" i="18"/>
  <c r="Z15" i="18"/>
  <c r="Z22" i="18" s="1"/>
  <c r="AA108" i="9"/>
  <c r="AI6" i="18"/>
  <c r="AI7" i="18"/>
  <c r="AA15" i="18" l="1"/>
  <c r="AA22" i="18" s="1"/>
  <c r="AB108" i="9"/>
  <c r="AJ6" i="18"/>
  <c r="AJ7" i="18"/>
  <c r="AB20" i="18" l="1"/>
  <c r="AB15" i="18"/>
  <c r="AC108" i="9"/>
  <c r="AK7" i="18"/>
  <c r="AK6" i="18"/>
  <c r="AB22" i="18" l="1"/>
  <c r="AC20" i="18"/>
  <c r="AD20" i="18"/>
  <c r="AD108" i="9"/>
  <c r="AC15" i="18"/>
  <c r="AC22" i="18" s="1"/>
  <c r="AL7" i="18"/>
  <c r="AL6" i="18"/>
  <c r="AD15" i="18" l="1"/>
  <c r="AD22" i="18" s="1"/>
  <c r="AE108" i="9"/>
  <c r="AM7" i="18"/>
  <c r="AM6" i="18"/>
  <c r="AE20" i="18" l="1"/>
  <c r="AF108" i="9"/>
  <c r="AE15" i="18"/>
  <c r="AN7" i="18"/>
  <c r="AN6" i="18"/>
  <c r="AE22" i="18" l="1"/>
  <c r="AF20" i="18"/>
  <c r="AF15" i="18"/>
  <c r="AF22" i="18" s="1"/>
  <c r="AG108" i="9"/>
  <c r="AO7" i="18"/>
  <c r="AO6" i="18"/>
  <c r="AH20" i="18" l="1"/>
  <c r="AG20" i="18"/>
  <c r="AG15" i="18"/>
  <c r="AH108" i="9"/>
  <c r="AP7" i="18"/>
  <c r="AP6" i="18"/>
  <c r="AG22" i="18" l="1"/>
  <c r="AH15" i="18"/>
  <c r="AH22" i="18" s="1"/>
  <c r="AQ7" i="18"/>
  <c r="AQ6" i="18"/>
  <c r="AJ20" i="18" l="1"/>
  <c r="AI20" i="18"/>
  <c r="AI15" i="18"/>
  <c r="AR7" i="18"/>
  <c r="AR6" i="18"/>
  <c r="AI22" i="18" l="1"/>
  <c r="AJ15" i="18"/>
  <c r="AJ22" i="18" s="1"/>
  <c r="AS7" i="18"/>
  <c r="AS6" i="18"/>
  <c r="AK20" i="18" l="1"/>
  <c r="AK15" i="18"/>
  <c r="AT7" i="18"/>
  <c r="AT6" i="18"/>
  <c r="AK22" i="18" l="1"/>
  <c r="AL20" i="18"/>
  <c r="AL15" i="18"/>
  <c r="AU7" i="18"/>
  <c r="AU6" i="18"/>
  <c r="AL22" i="18" l="1"/>
  <c r="AM20" i="18"/>
  <c r="AV6" i="18"/>
  <c r="AV7" i="18"/>
  <c r="AM15" i="18" l="1"/>
  <c r="AM22" i="18" s="1"/>
  <c r="AN20" i="18"/>
  <c r="AN15" i="18"/>
  <c r="AW7" i="18"/>
  <c r="AW6" i="18"/>
  <c r="AN22" i="18" l="1"/>
  <c r="AO20" i="18"/>
  <c r="AO15" i="18"/>
  <c r="AX7" i="18"/>
  <c r="AX6" i="18"/>
  <c r="AO22" i="18" l="1"/>
  <c r="AP20" i="18"/>
  <c r="AP15" i="18"/>
  <c r="AY7" i="18"/>
  <c r="AY6" i="18"/>
  <c r="AP22" i="18" l="1"/>
  <c r="AQ20" i="18"/>
  <c r="AQ15" i="18"/>
  <c r="AQ22" i="18" s="1"/>
  <c r="AZ7" i="18"/>
  <c r="AZ6" i="18"/>
  <c r="AR20" i="18" l="1"/>
  <c r="AS20" i="18"/>
  <c r="AR15" i="18"/>
  <c r="BA7" i="18"/>
  <c r="BA6" i="18"/>
  <c r="AR22" i="18" l="1"/>
  <c r="AT20" i="18"/>
  <c r="AS15" i="18"/>
  <c r="AS22" i="18" s="1"/>
  <c r="BB7" i="18"/>
  <c r="BB6" i="18"/>
  <c r="AT15" i="18" l="1"/>
  <c r="AT22" i="18" s="1"/>
  <c r="BC7" i="18"/>
  <c r="BC6" i="18"/>
  <c r="AU20" i="18" l="1"/>
  <c r="AU15" i="18"/>
  <c r="BD7" i="18"/>
  <c r="BD6" i="18"/>
  <c r="AU22" i="18" l="1"/>
  <c r="AV20" i="18"/>
  <c r="AV15" i="18"/>
  <c r="BE7" i="18"/>
  <c r="BE6" i="18"/>
  <c r="AV22" i="18" l="1"/>
  <c r="AW20" i="18"/>
  <c r="AW15" i="18"/>
  <c r="AW22" i="18" s="1"/>
  <c r="BF7" i="18"/>
  <c r="BF6" i="18"/>
  <c r="AX20" i="18" l="1"/>
  <c r="AX15" i="18"/>
  <c r="BG7" i="18"/>
  <c r="BG6" i="18"/>
  <c r="AX22" i="18" l="1"/>
  <c r="AY20" i="18"/>
  <c r="AY15" i="18"/>
  <c r="BH6" i="18"/>
  <c r="BH7" i="18"/>
  <c r="AY22" i="18" l="1"/>
  <c r="AZ20" i="18"/>
  <c r="AZ15" i="18"/>
  <c r="BI7" i="18"/>
  <c r="BI6" i="18"/>
  <c r="AZ22" i="18" l="1"/>
  <c r="BA20" i="18"/>
  <c r="BA15" i="18"/>
  <c r="BA22" i="18" s="1"/>
  <c r="BJ7" i="18"/>
  <c r="BJ6" i="18"/>
  <c r="BB20" i="18" l="1"/>
  <c r="BC20" i="18"/>
  <c r="BB15" i="18"/>
  <c r="BK7" i="18"/>
  <c r="BK6" i="18"/>
  <c r="BB22" i="18" l="1"/>
  <c r="BC15" i="18"/>
  <c r="BC22" i="18" s="1"/>
  <c r="BL6" i="18"/>
  <c r="BL7" i="18"/>
  <c r="BD20" i="18" l="1"/>
  <c r="BD15" i="18"/>
  <c r="BD22" i="18" s="1"/>
  <c r="BM7" i="18"/>
  <c r="BM6" i="18"/>
  <c r="BE20" i="18" l="1"/>
  <c r="BE15" i="18"/>
  <c r="BN7" i="18"/>
  <c r="BN6" i="18"/>
  <c r="BF20" i="18" l="1"/>
  <c r="BE22" i="18"/>
  <c r="BF15" i="18"/>
  <c r="BF22" i="18" s="1"/>
  <c r="BO7" i="18"/>
  <c r="BO6" i="18"/>
  <c r="BG20" i="18" l="1"/>
  <c r="BG15" i="18"/>
  <c r="BP7" i="18"/>
  <c r="BP6" i="18"/>
  <c r="BG22" i="18" l="1"/>
  <c r="BI20" i="18"/>
  <c r="BH20" i="18"/>
  <c r="BH15" i="18"/>
  <c r="BH22" i="18" s="1"/>
  <c r="BQ7" i="18"/>
  <c r="BQ6" i="18"/>
  <c r="BI15" i="18" l="1"/>
  <c r="BI22" i="18" s="1"/>
  <c r="BR7" i="18"/>
  <c r="BR6" i="18"/>
  <c r="BJ20" i="18" l="1"/>
  <c r="BJ15" i="18"/>
  <c r="BJ22" i="18" s="1"/>
  <c r="BS7" i="18"/>
  <c r="BS6" i="18"/>
  <c r="BK20" i="18" l="1"/>
  <c r="BK15" i="18"/>
  <c r="BK22" i="18" s="1"/>
  <c r="BT7" i="18"/>
  <c r="BT6" i="18"/>
  <c r="BL20" i="18" l="1"/>
  <c r="BL15" i="18"/>
  <c r="BU7" i="18"/>
  <c r="BU6" i="18"/>
  <c r="BL22" i="18" l="1"/>
  <c r="BM20" i="18"/>
  <c r="BM15" i="18"/>
  <c r="BV7" i="18"/>
  <c r="BV6" i="18"/>
  <c r="BM22" i="18" l="1"/>
  <c r="BO20" i="18"/>
  <c r="BN20" i="18"/>
  <c r="BN15" i="18"/>
  <c r="BW7" i="18"/>
  <c r="BW6" i="18"/>
  <c r="BN22" i="18" l="1"/>
  <c r="BO15" i="18"/>
  <c r="BO22" i="18" s="1"/>
  <c r="BX6" i="18"/>
  <c r="BX7" i="18"/>
  <c r="BP20" i="18" l="1"/>
  <c r="BP15" i="18"/>
  <c r="BP22" i="18" s="1"/>
  <c r="BY7" i="18"/>
  <c r="BY6" i="18"/>
  <c r="BQ20" i="18" l="1"/>
  <c r="BQ15" i="18"/>
  <c r="BZ7" i="18"/>
  <c r="BZ6" i="18"/>
  <c r="BQ22" i="18" l="1"/>
  <c r="BR20" i="18"/>
  <c r="BR15" i="18"/>
  <c r="CA7" i="18"/>
  <c r="CA6" i="18"/>
  <c r="BR22" i="18" l="1"/>
  <c r="BS20" i="18"/>
  <c r="BS15" i="18"/>
  <c r="CB6" i="18"/>
  <c r="CB7" i="18"/>
  <c r="BS22" i="18" l="1"/>
  <c r="BT20" i="18"/>
  <c r="BT15" i="18"/>
  <c r="CC7" i="18"/>
  <c r="CC6" i="18"/>
  <c r="BT22" i="18" l="1"/>
  <c r="BU20" i="18"/>
  <c r="BU15" i="18"/>
  <c r="BU22" i="18" s="1"/>
  <c r="CD7" i="18"/>
  <c r="CD6" i="18"/>
  <c r="BV20" i="18" l="1"/>
  <c r="BV15" i="18"/>
  <c r="CE7" i="18"/>
  <c r="CE6" i="18"/>
  <c r="BV22" i="18" l="1"/>
  <c r="BW20" i="18"/>
  <c r="BW15" i="18"/>
  <c r="CF7" i="18"/>
  <c r="CF6" i="18"/>
  <c r="BW22" i="18" l="1"/>
  <c r="BX20" i="18"/>
  <c r="BX15" i="18"/>
  <c r="BX22" i="18" s="1"/>
  <c r="CG7" i="18"/>
  <c r="CG6" i="18"/>
  <c r="BY15" i="18" l="1"/>
  <c r="BY20" i="18"/>
  <c r="CH7" i="18"/>
  <c r="CH6" i="18"/>
  <c r="BY22" i="18" l="1"/>
  <c r="BZ20" i="18"/>
  <c r="CA20" i="18"/>
  <c r="BZ15" i="18"/>
  <c r="CI7" i="18"/>
  <c r="CI6" i="18"/>
  <c r="BZ22" i="18" l="1"/>
  <c r="CB20" i="18"/>
  <c r="CA15" i="18"/>
  <c r="CA22" i="18" s="1"/>
  <c r="CJ7" i="18"/>
  <c r="CJ6" i="18"/>
  <c r="CB15" i="18" l="1"/>
  <c r="CB22" i="18" s="1"/>
  <c r="CK7" i="18"/>
  <c r="CK6" i="18"/>
  <c r="CC20" i="18" l="1"/>
  <c r="CL7" i="18"/>
  <c r="CL6" i="18"/>
  <c r="CD20" i="18" l="1"/>
  <c r="CE20" i="18"/>
  <c r="CC15" i="18"/>
  <c r="CC22" i="18" s="1"/>
  <c r="CD15" i="18"/>
  <c r="CM7" i="18"/>
  <c r="CM6" i="18"/>
  <c r="CD22" i="18" l="1"/>
  <c r="CE15" i="18"/>
  <c r="CE22" i="18" s="1"/>
  <c r="CN7" i="18"/>
  <c r="CN6" i="18"/>
  <c r="CF20" i="18" l="1"/>
  <c r="CF15" i="18"/>
  <c r="CF22" i="18" l="1"/>
  <c r="CG20" i="18"/>
  <c r="CG15" i="18"/>
  <c r="CG22" i="18" l="1"/>
  <c r="CH20" i="18"/>
  <c r="CH15" i="18"/>
  <c r="CH22" i="18" l="1"/>
  <c r="CI20" i="18"/>
  <c r="CJ20" i="18"/>
  <c r="CI15" i="18"/>
  <c r="CI22" i="18" l="1"/>
  <c r="CJ15" i="18"/>
  <c r="CJ22" i="18" s="1"/>
  <c r="J24" i="18"/>
  <c r="J19" i="18" l="1"/>
  <c r="CK20" i="18"/>
  <c r="CK15" i="18"/>
  <c r="CL20" i="18" l="1"/>
  <c r="CK22" i="18"/>
  <c r="CL15" i="18"/>
  <c r="CL22" i="18" s="1"/>
  <c r="CM15" i="18"/>
  <c r="CM20" i="18" l="1"/>
  <c r="CM22" i="18" s="1"/>
  <c r="J12" i="18" l="1"/>
  <c r="J13" i="18" l="1"/>
  <c r="CN15" i="18" l="1"/>
  <c r="J15" i="18" s="1"/>
  <c r="J14" i="18"/>
  <c r="CN20" i="18" l="1"/>
  <c r="J18" i="18"/>
  <c r="CN22" i="18" l="1"/>
  <c r="J22" i="18" s="1"/>
  <c r="J20" i="18"/>
  <c r="CM27" i="18" l="1"/>
  <c r="CK27" i="18" l="1"/>
  <c r="CL27" i="18"/>
  <c r="CJ27" i="18" l="1"/>
  <c r="CI27" i="18"/>
  <c r="CH27" i="18" l="1"/>
  <c r="CG27" i="18"/>
  <c r="CF27" i="18" l="1"/>
  <c r="CE27" i="18"/>
  <c r="CD27" i="18" l="1"/>
  <c r="CC27" i="18" l="1"/>
  <c r="CB27" i="18"/>
  <c r="CA27" i="18" l="1"/>
  <c r="BZ27" i="18" l="1"/>
  <c r="BY27" i="18" l="1"/>
  <c r="BX27" i="18" l="1"/>
  <c r="BW27" i="18"/>
  <c r="BV27" i="18" l="1"/>
  <c r="BU27" i="18" l="1"/>
  <c r="BT27" i="18"/>
  <c r="BS27" i="18" l="1"/>
  <c r="BR27" i="18" l="1"/>
  <c r="BQ27" i="18" l="1"/>
  <c r="BP27" i="18"/>
  <c r="BO27" i="18" l="1"/>
  <c r="BN27" i="18"/>
  <c r="BM27" i="18" l="1"/>
  <c r="BL27" i="18" l="1"/>
  <c r="BK27" i="18" l="1"/>
  <c r="BJ27" i="18"/>
  <c r="BI27" i="18" l="1"/>
  <c r="BH27" i="18" l="1"/>
  <c r="BG27" i="18"/>
  <c r="BF27" i="18" l="1"/>
  <c r="BE27" i="18" l="1"/>
  <c r="BD27" i="18" l="1"/>
  <c r="BC27" i="18" l="1"/>
  <c r="BB27" i="18" l="1"/>
  <c r="BA27" i="18" l="1"/>
  <c r="AZ27" i="18" l="1"/>
  <c r="AY27" i="18"/>
  <c r="AX27" i="18" l="1"/>
  <c r="AW27" i="18" l="1"/>
  <c r="AV27" i="18" l="1"/>
  <c r="AU27" i="18"/>
  <c r="AT27" i="18" l="1"/>
  <c r="AS27" i="18"/>
  <c r="AR27" i="18" l="1"/>
  <c r="AQ27" i="18" l="1"/>
  <c r="AP27" i="18" l="1"/>
  <c r="AO27" i="18"/>
  <c r="AN27" i="18" l="1"/>
  <c r="AM27" i="18" l="1"/>
  <c r="AL27" i="18"/>
  <c r="AK27" i="18" l="1"/>
  <c r="AJ27" i="18"/>
  <c r="AI27" i="18" l="1"/>
  <c r="AH27" i="18" l="1"/>
  <c r="AG27" i="18" l="1"/>
  <c r="S27" i="18" l="1"/>
  <c r="AD27" i="18"/>
  <c r="AF27" i="18"/>
  <c r="R27" i="18"/>
  <c r="N27" i="18"/>
  <c r="N31" i="18" s="1"/>
  <c r="V27" i="18"/>
  <c r="Q27" i="18"/>
  <c r="U27" i="18"/>
  <c r="Z27" i="18"/>
  <c r="AC27" i="18"/>
  <c r="AA27" i="18"/>
  <c r="W27" i="18"/>
  <c r="O27" i="18"/>
  <c r="P27" i="18" l="1"/>
  <c r="X27" i="18"/>
  <c r="AB27" i="18"/>
  <c r="AE27" i="18"/>
  <c r="Y27" i="18"/>
  <c r="T27" i="18"/>
  <c r="N35" i="18"/>
  <c r="M27" i="18"/>
  <c r="M50" i="18"/>
  <c r="M31" i="18" l="1"/>
  <c r="J25" i="18"/>
  <c r="N50" i="18"/>
  <c r="M35" i="18" l="1"/>
  <c r="CN27" i="18"/>
  <c r="J27" i="18" s="1"/>
  <c r="O50" i="18"/>
  <c r="M38" i="18" l="1"/>
  <c r="P50" i="18"/>
  <c r="M59" i="18" l="1"/>
  <c r="M65" i="18"/>
  <c r="Q50" i="18"/>
  <c r="R50" i="18" l="1"/>
  <c r="M46" i="18" l="1"/>
  <c r="M52" i="18" s="1"/>
  <c r="M61" i="18" s="1"/>
  <c r="M67" i="18" s="1"/>
  <c r="S50" i="18"/>
  <c r="T50" i="18" l="1"/>
  <c r="U50" i="18" l="1"/>
  <c r="N59" i="18" l="1"/>
  <c r="V50" i="18"/>
  <c r="N38" i="18" l="1"/>
  <c r="N65" i="18" s="1"/>
  <c r="W50" i="18"/>
  <c r="O31" i="18" l="1"/>
  <c r="X50" i="18"/>
  <c r="O35" i="18" l="1"/>
  <c r="N46" i="18"/>
  <c r="N52" i="18" s="1"/>
  <c r="N61" i="18" s="1"/>
  <c r="N67" i="18" s="1"/>
  <c r="Y50" i="18"/>
  <c r="Z50" i="18" l="1"/>
  <c r="AA50" i="18" l="1"/>
  <c r="AB50" i="18" l="1"/>
  <c r="O59" i="18" l="1"/>
  <c r="AC50" i="18"/>
  <c r="AD50" i="18" l="1"/>
  <c r="O38" i="18" l="1"/>
  <c r="O65" i="18" s="1"/>
  <c r="P31" i="18"/>
  <c r="AE50" i="18"/>
  <c r="P35" i="18" l="1"/>
  <c r="AF50" i="18"/>
  <c r="AG50" i="18" l="1"/>
  <c r="O46" i="18" l="1"/>
  <c r="O52" i="18" s="1"/>
  <c r="O61" i="18" s="1"/>
  <c r="O67" i="18" s="1"/>
  <c r="AH50" i="18"/>
  <c r="AI50" i="18" l="1"/>
  <c r="AJ50" i="18" l="1"/>
  <c r="AK50" i="18" l="1"/>
  <c r="P59" i="18" l="1"/>
  <c r="AL50" i="18"/>
  <c r="AM50" i="18" l="1"/>
  <c r="Q31" i="18" l="1"/>
  <c r="P38" i="18"/>
  <c r="P65" i="18" s="1"/>
  <c r="AN50" i="18"/>
  <c r="Q35" i="18" l="1"/>
  <c r="AO50" i="18"/>
  <c r="P46" i="18" l="1"/>
  <c r="P52" i="18" s="1"/>
  <c r="P61" i="18" s="1"/>
  <c r="P67" i="18" s="1"/>
  <c r="AP50" i="18"/>
  <c r="AQ50" i="18" l="1"/>
  <c r="AR50" i="18" l="1"/>
  <c r="AS50" i="18" l="1"/>
  <c r="Q59" i="18" l="1"/>
  <c r="AT50" i="18"/>
  <c r="AU50" i="18" l="1"/>
  <c r="R31" i="18" l="1"/>
  <c r="Q38" i="18"/>
  <c r="Q65" i="18" s="1"/>
  <c r="AV50" i="18"/>
  <c r="R35" i="18" l="1"/>
  <c r="AW50" i="18"/>
  <c r="AX50" i="18" l="1"/>
  <c r="Q46" i="18" l="1"/>
  <c r="Q52" i="18" s="1"/>
  <c r="Q61" i="18" s="1"/>
  <c r="Q67" i="18" s="1"/>
  <c r="AY50" i="18"/>
  <c r="AZ50" i="18" l="1"/>
  <c r="BA50" i="18" l="1"/>
  <c r="R59" i="18" l="1"/>
  <c r="BB50" i="18"/>
  <c r="R38" i="18" l="1"/>
  <c r="R65" i="18" s="1"/>
  <c r="BC50" i="18"/>
  <c r="S31" i="18" l="1"/>
  <c r="BD50" i="18"/>
  <c r="S35" i="18" l="1"/>
  <c r="R46" i="18"/>
  <c r="R52" i="18" s="1"/>
  <c r="R61" i="18" s="1"/>
  <c r="R67" i="18" s="1"/>
  <c r="BE50" i="18"/>
  <c r="BF50" i="18" l="1"/>
  <c r="BG50" i="18" l="1"/>
  <c r="S59" i="18" l="1"/>
  <c r="BH50" i="18"/>
  <c r="S46" i="18" l="1"/>
  <c r="S52" i="18" s="1"/>
  <c r="S61" i="18" s="1"/>
  <c r="S38" i="18"/>
  <c r="S65" i="18" s="1"/>
  <c r="BI50" i="18"/>
  <c r="S67" i="18" l="1"/>
  <c r="T31" i="18"/>
  <c r="BJ50" i="18"/>
  <c r="T35" i="18" l="1"/>
  <c r="BK50" i="18"/>
  <c r="BL50" i="18" l="1"/>
  <c r="T59" i="18" l="1"/>
  <c r="BM50" i="18"/>
  <c r="T46" i="18" l="1"/>
  <c r="T52" i="18" s="1"/>
  <c r="T61" i="18" s="1"/>
  <c r="T38" i="18"/>
  <c r="T65" i="18" s="1"/>
  <c r="BN50" i="18"/>
  <c r="T67" i="18" l="1"/>
  <c r="U31" i="18"/>
  <c r="BO50" i="18"/>
  <c r="U35" i="18" l="1"/>
  <c r="BP50" i="18"/>
  <c r="BQ50" i="18" l="1"/>
  <c r="U59" i="18" l="1"/>
  <c r="U46" i="18"/>
  <c r="U52" i="18" s="1"/>
  <c r="U38" i="18"/>
  <c r="U65" i="18" s="1"/>
  <c r="BR50" i="18"/>
  <c r="U61" i="18" l="1"/>
  <c r="U67" i="18" s="1"/>
  <c r="V31" i="18"/>
  <c r="BS50" i="18"/>
  <c r="V35" i="18" l="1"/>
  <c r="BT50" i="18"/>
  <c r="V59" i="18" l="1"/>
  <c r="BU50" i="18"/>
  <c r="V46" i="18" l="1"/>
  <c r="V52" i="18" s="1"/>
  <c r="V61" i="18" s="1"/>
  <c r="V38" i="18"/>
  <c r="V65" i="18" s="1"/>
  <c r="BV50" i="18"/>
  <c r="V67" i="18" l="1"/>
  <c r="W31" i="18"/>
  <c r="BW50" i="18"/>
  <c r="W35" i="18" l="1"/>
  <c r="BX50" i="18"/>
  <c r="W59" i="18" l="1"/>
  <c r="BY50" i="18"/>
  <c r="W46" i="18" l="1"/>
  <c r="W52" i="18" s="1"/>
  <c r="W61" i="18" s="1"/>
  <c r="W38" i="18"/>
  <c r="W65" i="18" s="1"/>
  <c r="BZ50" i="18"/>
  <c r="X31" i="18" l="1"/>
  <c r="W67" i="18"/>
  <c r="CA50" i="18"/>
  <c r="X35" i="18" l="1"/>
  <c r="CB50" i="18"/>
  <c r="X59" i="18" l="1"/>
  <c r="CC50" i="18"/>
  <c r="X46" i="18" l="1"/>
  <c r="X52" i="18" s="1"/>
  <c r="X61" i="18" s="1"/>
  <c r="X38" i="18"/>
  <c r="X65" i="18" s="1"/>
  <c r="CD50" i="18"/>
  <c r="X67" i="18" l="1"/>
  <c r="Y31" i="18"/>
  <c r="CE50" i="18"/>
  <c r="Y35" i="18" l="1"/>
  <c r="CF50" i="18"/>
  <c r="Y59" i="18" l="1"/>
  <c r="Y46" i="18"/>
  <c r="Y52" i="18" s="1"/>
  <c r="Y61" i="18" s="1"/>
  <c r="CG50" i="18"/>
  <c r="Y38" i="18" l="1"/>
  <c r="Y65" i="18" s="1"/>
  <c r="Z31" i="18"/>
  <c r="CH50" i="18"/>
  <c r="Y67" i="18" l="1"/>
  <c r="Z35" i="18"/>
  <c r="CI50" i="18"/>
  <c r="Z59" i="18" l="1"/>
  <c r="CJ50" i="18"/>
  <c r="Z38" i="18" l="1"/>
  <c r="Z65" i="18" s="1"/>
  <c r="Z46" i="18"/>
  <c r="Z52" i="18" s="1"/>
  <c r="Z61" i="18" s="1"/>
  <c r="CK50" i="18"/>
  <c r="Z67" i="18" l="1"/>
  <c r="AA31" i="18"/>
  <c r="CL50" i="18"/>
  <c r="AA35" i="18" l="1"/>
  <c r="CM50" i="18"/>
  <c r="AA59" i="18" l="1"/>
  <c r="CN50" i="18"/>
  <c r="AA46" i="18" l="1"/>
  <c r="AA52" i="18" s="1"/>
  <c r="AA61" i="18" s="1"/>
  <c r="AA38" i="18"/>
  <c r="AA65" i="18" s="1"/>
  <c r="AA67" i="18" l="1"/>
  <c r="AB31" i="18"/>
  <c r="AB35" i="18" l="1"/>
  <c r="AB59" i="18" l="1"/>
  <c r="AB38" i="18" l="1"/>
  <c r="AB65" i="18" s="1"/>
  <c r="AB46" i="18" l="1"/>
  <c r="AB52" i="18" s="1"/>
  <c r="AB61" i="18" s="1"/>
  <c r="AB67" i="18" s="1"/>
  <c r="AC31" i="18"/>
  <c r="AC35" i="18" l="1"/>
  <c r="AC59" i="18" l="1"/>
  <c r="AD31" i="18" l="1"/>
  <c r="AC38" i="18"/>
  <c r="AC65" i="18" s="1"/>
  <c r="AD35" i="18" l="1"/>
  <c r="AC46" i="18"/>
  <c r="AC52" i="18" s="1"/>
  <c r="AC61" i="18" s="1"/>
  <c r="AC67" i="18" s="1"/>
  <c r="AD59" i="18" l="1"/>
  <c r="AD38" i="18" l="1"/>
  <c r="AD65" i="18" s="1"/>
  <c r="AD46" i="18" l="1"/>
  <c r="AD52" i="18" s="1"/>
  <c r="AD61" i="18" s="1"/>
  <c r="AD67" i="18" s="1"/>
  <c r="AE31" i="18"/>
  <c r="AE35" i="18" l="1"/>
  <c r="AE59" i="18" l="1"/>
  <c r="AE38" i="18" l="1"/>
  <c r="AE65" i="18" s="1"/>
  <c r="AE46" i="18"/>
  <c r="AE52" i="18" s="1"/>
  <c r="AE61" i="18" s="1"/>
  <c r="AE67" i="18" l="1"/>
  <c r="AF31" i="18"/>
  <c r="AF35" i="18" l="1"/>
  <c r="AF59" i="18" l="1"/>
  <c r="AF38" i="18" l="1"/>
  <c r="AF65" i="18" s="1"/>
  <c r="AG31" i="18"/>
  <c r="AG35" i="18" l="1"/>
  <c r="AF46" i="18"/>
  <c r="AF52" i="18" s="1"/>
  <c r="AF61" i="18" s="1"/>
  <c r="AF67" i="18" s="1"/>
  <c r="AG59" i="18" l="1"/>
  <c r="AG38" i="18" l="1"/>
  <c r="AG65" i="18" s="1"/>
  <c r="AH31" i="18"/>
  <c r="AH35" i="18" l="1"/>
  <c r="AG46" i="18"/>
  <c r="AG52" i="18" s="1"/>
  <c r="AG61" i="18" s="1"/>
  <c r="AG67" i="18" s="1"/>
  <c r="AH59" i="18" l="1"/>
  <c r="AH46" i="18" l="1"/>
  <c r="AH52" i="18" s="1"/>
  <c r="AH61" i="18" s="1"/>
  <c r="AI31" i="18"/>
  <c r="AH38" i="18"/>
  <c r="AH65" i="18" s="1"/>
  <c r="AI35" i="18" l="1"/>
  <c r="AH67" i="18"/>
  <c r="AI59" i="18" l="1"/>
  <c r="AI38" i="18" l="1"/>
  <c r="AI65" i="18" s="1"/>
  <c r="AJ31" i="18"/>
  <c r="AI46" i="18"/>
  <c r="AI52" i="18" s="1"/>
  <c r="AI61" i="18" s="1"/>
  <c r="AI67" i="18" l="1"/>
  <c r="AJ35" i="18"/>
  <c r="AJ59" i="18" l="1"/>
  <c r="AJ38" i="18" l="1"/>
  <c r="AJ65" i="18" s="1"/>
  <c r="AK31" i="18"/>
  <c r="AJ46" i="18"/>
  <c r="AJ52" i="18" s="1"/>
  <c r="AJ61" i="18" s="1"/>
  <c r="AJ67" i="18" l="1"/>
  <c r="AK35" i="18"/>
  <c r="AK59" i="18" l="1"/>
  <c r="AK46" i="18" l="1"/>
  <c r="AK52" i="18" s="1"/>
  <c r="AK61" i="18" s="1"/>
  <c r="AK38" i="18"/>
  <c r="AK65" i="18" s="1"/>
  <c r="AL31" i="18" l="1"/>
  <c r="AK67" i="18"/>
  <c r="AL35" i="18" l="1"/>
  <c r="AL59" i="18" l="1"/>
  <c r="AL38" i="18" l="1"/>
  <c r="AL65" i="18" s="1"/>
  <c r="AL46" i="18" l="1"/>
  <c r="AL52" i="18" s="1"/>
  <c r="AL61" i="18" s="1"/>
  <c r="AL67" i="18" s="1"/>
  <c r="AM31" i="18"/>
  <c r="AM35" i="18" l="1"/>
  <c r="AM59" i="18" l="1"/>
  <c r="AM38" i="18"/>
  <c r="AM65" i="18" s="1"/>
  <c r="AM46" i="18" l="1"/>
  <c r="AM52" i="18" s="1"/>
  <c r="AM61" i="18" s="1"/>
  <c r="AM67" i="18" s="1"/>
  <c r="AN31" i="18"/>
  <c r="AN35" i="18" l="1"/>
  <c r="AN59" i="18" l="1"/>
  <c r="AN46" i="18" l="1"/>
  <c r="AN52" i="18" s="1"/>
  <c r="AN61" i="18" s="1"/>
  <c r="AN38" i="18"/>
  <c r="AN65" i="18" s="1"/>
  <c r="AO31" i="18"/>
  <c r="AN67" i="18" l="1"/>
  <c r="AO35" i="18"/>
  <c r="AO59" i="18" l="1"/>
  <c r="AO38" i="18" l="1"/>
  <c r="AO65" i="18" s="1"/>
  <c r="AP31" i="18"/>
  <c r="AO46" i="18" l="1"/>
  <c r="AO52" i="18" s="1"/>
  <c r="AO61" i="18" s="1"/>
  <c r="AO67" i="18" s="1"/>
  <c r="AP35" i="18"/>
  <c r="AP59" i="18" l="1"/>
  <c r="AQ31" i="18" l="1"/>
  <c r="AQ35" i="18" l="1"/>
  <c r="AP46" i="18"/>
  <c r="AP52" i="18" s="1"/>
  <c r="AP61" i="18" s="1"/>
  <c r="AP38" i="18"/>
  <c r="AP65" i="18" s="1"/>
  <c r="AQ59" i="18" l="1"/>
  <c r="AP67" i="18"/>
  <c r="AQ46" i="18" l="1"/>
  <c r="AQ52" i="18" s="1"/>
  <c r="AQ61" i="18" s="1"/>
  <c r="AR31" i="18"/>
  <c r="AQ38" i="18"/>
  <c r="AQ65" i="18" s="1"/>
  <c r="AR35" i="18" l="1"/>
  <c r="AQ67" i="18"/>
  <c r="AR59" i="18" l="1"/>
  <c r="AS31" i="18" l="1"/>
  <c r="AR38" i="18" l="1"/>
  <c r="AR65" i="18" s="1"/>
  <c r="AS35" i="18"/>
  <c r="AR46" i="18"/>
  <c r="AR52" i="18" s="1"/>
  <c r="AR61" i="18" s="1"/>
  <c r="AS59" i="18" l="1"/>
  <c r="AR67" i="18"/>
  <c r="AS38" i="18" l="1"/>
  <c r="AS65" i="18" s="1"/>
  <c r="AT31" i="18"/>
  <c r="AT35" i="18" l="1"/>
  <c r="AS46" i="18"/>
  <c r="AS52" i="18" s="1"/>
  <c r="AS61" i="18" s="1"/>
  <c r="AS67" i="18" s="1"/>
  <c r="AT59" i="18" l="1"/>
  <c r="AT46" i="18" l="1"/>
  <c r="AT52" i="18" s="1"/>
  <c r="AT61" i="18" s="1"/>
  <c r="AU31" i="18"/>
  <c r="AT38" i="18"/>
  <c r="AT65" i="18" s="1"/>
  <c r="AU35" i="18" l="1"/>
  <c r="AT67" i="18"/>
  <c r="AU59" i="18" l="1"/>
  <c r="AU38" i="18" l="1"/>
  <c r="AU65" i="18" s="1"/>
  <c r="AV31" i="18"/>
  <c r="AV35" i="18" l="1"/>
  <c r="AU46" i="18"/>
  <c r="AU52" i="18" s="1"/>
  <c r="AU61" i="18" s="1"/>
  <c r="AU67" i="18" s="1"/>
  <c r="AV59" i="18" l="1"/>
  <c r="AV38" i="18" l="1"/>
  <c r="AV65" i="18" s="1"/>
  <c r="AW31" i="18"/>
  <c r="AW35" i="18" l="1"/>
  <c r="AV46" i="18"/>
  <c r="AV52" i="18" s="1"/>
  <c r="AV61" i="18" s="1"/>
  <c r="AV67" i="18" s="1"/>
  <c r="AW59" i="18" l="1"/>
  <c r="AW46" i="18"/>
  <c r="AW52" i="18" s="1"/>
  <c r="AW61" i="18" l="1"/>
  <c r="AW38" i="18"/>
  <c r="AW65" i="18" s="1"/>
  <c r="AX31" i="18"/>
  <c r="AW67" i="18" l="1"/>
  <c r="AX35" i="18"/>
  <c r="AX59" i="18" l="1"/>
  <c r="AX38" i="18"/>
  <c r="AX65" i="18" s="1"/>
  <c r="AX46" i="18" l="1"/>
  <c r="AX52" i="18" s="1"/>
  <c r="AX61" i="18" s="1"/>
  <c r="AX67" i="18" s="1"/>
  <c r="AY31" i="18"/>
  <c r="AY35" i="18" l="1"/>
  <c r="AY59" i="18" l="1"/>
  <c r="AY38" i="18" l="1"/>
  <c r="AY65" i="18" s="1"/>
  <c r="AY46" i="18" l="1"/>
  <c r="AY52" i="18" s="1"/>
  <c r="AY61" i="18" s="1"/>
  <c r="AY67" i="18" s="1"/>
  <c r="AZ31" i="18"/>
  <c r="AZ35" i="18" l="1"/>
  <c r="AZ59" i="18" l="1"/>
  <c r="AZ38" i="18" l="1"/>
  <c r="AZ65" i="18" s="1"/>
  <c r="BA31" i="18"/>
  <c r="AZ46" i="18" l="1"/>
  <c r="AZ52" i="18" s="1"/>
  <c r="AZ61" i="18" s="1"/>
  <c r="AZ67" i="18" s="1"/>
  <c r="BA35" i="18"/>
  <c r="BA59" i="18" l="1"/>
  <c r="BB31" i="18" l="1"/>
  <c r="BA46" i="18" l="1"/>
  <c r="BA52" i="18" s="1"/>
  <c r="BA61" i="18" s="1"/>
  <c r="BB35" i="18"/>
  <c r="BA38" i="18"/>
  <c r="BA65" i="18" s="1"/>
  <c r="BB59" i="18" l="1"/>
  <c r="BA67" i="18"/>
  <c r="BC31" i="18" l="1"/>
  <c r="BB38" i="18" l="1"/>
  <c r="BB65" i="18" s="1"/>
  <c r="BC35" i="18"/>
  <c r="BC59" i="18" l="1"/>
  <c r="BB46" i="18"/>
  <c r="BB52" i="18" s="1"/>
  <c r="BB61" i="18" s="1"/>
  <c r="BB67" i="18" s="1"/>
  <c r="BD31" i="18" l="1"/>
  <c r="BD35" i="18" l="1"/>
  <c r="BC46" i="18" l="1"/>
  <c r="BC52" i="18" s="1"/>
  <c r="BC61" i="18" s="1"/>
  <c r="BD59" i="18"/>
  <c r="BC38" i="18"/>
  <c r="BC65" i="18" s="1"/>
  <c r="BC67" i="18" l="1"/>
  <c r="BE31" i="18" l="1"/>
  <c r="BD46" i="18" l="1"/>
  <c r="BD52" i="18" s="1"/>
  <c r="BD61" i="18" s="1"/>
  <c r="BE35" i="18"/>
  <c r="BD38" i="18"/>
  <c r="BD65" i="18" s="1"/>
  <c r="BE59" i="18" l="1"/>
  <c r="BD67" i="18"/>
  <c r="BF31" i="18" l="1"/>
  <c r="BF35" i="18" l="1"/>
  <c r="BE38" i="18"/>
  <c r="BE65" i="18" s="1"/>
  <c r="BE46" i="18"/>
  <c r="BE52" i="18" s="1"/>
  <c r="BE61" i="18" s="1"/>
  <c r="BE67" i="18" l="1"/>
  <c r="BF59" i="18"/>
  <c r="BF38" i="18" l="1"/>
  <c r="BF65" i="18" s="1"/>
  <c r="BG31" i="18"/>
  <c r="BF46" i="18"/>
  <c r="BF52" i="18" s="1"/>
  <c r="BF61" i="18" s="1"/>
  <c r="BF67" i="18" l="1"/>
  <c r="BG35" i="18"/>
  <c r="BG59" i="18" l="1"/>
  <c r="BG38" i="18" l="1"/>
  <c r="BG65" i="18" s="1"/>
  <c r="BG46" i="18"/>
  <c r="BG52" i="18" s="1"/>
  <c r="BG61" i="18" s="1"/>
  <c r="BG67" i="18" l="1"/>
  <c r="BH31" i="18"/>
  <c r="BH35" i="18" l="1"/>
  <c r="BH38" i="18" l="1"/>
  <c r="BH65" i="18" s="1"/>
  <c r="BH59" i="18"/>
  <c r="BH46" i="18" l="1"/>
  <c r="BH52" i="18" s="1"/>
  <c r="BH61" i="18" s="1"/>
  <c r="BH67" i="18" s="1"/>
  <c r="BI31" i="18"/>
  <c r="BI35" i="18" l="1"/>
  <c r="BI59" i="18" l="1"/>
  <c r="BI38" i="18" l="1"/>
  <c r="BI65" i="18" s="1"/>
  <c r="BI46" i="18" l="1"/>
  <c r="BI52" i="18" s="1"/>
  <c r="BI61" i="18" s="1"/>
  <c r="BI67" i="18" s="1"/>
  <c r="BJ31" i="18"/>
  <c r="BJ35" i="18" l="1"/>
  <c r="BJ59" i="18" l="1"/>
  <c r="BJ38" i="18" l="1"/>
  <c r="BJ65" i="18" s="1"/>
  <c r="BJ46" i="18"/>
  <c r="BJ52" i="18" s="1"/>
  <c r="BJ61" i="18" s="1"/>
  <c r="BK31" i="18"/>
  <c r="BJ67" i="18" l="1"/>
  <c r="BK35" i="18"/>
  <c r="BK59" i="18" l="1"/>
  <c r="BK46" i="18" l="1"/>
  <c r="BK52" i="18" s="1"/>
  <c r="BK61" i="18" s="1"/>
  <c r="BL31" i="18"/>
  <c r="BK38" i="18"/>
  <c r="BK65" i="18" s="1"/>
  <c r="BL35" i="18" l="1"/>
  <c r="BK67" i="18"/>
  <c r="BL38" i="18" l="1"/>
  <c r="BL65" i="18" s="1"/>
  <c r="BL59" i="18"/>
  <c r="BL46" i="18" l="1"/>
  <c r="BL52" i="18" s="1"/>
  <c r="BL61" i="18" s="1"/>
  <c r="BL67" i="18" s="1"/>
  <c r="BM31" i="18" l="1"/>
  <c r="BM35" i="18" l="1"/>
  <c r="BM38" i="18" l="1"/>
  <c r="BM65" i="18" s="1"/>
  <c r="BM59" i="18"/>
  <c r="BN31" i="18" l="1"/>
  <c r="BN35" i="18" l="1"/>
  <c r="BM46" i="18"/>
  <c r="BM52" i="18" s="1"/>
  <c r="BM61" i="18" s="1"/>
  <c r="BM67" i="18" s="1"/>
  <c r="BN59" i="18"/>
  <c r="BO31" i="18" l="1"/>
  <c r="BN38" i="18"/>
  <c r="BN65" i="18" s="1"/>
  <c r="BO35" i="18" l="1"/>
  <c r="BN46" i="18" l="1"/>
  <c r="BN52" i="18" s="1"/>
  <c r="BN61" i="18" s="1"/>
  <c r="BN67" i="18" s="1"/>
  <c r="BO59" i="18"/>
  <c r="BO38" i="18" l="1"/>
  <c r="BO65" i="18" s="1"/>
  <c r="BP31" i="18"/>
  <c r="BO46" i="18"/>
  <c r="BO52" i="18" s="1"/>
  <c r="BO61" i="18" s="1"/>
  <c r="BO67" i="18" l="1"/>
  <c r="BP35" i="18"/>
  <c r="BP59" i="18" l="1"/>
  <c r="BP38" i="18" l="1"/>
  <c r="BP65" i="18" s="1"/>
  <c r="BP46" i="18"/>
  <c r="BP52" i="18" s="1"/>
  <c r="BP61" i="18" s="1"/>
  <c r="BP67" i="18" l="1"/>
  <c r="BQ31" i="18"/>
  <c r="BQ35" i="18" l="1"/>
  <c r="BQ59" i="18" l="1"/>
  <c r="BQ38" i="18" l="1"/>
  <c r="BQ65" i="18" s="1"/>
  <c r="BQ46" i="18" l="1"/>
  <c r="BQ52" i="18" s="1"/>
  <c r="BQ61" i="18" s="1"/>
  <c r="BQ67" i="18" s="1"/>
  <c r="BR31" i="18"/>
  <c r="BR35" i="18" l="1"/>
  <c r="BR59" i="18" l="1"/>
  <c r="BS31" i="18" l="1"/>
  <c r="BR38" i="18" l="1"/>
  <c r="BR65" i="18" s="1"/>
  <c r="BS35" i="18"/>
  <c r="BS59" i="18" l="1"/>
  <c r="BR46" i="18"/>
  <c r="BR52" i="18" s="1"/>
  <c r="BR61" i="18" s="1"/>
  <c r="BR67" i="18" s="1"/>
  <c r="BT31" i="18" l="1"/>
  <c r="BS46" i="18"/>
  <c r="BS52" i="18" s="1"/>
  <c r="BS61" i="18" s="1"/>
  <c r="BS38" i="18"/>
  <c r="BS65" i="18" s="1"/>
  <c r="BT35" i="18" l="1"/>
  <c r="BS67" i="18"/>
  <c r="BT59" i="18" l="1"/>
  <c r="BT38" i="18" l="1"/>
  <c r="BT65" i="18" s="1"/>
  <c r="BU31" i="18"/>
  <c r="BT46" i="18"/>
  <c r="BT52" i="18" s="1"/>
  <c r="BT61" i="18" s="1"/>
  <c r="BT67" i="18" l="1"/>
  <c r="BU35" i="18"/>
  <c r="BU59" i="18" l="1"/>
  <c r="BU38" i="18" l="1"/>
  <c r="BU65" i="18" s="1"/>
  <c r="BU46" i="18" l="1"/>
  <c r="BU52" i="18" s="1"/>
  <c r="BU61" i="18" s="1"/>
  <c r="BU67" i="18" s="1"/>
  <c r="BV31" i="18"/>
  <c r="BV35" i="18" l="1"/>
  <c r="BV59" i="18" l="1"/>
  <c r="BV46" i="18" l="1"/>
  <c r="BV52" i="18" s="1"/>
  <c r="BV61" i="18" s="1"/>
  <c r="BV38" i="18"/>
  <c r="BV65" i="18" s="1"/>
  <c r="BW31" i="18" l="1"/>
  <c r="BV67" i="18"/>
  <c r="BW35" i="18" l="1"/>
  <c r="BW59" i="18" l="1"/>
  <c r="BW46" i="18" l="1"/>
  <c r="BW52" i="18" s="1"/>
  <c r="BW61" i="18" s="1"/>
  <c r="BW38" i="18"/>
  <c r="BW65" i="18" s="1"/>
  <c r="BW67" i="18" l="1"/>
  <c r="BX31" i="18"/>
  <c r="BX35" i="18" l="1"/>
  <c r="BX38" i="18" l="1"/>
  <c r="BX65" i="18" s="1"/>
  <c r="BX59" i="18"/>
  <c r="BX46" i="18" l="1"/>
  <c r="BX52" i="18" s="1"/>
  <c r="BX61" i="18" s="1"/>
  <c r="BX67" i="18" s="1"/>
  <c r="BY31" i="18"/>
  <c r="BY35" i="18" l="1"/>
  <c r="BY59" i="18" l="1"/>
  <c r="BY38" i="18" l="1"/>
  <c r="BY65" i="18" s="1"/>
  <c r="BZ31" i="18"/>
  <c r="BY46" i="18" l="1"/>
  <c r="BY52" i="18" s="1"/>
  <c r="BY61" i="18" s="1"/>
  <c r="BY67" i="18" s="1"/>
  <c r="BZ35" i="18"/>
  <c r="BZ59" i="18" l="1"/>
  <c r="BZ38" i="18" l="1"/>
  <c r="BZ65" i="18" s="1"/>
  <c r="CA31" i="18"/>
  <c r="CA35" i="18" l="1"/>
  <c r="BZ46" i="18"/>
  <c r="BZ52" i="18" s="1"/>
  <c r="BZ61" i="18" s="1"/>
  <c r="BZ67" i="18" s="1"/>
  <c r="CA59" i="18" l="1"/>
  <c r="CA38" i="18" l="1"/>
  <c r="CA65" i="18" s="1"/>
  <c r="CB31" i="18" l="1"/>
  <c r="CA46" i="18"/>
  <c r="CA52" i="18" s="1"/>
  <c r="CA61" i="18" s="1"/>
  <c r="CA67" i="18" s="1"/>
  <c r="CB35" i="18" l="1"/>
  <c r="CB38" i="18" l="1"/>
  <c r="CB65" i="18" s="1"/>
  <c r="CB59" i="18"/>
  <c r="CB46" i="18" l="1"/>
  <c r="CB52" i="18" s="1"/>
  <c r="CB61" i="18" s="1"/>
  <c r="CB67" i="18" s="1"/>
  <c r="CC31" i="18" l="1"/>
  <c r="CC35" i="18" l="1"/>
  <c r="CC38" i="18" l="1"/>
  <c r="CC65" i="18" s="1"/>
  <c r="CC59" i="18"/>
  <c r="CC46" i="18" l="1"/>
  <c r="CC52" i="18" s="1"/>
  <c r="CC61" i="18" s="1"/>
  <c r="CC67" i="18" s="1"/>
  <c r="CD31" i="18" l="1"/>
  <c r="CD35" i="18" l="1"/>
  <c r="CD59" i="18" l="1"/>
  <c r="CD38" i="18" l="1"/>
  <c r="CD65" i="18" s="1"/>
  <c r="CE31" i="18" l="1"/>
  <c r="CD46" i="18"/>
  <c r="CD52" i="18" s="1"/>
  <c r="CD61" i="18" s="1"/>
  <c r="CD67" i="18" s="1"/>
  <c r="CE35" i="18" l="1"/>
  <c r="CE38" i="18" l="1"/>
  <c r="CE65" i="18" s="1"/>
  <c r="CE59" i="18"/>
  <c r="CE46" i="18" l="1"/>
  <c r="CE52" i="18" s="1"/>
  <c r="CE61" i="18" s="1"/>
  <c r="CE67" i="18" s="1"/>
  <c r="CF31" i="18"/>
  <c r="CF35" i="18" l="1"/>
  <c r="CF38" i="18" l="1"/>
  <c r="CF65" i="18" s="1"/>
  <c r="CF59" i="18"/>
  <c r="CF46" i="18" l="1"/>
  <c r="CF52" i="18" s="1"/>
  <c r="CF61" i="18" s="1"/>
  <c r="CF67" i="18" s="1"/>
  <c r="CG31" i="18"/>
  <c r="CG35" i="18" l="1"/>
  <c r="CG59" i="18" l="1"/>
  <c r="CG46" i="18" l="1"/>
  <c r="CG52" i="18" s="1"/>
  <c r="CG61" i="18" s="1"/>
  <c r="CG38" i="18"/>
  <c r="CG65" i="18" s="1"/>
  <c r="CG67" i="18" l="1"/>
  <c r="CH31" i="18"/>
  <c r="CH35" i="18" l="1"/>
  <c r="CH38" i="18" l="1"/>
  <c r="CH65" i="18" s="1"/>
  <c r="CH59" i="18"/>
  <c r="CH46" i="18" l="1"/>
  <c r="CH52" i="18" s="1"/>
  <c r="CH61" i="18" s="1"/>
  <c r="CH67" i="18" s="1"/>
  <c r="CI31" i="18" l="1"/>
  <c r="CI35" i="18" l="1"/>
  <c r="CI59" i="18" l="1"/>
  <c r="CI46" i="18" l="1"/>
  <c r="CI52" i="18" s="1"/>
  <c r="CI61" i="18" s="1"/>
  <c r="CI38" i="18"/>
  <c r="CI65" i="18" s="1"/>
  <c r="CJ31" i="18"/>
  <c r="CI67" i="18" l="1"/>
  <c r="CJ35" i="18"/>
  <c r="CJ59" i="18" l="1"/>
  <c r="CK31" i="18" l="1"/>
  <c r="CJ46" i="18"/>
  <c r="CJ52" i="18" s="1"/>
  <c r="CJ61" i="18" s="1"/>
  <c r="CJ38" i="18"/>
  <c r="CJ65" i="18" s="1"/>
  <c r="CJ67" i="18" l="1"/>
  <c r="CK35" i="18"/>
  <c r="CK46" i="18" l="1"/>
  <c r="CK52" i="18" s="1"/>
  <c r="CK59" i="18"/>
  <c r="CK38" i="18" l="1"/>
  <c r="CK65" i="18" s="1"/>
  <c r="CK61" i="18"/>
  <c r="CK67" i="18" l="1"/>
  <c r="CL31" i="18"/>
  <c r="CL35" i="18" l="1"/>
  <c r="CL46" i="18" l="1"/>
  <c r="CL52" i="18" s="1"/>
  <c r="CL59" i="18"/>
  <c r="CL38" i="18" l="1"/>
  <c r="CL65" i="18" s="1"/>
  <c r="CL61" i="18"/>
  <c r="CL67" i="18" l="1"/>
  <c r="CM31" i="18"/>
  <c r="CM35" i="18" l="1"/>
  <c r="CM59" i="18" l="1"/>
  <c r="CM46" i="18" l="1"/>
  <c r="CM52" i="18" s="1"/>
  <c r="CM61" i="18" s="1"/>
  <c r="CM38" i="18"/>
  <c r="CM65" i="18" s="1"/>
  <c r="CM67" i="18" l="1"/>
  <c r="CN31" i="18" l="1"/>
  <c r="J29" i="18"/>
  <c r="J31" i="18" l="1"/>
  <c r="J33" i="18"/>
  <c r="CN35" i="18" l="1"/>
  <c r="J35" i="18" l="1"/>
  <c r="CN59" i="18" l="1"/>
  <c r="J37" i="18" l="1"/>
  <c r="CN38" i="18"/>
  <c r="CN46" i="18"/>
  <c r="CN52" i="18" s="1"/>
  <c r="CN61" i="18" s="1"/>
  <c r="CN65" i="18" l="1"/>
  <c r="J38" i="18"/>
  <c r="CN67" i="18" l="1"/>
</calcChain>
</file>

<file path=xl/sharedStrings.xml><?xml version="1.0" encoding="utf-8"?>
<sst xmlns="http://schemas.openxmlformats.org/spreadsheetml/2006/main" count="304" uniqueCount="168">
  <si>
    <t>[date]</t>
  </si>
  <si>
    <t>[$n]</t>
  </si>
  <si>
    <t>Next Annual Escalation</t>
  </si>
  <si>
    <t>Variable Opex</t>
  </si>
  <si>
    <t>Electricity</t>
  </si>
  <si>
    <t>General Maintenance</t>
  </si>
  <si>
    <t>Admin</t>
  </si>
  <si>
    <t>Other</t>
  </si>
  <si>
    <t>[$r]</t>
  </si>
  <si>
    <t>Longterm Capex</t>
  </si>
  <si>
    <t>Method</t>
  </si>
  <si>
    <t>SL</t>
  </si>
  <si>
    <t>Margin over LIBOR</t>
  </si>
  <si>
    <t>Quaterly Repayments</t>
  </si>
  <si>
    <t>Cash Sweep Cut Off</t>
  </si>
  <si>
    <t>[%]</t>
  </si>
  <si>
    <t>Cash at Bank</t>
  </si>
  <si>
    <t>Opening PP&amp;E</t>
  </si>
  <si>
    <t>Working Capital</t>
  </si>
  <si>
    <t>Debtors</t>
  </si>
  <si>
    <t>Creditors</t>
  </si>
  <si>
    <t>Tax Payable</t>
  </si>
  <si>
    <t>Opening Balance Sheet</t>
  </si>
  <si>
    <t>Current Assets</t>
  </si>
  <si>
    <t>Non Current Assets</t>
  </si>
  <si>
    <t>TOTAL ASSETS</t>
  </si>
  <si>
    <t>TOTAL LIABILITIES</t>
  </si>
  <si>
    <t>NET ASSETS</t>
  </si>
  <si>
    <t>Shareholder Equity</t>
  </si>
  <si>
    <t>TOTAL EQUITY</t>
  </si>
  <si>
    <t>Bikes</t>
  </si>
  <si>
    <t>Cars</t>
  </si>
  <si>
    <t>LCVs</t>
  </si>
  <si>
    <t>HCVs</t>
  </si>
  <si>
    <t>Qtrs between (inclusive):</t>
  </si>
  <si>
    <t>Start Date</t>
  </si>
  <si>
    <t>End Date</t>
  </si>
  <si>
    <t>Qtrl escalation</t>
  </si>
  <si>
    <t>[% p.q]</t>
  </si>
  <si>
    <t>thereafter</t>
  </si>
  <si>
    <t>Premium charged for all cash trips</t>
  </si>
  <si>
    <t>Toll rounding</t>
  </si>
  <si>
    <t>Tag trips</t>
  </si>
  <si>
    <t>cash trips</t>
  </si>
  <si>
    <t>round theoretical toll down to nearest cent</t>
  </si>
  <si>
    <t>round tag toll up to nearest ten cents</t>
  </si>
  <si>
    <t>Period Start</t>
  </si>
  <si>
    <t>Period End</t>
  </si>
  <si>
    <t>Units</t>
  </si>
  <si>
    <t>Sum</t>
  </si>
  <si>
    <t>ModelOff 2013 Finals</t>
  </si>
  <si>
    <t>Value</t>
  </si>
  <si>
    <t>Notes</t>
  </si>
  <si>
    <t>Assumptions</t>
  </si>
  <si>
    <t>General</t>
  </si>
  <si>
    <t>Traffic</t>
  </si>
  <si>
    <t>[trips]</t>
  </si>
  <si>
    <t>Model Periods per year</t>
  </si>
  <si>
    <t>[#]</t>
  </si>
  <si>
    <t>Tolling</t>
  </si>
  <si>
    <t>Theoretical Tolls at 1 Jan 2014</t>
  </si>
  <si>
    <t>Tolling Escalation per annum</t>
  </si>
  <si>
    <t>[info]</t>
  </si>
  <si>
    <t>CPI Escalation</t>
  </si>
  <si>
    <t>[% p.a.]</t>
  </si>
  <si>
    <t>[% p.a. effective]</t>
  </si>
  <si>
    <t>Per Trip Costs</t>
  </si>
  <si>
    <t>Opex per tag trip</t>
  </si>
  <si>
    <t>Opex per cash trip</t>
  </si>
  <si>
    <t>Proportion of tag trips where no toll is received</t>
  </si>
  <si>
    <t>Revenue Leakage</t>
  </si>
  <si>
    <t>[$r / qtr]</t>
  </si>
  <si>
    <t>Capital Expenditure</t>
  </si>
  <si>
    <t>Asset Class 1</t>
  </si>
  <si>
    <t>Asset Class 2</t>
  </si>
  <si>
    <t>Asset Class 3</t>
  </si>
  <si>
    <t>Asset Class 4</t>
  </si>
  <si>
    <t>Quarter ending:</t>
  </si>
  <si>
    <t>Depreciation Assumptions</t>
  </si>
  <si>
    <t>[years, method]</t>
  </si>
  <si>
    <t>Tax Useful Life</t>
  </si>
  <si>
    <t>Accounting Useful Life</t>
  </si>
  <si>
    <t>DDB</t>
  </si>
  <si>
    <t>Financing Assumptions</t>
  </si>
  <si>
    <t>Each quarter thereafter</t>
  </si>
  <si>
    <t>Senior Facility</t>
  </si>
  <si>
    <t>LIBOR</t>
  </si>
  <si>
    <t>Forecast LIBOR</t>
  </si>
  <si>
    <t>Taxation Rate</t>
  </si>
  <si>
    <t>Minimum Cash at Bank Balance</t>
  </si>
  <si>
    <t>(for limiting distributions)</t>
  </si>
  <si>
    <t>Creditors (% of quarterly Opex)</t>
  </si>
  <si>
    <t>One quarter in arrears</t>
  </si>
  <si>
    <t>Depreciation of Opening PP&amp;E</t>
  </si>
  <si>
    <t>Accounting Depreciation in period</t>
  </si>
  <si>
    <t>Tax Depreciation in period</t>
  </si>
  <si>
    <t>Opening PP&amp;E Balance (Tax)</t>
  </si>
  <si>
    <t>Opening PP&amp;E Balance (Accounting)</t>
  </si>
  <si>
    <t>see balance sheet</t>
  </si>
  <si>
    <t>End Sheet</t>
  </si>
  <si>
    <t>[$n / trip]</t>
  </si>
  <si>
    <t>Concession End Date</t>
  </si>
  <si>
    <t>(For reference)</t>
  </si>
  <si>
    <t>Case Study</t>
  </si>
  <si>
    <t>Paragraph #</t>
  </si>
  <si>
    <t>All qtrs thereafter up to and including:</t>
  </si>
  <si>
    <t>DTA (timing differences)</t>
  </si>
  <si>
    <t>DTL (timing differences)</t>
  </si>
  <si>
    <t>Interest Basis</t>
  </si>
  <si>
    <t>Model Start and Acquisition</t>
  </si>
  <si>
    <t>Discount Rate</t>
  </si>
  <si>
    <t>QCFD sweep limit</t>
  </si>
  <si>
    <t>Revenues</t>
  </si>
  <si>
    <t>Proportion of trips that are tag trips</t>
  </si>
  <si>
    <t>Cash Trips</t>
  </si>
  <si>
    <t>Less: Revenue Leakage</t>
  </si>
  <si>
    <t>Total Revenue</t>
  </si>
  <si>
    <t>Expenses</t>
  </si>
  <si>
    <t>Total Variable Opex</t>
  </si>
  <si>
    <t>Total Fixed Opex</t>
  </si>
  <si>
    <t>Total Opex</t>
  </si>
  <si>
    <t>Accounts</t>
  </si>
  <si>
    <t>Income Statement</t>
  </si>
  <si>
    <t>EBITDA</t>
  </si>
  <si>
    <t>EBIT</t>
  </si>
  <si>
    <t>Senior Interest</t>
  </si>
  <si>
    <t>Net Profit Before Tax</t>
  </si>
  <si>
    <t>Net Profit After Tax</t>
  </si>
  <si>
    <t>Distributions to Equity</t>
  </si>
  <si>
    <t>To Retained Earnings</t>
  </si>
  <si>
    <t>Balance Sheet</t>
  </si>
  <si>
    <t>Assets</t>
  </si>
  <si>
    <t>New PP&amp;E</t>
  </si>
  <si>
    <t>Liabilities</t>
  </si>
  <si>
    <t>Check</t>
  </si>
  <si>
    <t>Retained Earnings</t>
  </si>
  <si>
    <t>Cash Flow Waterfall</t>
  </si>
  <si>
    <t>Tax Payable/Refunded</t>
  </si>
  <si>
    <t>Tax (expense)/refund</t>
  </si>
  <si>
    <t>Qtrly Escalation of ADT (all classes)</t>
  </si>
  <si>
    <t>Q1 2014 (Per day)</t>
  </si>
  <si>
    <t>All capital expenditure is assumed to be incurred and funded on the final day of the quarter, and funded by cash</t>
  </si>
  <si>
    <t>Starting ADT by vehicle class</t>
  </si>
  <si>
    <t>Formatting Legend</t>
  </si>
  <si>
    <t>User Variable Assumption</t>
  </si>
  <si>
    <t>Fixed Assumption</t>
  </si>
  <si>
    <t>Standard calculation (+'ve)</t>
  </si>
  <si>
    <t>Standard calculation (zero)</t>
  </si>
  <si>
    <t>Standard calculation (-'ve)</t>
  </si>
  <si>
    <t>2 Decimal Place number (e.g. toll price)</t>
  </si>
  <si>
    <t>Percentage calculation</t>
  </si>
  <si>
    <t>Date cell</t>
  </si>
  <si>
    <t>Unique formula in row</t>
  </si>
  <si>
    <t>red font</t>
  </si>
  <si>
    <t>Units labelling</t>
  </si>
  <si>
    <t>Bold Total</t>
  </si>
  <si>
    <t>Workings / Refernece Cell</t>
  </si>
  <si>
    <t>Section Header</t>
  </si>
  <si>
    <t>Section</t>
  </si>
  <si>
    <t>Sheet Header</t>
  </si>
  <si>
    <t>Sheet</t>
  </si>
  <si>
    <t>Depreciation (Accounting): New PP&amp;E</t>
  </si>
  <si>
    <t>New PP&amp;E (Capex) by quarter</t>
  </si>
  <si>
    <t>Depreciation (Accounting): Opening PP&amp;E</t>
  </si>
  <si>
    <t>Fixed Opex (per quarter)</t>
  </si>
  <si>
    <t>Apply each quarter start, 90/360 basis</t>
  </si>
  <si>
    <t>Debtors (% of qrtly Tag trip Revenue (net of leakage))</t>
  </si>
  <si>
    <t>90/360 convention. Rates quoted are simple annual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</si>
</sst>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;\-#,##0.;\-"/>
    <numFmt numFmtId="165" formatCode="#,##0_);\(#,##0\);\-"/>
    <numFmt numFmtId="166" formatCode="[$-C09]dd\-mmm\-yy;@"/>
    <numFmt numFmtId="167" formatCode="#,##0.00_);\(#,##0.00\);\-"/>
    <numFmt numFmtId="168" formatCode="0.00%_);\(0.00%\);\-"/>
    <numFmt numFmtId="169" formatCode="0_);\(0\);\-"/>
    <numFmt numFmtId="170" formatCode="#,##0.0000_);\(#,##0.0000\);\-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0" tint="-0.34998626667073579"/>
      <name val="Arial"/>
      <family val="2"/>
    </font>
    <font>
      <sz val="10"/>
      <color rgb="FF0000FF"/>
      <name val="Arial"/>
      <family val="2"/>
    </font>
    <font>
      <i/>
      <u/>
      <sz val="10"/>
      <name val="Arial"/>
      <family val="2"/>
    </font>
    <font>
      <b/>
      <u/>
      <sz val="8"/>
      <color theme="10"/>
      <name val="Arial"/>
      <family val="2"/>
    </font>
    <font>
      <u/>
      <sz val="8"/>
      <color theme="10"/>
      <name val="Arial"/>
      <family val="2"/>
    </font>
    <font>
      <sz val="8"/>
      <color theme="0" tint="-0.34998626667073579"/>
      <name val="Arial"/>
      <family val="2"/>
    </font>
    <font>
      <i/>
      <sz val="10"/>
      <color theme="1"/>
      <name val="Arial"/>
      <family val="2"/>
    </font>
    <font>
      <sz val="10"/>
      <color rgb="FF7030A0"/>
      <name val="Arial"/>
      <family val="2"/>
    </font>
    <font>
      <b/>
      <sz val="1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</borders>
  <cellStyleXfs count="23">
    <xf numFmtId="0" fontId="0" fillId="0" borderId="0"/>
    <xf numFmtId="0" fontId="12" fillId="3" borderId="0" applyNumberFormat="0" applyFont="0" applyAlignment="0"/>
    <xf numFmtId="0" fontId="17" fillId="0" borderId="0" applyNumberFormat="0" applyFill="0" applyBorder="0" applyAlignment="0" applyProtection="0"/>
    <xf numFmtId="15" fontId="6" fillId="0" borderId="0" applyFill="0" applyBorder="0" applyAlignment="0"/>
    <xf numFmtId="0" fontId="8" fillId="4" borderId="2">
      <alignment horizontal="left"/>
    </xf>
    <xf numFmtId="165" fontId="6" fillId="0" borderId="0" applyFill="0" applyBorder="0" applyAlignment="0"/>
    <xf numFmtId="0" fontId="15" fillId="0" borderId="0" applyNumberFormat="0" applyFill="0" applyBorder="0" applyAlignment="0"/>
    <xf numFmtId="166" fontId="15" fillId="2" borderId="3" applyAlignment="0">
      <protection locked="0"/>
    </xf>
    <xf numFmtId="167" fontId="15" fillId="2" borderId="3" applyAlignment="0">
      <protection locked="0"/>
    </xf>
    <xf numFmtId="165" fontId="15" fillId="2" borderId="3" applyAlignment="0">
      <alignment horizontal="right"/>
      <protection locked="0"/>
    </xf>
    <xf numFmtId="168" fontId="15" fillId="2" borderId="3" applyAlignment="0"/>
    <xf numFmtId="169" fontId="15" fillId="2" borderId="3" applyAlignment="0">
      <protection locked="0"/>
    </xf>
    <xf numFmtId="166" fontId="15" fillId="0" borderId="3" applyAlignment="0"/>
    <xf numFmtId="165" fontId="15" fillId="0" borderId="3" applyAlignment="0"/>
    <xf numFmtId="167" fontId="6" fillId="0" borderId="0" applyFill="0" applyBorder="0" applyAlignment="0"/>
    <xf numFmtId="168" fontId="10" fillId="0" borderId="0" applyFill="0" applyBorder="0" applyAlignment="0"/>
    <xf numFmtId="166" fontId="19" fillId="0" borderId="0" applyFill="0" applyBorder="0" applyAlignment="0"/>
    <xf numFmtId="0" fontId="19" fillId="0" borderId="0" applyNumberFormat="0" applyFill="0" applyBorder="0" applyAlignment="0"/>
    <xf numFmtId="164" fontId="22" fillId="5" borderId="0" applyBorder="0" applyAlignment="0"/>
    <xf numFmtId="165" fontId="11" fillId="0" borderId="0" applyNumberFormat="0" applyFill="0" applyAlignment="0"/>
    <xf numFmtId="165" fontId="1" fillId="0" borderId="0" applyFill="0" applyBorder="0" applyAlignment="0"/>
    <xf numFmtId="167" fontId="1" fillId="0" borderId="0" applyFill="0" applyBorder="0" applyAlignment="0"/>
    <xf numFmtId="15" fontId="1" fillId="0" borderId="0" applyFill="0" applyBorder="0" applyAlignment="0"/>
  </cellStyleXfs>
  <cellXfs count="98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4" fontId="10" fillId="0" borderId="0" xfId="0" applyNumberFormat="1" applyFont="1" applyFill="1" applyBorder="1" applyAlignment="1">
      <alignment horizontal="left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0" fontId="0" fillId="0" borderId="0" xfId="0"/>
    <xf numFmtId="0" fontId="16" fillId="0" borderId="0" xfId="0" applyFont="1" applyBorder="1"/>
    <xf numFmtId="0" fontId="18" fillId="0" borderId="0" xfId="2" applyFont="1"/>
    <xf numFmtId="0" fontId="0" fillId="0" borderId="0" xfId="0"/>
    <xf numFmtId="15" fontId="6" fillId="0" borderId="0" xfId="3"/>
    <xf numFmtId="0" fontId="8" fillId="4" borderId="2" xfId="4">
      <alignment horizontal="left"/>
    </xf>
    <xf numFmtId="165" fontId="6" fillId="0" borderId="0" xfId="5"/>
    <xf numFmtId="0" fontId="15" fillId="0" borderId="0" xfId="6"/>
    <xf numFmtId="165" fontId="8" fillId="0" borderId="0" xfId="5" applyFont="1"/>
    <xf numFmtId="0" fontId="19" fillId="0" borderId="0" xfId="17"/>
    <xf numFmtId="165" fontId="6" fillId="0" borderId="0" xfId="5" applyAlignment="1"/>
    <xf numFmtId="165" fontId="6" fillId="4" borderId="2" xfId="5" applyFill="1" applyBorder="1" applyAlignment="1">
      <alignment horizontal="left"/>
    </xf>
    <xf numFmtId="0" fontId="19" fillId="4" borderId="2" xfId="17" applyFill="1" applyBorder="1" applyAlignment="1">
      <alignment horizontal="left"/>
    </xf>
    <xf numFmtId="165" fontId="15" fillId="2" borderId="3" xfId="9" applyAlignment="1">
      <protection locked="0"/>
    </xf>
    <xf numFmtId="165" fontId="19" fillId="0" borderId="0" xfId="17" applyNumberFormat="1"/>
    <xf numFmtId="165" fontId="15" fillId="0" borderId="3" xfId="13"/>
    <xf numFmtId="165" fontId="9" fillId="0" borderId="0" xfId="5" applyFont="1"/>
    <xf numFmtId="166" fontId="15" fillId="2" borderId="3" xfId="7">
      <protection locked="0"/>
    </xf>
    <xf numFmtId="167" fontId="15" fillId="2" borderId="3" xfId="8">
      <protection locked="0"/>
    </xf>
    <xf numFmtId="0" fontId="15" fillId="0" borderId="0" xfId="6" applyAlignment="1"/>
    <xf numFmtId="168" fontId="15" fillId="2" borderId="3" xfId="10"/>
    <xf numFmtId="167" fontId="15" fillId="2" borderId="3" xfId="8" applyAlignment="1">
      <protection locked="0"/>
    </xf>
    <xf numFmtId="166" fontId="15" fillId="0" borderId="3" xfId="12" applyAlignment="1"/>
    <xf numFmtId="165" fontId="15" fillId="0" borderId="3" xfId="13" applyAlignment="1"/>
    <xf numFmtId="165" fontId="6" fillId="0" borderId="4" xfId="5" applyBorder="1"/>
    <xf numFmtId="165" fontId="6" fillId="0" borderId="5" xfId="5" applyBorder="1"/>
    <xf numFmtId="165" fontId="15" fillId="0" borderId="6" xfId="6" applyNumberFormat="1" applyBorder="1"/>
    <xf numFmtId="0" fontId="15" fillId="0" borderId="7" xfId="6" applyBorder="1"/>
    <xf numFmtId="15" fontId="6" fillId="0" borderId="6" xfId="3" applyBorder="1"/>
    <xf numFmtId="166" fontId="15" fillId="2" borderId="8" xfId="7" applyBorder="1" applyAlignment="1">
      <alignment horizontal="right"/>
      <protection locked="0"/>
    </xf>
    <xf numFmtId="15" fontId="6" fillId="0" borderId="9" xfId="3" applyBorder="1"/>
    <xf numFmtId="165" fontId="6" fillId="0" borderId="10" xfId="5" applyBorder="1"/>
    <xf numFmtId="165" fontId="6" fillId="0" borderId="11" xfId="5" applyBorder="1"/>
    <xf numFmtId="0" fontId="15" fillId="0" borderId="12" xfId="6" applyBorder="1"/>
    <xf numFmtId="168" fontId="15" fillId="2" borderId="13" xfId="10" applyBorder="1" applyAlignment="1"/>
    <xf numFmtId="168" fontId="15" fillId="2" borderId="14" xfId="10" applyBorder="1" applyAlignment="1"/>
    <xf numFmtId="170" fontId="15" fillId="2" borderId="3" xfId="8" applyNumberFormat="1">
      <protection locked="0"/>
    </xf>
    <xf numFmtId="165" fontId="20" fillId="0" borderId="0" xfId="5" applyFont="1"/>
    <xf numFmtId="15" fontId="7" fillId="0" borderId="0" xfId="3" applyFont="1"/>
    <xf numFmtId="0" fontId="7" fillId="0" borderId="0" xfId="0" applyFont="1" applyAlignment="1">
      <alignment horizontal="right"/>
    </xf>
    <xf numFmtId="165" fontId="6" fillId="0" borderId="0" xfId="5" applyAlignment="1">
      <alignment horizontal="right"/>
    </xf>
    <xf numFmtId="165" fontId="6" fillId="0" borderId="1" xfId="5" applyBorder="1"/>
    <xf numFmtId="165" fontId="8" fillId="0" borderId="1" xfId="5" applyFont="1" applyBorder="1"/>
    <xf numFmtId="165" fontId="6" fillId="0" borderId="0" xfId="5" applyAlignment="1">
      <alignment horizontal="left" indent="1"/>
    </xf>
    <xf numFmtId="165" fontId="15" fillId="2" borderId="15" xfId="9" applyBorder="1" applyAlignment="1">
      <protection locked="0"/>
    </xf>
    <xf numFmtId="165" fontId="8" fillId="0" borderId="0" xfId="5" applyFont="1" applyBorder="1"/>
    <xf numFmtId="0" fontId="15" fillId="4" borderId="2" xfId="6" applyFill="1" applyBorder="1" applyAlignment="1">
      <alignment horizontal="left"/>
    </xf>
    <xf numFmtId="165" fontId="7" fillId="0" borderId="0" xfId="0" applyNumberFormat="1" applyFont="1"/>
    <xf numFmtId="165" fontId="7" fillId="0" borderId="1" xfId="0" applyNumberFormat="1" applyFont="1" applyBorder="1"/>
    <xf numFmtId="0" fontId="21" fillId="0" borderId="0" xfId="0" applyFont="1"/>
    <xf numFmtId="165" fontId="9" fillId="0" borderId="0" xfId="5" applyFont="1" applyAlignment="1">
      <alignment horizontal="left"/>
    </xf>
    <xf numFmtId="165" fontId="6" fillId="0" borderId="0" xfId="5" applyFont="1"/>
    <xf numFmtId="0" fontId="6" fillId="0" borderId="0" xfId="0" applyFont="1"/>
    <xf numFmtId="164" fontId="22" fillId="5" borderId="0" xfId="18" applyAlignment="1">
      <alignment horizontal="left"/>
    </xf>
    <xf numFmtId="164" fontId="22" fillId="5" borderId="0" xfId="18"/>
    <xf numFmtId="165" fontId="6" fillId="0" borderId="0" xfId="5" applyFont="1" applyAlignment="1">
      <alignment horizontal="left" indent="1"/>
    </xf>
    <xf numFmtId="164" fontId="22" fillId="5" borderId="0" xfId="18" applyAlignment="1">
      <alignment horizontal="center"/>
    </xf>
    <xf numFmtId="0" fontId="7" fillId="6" borderId="0" xfId="0" applyFont="1" applyFill="1" applyAlignment="1">
      <alignment horizontal="center"/>
    </xf>
    <xf numFmtId="0" fontId="8" fillId="4" borderId="2" xfId="4" applyAlignment="1">
      <alignment horizontal="center"/>
    </xf>
    <xf numFmtId="0" fontId="7" fillId="0" borderId="0" xfId="0" applyFont="1" applyAlignment="1">
      <alignment horizontal="center"/>
    </xf>
    <xf numFmtId="0" fontId="8" fillId="6" borderId="0" xfId="0" applyFont="1" applyFill="1" applyAlignment="1">
      <alignment horizontal="left"/>
    </xf>
    <xf numFmtId="15" fontId="11" fillId="0" borderId="0" xfId="19" applyNumberFormat="1"/>
    <xf numFmtId="165" fontId="11" fillId="0" borderId="0" xfId="19"/>
    <xf numFmtId="165" fontId="5" fillId="0" borderId="0" xfId="5" applyFont="1"/>
    <xf numFmtId="165" fontId="8" fillId="0" borderId="0" xfId="0" applyNumberFormat="1" applyFont="1"/>
    <xf numFmtId="165" fontId="5" fillId="0" borderId="1" xfId="5" applyFont="1" applyBorder="1"/>
    <xf numFmtId="165" fontId="4" fillId="0" borderId="0" xfId="5" applyFont="1"/>
    <xf numFmtId="0" fontId="11" fillId="0" borderId="0" xfId="19" applyNumberFormat="1"/>
    <xf numFmtId="0" fontId="3" fillId="0" borderId="0" xfId="0" applyFont="1"/>
    <xf numFmtId="165" fontId="3" fillId="0" borderId="0" xfId="5" applyFont="1"/>
    <xf numFmtId="165" fontId="8" fillId="4" borderId="2" xfId="4" applyNumberFormat="1">
      <alignment horizontal="left"/>
    </xf>
    <xf numFmtId="165" fontId="6" fillId="7" borderId="0" xfId="5" applyFill="1"/>
    <xf numFmtId="165" fontId="7" fillId="7" borderId="0" xfId="0" applyNumberFormat="1" applyFont="1" applyFill="1"/>
    <xf numFmtId="165" fontId="2" fillId="0" borderId="0" xfId="5" applyFont="1"/>
    <xf numFmtId="0" fontId="1" fillId="0" borderId="0" xfId="0" applyFont="1"/>
    <xf numFmtId="165" fontId="1" fillId="4" borderId="2" xfId="20" applyFill="1" applyBorder="1" applyAlignment="1">
      <alignment horizontal="left"/>
    </xf>
    <xf numFmtId="0" fontId="1" fillId="0" borderId="0" xfId="0" applyFont="1" applyAlignment="1">
      <alignment horizontal="center"/>
    </xf>
    <xf numFmtId="165" fontId="8" fillId="0" borderId="0" xfId="20" applyFont="1"/>
    <xf numFmtId="165" fontId="1" fillId="0" borderId="0" xfId="20"/>
    <xf numFmtId="165" fontId="1" fillId="0" borderId="0" xfId="20" applyFont="1"/>
    <xf numFmtId="167" fontId="1" fillId="0" borderId="0" xfId="21"/>
    <xf numFmtId="168" fontId="10" fillId="0" borderId="0" xfId="15"/>
    <xf numFmtId="15" fontId="1" fillId="0" borderId="0" xfId="22"/>
    <xf numFmtId="168" fontId="11" fillId="0" borderId="0" xfId="19" applyNumberFormat="1" applyAlignment="1">
      <alignment horizontal="right"/>
    </xf>
    <xf numFmtId="165" fontId="15" fillId="0" borderId="0" xfId="6" applyNumberFormat="1"/>
    <xf numFmtId="165" fontId="8" fillId="0" borderId="1" xfId="20" applyFont="1" applyBorder="1"/>
    <xf numFmtId="165" fontId="1" fillId="0" borderId="0" xfId="5" applyFont="1"/>
  </cellXfs>
  <cellStyles count="23">
    <cellStyle name="Hyperlink" xfId="2" builtinId="8"/>
    <cellStyle name="MO Ass Date" xfId="7"/>
    <cellStyle name="MO Ass DollarCents" xfId="8"/>
    <cellStyle name="MO Ass Number 0DP" xfId="9"/>
    <cellStyle name="MO Ass Percent" xfId="10"/>
    <cellStyle name="MO Ass Year" xfId="11"/>
    <cellStyle name="MO Date" xfId="3"/>
    <cellStyle name="MO Date 2" xfId="22"/>
    <cellStyle name="MO Fixed Ass Date" xfId="12"/>
    <cellStyle name="MO Fixed Ass Number 1" xfId="13"/>
    <cellStyle name="MO Number 1" xfId="5"/>
    <cellStyle name="MO Number 1 2" xfId="20"/>
    <cellStyle name="MO Number 2DP" xfId="14"/>
    <cellStyle name="MO Number 2DP 2" xfId="21"/>
    <cellStyle name="MO Percent 2DP" xfId="15"/>
    <cellStyle name="MO Section Header" xfId="4"/>
    <cellStyle name="MO Sheet Header" xfId="18"/>
    <cellStyle name="MO Unique" xfId="19"/>
    <cellStyle name="MO Units" xfId="6"/>
    <cellStyle name="MO Wkg date" xfId="16"/>
    <cellStyle name="MO Wkg text" xfId="17"/>
    <cellStyle name="Neutral" xfId="1" builtinId="28" customBuiltin="1"/>
    <cellStyle name="Normal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3"/>
  <sheetViews>
    <sheetView showGridLines="0" tabSelected="1" zoomScaleNormal="100" workbookViewId="0">
      <pane xSplit="10" ySplit="5" topLeftCell="K6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28" sqref="D28"/>
    </sheetView>
  </sheetViews>
  <sheetFormatPr defaultRowHeight="15" x14ac:dyDescent="0.25"/>
  <cols>
    <col min="1" max="1" width="7.28515625" style="85" customWidth="1"/>
    <col min="2" max="2" width="3.7109375" style="85" customWidth="1"/>
    <col min="3" max="3" width="3.7109375" style="7" customWidth="1"/>
    <col min="4" max="4" width="40.7109375" style="7" customWidth="1"/>
    <col min="5" max="6" width="9.140625" style="85" customWidth="1"/>
    <col min="7" max="7" width="3.7109375" style="85" customWidth="1"/>
    <col min="8" max="8" width="5.7109375" style="10" customWidth="1"/>
    <col min="9" max="9" width="9.7109375" style="14" customWidth="1"/>
    <col min="10" max="10" width="14.7109375" style="85" customWidth="1"/>
    <col min="11" max="68" width="12.7109375" style="85" customWidth="1"/>
    <col min="69" max="16384" width="9.140625" style="85"/>
  </cols>
  <sheetData>
    <row r="1" spans="1:68" ht="20.25" x14ac:dyDescent="0.3">
      <c r="A1" s="65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</row>
    <row r="2" spans="1:68" s="6" customFormat="1" ht="18" customHeight="1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</row>
    <row r="3" spans="1:68" ht="18" customHeight="1" x14ac:dyDescent="0.3">
      <c r="A3" s="64"/>
      <c r="B3" s="65"/>
      <c r="C3" s="65" t="s">
        <v>143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</row>
    <row r="4" spans="1:68" x14ac:dyDescent="0.25">
      <c r="D4" s="8"/>
      <c r="E4" s="9"/>
    </row>
    <row r="5" spans="1:68" x14ac:dyDescent="0.25">
      <c r="D5" s="12"/>
    </row>
    <row r="6" spans="1:68" ht="12.75" customHeight="1" x14ac:dyDescent="0.25"/>
    <row r="7" spans="1:68" ht="12.75" x14ac:dyDescent="0.2">
      <c r="A7" s="16"/>
      <c r="B7" s="69"/>
      <c r="C7" s="16" t="s">
        <v>143</v>
      </c>
      <c r="D7" s="16"/>
      <c r="E7" s="16"/>
      <c r="F7" s="16"/>
      <c r="G7" s="16"/>
      <c r="H7" s="16"/>
      <c r="I7" s="86"/>
      <c r="J7" s="16"/>
    </row>
    <row r="8" spans="1:68" ht="12.75" x14ac:dyDescent="0.2">
      <c r="B8" s="87"/>
      <c r="C8" s="88"/>
      <c r="D8" s="89"/>
      <c r="I8" s="89"/>
    </row>
    <row r="9" spans="1:68" ht="12.75" x14ac:dyDescent="0.2">
      <c r="B9" s="87"/>
      <c r="C9" s="88"/>
      <c r="D9" s="90" t="s">
        <v>144</v>
      </c>
      <c r="I9" s="24">
        <v>1000</v>
      </c>
    </row>
    <row r="10" spans="1:68" ht="12.75" x14ac:dyDescent="0.2">
      <c r="B10" s="87"/>
      <c r="C10" s="88"/>
      <c r="D10" s="89"/>
      <c r="I10" s="89"/>
    </row>
    <row r="11" spans="1:68" ht="12.75" x14ac:dyDescent="0.2">
      <c r="B11" s="87"/>
      <c r="C11" s="88"/>
      <c r="D11" s="90" t="s">
        <v>145</v>
      </c>
      <c r="I11" s="26">
        <v>1000</v>
      </c>
    </row>
    <row r="12" spans="1:68" ht="12.75" x14ac:dyDescent="0.2">
      <c r="B12" s="87"/>
      <c r="C12" s="88"/>
      <c r="D12" s="89"/>
      <c r="I12" s="89"/>
    </row>
    <row r="13" spans="1:68" ht="12.75" x14ac:dyDescent="0.2">
      <c r="B13" s="87"/>
      <c r="C13" s="88"/>
      <c r="D13" s="90" t="s">
        <v>146</v>
      </c>
      <c r="I13" s="89">
        <v>5000</v>
      </c>
    </row>
    <row r="14" spans="1:68" ht="12.75" x14ac:dyDescent="0.2">
      <c r="B14" s="87"/>
      <c r="C14" s="88"/>
      <c r="D14" s="89"/>
      <c r="I14" s="89"/>
    </row>
    <row r="15" spans="1:68" ht="12.75" x14ac:dyDescent="0.2">
      <c r="B15" s="87"/>
      <c r="C15" s="88"/>
      <c r="D15" s="90" t="s">
        <v>147</v>
      </c>
      <c r="I15" s="89">
        <v>0</v>
      </c>
    </row>
    <row r="16" spans="1:68" ht="12.75" x14ac:dyDescent="0.2">
      <c r="B16" s="87"/>
      <c r="C16" s="88"/>
      <c r="D16" s="89"/>
      <c r="I16" s="89"/>
    </row>
    <row r="17" spans="2:9" ht="12.75" x14ac:dyDescent="0.2">
      <c r="B17" s="87"/>
      <c r="C17" s="88"/>
      <c r="D17" s="90" t="s">
        <v>148</v>
      </c>
      <c r="I17" s="89">
        <v>-5000</v>
      </c>
    </row>
    <row r="18" spans="2:9" ht="12.75" x14ac:dyDescent="0.2">
      <c r="B18" s="87"/>
      <c r="C18" s="88"/>
      <c r="D18" s="89"/>
      <c r="I18" s="89"/>
    </row>
    <row r="19" spans="2:9" ht="12.75" x14ac:dyDescent="0.2">
      <c r="B19" s="87"/>
      <c r="C19" s="88"/>
      <c r="D19" s="90" t="s">
        <v>149</v>
      </c>
      <c r="I19" s="91">
        <v>2.5</v>
      </c>
    </row>
    <row r="20" spans="2:9" ht="12.75" x14ac:dyDescent="0.2">
      <c r="B20" s="87"/>
      <c r="C20" s="88"/>
      <c r="D20" s="89"/>
      <c r="I20" s="89"/>
    </row>
    <row r="21" spans="2:9" ht="12.75" x14ac:dyDescent="0.2">
      <c r="B21" s="87"/>
      <c r="C21" s="88"/>
      <c r="D21" s="90" t="s">
        <v>150</v>
      </c>
      <c r="I21" s="92">
        <v>0.25</v>
      </c>
    </row>
    <row r="22" spans="2:9" ht="12.75" x14ac:dyDescent="0.2">
      <c r="B22" s="87"/>
      <c r="C22" s="88"/>
      <c r="D22" s="89"/>
      <c r="I22" s="89"/>
    </row>
    <row r="23" spans="2:9" ht="12.75" x14ac:dyDescent="0.2">
      <c r="B23" s="87"/>
      <c r="C23" s="88"/>
      <c r="D23" s="90" t="s">
        <v>151</v>
      </c>
      <c r="I23" s="93">
        <v>41639</v>
      </c>
    </row>
    <row r="24" spans="2:9" ht="12.75" x14ac:dyDescent="0.2">
      <c r="B24" s="87"/>
      <c r="C24" s="88"/>
      <c r="D24" s="89"/>
      <c r="I24" s="85"/>
    </row>
    <row r="25" spans="2:9" ht="12.75" x14ac:dyDescent="0.2">
      <c r="B25" s="87"/>
      <c r="C25" s="88"/>
      <c r="D25" s="90" t="s">
        <v>152</v>
      </c>
      <c r="I25" s="94" t="s">
        <v>153</v>
      </c>
    </row>
    <row r="26" spans="2:9" ht="12.75" x14ac:dyDescent="0.2">
      <c r="B26" s="87"/>
      <c r="C26" s="88"/>
      <c r="D26" s="89"/>
      <c r="I26" s="89"/>
    </row>
    <row r="27" spans="2:9" ht="12.75" x14ac:dyDescent="0.2">
      <c r="B27" s="87"/>
      <c r="C27" s="88"/>
      <c r="D27" s="90" t="s">
        <v>154</v>
      </c>
      <c r="I27" s="95" t="s">
        <v>1</v>
      </c>
    </row>
    <row r="28" spans="2:9" ht="12.75" x14ac:dyDescent="0.2">
      <c r="B28" s="87"/>
      <c r="C28" s="88"/>
      <c r="D28" s="89"/>
      <c r="I28" s="89"/>
    </row>
    <row r="29" spans="2:9" ht="12.75" x14ac:dyDescent="0.2">
      <c r="B29" s="87"/>
      <c r="C29" s="88"/>
      <c r="D29" s="90" t="s">
        <v>155</v>
      </c>
      <c r="I29" s="96">
        <v>10000</v>
      </c>
    </row>
    <row r="30" spans="2:9" ht="12.75" x14ac:dyDescent="0.2">
      <c r="B30" s="87"/>
      <c r="C30" s="88"/>
      <c r="D30" s="90"/>
      <c r="I30" s="89"/>
    </row>
    <row r="31" spans="2:9" ht="12.75" x14ac:dyDescent="0.2">
      <c r="B31" s="87"/>
      <c r="C31" s="88"/>
      <c r="D31" s="90" t="s">
        <v>156</v>
      </c>
      <c r="I31" s="25">
        <v>1000</v>
      </c>
    </row>
    <row r="32" spans="2:9" ht="12.75" x14ac:dyDescent="0.2">
      <c r="B32" s="87"/>
      <c r="C32" s="88"/>
      <c r="D32" s="90"/>
      <c r="I32" s="89"/>
    </row>
    <row r="33" spans="1:10" ht="12.75" x14ac:dyDescent="0.2">
      <c r="B33" s="87"/>
      <c r="C33" s="88"/>
      <c r="D33" s="90" t="s">
        <v>157</v>
      </c>
      <c r="I33" s="16" t="s">
        <v>158</v>
      </c>
    </row>
    <row r="34" spans="1:10" ht="12.75" x14ac:dyDescent="0.2">
      <c r="B34" s="87"/>
      <c r="C34" s="88"/>
      <c r="D34" s="90"/>
      <c r="I34" s="89"/>
    </row>
    <row r="35" spans="1:10" ht="20.25" x14ac:dyDescent="0.3">
      <c r="B35" s="87"/>
      <c r="C35" s="88"/>
      <c r="D35" s="90" t="s">
        <v>159</v>
      </c>
      <c r="I35" s="65" t="s">
        <v>160</v>
      </c>
    </row>
    <row r="36" spans="1:10" ht="12.75" x14ac:dyDescent="0.2">
      <c r="B36" s="87"/>
      <c r="C36" s="88"/>
      <c r="D36" s="90"/>
      <c r="I36" s="89"/>
    </row>
    <row r="37" spans="1:10" ht="12.75" x14ac:dyDescent="0.2">
      <c r="A37" s="16"/>
      <c r="B37" s="69"/>
      <c r="C37" s="16" t="s">
        <v>99</v>
      </c>
      <c r="D37" s="16"/>
      <c r="E37" s="16"/>
      <c r="F37" s="16"/>
      <c r="G37" s="16"/>
      <c r="H37" s="16"/>
      <c r="I37" s="86"/>
      <c r="J37" s="16"/>
    </row>
    <row r="38" spans="1:10" ht="12.75" customHeight="1" x14ac:dyDescent="0.25"/>
    <row r="39" spans="1:10" ht="12.75" customHeight="1" x14ac:dyDescent="0.25"/>
    <row r="40" spans="1:10" ht="12.75" customHeight="1" x14ac:dyDescent="0.25"/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</sheetData>
  <pageMargins left="0.7" right="0.7" top="0.75" bottom="0.75" header="0.3" footer="0.3"/>
  <pageSetup paperSize="9"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218"/>
  <sheetViews>
    <sheetView showGridLines="0" zoomScaleNormal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J126" sqref="J126"/>
    </sheetView>
  </sheetViews>
  <sheetFormatPr defaultRowHeight="12.75" x14ac:dyDescent="0.2"/>
  <cols>
    <col min="1" max="1" width="7.28515625" style="1" customWidth="1"/>
    <col min="2" max="2" width="9.85546875" style="70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12.7109375" style="17" customWidth="1"/>
    <col min="10" max="10" width="12.7109375" style="1" customWidth="1"/>
    <col min="11" max="11" width="12.7109375" style="20" customWidth="1"/>
    <col min="12" max="34" width="12.7109375" style="1" customWidth="1"/>
    <col min="35" max="16384" width="9.140625" style="1"/>
  </cols>
  <sheetData>
    <row r="1" spans="1:34" ht="20.25" x14ac:dyDescent="0.3">
      <c r="A1" s="65" t="s">
        <v>50</v>
      </c>
      <c r="B1" s="67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</row>
    <row r="2" spans="1:34" s="6" customFormat="1" ht="18" customHeight="1" x14ac:dyDescent="0.3">
      <c r="A2" s="65"/>
      <c r="B2" s="67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</row>
    <row r="3" spans="1:34" ht="18" customHeight="1" x14ac:dyDescent="0.3">
      <c r="A3" s="64">
        <v>1</v>
      </c>
      <c r="B3" s="67"/>
      <c r="C3" s="65" t="s">
        <v>53</v>
      </c>
      <c r="D3" s="65"/>
      <c r="E3" s="65"/>
      <c r="F3" s="65"/>
      <c r="G3" s="65"/>
      <c r="H3" s="65"/>
      <c r="I3" s="65"/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</row>
    <row r="4" spans="1:34" ht="15" x14ac:dyDescent="0.25">
      <c r="B4" s="68"/>
      <c r="D4" s="8"/>
      <c r="E4" s="9"/>
    </row>
    <row r="5" spans="1:34" x14ac:dyDescent="0.2">
      <c r="B5" s="71" t="s">
        <v>103</v>
      </c>
      <c r="D5" s="12"/>
    </row>
    <row r="6" spans="1:34" ht="15" x14ac:dyDescent="0.25">
      <c r="B6" s="71" t="s">
        <v>104</v>
      </c>
      <c r="D6" s="13"/>
      <c r="E6" s="2"/>
      <c r="F6" s="11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15" x14ac:dyDescent="0.25">
      <c r="B7" s="71" t="s">
        <v>102</v>
      </c>
      <c r="D7" s="13"/>
      <c r="E7" s="10" t="s">
        <v>48</v>
      </c>
      <c r="F7" s="11"/>
      <c r="I7" s="21" t="s">
        <v>51</v>
      </c>
      <c r="J7" s="1" t="s">
        <v>52</v>
      </c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x14ac:dyDescent="0.2">
      <c r="B8" s="68"/>
      <c r="C8" s="8"/>
    </row>
    <row r="9" spans="1:34" x14ac:dyDescent="0.2">
      <c r="A9" s="16">
        <f>MAX(A$3:A8)+0.01</f>
        <v>1.01</v>
      </c>
      <c r="B9" s="69"/>
      <c r="C9" s="16" t="s">
        <v>53</v>
      </c>
      <c r="D9" s="16"/>
      <c r="E9" s="16"/>
      <c r="F9" s="16"/>
      <c r="G9" s="16"/>
      <c r="H9" s="16"/>
      <c r="I9" s="22"/>
      <c r="J9" s="16"/>
      <c r="K9" s="2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5" x14ac:dyDescent="0.25">
      <c r="B10" s="68"/>
      <c r="C10" s="17"/>
      <c r="D10" s="17"/>
      <c r="E10" s="18"/>
      <c r="F10" s="11"/>
      <c r="H10" s="18"/>
    </row>
    <row r="11" spans="1:34" ht="15" x14ac:dyDescent="0.25">
      <c r="B11" s="68"/>
      <c r="C11" s="19" t="s">
        <v>54</v>
      </c>
      <c r="D11" s="17"/>
      <c r="E11" s="18"/>
      <c r="F11" s="11"/>
      <c r="H11" s="18"/>
    </row>
    <row r="12" spans="1:34" ht="15" x14ac:dyDescent="0.25">
      <c r="B12" s="68">
        <v>2</v>
      </c>
      <c r="C12" s="19"/>
      <c r="D12" s="63" t="s">
        <v>109</v>
      </c>
      <c r="E12" s="18" t="s">
        <v>0</v>
      </c>
      <c r="F12" s="11"/>
      <c r="H12" s="18"/>
      <c r="I12" s="33">
        <v>41639</v>
      </c>
      <c r="J12" s="17"/>
      <c r="K12" s="25"/>
      <c r="L12" s="17"/>
      <c r="M12" s="17"/>
    </row>
    <row r="13" spans="1:34" ht="15" x14ac:dyDescent="0.25">
      <c r="B13" s="68">
        <v>1</v>
      </c>
      <c r="C13" s="19"/>
      <c r="D13" s="17" t="s">
        <v>57</v>
      </c>
      <c r="E13" s="18" t="s">
        <v>58</v>
      </c>
      <c r="F13" s="11"/>
      <c r="H13" s="18"/>
      <c r="I13" s="26">
        <v>4</v>
      </c>
      <c r="J13" s="17"/>
      <c r="K13" s="25"/>
      <c r="L13" s="17"/>
      <c r="M13" s="17"/>
    </row>
    <row r="14" spans="1:34" ht="15" x14ac:dyDescent="0.25">
      <c r="B14" s="68">
        <v>2</v>
      </c>
      <c r="C14" s="19"/>
      <c r="D14" s="62" t="s">
        <v>101</v>
      </c>
      <c r="E14" s="18" t="s">
        <v>0</v>
      </c>
      <c r="F14" s="11"/>
      <c r="H14" s="18"/>
      <c r="I14" s="28">
        <v>48944</v>
      </c>
      <c r="J14" s="17"/>
      <c r="K14" s="25"/>
      <c r="L14" s="17"/>
      <c r="M14" s="17"/>
    </row>
    <row r="15" spans="1:34" ht="15" x14ac:dyDescent="0.25">
      <c r="B15" s="68"/>
      <c r="C15" s="19"/>
      <c r="D15" s="17"/>
      <c r="E15" s="18"/>
      <c r="F15" s="11"/>
      <c r="H15" s="18"/>
      <c r="J15" s="17"/>
      <c r="K15" s="25"/>
      <c r="L15" s="17"/>
      <c r="M15" s="17"/>
    </row>
    <row r="16" spans="1:34" ht="15" x14ac:dyDescent="0.25">
      <c r="B16" s="68">
        <v>13</v>
      </c>
      <c r="C16" s="19"/>
      <c r="D16" s="17" t="s">
        <v>63</v>
      </c>
      <c r="E16" s="18" t="s">
        <v>65</v>
      </c>
      <c r="F16" s="11"/>
      <c r="H16" s="18"/>
      <c r="I16" s="31">
        <v>2.8000000000000001E-2</v>
      </c>
      <c r="J16" s="17"/>
      <c r="K16" s="25"/>
      <c r="L16" s="17"/>
      <c r="M16" s="17"/>
    </row>
    <row r="17" spans="2:13" ht="15" x14ac:dyDescent="0.25">
      <c r="B17" s="68">
        <v>13</v>
      </c>
      <c r="C17" s="19"/>
      <c r="D17" s="17" t="s">
        <v>10</v>
      </c>
      <c r="E17" s="18" t="s">
        <v>62</v>
      </c>
      <c r="F17" s="11"/>
      <c r="H17" s="18"/>
      <c r="I17" s="97" t="s">
        <v>165</v>
      </c>
      <c r="J17" s="17"/>
      <c r="K17" s="25"/>
      <c r="L17" s="17"/>
      <c r="M17" s="17"/>
    </row>
    <row r="18" spans="2:13" ht="15" x14ac:dyDescent="0.25">
      <c r="B18" s="68"/>
      <c r="C18" s="19"/>
      <c r="D18" s="17"/>
      <c r="E18" s="18"/>
      <c r="F18" s="11"/>
      <c r="H18" s="18"/>
      <c r="J18" s="17"/>
      <c r="K18" s="25"/>
      <c r="L18" s="17"/>
      <c r="M18" s="17"/>
    </row>
    <row r="19" spans="2:13" ht="15" x14ac:dyDescent="0.25">
      <c r="B19" s="68">
        <v>26</v>
      </c>
      <c r="C19" s="19"/>
      <c r="D19" s="17" t="s">
        <v>88</v>
      </c>
      <c r="E19" s="18" t="s">
        <v>15</v>
      </c>
      <c r="F19" s="11"/>
      <c r="H19" s="18"/>
      <c r="I19" s="31">
        <v>0.24</v>
      </c>
      <c r="J19" s="17"/>
      <c r="K19" s="25"/>
      <c r="L19" s="17"/>
      <c r="M19" s="17"/>
    </row>
    <row r="20" spans="2:13" x14ac:dyDescent="0.2">
      <c r="B20" s="68">
        <v>26</v>
      </c>
      <c r="C20" s="19"/>
      <c r="D20" s="79" t="s">
        <v>137</v>
      </c>
      <c r="E20" s="18" t="s">
        <v>62</v>
      </c>
      <c r="I20" s="17" t="s">
        <v>92</v>
      </c>
      <c r="J20" s="17"/>
      <c r="K20" s="25"/>
      <c r="L20" s="17"/>
      <c r="M20" s="17"/>
    </row>
    <row r="21" spans="2:13" x14ac:dyDescent="0.2">
      <c r="B21" s="68"/>
      <c r="C21" s="19"/>
      <c r="D21" s="1"/>
      <c r="E21" s="18"/>
      <c r="J21" s="17"/>
      <c r="K21" s="25"/>
      <c r="L21" s="17"/>
      <c r="M21" s="17"/>
    </row>
    <row r="22" spans="2:13" ht="15" x14ac:dyDescent="0.25">
      <c r="B22" s="68">
        <v>23</v>
      </c>
      <c r="C22" s="19"/>
      <c r="D22" s="17" t="s">
        <v>89</v>
      </c>
      <c r="E22" s="18" t="s">
        <v>1</v>
      </c>
      <c r="F22" s="11"/>
      <c r="H22" s="18"/>
      <c r="I22" s="24">
        <v>1000000</v>
      </c>
      <c r="J22" s="17"/>
      <c r="K22" s="25"/>
      <c r="L22" s="17"/>
      <c r="M22" s="17"/>
    </row>
    <row r="23" spans="2:13" ht="15" x14ac:dyDescent="0.25">
      <c r="B23" s="68"/>
      <c r="C23" s="19"/>
      <c r="D23" s="17" t="s">
        <v>90</v>
      </c>
      <c r="E23" s="18"/>
      <c r="F23" s="11"/>
      <c r="H23" s="18"/>
      <c r="J23" s="17"/>
      <c r="K23" s="25"/>
      <c r="L23" s="17"/>
      <c r="M23" s="17"/>
    </row>
    <row r="24" spans="2:13" ht="15" x14ac:dyDescent="0.25">
      <c r="B24" s="68"/>
      <c r="C24" s="19"/>
      <c r="D24" s="17"/>
      <c r="E24" s="18"/>
      <c r="F24" s="11"/>
      <c r="H24" s="18"/>
      <c r="J24" s="17"/>
      <c r="K24" s="25"/>
      <c r="L24" s="17"/>
      <c r="M24" s="17"/>
    </row>
    <row r="25" spans="2:13" x14ac:dyDescent="0.2">
      <c r="B25" s="68"/>
      <c r="C25" s="19" t="s">
        <v>59</v>
      </c>
      <c r="D25" s="17"/>
      <c r="E25" s="18"/>
      <c r="J25" s="17"/>
      <c r="K25" s="25"/>
      <c r="L25" s="17"/>
      <c r="M25" s="17"/>
    </row>
    <row r="26" spans="2:13" x14ac:dyDescent="0.2">
      <c r="B26" s="68">
        <v>6</v>
      </c>
      <c r="C26" s="19"/>
      <c r="D26" s="3" t="s">
        <v>60</v>
      </c>
      <c r="E26" s="18"/>
      <c r="J26" s="17"/>
      <c r="K26" s="25"/>
      <c r="L26" s="17"/>
      <c r="M26" s="17"/>
    </row>
    <row r="27" spans="2:13" x14ac:dyDescent="0.2">
      <c r="B27" s="68"/>
      <c r="C27" s="19"/>
      <c r="D27" s="1" t="s">
        <v>30</v>
      </c>
      <c r="E27" s="18" t="s">
        <v>100</v>
      </c>
      <c r="I27" s="47">
        <v>1.7613000000000001</v>
      </c>
      <c r="J27" s="17"/>
      <c r="K27" s="25"/>
      <c r="L27" s="17"/>
      <c r="M27" s="17"/>
    </row>
    <row r="28" spans="2:13" x14ac:dyDescent="0.2">
      <c r="B28" s="68"/>
      <c r="C28" s="19"/>
      <c r="D28" s="1" t="s">
        <v>31</v>
      </c>
      <c r="E28" s="18" t="s">
        <v>100</v>
      </c>
      <c r="I28" s="47">
        <v>3.1671</v>
      </c>
      <c r="J28" s="17"/>
      <c r="K28" s="25"/>
      <c r="L28" s="17"/>
      <c r="M28" s="17"/>
    </row>
    <row r="29" spans="2:13" x14ac:dyDescent="0.2">
      <c r="B29" s="68"/>
      <c r="C29" s="19"/>
      <c r="D29" s="1" t="s">
        <v>32</v>
      </c>
      <c r="E29" s="18" t="s">
        <v>100</v>
      </c>
      <c r="I29" s="47">
        <v>4.8433000000000002</v>
      </c>
      <c r="J29" s="17"/>
      <c r="K29" s="25"/>
      <c r="L29" s="17"/>
      <c r="M29" s="17"/>
    </row>
    <row r="30" spans="2:13" x14ac:dyDescent="0.2">
      <c r="B30" s="68"/>
      <c r="C30" s="19"/>
      <c r="D30" s="1" t="s">
        <v>33</v>
      </c>
      <c r="E30" s="18" t="s">
        <v>100</v>
      </c>
      <c r="I30" s="47">
        <v>7.234</v>
      </c>
      <c r="J30" s="17"/>
      <c r="K30" s="25"/>
      <c r="L30" s="17"/>
      <c r="M30" s="17"/>
    </row>
    <row r="31" spans="2:13" x14ac:dyDescent="0.2">
      <c r="B31" s="68"/>
      <c r="C31" s="19"/>
      <c r="D31" s="17"/>
      <c r="E31" s="18"/>
      <c r="J31" s="17"/>
      <c r="K31" s="25"/>
      <c r="L31" s="17"/>
      <c r="M31" s="17"/>
    </row>
    <row r="32" spans="2:13" x14ac:dyDescent="0.2">
      <c r="B32" s="68">
        <v>7</v>
      </c>
      <c r="C32" s="19"/>
      <c r="D32" s="1" t="s">
        <v>61</v>
      </c>
      <c r="E32" s="18" t="s">
        <v>15</v>
      </c>
      <c r="I32" s="31">
        <v>2.5000000000000001E-2</v>
      </c>
      <c r="J32" s="17"/>
      <c r="K32" s="25"/>
      <c r="L32" s="17"/>
      <c r="M32" s="17"/>
    </row>
    <row r="33" spans="2:13" x14ac:dyDescent="0.2">
      <c r="B33" s="68">
        <v>7</v>
      </c>
      <c r="C33" s="19"/>
      <c r="D33" s="1" t="s">
        <v>2</v>
      </c>
      <c r="E33" s="18" t="s">
        <v>0</v>
      </c>
      <c r="I33" s="28">
        <f>EOMONTH(I12,6)+1</f>
        <v>41821</v>
      </c>
      <c r="J33" s="17"/>
      <c r="K33" s="25"/>
      <c r="L33" s="17"/>
      <c r="M33" s="17"/>
    </row>
    <row r="34" spans="2:13" x14ac:dyDescent="0.2">
      <c r="B34" s="68"/>
      <c r="C34" s="19"/>
      <c r="D34" s="1"/>
      <c r="E34" s="18"/>
      <c r="J34" s="17"/>
      <c r="K34" s="25"/>
      <c r="L34" s="17"/>
      <c r="M34" s="17"/>
    </row>
    <row r="35" spans="2:13" x14ac:dyDescent="0.2">
      <c r="B35" s="68">
        <v>7</v>
      </c>
      <c r="C35" s="19"/>
      <c r="D35" s="1" t="s">
        <v>40</v>
      </c>
      <c r="E35" s="18" t="s">
        <v>1</v>
      </c>
      <c r="I35" s="29">
        <v>0.3</v>
      </c>
      <c r="J35" s="17"/>
      <c r="K35" s="25"/>
      <c r="L35" s="17"/>
      <c r="M35" s="17"/>
    </row>
    <row r="36" spans="2:13" x14ac:dyDescent="0.2">
      <c r="B36" s="68"/>
      <c r="C36" s="19"/>
      <c r="D36" s="1"/>
      <c r="E36" s="18"/>
      <c r="J36" s="17"/>
      <c r="K36" s="25"/>
      <c r="L36" s="17"/>
      <c r="M36" s="17"/>
    </row>
    <row r="37" spans="2:13" x14ac:dyDescent="0.2">
      <c r="B37" s="68"/>
      <c r="C37" s="19"/>
      <c r="D37" s="3" t="s">
        <v>41</v>
      </c>
      <c r="E37" s="18"/>
      <c r="J37" s="17"/>
      <c r="K37" s="25"/>
      <c r="L37" s="17"/>
      <c r="M37" s="17"/>
    </row>
    <row r="38" spans="2:13" x14ac:dyDescent="0.2">
      <c r="B38" s="68">
        <v>7</v>
      </c>
      <c r="C38" s="19"/>
      <c r="D38" s="1" t="s">
        <v>42</v>
      </c>
      <c r="E38" s="18" t="s">
        <v>62</v>
      </c>
      <c r="I38" s="4" t="s">
        <v>44</v>
      </c>
      <c r="J38" s="17"/>
      <c r="K38" s="25"/>
      <c r="L38" s="17"/>
      <c r="M38" s="17"/>
    </row>
    <row r="39" spans="2:13" x14ac:dyDescent="0.2">
      <c r="B39" s="68">
        <v>7</v>
      </c>
      <c r="C39" s="19"/>
      <c r="D39" s="1" t="s">
        <v>43</v>
      </c>
      <c r="E39" s="18" t="s">
        <v>62</v>
      </c>
      <c r="I39" s="4" t="s">
        <v>45</v>
      </c>
      <c r="J39" s="17"/>
      <c r="K39" s="25"/>
      <c r="L39" s="17"/>
      <c r="M39" s="17"/>
    </row>
    <row r="40" spans="2:13" ht="15" x14ac:dyDescent="0.25">
      <c r="B40" s="68"/>
      <c r="C40" s="19"/>
      <c r="D40" s="17"/>
      <c r="E40" s="18"/>
      <c r="F40" s="11"/>
      <c r="H40" s="18"/>
      <c r="J40" s="17"/>
      <c r="K40" s="25"/>
      <c r="L40" s="17"/>
      <c r="M40" s="17"/>
    </row>
    <row r="41" spans="2:13" ht="15" x14ac:dyDescent="0.25">
      <c r="B41" s="68"/>
      <c r="C41" s="19" t="s">
        <v>55</v>
      </c>
      <c r="D41" s="17"/>
      <c r="E41" s="18"/>
      <c r="F41" s="11"/>
      <c r="H41" s="18"/>
      <c r="J41" s="17"/>
      <c r="K41" s="25"/>
      <c r="L41" s="17"/>
      <c r="M41" s="17"/>
    </row>
    <row r="42" spans="2:13" x14ac:dyDescent="0.2">
      <c r="B42" s="68">
        <v>8</v>
      </c>
      <c r="C42" s="19"/>
      <c r="D42" s="27" t="s">
        <v>142</v>
      </c>
      <c r="I42" s="61" t="s">
        <v>140</v>
      </c>
    </row>
    <row r="43" spans="2:13" x14ac:dyDescent="0.2">
      <c r="B43" s="68"/>
      <c r="C43" s="19"/>
      <c r="D43" s="17" t="s">
        <v>30</v>
      </c>
      <c r="E43" s="18" t="s">
        <v>56</v>
      </c>
      <c r="I43" s="24">
        <v>2000</v>
      </c>
    </row>
    <row r="44" spans="2:13" x14ac:dyDescent="0.2">
      <c r="B44" s="68"/>
      <c r="C44" s="19"/>
      <c r="D44" s="17" t="s">
        <v>31</v>
      </c>
      <c r="E44" s="18" t="s">
        <v>56</v>
      </c>
      <c r="I44" s="24">
        <v>25000</v>
      </c>
    </row>
    <row r="45" spans="2:13" x14ac:dyDescent="0.2">
      <c r="B45" s="68"/>
      <c r="C45" s="19"/>
      <c r="D45" s="17" t="s">
        <v>32</v>
      </c>
      <c r="E45" s="18" t="s">
        <v>56</v>
      </c>
      <c r="I45" s="24">
        <v>7000</v>
      </c>
    </row>
    <row r="46" spans="2:13" x14ac:dyDescent="0.2">
      <c r="B46" s="68"/>
      <c r="C46" s="19"/>
      <c r="D46" s="17" t="s">
        <v>33</v>
      </c>
      <c r="E46" s="18" t="s">
        <v>56</v>
      </c>
      <c r="I46" s="24">
        <v>5000</v>
      </c>
    </row>
    <row r="47" spans="2:13" x14ac:dyDescent="0.2">
      <c r="B47" s="68"/>
      <c r="C47" s="19"/>
      <c r="D47" s="17"/>
    </row>
    <row r="48" spans="2:13" x14ac:dyDescent="0.2">
      <c r="B48" s="68">
        <v>9</v>
      </c>
      <c r="C48" s="19"/>
      <c r="D48" s="79" t="s">
        <v>113</v>
      </c>
      <c r="E48" s="30" t="s">
        <v>15</v>
      </c>
      <c r="I48" s="31">
        <v>0.7</v>
      </c>
    </row>
    <row r="49" spans="2:11" x14ac:dyDescent="0.2">
      <c r="B49" s="68"/>
      <c r="C49" s="19"/>
      <c r="D49" s="17"/>
      <c r="E49" s="18"/>
    </row>
    <row r="50" spans="2:11" x14ac:dyDescent="0.2">
      <c r="B50" s="68"/>
      <c r="C50" s="19"/>
      <c r="D50" s="27" t="s">
        <v>70</v>
      </c>
      <c r="E50" s="18"/>
    </row>
    <row r="51" spans="2:11" x14ac:dyDescent="0.2">
      <c r="B51" s="68">
        <v>10</v>
      </c>
      <c r="C51" s="19"/>
      <c r="D51" s="17" t="s">
        <v>69</v>
      </c>
      <c r="E51" s="30" t="s">
        <v>15</v>
      </c>
      <c r="I51" s="31">
        <v>0.02</v>
      </c>
    </row>
    <row r="52" spans="2:11" x14ac:dyDescent="0.2">
      <c r="B52" s="68"/>
      <c r="C52" s="19"/>
      <c r="D52" s="17"/>
      <c r="E52" s="18"/>
    </row>
    <row r="53" spans="2:11" x14ac:dyDescent="0.2">
      <c r="B53" s="68">
        <v>8</v>
      </c>
      <c r="C53" s="19"/>
      <c r="D53" s="27" t="s">
        <v>139</v>
      </c>
      <c r="E53" s="18"/>
      <c r="I53" s="35" t="s">
        <v>35</v>
      </c>
      <c r="J53" s="36" t="s">
        <v>36</v>
      </c>
      <c r="K53" s="43" t="s">
        <v>37</v>
      </c>
    </row>
    <row r="54" spans="2:11" x14ac:dyDescent="0.2">
      <c r="B54" s="68"/>
      <c r="C54" s="19"/>
      <c r="D54" s="17"/>
      <c r="E54" s="18"/>
      <c r="I54" s="37" t="s">
        <v>0</v>
      </c>
      <c r="J54" s="38" t="s">
        <v>0</v>
      </c>
      <c r="K54" s="44" t="s">
        <v>38</v>
      </c>
    </row>
    <row r="55" spans="2:11" x14ac:dyDescent="0.2">
      <c r="B55" s="68"/>
      <c r="C55" s="19"/>
      <c r="D55" s="17" t="s">
        <v>34</v>
      </c>
      <c r="E55" s="18"/>
      <c r="I55" s="39">
        <v>41730</v>
      </c>
      <c r="J55" s="40">
        <v>42185</v>
      </c>
      <c r="K55" s="45">
        <v>3.5000000000000001E-3</v>
      </c>
    </row>
    <row r="56" spans="2:11" x14ac:dyDescent="0.2">
      <c r="B56" s="68"/>
      <c r="C56" s="19"/>
      <c r="D56" s="17" t="s">
        <v>34</v>
      </c>
      <c r="E56" s="18"/>
      <c r="I56" s="39">
        <f>J55+1</f>
        <v>42186</v>
      </c>
      <c r="J56" s="40">
        <v>43465</v>
      </c>
      <c r="K56" s="45">
        <v>3.0000000000000001E-3</v>
      </c>
    </row>
    <row r="57" spans="2:11" x14ac:dyDescent="0.2">
      <c r="B57" s="68"/>
      <c r="C57" s="19"/>
      <c r="D57" s="17" t="s">
        <v>34</v>
      </c>
      <c r="E57" s="18"/>
      <c r="I57" s="41">
        <f>J56+1</f>
        <v>43466</v>
      </c>
      <c r="J57" s="42" t="s">
        <v>39</v>
      </c>
      <c r="K57" s="46">
        <v>2.5000000000000001E-3</v>
      </c>
    </row>
    <row r="58" spans="2:11" x14ac:dyDescent="0.2">
      <c r="B58" s="68"/>
      <c r="C58" s="19"/>
      <c r="D58" s="17"/>
      <c r="E58" s="18"/>
    </row>
    <row r="59" spans="2:11" x14ac:dyDescent="0.2">
      <c r="B59" s="68">
        <v>11</v>
      </c>
      <c r="C59" s="19" t="s">
        <v>3</v>
      </c>
      <c r="D59" s="17"/>
      <c r="E59" s="18"/>
    </row>
    <row r="60" spans="2:11" x14ac:dyDescent="0.2">
      <c r="B60" s="68"/>
      <c r="C60" s="19"/>
      <c r="D60" s="27" t="s">
        <v>66</v>
      </c>
      <c r="E60" s="18"/>
    </row>
    <row r="61" spans="2:11" x14ac:dyDescent="0.2">
      <c r="B61" s="68"/>
      <c r="C61" s="19"/>
      <c r="D61" s="17" t="s">
        <v>67</v>
      </c>
      <c r="E61" s="18" t="s">
        <v>8</v>
      </c>
      <c r="I61" s="29">
        <v>0.8</v>
      </c>
    </row>
    <row r="62" spans="2:11" x14ac:dyDescent="0.2">
      <c r="B62" s="68"/>
      <c r="C62" s="19"/>
      <c r="D62" s="17" t="s">
        <v>68</v>
      </c>
      <c r="E62" s="18" t="s">
        <v>8</v>
      </c>
      <c r="I62" s="29">
        <v>1.05</v>
      </c>
    </row>
    <row r="63" spans="2:11" x14ac:dyDescent="0.2">
      <c r="B63" s="68"/>
      <c r="C63" s="19"/>
      <c r="D63" s="17"/>
      <c r="E63" s="18"/>
    </row>
    <row r="64" spans="2:11" x14ac:dyDescent="0.2">
      <c r="B64" s="68">
        <v>12</v>
      </c>
      <c r="C64" s="19" t="s">
        <v>164</v>
      </c>
      <c r="D64" s="17"/>
      <c r="E64" s="18"/>
    </row>
    <row r="65" spans="2:17" x14ac:dyDescent="0.2">
      <c r="B65" s="68"/>
      <c r="C65" s="19"/>
      <c r="D65" s="1" t="s">
        <v>4</v>
      </c>
      <c r="E65" s="18" t="s">
        <v>71</v>
      </c>
      <c r="I65" s="24">
        <v>48000</v>
      </c>
    </row>
    <row r="66" spans="2:17" x14ac:dyDescent="0.2">
      <c r="B66" s="68"/>
      <c r="C66" s="19"/>
      <c r="D66" s="1" t="s">
        <v>5</v>
      </c>
      <c r="E66" s="18" t="s">
        <v>71</v>
      </c>
      <c r="I66" s="24">
        <v>1000000</v>
      </c>
    </row>
    <row r="67" spans="2:17" x14ac:dyDescent="0.2">
      <c r="B67" s="68"/>
      <c r="C67" s="19"/>
      <c r="D67" s="1" t="s">
        <v>6</v>
      </c>
      <c r="E67" s="18" t="s">
        <v>71</v>
      </c>
      <c r="I67" s="24">
        <v>1200000</v>
      </c>
    </row>
    <row r="68" spans="2:17" x14ac:dyDescent="0.2">
      <c r="B68" s="68"/>
      <c r="C68" s="19"/>
      <c r="D68" s="1" t="s">
        <v>7</v>
      </c>
      <c r="E68" s="18" t="s">
        <v>71</v>
      </c>
      <c r="I68" s="24">
        <v>300000</v>
      </c>
    </row>
    <row r="69" spans="2:17" x14ac:dyDescent="0.2">
      <c r="B69" s="68"/>
      <c r="C69" s="19"/>
      <c r="D69" s="17"/>
      <c r="E69" s="18"/>
    </row>
    <row r="70" spans="2:17" x14ac:dyDescent="0.2">
      <c r="B70" s="68">
        <v>14</v>
      </c>
      <c r="C70" s="19" t="s">
        <v>18</v>
      </c>
      <c r="D70" s="17"/>
      <c r="E70" s="18"/>
    </row>
    <row r="71" spans="2:17" x14ac:dyDescent="0.2">
      <c r="B71" s="68"/>
      <c r="C71" s="19"/>
      <c r="D71" s="85" t="s">
        <v>166</v>
      </c>
      <c r="E71" s="18" t="s">
        <v>15</v>
      </c>
      <c r="I71" s="31">
        <v>0.1</v>
      </c>
    </row>
    <row r="72" spans="2:17" x14ac:dyDescent="0.2">
      <c r="B72" s="68"/>
      <c r="C72" s="19"/>
      <c r="D72" s="1" t="s">
        <v>91</v>
      </c>
      <c r="E72" s="18" t="s">
        <v>15</v>
      </c>
      <c r="I72" s="31">
        <v>0.1</v>
      </c>
    </row>
    <row r="73" spans="2:17" x14ac:dyDescent="0.2">
      <c r="B73" s="68"/>
      <c r="C73" s="19"/>
    </row>
    <row r="74" spans="2:17" x14ac:dyDescent="0.2">
      <c r="B74" s="68"/>
      <c r="C74" s="19" t="s">
        <v>72</v>
      </c>
      <c r="D74" s="17"/>
      <c r="E74" s="18"/>
    </row>
    <row r="75" spans="2:17" x14ac:dyDescent="0.2">
      <c r="B75" s="68">
        <v>17</v>
      </c>
      <c r="C75" s="19"/>
      <c r="D75" s="84" t="s">
        <v>141</v>
      </c>
      <c r="E75" s="18"/>
    </row>
    <row r="76" spans="2:17" x14ac:dyDescent="0.2">
      <c r="B76" s="68"/>
      <c r="C76" s="19"/>
      <c r="D76" s="17"/>
      <c r="E76" s="18"/>
    </row>
    <row r="77" spans="2:17" x14ac:dyDescent="0.2">
      <c r="B77" s="68">
        <v>16</v>
      </c>
      <c r="C77" s="19"/>
      <c r="D77" s="27" t="s">
        <v>162</v>
      </c>
      <c r="E77" s="18"/>
      <c r="Q77" s="63" t="s">
        <v>105</v>
      </c>
    </row>
    <row r="78" spans="2:17" x14ac:dyDescent="0.2">
      <c r="B78" s="68"/>
      <c r="C78" s="19"/>
      <c r="D78" s="48" t="s">
        <v>77</v>
      </c>
      <c r="E78" s="18" t="s">
        <v>0</v>
      </c>
      <c r="I78" s="49">
        <f>EOMONTH($I$12-1,3)</f>
        <v>41729</v>
      </c>
      <c r="J78" s="49">
        <f>EOMONTH(I78,3)</f>
        <v>41820</v>
      </c>
      <c r="K78" s="49">
        <f t="shared" ref="K78:P78" si="0">EOMONTH(J78,3)</f>
        <v>41912</v>
      </c>
      <c r="L78" s="49">
        <f t="shared" si="0"/>
        <v>42004</v>
      </c>
      <c r="M78" s="49">
        <f t="shared" si="0"/>
        <v>42094</v>
      </c>
      <c r="N78" s="49">
        <f t="shared" si="0"/>
        <v>42185</v>
      </c>
      <c r="O78" s="49">
        <f t="shared" si="0"/>
        <v>42277</v>
      </c>
      <c r="P78" s="49">
        <f t="shared" si="0"/>
        <v>42369</v>
      </c>
      <c r="Q78" s="49">
        <f>EOMONTH(I14,-3)</f>
        <v>48852</v>
      </c>
    </row>
    <row r="79" spans="2:17" x14ac:dyDescent="0.2">
      <c r="B79" s="68"/>
      <c r="C79" s="19"/>
      <c r="D79" s="17" t="s">
        <v>73</v>
      </c>
      <c r="E79" s="18" t="s">
        <v>8</v>
      </c>
      <c r="I79" s="24">
        <v>0</v>
      </c>
      <c r="J79" s="24">
        <v>900000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34">
        <v>0</v>
      </c>
    </row>
    <row r="80" spans="2:17" x14ac:dyDescent="0.2">
      <c r="B80" s="68"/>
      <c r="C80" s="19"/>
      <c r="D80" s="17" t="s">
        <v>74</v>
      </c>
      <c r="E80" s="18" t="s">
        <v>8</v>
      </c>
      <c r="I80" s="24">
        <v>0</v>
      </c>
      <c r="J80" s="24">
        <v>0</v>
      </c>
      <c r="K80" s="24">
        <v>1000000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34">
        <v>0</v>
      </c>
    </row>
    <row r="81" spans="2:17" x14ac:dyDescent="0.2">
      <c r="B81" s="68"/>
      <c r="C81" s="19"/>
      <c r="D81" s="17" t="s">
        <v>75</v>
      </c>
      <c r="E81" s="18" t="s">
        <v>8</v>
      </c>
      <c r="I81" s="24">
        <v>0</v>
      </c>
      <c r="J81" s="24">
        <v>500000</v>
      </c>
      <c r="K81" s="24">
        <v>0</v>
      </c>
      <c r="L81" s="24">
        <v>500000</v>
      </c>
      <c r="M81" s="24">
        <v>0</v>
      </c>
      <c r="N81" s="24">
        <v>0</v>
      </c>
      <c r="O81" s="24">
        <v>0</v>
      </c>
      <c r="P81" s="24">
        <v>0</v>
      </c>
      <c r="Q81" s="34">
        <v>0</v>
      </c>
    </row>
    <row r="82" spans="2:17" x14ac:dyDescent="0.2">
      <c r="B82" s="68"/>
      <c r="C82" s="19"/>
      <c r="D82" s="17" t="s">
        <v>76</v>
      </c>
      <c r="E82" s="18" t="s">
        <v>8</v>
      </c>
      <c r="I82" s="24">
        <v>1000000</v>
      </c>
      <c r="J82" s="24">
        <v>1500000</v>
      </c>
      <c r="K82" s="24">
        <v>1000000</v>
      </c>
      <c r="L82" s="24">
        <v>1500000</v>
      </c>
      <c r="M82" s="24">
        <v>1000000</v>
      </c>
      <c r="N82" s="24">
        <v>1000000</v>
      </c>
      <c r="O82" s="24">
        <v>1000000</v>
      </c>
      <c r="P82" s="24">
        <v>1000000</v>
      </c>
      <c r="Q82" s="34">
        <v>0</v>
      </c>
    </row>
    <row r="83" spans="2:17" x14ac:dyDescent="0.2">
      <c r="B83" s="68"/>
      <c r="C83" s="19"/>
      <c r="D83" s="17" t="s">
        <v>9</v>
      </c>
      <c r="E83" s="18" t="s">
        <v>8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24">
        <v>1000000</v>
      </c>
    </row>
    <row r="84" spans="2:17" x14ac:dyDescent="0.2">
      <c r="B84" s="68"/>
      <c r="C84" s="19"/>
      <c r="D84" s="17"/>
      <c r="E84" s="18"/>
    </row>
    <row r="85" spans="2:17" x14ac:dyDescent="0.2">
      <c r="B85" s="68"/>
      <c r="C85" s="19"/>
      <c r="D85" s="19" t="str">
        <f>"There is no capex after "&amp;TEXT(Q78,"dd-mmm-yyyy")</f>
        <v>There is no capex after 30-Sep-2033</v>
      </c>
      <c r="E85" s="18"/>
    </row>
    <row r="86" spans="2:17" x14ac:dyDescent="0.2">
      <c r="B86" s="68"/>
      <c r="C86" s="19"/>
      <c r="D86" s="17"/>
      <c r="E86" s="18"/>
    </row>
    <row r="87" spans="2:17" x14ac:dyDescent="0.2">
      <c r="B87" s="68">
        <v>16</v>
      </c>
      <c r="C87" s="19"/>
      <c r="D87" s="27" t="s">
        <v>78</v>
      </c>
      <c r="E87" s="18"/>
      <c r="I87" s="51" t="s">
        <v>80</v>
      </c>
      <c r="J87" s="1" t="s">
        <v>10</v>
      </c>
      <c r="L87" s="50" t="s">
        <v>81</v>
      </c>
      <c r="M87" s="1" t="s">
        <v>10</v>
      </c>
    </row>
    <row r="88" spans="2:17" x14ac:dyDescent="0.2">
      <c r="B88" s="68"/>
      <c r="C88" s="19"/>
      <c r="D88" s="17" t="str">
        <f>D79</f>
        <v>Asset Class 1</v>
      </c>
      <c r="E88" s="18" t="s">
        <v>79</v>
      </c>
      <c r="I88" s="32">
        <v>6</v>
      </c>
      <c r="J88" s="1" t="s">
        <v>82</v>
      </c>
      <c r="L88" s="32">
        <v>5</v>
      </c>
      <c r="M88" s="1" t="s">
        <v>11</v>
      </c>
    </row>
    <row r="89" spans="2:17" x14ac:dyDescent="0.2">
      <c r="B89" s="68"/>
      <c r="C89" s="19"/>
      <c r="D89" s="17" t="str">
        <f>D80</f>
        <v>Asset Class 2</v>
      </c>
      <c r="E89" s="18" t="s">
        <v>79</v>
      </c>
      <c r="I89" s="32">
        <v>7</v>
      </c>
      <c r="J89" s="1" t="s">
        <v>82</v>
      </c>
      <c r="L89" s="32">
        <v>4</v>
      </c>
      <c r="M89" s="1" t="s">
        <v>11</v>
      </c>
    </row>
    <row r="90" spans="2:17" x14ac:dyDescent="0.2">
      <c r="B90" s="68"/>
      <c r="C90" s="19"/>
      <c r="D90" s="17" t="str">
        <f>D81</f>
        <v>Asset Class 3</v>
      </c>
      <c r="E90" s="18" t="s">
        <v>79</v>
      </c>
      <c r="I90" s="32">
        <v>4</v>
      </c>
      <c r="J90" s="1" t="s">
        <v>82</v>
      </c>
      <c r="L90" s="32">
        <v>3</v>
      </c>
      <c r="M90" s="1" t="s">
        <v>11</v>
      </c>
    </row>
    <row r="91" spans="2:17" x14ac:dyDescent="0.2">
      <c r="B91" s="68"/>
      <c r="C91" s="19"/>
      <c r="D91" s="17" t="str">
        <f>D82</f>
        <v>Asset Class 4</v>
      </c>
      <c r="E91" s="18" t="s">
        <v>79</v>
      </c>
      <c r="I91" s="32">
        <v>5</v>
      </c>
      <c r="J91" s="1" t="s">
        <v>82</v>
      </c>
      <c r="L91" s="32">
        <v>5</v>
      </c>
      <c r="M91" s="1" t="s">
        <v>11</v>
      </c>
    </row>
    <row r="92" spans="2:17" x14ac:dyDescent="0.2">
      <c r="B92" s="68"/>
      <c r="C92" s="19"/>
      <c r="D92" s="17" t="str">
        <f>D83</f>
        <v>Longterm Capex</v>
      </c>
      <c r="E92" s="18" t="s">
        <v>79</v>
      </c>
      <c r="I92" s="32">
        <v>5</v>
      </c>
      <c r="J92" s="1" t="s">
        <v>82</v>
      </c>
      <c r="L92" s="32">
        <v>5</v>
      </c>
      <c r="M92" s="1" t="s">
        <v>11</v>
      </c>
    </row>
    <row r="93" spans="2:17" x14ac:dyDescent="0.2">
      <c r="B93" s="68"/>
      <c r="C93" s="19"/>
      <c r="D93" s="17"/>
      <c r="E93" s="18"/>
    </row>
    <row r="94" spans="2:17" x14ac:dyDescent="0.2">
      <c r="B94" s="68"/>
      <c r="C94" s="19" t="s">
        <v>83</v>
      </c>
      <c r="D94" s="17"/>
      <c r="E94" s="18"/>
    </row>
    <row r="95" spans="2:17" x14ac:dyDescent="0.2">
      <c r="B95" s="68">
        <v>19</v>
      </c>
      <c r="C95" s="19"/>
      <c r="D95" s="27" t="s">
        <v>86</v>
      </c>
      <c r="E95" s="18"/>
    </row>
    <row r="96" spans="2:17" x14ac:dyDescent="0.2">
      <c r="B96" s="68"/>
      <c r="C96" s="19"/>
      <c r="D96" s="48" t="s">
        <v>77</v>
      </c>
      <c r="E96" s="18" t="s">
        <v>0</v>
      </c>
      <c r="I96" s="49">
        <f>EOMONTH($I$12-1,3)</f>
        <v>41729</v>
      </c>
      <c r="J96" s="49">
        <f>EOMONTH(I96,3)</f>
        <v>41820</v>
      </c>
      <c r="K96" s="49">
        <f t="shared" ref="K96:P96" si="1">EOMONTH(J96,3)</f>
        <v>41912</v>
      </c>
      <c r="L96" s="49">
        <f t="shared" si="1"/>
        <v>42004</v>
      </c>
      <c r="M96" s="49">
        <f t="shared" si="1"/>
        <v>42094</v>
      </c>
      <c r="N96" s="49">
        <f t="shared" si="1"/>
        <v>42185</v>
      </c>
      <c r="O96" s="49">
        <f t="shared" si="1"/>
        <v>42277</v>
      </c>
      <c r="P96" s="49">
        <f t="shared" si="1"/>
        <v>42369</v>
      </c>
      <c r="Q96" s="1" t="s">
        <v>84</v>
      </c>
    </row>
    <row r="97" spans="2:34" x14ac:dyDescent="0.2">
      <c r="B97" s="68"/>
      <c r="C97" s="19"/>
      <c r="D97" s="1" t="s">
        <v>87</v>
      </c>
      <c r="E97" s="18" t="s">
        <v>64</v>
      </c>
      <c r="I97" s="31">
        <v>0.02</v>
      </c>
      <c r="J97" s="31">
        <v>2.1000000000000001E-2</v>
      </c>
      <c r="K97" s="31">
        <v>2.2000000000000002E-2</v>
      </c>
      <c r="L97" s="31">
        <v>2.3000000000000003E-2</v>
      </c>
      <c r="M97" s="31">
        <v>2.4000000000000004E-2</v>
      </c>
      <c r="N97" s="31">
        <v>2.5000000000000005E-2</v>
      </c>
      <c r="O97" s="31">
        <v>2.6000000000000006E-2</v>
      </c>
      <c r="P97" s="31">
        <v>2.7000000000000007E-2</v>
      </c>
      <c r="Q97" s="31">
        <v>2.7E-2</v>
      </c>
    </row>
    <row r="98" spans="2:34" x14ac:dyDescent="0.2">
      <c r="B98" s="68"/>
      <c r="C98" s="19"/>
      <c r="D98" s="17"/>
      <c r="E98" s="18"/>
    </row>
    <row r="99" spans="2:34" x14ac:dyDescent="0.2">
      <c r="B99" s="68"/>
      <c r="C99" s="19"/>
      <c r="D99" s="27" t="s">
        <v>85</v>
      </c>
      <c r="E99" s="18"/>
    </row>
    <row r="100" spans="2:34" x14ac:dyDescent="0.2">
      <c r="B100" s="68">
        <v>19</v>
      </c>
      <c r="C100" s="19"/>
      <c r="D100" s="1" t="s">
        <v>12</v>
      </c>
      <c r="E100" s="18" t="s">
        <v>64</v>
      </c>
      <c r="I100" s="31">
        <v>0.03</v>
      </c>
    </row>
    <row r="101" spans="2:34" x14ac:dyDescent="0.2">
      <c r="B101" s="68">
        <v>19</v>
      </c>
      <c r="C101" s="19"/>
      <c r="D101" s="1" t="s">
        <v>13</v>
      </c>
      <c r="E101" s="18" t="s">
        <v>1</v>
      </c>
      <c r="I101" s="24">
        <v>1000000</v>
      </c>
    </row>
    <row r="102" spans="2:34" x14ac:dyDescent="0.2">
      <c r="B102" s="68">
        <v>20</v>
      </c>
      <c r="C102" s="19"/>
      <c r="D102" s="1" t="s">
        <v>14</v>
      </c>
      <c r="E102" s="18" t="s">
        <v>1</v>
      </c>
      <c r="I102" s="24">
        <v>60000000</v>
      </c>
    </row>
    <row r="103" spans="2:34" x14ac:dyDescent="0.2">
      <c r="B103" s="68">
        <v>20</v>
      </c>
      <c r="C103" s="19"/>
      <c r="D103" s="63" t="s">
        <v>111</v>
      </c>
      <c r="E103" s="18" t="s">
        <v>1</v>
      </c>
      <c r="I103" s="24">
        <v>1000000</v>
      </c>
    </row>
    <row r="104" spans="2:34" x14ac:dyDescent="0.2">
      <c r="B104" s="68"/>
      <c r="C104" s="19"/>
      <c r="D104" s="17"/>
      <c r="E104" s="18"/>
    </row>
    <row r="105" spans="2:34" x14ac:dyDescent="0.2">
      <c r="B105" s="68">
        <v>18</v>
      </c>
      <c r="C105" s="19"/>
      <c r="D105" s="63" t="s">
        <v>108</v>
      </c>
      <c r="E105" s="18" t="s">
        <v>62</v>
      </c>
      <c r="I105" s="97" t="s">
        <v>167</v>
      </c>
    </row>
    <row r="106" spans="2:34" x14ac:dyDescent="0.2">
      <c r="B106" s="68"/>
      <c r="C106" s="19"/>
      <c r="D106" s="1"/>
      <c r="E106" s="18"/>
    </row>
    <row r="107" spans="2:34" x14ac:dyDescent="0.2">
      <c r="B107" s="68">
        <v>15</v>
      </c>
      <c r="C107" s="19" t="s">
        <v>93</v>
      </c>
      <c r="D107" s="17"/>
      <c r="E107" s="18"/>
    </row>
    <row r="108" spans="2:34" x14ac:dyDescent="0.2">
      <c r="B108" s="68"/>
      <c r="C108" s="19"/>
      <c r="D108" s="48" t="s">
        <v>77</v>
      </c>
      <c r="E108" s="18" t="s">
        <v>0</v>
      </c>
      <c r="I108" s="49">
        <f>EOMONTH($I$12-1,3)</f>
        <v>41729</v>
      </c>
      <c r="J108" s="49">
        <f>EOMONTH(I108,3)</f>
        <v>41820</v>
      </c>
      <c r="K108" s="49">
        <f t="shared" ref="K108:P108" si="2">EOMONTH(J108,3)</f>
        <v>41912</v>
      </c>
      <c r="L108" s="49">
        <f t="shared" si="2"/>
        <v>42004</v>
      </c>
      <c r="M108" s="49">
        <f t="shared" si="2"/>
        <v>42094</v>
      </c>
      <c r="N108" s="49">
        <f t="shared" si="2"/>
        <v>42185</v>
      </c>
      <c r="O108" s="49">
        <f t="shared" si="2"/>
        <v>42277</v>
      </c>
      <c r="P108" s="49">
        <f t="shared" si="2"/>
        <v>42369</v>
      </c>
      <c r="Q108" s="49">
        <f t="shared" ref="Q108:AB108" si="3">EOMONTH(P108,3)</f>
        <v>42460</v>
      </c>
      <c r="R108" s="49">
        <f t="shared" si="3"/>
        <v>42551</v>
      </c>
      <c r="S108" s="49">
        <f t="shared" si="3"/>
        <v>42643</v>
      </c>
      <c r="T108" s="49">
        <f t="shared" si="3"/>
        <v>42735</v>
      </c>
      <c r="U108" s="49">
        <f t="shared" si="3"/>
        <v>42825</v>
      </c>
      <c r="V108" s="49">
        <f t="shared" si="3"/>
        <v>42916</v>
      </c>
      <c r="W108" s="49">
        <f t="shared" si="3"/>
        <v>43008</v>
      </c>
      <c r="X108" s="49">
        <f t="shared" si="3"/>
        <v>43100</v>
      </c>
      <c r="Y108" s="49">
        <f t="shared" si="3"/>
        <v>43190</v>
      </c>
      <c r="Z108" s="49">
        <f t="shared" si="3"/>
        <v>43281</v>
      </c>
      <c r="AA108" s="49">
        <f t="shared" si="3"/>
        <v>43373</v>
      </c>
      <c r="AB108" s="49">
        <f t="shared" si="3"/>
        <v>43465</v>
      </c>
      <c r="AC108" s="49">
        <f t="shared" ref="AC108:AH108" si="4">EOMONTH(AB108,3)</f>
        <v>43555</v>
      </c>
      <c r="AD108" s="49">
        <f t="shared" si="4"/>
        <v>43646</v>
      </c>
      <c r="AE108" s="49">
        <f t="shared" si="4"/>
        <v>43738</v>
      </c>
      <c r="AF108" s="49">
        <f t="shared" si="4"/>
        <v>43830</v>
      </c>
      <c r="AG108" s="49">
        <f t="shared" si="4"/>
        <v>43921</v>
      </c>
      <c r="AH108" s="49">
        <f t="shared" si="4"/>
        <v>44012</v>
      </c>
    </row>
    <row r="109" spans="2:34" x14ac:dyDescent="0.2">
      <c r="B109" s="68"/>
      <c r="C109" s="19"/>
      <c r="D109" s="17" t="s">
        <v>95</v>
      </c>
      <c r="E109" s="18" t="s">
        <v>1</v>
      </c>
      <c r="I109" s="24">
        <v>6198727.8240000028</v>
      </c>
      <c r="J109" s="24">
        <v>5578855.0416000038</v>
      </c>
      <c r="K109" s="24">
        <v>5020969.5374400029</v>
      </c>
      <c r="L109" s="24">
        <v>4518872.5836960031</v>
      </c>
      <c r="M109" s="24">
        <v>4066985.3253264031</v>
      </c>
      <c r="N109" s="24">
        <v>3660286.7927937629</v>
      </c>
      <c r="O109" s="24">
        <v>3294258.1135143861</v>
      </c>
      <c r="P109" s="24">
        <v>2964832.3021629481</v>
      </c>
      <c r="Q109" s="24">
        <v>2668349.071946654</v>
      </c>
      <c r="R109" s="24">
        <v>2401514.1647519888</v>
      </c>
      <c r="S109" s="24">
        <v>2161362.7482767906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</row>
    <row r="110" spans="2:34" x14ac:dyDescent="0.2">
      <c r="B110" s="68"/>
      <c r="C110" s="19"/>
      <c r="D110" s="17" t="s">
        <v>94</v>
      </c>
      <c r="E110" s="18" t="s">
        <v>1</v>
      </c>
      <c r="I110" s="24">
        <v>10525000</v>
      </c>
      <c r="J110" s="24">
        <v>10525000</v>
      </c>
      <c r="K110" s="24">
        <v>10525000</v>
      </c>
      <c r="L110" s="24">
        <v>10525000</v>
      </c>
      <c r="M110" s="24">
        <v>10525000</v>
      </c>
      <c r="N110" s="24">
        <v>10525000</v>
      </c>
      <c r="O110" s="24">
        <v>10525000</v>
      </c>
      <c r="P110" s="24">
        <v>8420000</v>
      </c>
      <c r="Q110" s="24">
        <v>8420000</v>
      </c>
      <c r="R110" s="24">
        <v>8420000</v>
      </c>
      <c r="S110" s="24">
        <v>8420000</v>
      </c>
      <c r="T110" s="24">
        <v>8420000</v>
      </c>
      <c r="U110" s="24">
        <v>8420000</v>
      </c>
      <c r="V110" s="24">
        <v>8420000</v>
      </c>
      <c r="W110" s="24">
        <v>8420000</v>
      </c>
      <c r="X110" s="24">
        <v>8420000</v>
      </c>
      <c r="Y110" s="24">
        <v>8420000</v>
      </c>
      <c r="Z110" s="24">
        <v>8420000</v>
      </c>
      <c r="AA110" s="24">
        <v>2105000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</row>
    <row r="111" spans="2:34" x14ac:dyDescent="0.2">
      <c r="B111" s="68"/>
      <c r="C111" s="19"/>
      <c r="D111" s="17"/>
      <c r="E111" s="18"/>
    </row>
    <row r="112" spans="2:34" x14ac:dyDescent="0.2">
      <c r="B112" s="68"/>
      <c r="C112" s="19"/>
      <c r="D112" s="17" t="s">
        <v>96</v>
      </c>
      <c r="E112" s="18" t="s">
        <v>1</v>
      </c>
      <c r="I112" s="24">
        <v>42535013.505508944</v>
      </c>
      <c r="J112" s="5"/>
    </row>
    <row r="113" spans="2:10" x14ac:dyDescent="0.2">
      <c r="B113" s="68"/>
      <c r="C113" s="19"/>
      <c r="D113" s="17" t="s">
        <v>97</v>
      </c>
      <c r="E113" s="18" t="s">
        <v>1</v>
      </c>
      <c r="I113" s="17" t="s">
        <v>98</v>
      </c>
    </row>
    <row r="114" spans="2:10" x14ac:dyDescent="0.2">
      <c r="B114" s="68"/>
      <c r="C114" s="19"/>
      <c r="D114" s="17"/>
      <c r="E114" s="18"/>
    </row>
    <row r="115" spans="2:10" x14ac:dyDescent="0.2">
      <c r="B115" s="68">
        <v>15</v>
      </c>
      <c r="C115" s="19" t="s">
        <v>22</v>
      </c>
      <c r="D115" s="17"/>
      <c r="E115" s="18"/>
    </row>
    <row r="116" spans="2:10" x14ac:dyDescent="0.2">
      <c r="B116" s="68"/>
      <c r="C116" s="19"/>
      <c r="D116" s="54" t="s">
        <v>16</v>
      </c>
      <c r="E116" s="18" t="s">
        <v>1</v>
      </c>
      <c r="I116" s="24">
        <v>1000000</v>
      </c>
    </row>
    <row r="117" spans="2:10" x14ac:dyDescent="0.2">
      <c r="B117" s="68"/>
      <c r="C117" s="19"/>
      <c r="D117" s="54" t="s">
        <v>19</v>
      </c>
      <c r="E117" s="18" t="s">
        <v>1</v>
      </c>
      <c r="I117" s="24">
        <v>160000</v>
      </c>
    </row>
    <row r="118" spans="2:10" x14ac:dyDescent="0.2">
      <c r="B118" s="68"/>
      <c r="C118" s="19"/>
      <c r="D118" s="66" t="s">
        <v>106</v>
      </c>
      <c r="E118" s="18"/>
      <c r="I118" s="34">
        <v>0</v>
      </c>
    </row>
    <row r="119" spans="2:10" x14ac:dyDescent="0.2">
      <c r="B119" s="68"/>
      <c r="C119" s="19"/>
      <c r="D119" s="52" t="s">
        <v>23</v>
      </c>
      <c r="E119" s="18" t="s">
        <v>1</v>
      </c>
      <c r="I119" s="52">
        <f>SUM(I116:I118)</f>
        <v>1160000</v>
      </c>
    </row>
    <row r="120" spans="2:10" x14ac:dyDescent="0.2">
      <c r="B120" s="68"/>
      <c r="C120" s="19"/>
      <c r="D120" s="17"/>
      <c r="E120" s="18"/>
    </row>
    <row r="121" spans="2:10" x14ac:dyDescent="0.2">
      <c r="B121" s="68"/>
      <c r="C121" s="19"/>
      <c r="D121" s="54" t="s">
        <v>17</v>
      </c>
      <c r="E121" s="18" t="s">
        <v>1</v>
      </c>
      <c r="I121" s="55">
        <v>168400000</v>
      </c>
      <c r="J121" s="5"/>
    </row>
    <row r="122" spans="2:10" x14ac:dyDescent="0.2">
      <c r="B122" s="68"/>
      <c r="C122" s="19"/>
      <c r="D122" s="52" t="s">
        <v>24</v>
      </c>
      <c r="E122" s="18" t="s">
        <v>1</v>
      </c>
      <c r="I122" s="52">
        <f>I121</f>
        <v>168400000</v>
      </c>
    </row>
    <row r="123" spans="2:10" x14ac:dyDescent="0.2">
      <c r="B123" s="68"/>
      <c r="C123" s="19"/>
      <c r="D123" s="17"/>
      <c r="E123" s="18"/>
    </row>
    <row r="124" spans="2:10" x14ac:dyDescent="0.2">
      <c r="B124" s="68"/>
      <c r="C124" s="19"/>
      <c r="D124" s="19" t="s">
        <v>25</v>
      </c>
      <c r="E124" s="18" t="s">
        <v>1</v>
      </c>
      <c r="I124" s="19">
        <f>SUM(I119,I122)</f>
        <v>169560000</v>
      </c>
    </row>
    <row r="125" spans="2:10" x14ac:dyDescent="0.2">
      <c r="B125" s="68"/>
      <c r="C125" s="19"/>
      <c r="D125" s="17"/>
      <c r="E125" s="18"/>
    </row>
    <row r="126" spans="2:10" x14ac:dyDescent="0.2">
      <c r="B126" s="68"/>
      <c r="C126" s="19"/>
      <c r="D126" s="54" t="s">
        <v>20</v>
      </c>
      <c r="E126" s="18" t="s">
        <v>1</v>
      </c>
      <c r="I126" s="24">
        <v>178000</v>
      </c>
    </row>
    <row r="127" spans="2:10" x14ac:dyDescent="0.2">
      <c r="B127" s="68"/>
      <c r="C127" s="19"/>
      <c r="D127" s="54" t="s">
        <v>21</v>
      </c>
      <c r="E127" s="18" t="s">
        <v>1</v>
      </c>
      <c r="I127" s="24">
        <v>120000</v>
      </c>
      <c r="J127" s="60"/>
    </row>
    <row r="128" spans="2:10" x14ac:dyDescent="0.2">
      <c r="B128" s="68"/>
      <c r="C128" s="19"/>
      <c r="D128" s="66" t="s">
        <v>107</v>
      </c>
      <c r="E128" s="18" t="s">
        <v>1</v>
      </c>
      <c r="I128" s="24">
        <v>30207596.758677851</v>
      </c>
      <c r="J128" s="5"/>
    </row>
    <row r="129" spans="1:34" x14ac:dyDescent="0.2">
      <c r="B129" s="68"/>
      <c r="C129" s="19"/>
      <c r="D129" s="54" t="s">
        <v>85</v>
      </c>
      <c r="E129" s="18" t="s">
        <v>1</v>
      </c>
      <c r="I129" s="24">
        <v>120000000</v>
      </c>
    </row>
    <row r="130" spans="1:34" x14ac:dyDescent="0.2">
      <c r="B130" s="68"/>
      <c r="C130" s="19"/>
      <c r="D130" s="53" t="s">
        <v>26</v>
      </c>
      <c r="E130" s="18" t="s">
        <v>1</v>
      </c>
      <c r="I130" s="53">
        <f>SUM(I126:I129)</f>
        <v>150505596.75867784</v>
      </c>
    </row>
    <row r="131" spans="1:34" x14ac:dyDescent="0.2">
      <c r="B131" s="68"/>
      <c r="C131" s="19"/>
      <c r="D131" s="17"/>
      <c r="E131" s="18"/>
    </row>
    <row r="132" spans="1:34" x14ac:dyDescent="0.2">
      <c r="B132" s="68"/>
      <c r="C132" s="19"/>
      <c r="D132" s="19" t="s">
        <v>27</v>
      </c>
      <c r="E132" s="18" t="s">
        <v>1</v>
      </c>
      <c r="I132" s="56">
        <f>SUM(I124,-I130)</f>
        <v>19054403.24132216</v>
      </c>
    </row>
    <row r="133" spans="1:34" x14ac:dyDescent="0.2">
      <c r="B133" s="68"/>
      <c r="C133" s="19"/>
      <c r="D133" s="17"/>
    </row>
    <row r="134" spans="1:34" x14ac:dyDescent="0.2">
      <c r="B134" s="68"/>
      <c r="C134" s="19"/>
      <c r="D134" s="54" t="s">
        <v>28</v>
      </c>
      <c r="E134" s="18" t="s">
        <v>1</v>
      </c>
      <c r="I134" s="55">
        <v>19054403.24132216</v>
      </c>
      <c r="J134" s="5"/>
    </row>
    <row r="135" spans="1:34" x14ac:dyDescent="0.2">
      <c r="B135" s="68"/>
      <c r="C135" s="19"/>
      <c r="D135" s="53" t="s">
        <v>29</v>
      </c>
      <c r="E135" s="18" t="s">
        <v>1</v>
      </c>
      <c r="I135" s="53">
        <f>I134</f>
        <v>19054403.24132216</v>
      </c>
    </row>
    <row r="136" spans="1:34" x14ac:dyDescent="0.2">
      <c r="B136" s="68"/>
      <c r="C136" s="19"/>
      <c r="D136" s="56"/>
      <c r="E136" s="18"/>
      <c r="I136" s="56"/>
    </row>
    <row r="137" spans="1:34" x14ac:dyDescent="0.2">
      <c r="B137" s="68">
        <v>3</v>
      </c>
      <c r="C137" s="19"/>
      <c r="D137" s="17" t="s">
        <v>110</v>
      </c>
      <c r="E137" s="18" t="s">
        <v>15</v>
      </c>
      <c r="I137" s="31">
        <v>0.15</v>
      </c>
    </row>
    <row r="138" spans="1:34" x14ac:dyDescent="0.2">
      <c r="B138" s="68"/>
      <c r="C138" s="19"/>
      <c r="D138" s="17"/>
    </row>
    <row r="139" spans="1:34" x14ac:dyDescent="0.2">
      <c r="A139" s="16"/>
      <c r="B139" s="69"/>
      <c r="C139" s="16" t="s">
        <v>99</v>
      </c>
      <c r="D139" s="16"/>
      <c r="E139" s="16"/>
      <c r="F139" s="16"/>
      <c r="G139" s="16"/>
      <c r="H139" s="16"/>
      <c r="I139" s="22"/>
      <c r="J139" s="16"/>
      <c r="K139" s="23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 x14ac:dyDescent="0.2">
      <c r="C140" s="19"/>
      <c r="D140" s="17"/>
    </row>
    <row r="141" spans="1:34" x14ac:dyDescent="0.2">
      <c r="C141" s="19"/>
      <c r="D141" s="17"/>
    </row>
    <row r="142" spans="1:34" x14ac:dyDescent="0.2">
      <c r="C142" s="19"/>
      <c r="D142" s="17"/>
    </row>
    <row r="143" spans="1:34" x14ac:dyDescent="0.2">
      <c r="C143" s="19"/>
      <c r="D143" s="17"/>
    </row>
    <row r="144" spans="1:34" x14ac:dyDescent="0.2">
      <c r="C144" s="19"/>
      <c r="D144" s="17"/>
    </row>
    <row r="145" spans="3:4" x14ac:dyDescent="0.2">
      <c r="C145" s="19"/>
      <c r="D145" s="17"/>
    </row>
    <row r="146" spans="3:4" x14ac:dyDescent="0.2">
      <c r="C146" s="19"/>
      <c r="D146" s="17"/>
    </row>
    <row r="147" spans="3:4" x14ac:dyDescent="0.2">
      <c r="C147" s="19"/>
      <c r="D147" s="17"/>
    </row>
    <row r="148" spans="3:4" x14ac:dyDescent="0.2">
      <c r="C148" s="19"/>
      <c r="D148" s="17"/>
    </row>
    <row r="149" spans="3:4" x14ac:dyDescent="0.2">
      <c r="C149" s="19"/>
      <c r="D149" s="17"/>
    </row>
    <row r="150" spans="3:4" x14ac:dyDescent="0.2">
      <c r="C150" s="19"/>
      <c r="D150" s="17"/>
    </row>
    <row r="151" spans="3:4" x14ac:dyDescent="0.2">
      <c r="C151" s="19"/>
      <c r="D151" s="17"/>
    </row>
    <row r="152" spans="3:4" x14ac:dyDescent="0.2">
      <c r="C152" s="19"/>
      <c r="D152" s="17"/>
    </row>
    <row r="153" spans="3:4" x14ac:dyDescent="0.2">
      <c r="C153" s="19"/>
      <c r="D153" s="17"/>
    </row>
    <row r="154" spans="3:4" x14ac:dyDescent="0.2">
      <c r="C154" s="19"/>
      <c r="D154" s="17"/>
    </row>
    <row r="155" spans="3:4" x14ac:dyDescent="0.2">
      <c r="C155" s="19"/>
      <c r="D155" s="17"/>
    </row>
    <row r="156" spans="3:4" x14ac:dyDescent="0.2">
      <c r="C156" s="19"/>
      <c r="D156" s="17"/>
    </row>
    <row r="157" spans="3:4" x14ac:dyDescent="0.2">
      <c r="C157" s="19"/>
      <c r="D157" s="17"/>
    </row>
    <row r="158" spans="3:4" x14ac:dyDescent="0.2">
      <c r="C158" s="19"/>
      <c r="D158" s="17"/>
    </row>
    <row r="159" spans="3:4" x14ac:dyDescent="0.2">
      <c r="C159" s="19"/>
      <c r="D159" s="17"/>
    </row>
    <row r="160" spans="3:4" x14ac:dyDescent="0.2">
      <c r="C160" s="19"/>
      <c r="D160" s="17"/>
    </row>
    <row r="161" spans="3:4" x14ac:dyDescent="0.2">
      <c r="C161" s="19"/>
      <c r="D161" s="17"/>
    </row>
    <row r="162" spans="3:4" x14ac:dyDescent="0.2">
      <c r="C162" s="19"/>
      <c r="D162" s="17"/>
    </row>
    <row r="163" spans="3:4" x14ac:dyDescent="0.2">
      <c r="C163" s="19"/>
      <c r="D163" s="17"/>
    </row>
    <row r="164" spans="3:4" x14ac:dyDescent="0.2">
      <c r="C164" s="19"/>
      <c r="D164" s="17"/>
    </row>
    <row r="165" spans="3:4" x14ac:dyDescent="0.2">
      <c r="C165" s="19"/>
      <c r="D165" s="17"/>
    </row>
    <row r="166" spans="3:4" x14ac:dyDescent="0.2">
      <c r="D166" s="17"/>
    </row>
    <row r="167" spans="3:4" x14ac:dyDescent="0.2">
      <c r="D167" s="17"/>
    </row>
    <row r="168" spans="3:4" x14ac:dyDescent="0.2">
      <c r="D168" s="17"/>
    </row>
    <row r="169" spans="3:4" x14ac:dyDescent="0.2">
      <c r="D169" s="17"/>
    </row>
    <row r="170" spans="3:4" x14ac:dyDescent="0.2">
      <c r="D170" s="17"/>
    </row>
    <row r="171" spans="3:4" x14ac:dyDescent="0.2">
      <c r="D171" s="17"/>
    </row>
    <row r="172" spans="3:4" x14ac:dyDescent="0.2">
      <c r="D172" s="17"/>
    </row>
    <row r="173" spans="3:4" x14ac:dyDescent="0.2">
      <c r="D173" s="17"/>
    </row>
    <row r="174" spans="3:4" x14ac:dyDescent="0.2">
      <c r="D174" s="17"/>
    </row>
    <row r="175" spans="3:4" x14ac:dyDescent="0.2">
      <c r="D175" s="17"/>
    </row>
    <row r="176" spans="3:4" x14ac:dyDescent="0.2">
      <c r="D176" s="17"/>
    </row>
    <row r="177" spans="4:4" x14ac:dyDescent="0.2">
      <c r="D177" s="17"/>
    </row>
    <row r="178" spans="4:4" x14ac:dyDescent="0.2">
      <c r="D178" s="17"/>
    </row>
    <row r="179" spans="4:4" x14ac:dyDescent="0.2">
      <c r="D179" s="17"/>
    </row>
    <row r="180" spans="4:4" x14ac:dyDescent="0.2">
      <c r="D180" s="17"/>
    </row>
    <row r="181" spans="4:4" x14ac:dyDescent="0.2">
      <c r="D181" s="17"/>
    </row>
    <row r="182" spans="4:4" x14ac:dyDescent="0.2">
      <c r="D182" s="17"/>
    </row>
    <row r="183" spans="4:4" x14ac:dyDescent="0.2">
      <c r="D183" s="17"/>
    </row>
    <row r="184" spans="4:4" x14ac:dyDescent="0.2">
      <c r="D184" s="17"/>
    </row>
    <row r="185" spans="4:4" x14ac:dyDescent="0.2">
      <c r="D185" s="17"/>
    </row>
    <row r="186" spans="4:4" x14ac:dyDescent="0.2">
      <c r="D186" s="17"/>
    </row>
    <row r="187" spans="4:4" x14ac:dyDescent="0.2">
      <c r="D187" s="17"/>
    </row>
    <row r="188" spans="4:4" x14ac:dyDescent="0.2">
      <c r="D188" s="17"/>
    </row>
    <row r="189" spans="4:4" x14ac:dyDescent="0.2">
      <c r="D189" s="17"/>
    </row>
    <row r="190" spans="4:4" x14ac:dyDescent="0.2">
      <c r="D190" s="17"/>
    </row>
    <row r="191" spans="4:4" x14ac:dyDescent="0.2">
      <c r="D191" s="17"/>
    </row>
    <row r="192" spans="4:4" x14ac:dyDescent="0.2">
      <c r="D192" s="17"/>
    </row>
    <row r="193" spans="4:4" x14ac:dyDescent="0.2">
      <c r="D193" s="17"/>
    </row>
    <row r="194" spans="4:4" x14ac:dyDescent="0.2">
      <c r="D194" s="17"/>
    </row>
    <row r="195" spans="4:4" x14ac:dyDescent="0.2">
      <c r="D195" s="17"/>
    </row>
    <row r="196" spans="4:4" x14ac:dyDescent="0.2">
      <c r="D196" s="17"/>
    </row>
    <row r="197" spans="4:4" x14ac:dyDescent="0.2">
      <c r="D197" s="17"/>
    </row>
    <row r="198" spans="4:4" x14ac:dyDescent="0.2">
      <c r="D198" s="17"/>
    </row>
    <row r="199" spans="4:4" x14ac:dyDescent="0.2">
      <c r="D199" s="17"/>
    </row>
    <row r="200" spans="4:4" x14ac:dyDescent="0.2">
      <c r="D200" s="17"/>
    </row>
    <row r="201" spans="4:4" x14ac:dyDescent="0.2">
      <c r="D201" s="17"/>
    </row>
    <row r="202" spans="4:4" x14ac:dyDescent="0.2">
      <c r="D202" s="17"/>
    </row>
    <row r="203" spans="4:4" x14ac:dyDescent="0.2">
      <c r="D203" s="17"/>
    </row>
    <row r="204" spans="4:4" x14ac:dyDescent="0.2">
      <c r="D204" s="17"/>
    </row>
    <row r="205" spans="4:4" x14ac:dyDescent="0.2">
      <c r="D205" s="17"/>
    </row>
    <row r="206" spans="4:4" x14ac:dyDescent="0.2">
      <c r="D206" s="17"/>
    </row>
    <row r="207" spans="4:4" x14ac:dyDescent="0.2">
      <c r="D207" s="17"/>
    </row>
    <row r="208" spans="4:4" x14ac:dyDescent="0.2">
      <c r="D208" s="17"/>
    </row>
    <row r="209" spans="4:4" x14ac:dyDescent="0.2">
      <c r="D209" s="17"/>
    </row>
    <row r="210" spans="4:4" x14ac:dyDescent="0.2">
      <c r="D210" s="17"/>
    </row>
    <row r="211" spans="4:4" x14ac:dyDescent="0.2">
      <c r="D211" s="17"/>
    </row>
    <row r="212" spans="4:4" x14ac:dyDescent="0.2">
      <c r="D212" s="17"/>
    </row>
    <row r="213" spans="4:4" x14ac:dyDescent="0.2">
      <c r="D213" s="17"/>
    </row>
    <row r="214" spans="4:4" x14ac:dyDescent="0.2">
      <c r="D214" s="17"/>
    </row>
    <row r="215" spans="4:4" x14ac:dyDescent="0.2">
      <c r="D215" s="17"/>
    </row>
    <row r="216" spans="4:4" x14ac:dyDescent="0.2">
      <c r="D216" s="17"/>
    </row>
    <row r="217" spans="4:4" x14ac:dyDescent="0.2">
      <c r="D217" s="17"/>
    </row>
    <row r="218" spans="4:4" x14ac:dyDescent="0.2">
      <c r="D218" s="17"/>
    </row>
  </sheetData>
  <pageMargins left="0.7" right="0.7" top="0.75" bottom="0.75" header="0.3" footer="0.3"/>
  <pageSetup paperSize="9" orientation="portrait" verticalDpi="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1"/>
  <sheetViews>
    <sheetView showGridLines="0" zoomScaleNormal="100" workbookViewId="0">
      <pane xSplit="10" ySplit="7" topLeftCell="K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24" sqref="D24:D25"/>
    </sheetView>
  </sheetViews>
  <sheetFormatPr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4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5" t="s">
        <v>50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</row>
    <row r="2" spans="1:92" s="6" customFormat="1" ht="18" customHeight="1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</row>
    <row r="3" spans="1:92" ht="18" customHeight="1" x14ac:dyDescent="0.3">
      <c r="A3" s="64">
        <v>2</v>
      </c>
      <c r="B3" s="65"/>
      <c r="C3" s="65" t="s">
        <v>121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2" t="s">
        <v>46</v>
      </c>
      <c r="L6" s="72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2" t="s">
        <v>47</v>
      </c>
      <c r="H7" s="10" t="s">
        <v>48</v>
      </c>
      <c r="J7" s="1" t="s">
        <v>49</v>
      </c>
      <c r="L7" s="72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2.0099999999999998</v>
      </c>
      <c r="B9" s="16"/>
      <c r="C9" s="16" t="s">
        <v>122</v>
      </c>
      <c r="D9" s="22"/>
      <c r="E9" s="16"/>
      <c r="F9" s="16"/>
      <c r="G9" s="16"/>
      <c r="H9" s="5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>
      <c r="D10" s="17"/>
      <c r="H10" s="18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92" ht="12.75" customHeight="1" x14ac:dyDescent="0.25">
      <c r="C11" s="19" t="s">
        <v>112</v>
      </c>
      <c r="D11" s="17"/>
      <c r="H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92" ht="12.75" customHeight="1" x14ac:dyDescent="0.25">
      <c r="C12" s="19"/>
      <c r="D12" s="74" t="s">
        <v>42</v>
      </c>
      <c r="H12" s="18" t="s">
        <v>1</v>
      </c>
      <c r="J12" s="58">
        <f>SUM(L12:CN12)</f>
        <v>0</v>
      </c>
      <c r="L12" s="17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</row>
    <row r="13" spans="1:92" ht="12.75" customHeight="1" x14ac:dyDescent="0.25">
      <c r="C13" s="19"/>
      <c r="D13" s="74" t="s">
        <v>114</v>
      </c>
      <c r="H13" s="18" t="s">
        <v>1</v>
      </c>
      <c r="J13" s="58">
        <f>SUM(L13:CN13)</f>
        <v>0</v>
      </c>
      <c r="L13" s="17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</row>
    <row r="14" spans="1:92" ht="12.75" customHeight="1" x14ac:dyDescent="0.25">
      <c r="C14" s="19"/>
      <c r="D14" s="74" t="s">
        <v>115</v>
      </c>
      <c r="H14" s="18" t="s">
        <v>1</v>
      </c>
      <c r="J14" s="58">
        <f>SUM(L14:CN14)</f>
        <v>0</v>
      </c>
      <c r="L14" s="17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</row>
    <row r="15" spans="1:92" ht="12.75" customHeight="1" x14ac:dyDescent="0.25">
      <c r="C15" s="19"/>
      <c r="D15" s="76" t="s">
        <v>116</v>
      </c>
      <c r="H15" s="18" t="s">
        <v>1</v>
      </c>
      <c r="J15" s="58">
        <f>SUM(L15:CN15)</f>
        <v>0</v>
      </c>
      <c r="L15" s="17"/>
      <c r="M15" s="52">
        <f t="shared" ref="M15:AQ15" si="4">SUM(M12:M14)</f>
        <v>0</v>
      </c>
      <c r="N15" s="52">
        <f t="shared" si="4"/>
        <v>0</v>
      </c>
      <c r="O15" s="52">
        <f t="shared" si="4"/>
        <v>0</v>
      </c>
      <c r="P15" s="52">
        <f t="shared" si="4"/>
        <v>0</v>
      </c>
      <c r="Q15" s="52">
        <f t="shared" si="4"/>
        <v>0</v>
      </c>
      <c r="R15" s="52">
        <f t="shared" si="4"/>
        <v>0</v>
      </c>
      <c r="S15" s="52">
        <f t="shared" si="4"/>
        <v>0</v>
      </c>
      <c r="T15" s="52">
        <f t="shared" si="4"/>
        <v>0</v>
      </c>
      <c r="U15" s="52">
        <f t="shared" si="4"/>
        <v>0</v>
      </c>
      <c r="V15" s="52">
        <f t="shared" si="4"/>
        <v>0</v>
      </c>
      <c r="W15" s="52">
        <f t="shared" si="4"/>
        <v>0</v>
      </c>
      <c r="X15" s="52">
        <f t="shared" si="4"/>
        <v>0</v>
      </c>
      <c r="Y15" s="52">
        <f t="shared" si="4"/>
        <v>0</v>
      </c>
      <c r="Z15" s="52">
        <f t="shared" si="4"/>
        <v>0</v>
      </c>
      <c r="AA15" s="52">
        <f t="shared" si="4"/>
        <v>0</v>
      </c>
      <c r="AB15" s="52">
        <f t="shared" si="4"/>
        <v>0</v>
      </c>
      <c r="AC15" s="52">
        <f t="shared" si="4"/>
        <v>0</v>
      </c>
      <c r="AD15" s="52">
        <f t="shared" si="4"/>
        <v>0</v>
      </c>
      <c r="AE15" s="52">
        <f t="shared" si="4"/>
        <v>0</v>
      </c>
      <c r="AF15" s="52">
        <f t="shared" si="4"/>
        <v>0</v>
      </c>
      <c r="AG15" s="52">
        <f t="shared" si="4"/>
        <v>0</v>
      </c>
      <c r="AH15" s="52">
        <f t="shared" si="4"/>
        <v>0</v>
      </c>
      <c r="AI15" s="52">
        <f t="shared" si="4"/>
        <v>0</v>
      </c>
      <c r="AJ15" s="52">
        <f t="shared" si="4"/>
        <v>0</v>
      </c>
      <c r="AK15" s="52">
        <f t="shared" si="4"/>
        <v>0</v>
      </c>
      <c r="AL15" s="52">
        <f t="shared" si="4"/>
        <v>0</v>
      </c>
      <c r="AM15" s="52">
        <f t="shared" si="4"/>
        <v>0</v>
      </c>
      <c r="AN15" s="52">
        <f t="shared" si="4"/>
        <v>0</v>
      </c>
      <c r="AO15" s="52">
        <f t="shared" si="4"/>
        <v>0</v>
      </c>
      <c r="AP15" s="52">
        <f t="shared" si="4"/>
        <v>0</v>
      </c>
      <c r="AQ15" s="52">
        <f t="shared" si="4"/>
        <v>0</v>
      </c>
      <c r="AR15" s="52">
        <f t="shared" ref="AR15:BW15" si="5">SUM(AR12:AR14)</f>
        <v>0</v>
      </c>
      <c r="AS15" s="52">
        <f t="shared" si="5"/>
        <v>0</v>
      </c>
      <c r="AT15" s="52">
        <f t="shared" si="5"/>
        <v>0</v>
      </c>
      <c r="AU15" s="52">
        <f t="shared" si="5"/>
        <v>0</v>
      </c>
      <c r="AV15" s="52">
        <f t="shared" si="5"/>
        <v>0</v>
      </c>
      <c r="AW15" s="52">
        <f t="shared" si="5"/>
        <v>0</v>
      </c>
      <c r="AX15" s="52">
        <f t="shared" si="5"/>
        <v>0</v>
      </c>
      <c r="AY15" s="52">
        <f t="shared" si="5"/>
        <v>0</v>
      </c>
      <c r="AZ15" s="52">
        <f t="shared" si="5"/>
        <v>0</v>
      </c>
      <c r="BA15" s="52">
        <f t="shared" si="5"/>
        <v>0</v>
      </c>
      <c r="BB15" s="52">
        <f t="shared" si="5"/>
        <v>0</v>
      </c>
      <c r="BC15" s="52">
        <f t="shared" si="5"/>
        <v>0</v>
      </c>
      <c r="BD15" s="52">
        <f t="shared" si="5"/>
        <v>0</v>
      </c>
      <c r="BE15" s="52">
        <f t="shared" si="5"/>
        <v>0</v>
      </c>
      <c r="BF15" s="52">
        <f t="shared" si="5"/>
        <v>0</v>
      </c>
      <c r="BG15" s="52">
        <f t="shared" si="5"/>
        <v>0</v>
      </c>
      <c r="BH15" s="52">
        <f t="shared" si="5"/>
        <v>0</v>
      </c>
      <c r="BI15" s="52">
        <f t="shared" si="5"/>
        <v>0</v>
      </c>
      <c r="BJ15" s="52">
        <f t="shared" si="5"/>
        <v>0</v>
      </c>
      <c r="BK15" s="52">
        <f t="shared" si="5"/>
        <v>0</v>
      </c>
      <c r="BL15" s="52">
        <f t="shared" si="5"/>
        <v>0</v>
      </c>
      <c r="BM15" s="52">
        <f t="shared" si="5"/>
        <v>0</v>
      </c>
      <c r="BN15" s="52">
        <f t="shared" si="5"/>
        <v>0</v>
      </c>
      <c r="BO15" s="52">
        <f t="shared" si="5"/>
        <v>0</v>
      </c>
      <c r="BP15" s="52">
        <f t="shared" si="5"/>
        <v>0</v>
      </c>
      <c r="BQ15" s="52">
        <f t="shared" si="5"/>
        <v>0</v>
      </c>
      <c r="BR15" s="52">
        <f t="shared" si="5"/>
        <v>0</v>
      </c>
      <c r="BS15" s="52">
        <f t="shared" si="5"/>
        <v>0</v>
      </c>
      <c r="BT15" s="52">
        <f t="shared" si="5"/>
        <v>0</v>
      </c>
      <c r="BU15" s="52">
        <f t="shared" si="5"/>
        <v>0</v>
      </c>
      <c r="BV15" s="52">
        <f t="shared" si="5"/>
        <v>0</v>
      </c>
      <c r="BW15" s="52">
        <f t="shared" si="5"/>
        <v>0</v>
      </c>
      <c r="BX15" s="52">
        <f t="shared" ref="BX15:CN15" si="6">SUM(BX12:BX14)</f>
        <v>0</v>
      </c>
      <c r="BY15" s="52">
        <f t="shared" si="6"/>
        <v>0</v>
      </c>
      <c r="BZ15" s="52">
        <f t="shared" si="6"/>
        <v>0</v>
      </c>
      <c r="CA15" s="52">
        <f t="shared" si="6"/>
        <v>0</v>
      </c>
      <c r="CB15" s="52">
        <f t="shared" si="6"/>
        <v>0</v>
      </c>
      <c r="CC15" s="52">
        <f t="shared" si="6"/>
        <v>0</v>
      </c>
      <c r="CD15" s="52">
        <f t="shared" si="6"/>
        <v>0</v>
      </c>
      <c r="CE15" s="52">
        <f t="shared" si="6"/>
        <v>0</v>
      </c>
      <c r="CF15" s="52">
        <f t="shared" si="6"/>
        <v>0</v>
      </c>
      <c r="CG15" s="52">
        <f t="shared" si="6"/>
        <v>0</v>
      </c>
      <c r="CH15" s="52">
        <f t="shared" si="6"/>
        <v>0</v>
      </c>
      <c r="CI15" s="52">
        <f t="shared" si="6"/>
        <v>0</v>
      </c>
      <c r="CJ15" s="52">
        <f t="shared" si="6"/>
        <v>0</v>
      </c>
      <c r="CK15" s="52">
        <f t="shared" si="6"/>
        <v>0</v>
      </c>
      <c r="CL15" s="52">
        <f t="shared" si="6"/>
        <v>0</v>
      </c>
      <c r="CM15" s="52">
        <f t="shared" si="6"/>
        <v>0</v>
      </c>
      <c r="CN15" s="52">
        <f t="shared" si="6"/>
        <v>0</v>
      </c>
    </row>
    <row r="16" spans="1:92" ht="12.75" customHeight="1" x14ac:dyDescent="0.25">
      <c r="C16" s="19"/>
      <c r="D16" s="74"/>
      <c r="H16" s="18"/>
      <c r="L16" s="17"/>
    </row>
    <row r="17" spans="3:92" ht="12.75" customHeight="1" x14ac:dyDescent="0.25">
      <c r="C17" s="19" t="s">
        <v>117</v>
      </c>
      <c r="D17" s="74"/>
      <c r="H17" s="1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</row>
    <row r="18" spans="3:92" ht="12.75" customHeight="1" x14ac:dyDescent="0.25">
      <c r="C18" s="19"/>
      <c r="D18" s="74" t="s">
        <v>118</v>
      </c>
      <c r="H18" s="18" t="s">
        <v>1</v>
      </c>
      <c r="J18" s="58">
        <f>SUM(L18:CN18)</f>
        <v>0</v>
      </c>
      <c r="L18" s="17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</row>
    <row r="19" spans="3:92" ht="12.75" customHeight="1" x14ac:dyDescent="0.25">
      <c r="C19" s="19"/>
      <c r="D19" s="74" t="s">
        <v>119</v>
      </c>
      <c r="H19" s="18" t="s">
        <v>1</v>
      </c>
      <c r="J19" s="58">
        <f>SUM(L19:CN19)</f>
        <v>0</v>
      </c>
      <c r="L19" s="17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</row>
    <row r="20" spans="3:92" ht="12.75" customHeight="1" x14ac:dyDescent="0.25">
      <c r="C20" s="19"/>
      <c r="D20" s="76" t="s">
        <v>120</v>
      </c>
      <c r="H20" s="18" t="s">
        <v>1</v>
      </c>
      <c r="J20" s="58">
        <f>SUM(L20:CN20)</f>
        <v>0</v>
      </c>
      <c r="L20" s="17"/>
      <c r="M20" s="52">
        <f t="shared" ref="M20:AQ20" si="7">SUM(M18:M19)</f>
        <v>0</v>
      </c>
      <c r="N20" s="52">
        <f t="shared" si="7"/>
        <v>0</v>
      </c>
      <c r="O20" s="52">
        <f t="shared" si="7"/>
        <v>0</v>
      </c>
      <c r="P20" s="52">
        <f t="shared" si="7"/>
        <v>0</v>
      </c>
      <c r="Q20" s="52">
        <f t="shared" si="7"/>
        <v>0</v>
      </c>
      <c r="R20" s="52">
        <f t="shared" si="7"/>
        <v>0</v>
      </c>
      <c r="S20" s="52">
        <f t="shared" si="7"/>
        <v>0</v>
      </c>
      <c r="T20" s="52">
        <f t="shared" si="7"/>
        <v>0</v>
      </c>
      <c r="U20" s="52">
        <f t="shared" si="7"/>
        <v>0</v>
      </c>
      <c r="V20" s="52">
        <f t="shared" si="7"/>
        <v>0</v>
      </c>
      <c r="W20" s="52">
        <f t="shared" si="7"/>
        <v>0</v>
      </c>
      <c r="X20" s="52">
        <f t="shared" si="7"/>
        <v>0</v>
      </c>
      <c r="Y20" s="52">
        <f t="shared" si="7"/>
        <v>0</v>
      </c>
      <c r="Z20" s="52">
        <f t="shared" si="7"/>
        <v>0</v>
      </c>
      <c r="AA20" s="52">
        <f t="shared" si="7"/>
        <v>0</v>
      </c>
      <c r="AB20" s="52">
        <f t="shared" si="7"/>
        <v>0</v>
      </c>
      <c r="AC20" s="52">
        <f t="shared" si="7"/>
        <v>0</v>
      </c>
      <c r="AD20" s="52">
        <f t="shared" si="7"/>
        <v>0</v>
      </c>
      <c r="AE20" s="52">
        <f t="shared" si="7"/>
        <v>0</v>
      </c>
      <c r="AF20" s="52">
        <f t="shared" si="7"/>
        <v>0</v>
      </c>
      <c r="AG20" s="52">
        <f t="shared" si="7"/>
        <v>0</v>
      </c>
      <c r="AH20" s="52">
        <f t="shared" si="7"/>
        <v>0</v>
      </c>
      <c r="AI20" s="52">
        <f t="shared" si="7"/>
        <v>0</v>
      </c>
      <c r="AJ20" s="52">
        <f t="shared" si="7"/>
        <v>0</v>
      </c>
      <c r="AK20" s="52">
        <f t="shared" si="7"/>
        <v>0</v>
      </c>
      <c r="AL20" s="52">
        <f t="shared" si="7"/>
        <v>0</v>
      </c>
      <c r="AM20" s="52">
        <f t="shared" si="7"/>
        <v>0</v>
      </c>
      <c r="AN20" s="52">
        <f t="shared" si="7"/>
        <v>0</v>
      </c>
      <c r="AO20" s="52">
        <f t="shared" si="7"/>
        <v>0</v>
      </c>
      <c r="AP20" s="52">
        <f t="shared" si="7"/>
        <v>0</v>
      </c>
      <c r="AQ20" s="52">
        <f t="shared" si="7"/>
        <v>0</v>
      </c>
      <c r="AR20" s="52">
        <f t="shared" ref="AR20:BW20" si="8">SUM(AR18:AR19)</f>
        <v>0</v>
      </c>
      <c r="AS20" s="52">
        <f t="shared" si="8"/>
        <v>0</v>
      </c>
      <c r="AT20" s="52">
        <f t="shared" si="8"/>
        <v>0</v>
      </c>
      <c r="AU20" s="52">
        <f t="shared" si="8"/>
        <v>0</v>
      </c>
      <c r="AV20" s="52">
        <f t="shared" si="8"/>
        <v>0</v>
      </c>
      <c r="AW20" s="52">
        <f t="shared" si="8"/>
        <v>0</v>
      </c>
      <c r="AX20" s="52">
        <f t="shared" si="8"/>
        <v>0</v>
      </c>
      <c r="AY20" s="52">
        <f t="shared" si="8"/>
        <v>0</v>
      </c>
      <c r="AZ20" s="52">
        <f t="shared" si="8"/>
        <v>0</v>
      </c>
      <c r="BA20" s="52">
        <f t="shared" si="8"/>
        <v>0</v>
      </c>
      <c r="BB20" s="52">
        <f t="shared" si="8"/>
        <v>0</v>
      </c>
      <c r="BC20" s="52">
        <f t="shared" si="8"/>
        <v>0</v>
      </c>
      <c r="BD20" s="52">
        <f t="shared" si="8"/>
        <v>0</v>
      </c>
      <c r="BE20" s="52">
        <f t="shared" si="8"/>
        <v>0</v>
      </c>
      <c r="BF20" s="52">
        <f t="shared" si="8"/>
        <v>0</v>
      </c>
      <c r="BG20" s="52">
        <f t="shared" si="8"/>
        <v>0</v>
      </c>
      <c r="BH20" s="52">
        <f t="shared" si="8"/>
        <v>0</v>
      </c>
      <c r="BI20" s="52">
        <f t="shared" si="8"/>
        <v>0</v>
      </c>
      <c r="BJ20" s="52">
        <f t="shared" si="8"/>
        <v>0</v>
      </c>
      <c r="BK20" s="52">
        <f t="shared" si="8"/>
        <v>0</v>
      </c>
      <c r="BL20" s="52">
        <f t="shared" si="8"/>
        <v>0</v>
      </c>
      <c r="BM20" s="52">
        <f t="shared" si="8"/>
        <v>0</v>
      </c>
      <c r="BN20" s="52">
        <f t="shared" si="8"/>
        <v>0</v>
      </c>
      <c r="BO20" s="52">
        <f t="shared" si="8"/>
        <v>0</v>
      </c>
      <c r="BP20" s="52">
        <f t="shared" si="8"/>
        <v>0</v>
      </c>
      <c r="BQ20" s="52">
        <f t="shared" si="8"/>
        <v>0</v>
      </c>
      <c r="BR20" s="52">
        <f t="shared" si="8"/>
        <v>0</v>
      </c>
      <c r="BS20" s="52">
        <f t="shared" si="8"/>
        <v>0</v>
      </c>
      <c r="BT20" s="52">
        <f t="shared" si="8"/>
        <v>0</v>
      </c>
      <c r="BU20" s="52">
        <f t="shared" si="8"/>
        <v>0</v>
      </c>
      <c r="BV20" s="52">
        <f t="shared" si="8"/>
        <v>0</v>
      </c>
      <c r="BW20" s="52">
        <f t="shared" si="8"/>
        <v>0</v>
      </c>
      <c r="BX20" s="52">
        <f t="shared" ref="BX20:CN20" si="9">SUM(BX18:BX19)</f>
        <v>0</v>
      </c>
      <c r="BY20" s="52">
        <f t="shared" si="9"/>
        <v>0</v>
      </c>
      <c r="BZ20" s="52">
        <f t="shared" si="9"/>
        <v>0</v>
      </c>
      <c r="CA20" s="52">
        <f t="shared" si="9"/>
        <v>0</v>
      </c>
      <c r="CB20" s="52">
        <f t="shared" si="9"/>
        <v>0</v>
      </c>
      <c r="CC20" s="52">
        <f t="shared" si="9"/>
        <v>0</v>
      </c>
      <c r="CD20" s="52">
        <f t="shared" si="9"/>
        <v>0</v>
      </c>
      <c r="CE20" s="52">
        <f t="shared" si="9"/>
        <v>0</v>
      </c>
      <c r="CF20" s="52">
        <f t="shared" si="9"/>
        <v>0</v>
      </c>
      <c r="CG20" s="52">
        <f t="shared" si="9"/>
        <v>0</v>
      </c>
      <c r="CH20" s="52">
        <f t="shared" si="9"/>
        <v>0</v>
      </c>
      <c r="CI20" s="52">
        <f t="shared" si="9"/>
        <v>0</v>
      </c>
      <c r="CJ20" s="52">
        <f t="shared" si="9"/>
        <v>0</v>
      </c>
      <c r="CK20" s="52">
        <f t="shared" si="9"/>
        <v>0</v>
      </c>
      <c r="CL20" s="52">
        <f t="shared" si="9"/>
        <v>0</v>
      </c>
      <c r="CM20" s="52">
        <f t="shared" si="9"/>
        <v>0</v>
      </c>
      <c r="CN20" s="52">
        <f t="shared" si="9"/>
        <v>0</v>
      </c>
    </row>
    <row r="21" spans="3:92" ht="12.75" customHeight="1" x14ac:dyDescent="0.25">
      <c r="C21" s="19"/>
      <c r="D21" s="74"/>
      <c r="H21" s="18"/>
      <c r="L21" s="17"/>
    </row>
    <row r="22" spans="3:92" ht="12.75" customHeight="1" x14ac:dyDescent="0.25">
      <c r="C22" s="19" t="s">
        <v>123</v>
      </c>
      <c r="D22" s="74"/>
      <c r="H22" s="18" t="s">
        <v>1</v>
      </c>
      <c r="J22" s="58">
        <f>SUM(L22:CN22)</f>
        <v>0</v>
      </c>
      <c r="L22" s="17"/>
      <c r="M22" s="75">
        <f t="shared" ref="M22:O22" si="10">SUM(M15,M20)</f>
        <v>0</v>
      </c>
      <c r="N22" s="75">
        <f t="shared" si="10"/>
        <v>0</v>
      </c>
      <c r="O22" s="75">
        <f t="shared" si="10"/>
        <v>0</v>
      </c>
      <c r="P22" s="75">
        <f t="shared" ref="P22:CA22" si="11">SUM(P15,P20)</f>
        <v>0</v>
      </c>
      <c r="Q22" s="75">
        <f t="shared" si="11"/>
        <v>0</v>
      </c>
      <c r="R22" s="75">
        <f t="shared" si="11"/>
        <v>0</v>
      </c>
      <c r="S22" s="75">
        <f t="shared" si="11"/>
        <v>0</v>
      </c>
      <c r="T22" s="75">
        <f t="shared" si="11"/>
        <v>0</v>
      </c>
      <c r="U22" s="75">
        <f t="shared" si="11"/>
        <v>0</v>
      </c>
      <c r="V22" s="75">
        <f t="shared" si="11"/>
        <v>0</v>
      </c>
      <c r="W22" s="75">
        <f t="shared" si="11"/>
        <v>0</v>
      </c>
      <c r="X22" s="75">
        <f t="shared" si="11"/>
        <v>0</v>
      </c>
      <c r="Y22" s="75">
        <f t="shared" si="11"/>
        <v>0</v>
      </c>
      <c r="Z22" s="75">
        <f t="shared" si="11"/>
        <v>0</v>
      </c>
      <c r="AA22" s="75">
        <f t="shared" si="11"/>
        <v>0</v>
      </c>
      <c r="AB22" s="75">
        <f t="shared" si="11"/>
        <v>0</v>
      </c>
      <c r="AC22" s="75">
        <f t="shared" si="11"/>
        <v>0</v>
      </c>
      <c r="AD22" s="75">
        <f t="shared" si="11"/>
        <v>0</v>
      </c>
      <c r="AE22" s="75">
        <f t="shared" si="11"/>
        <v>0</v>
      </c>
      <c r="AF22" s="75">
        <f t="shared" si="11"/>
        <v>0</v>
      </c>
      <c r="AG22" s="75">
        <f t="shared" si="11"/>
        <v>0</v>
      </c>
      <c r="AH22" s="75">
        <f t="shared" si="11"/>
        <v>0</v>
      </c>
      <c r="AI22" s="75">
        <f t="shared" si="11"/>
        <v>0</v>
      </c>
      <c r="AJ22" s="75">
        <f t="shared" si="11"/>
        <v>0</v>
      </c>
      <c r="AK22" s="75">
        <f t="shared" si="11"/>
        <v>0</v>
      </c>
      <c r="AL22" s="75">
        <f t="shared" si="11"/>
        <v>0</v>
      </c>
      <c r="AM22" s="75">
        <f t="shared" si="11"/>
        <v>0</v>
      </c>
      <c r="AN22" s="75">
        <f t="shared" si="11"/>
        <v>0</v>
      </c>
      <c r="AO22" s="75">
        <f t="shared" si="11"/>
        <v>0</v>
      </c>
      <c r="AP22" s="75">
        <f t="shared" si="11"/>
        <v>0</v>
      </c>
      <c r="AQ22" s="75">
        <f t="shared" si="11"/>
        <v>0</v>
      </c>
      <c r="AR22" s="75">
        <f t="shared" si="11"/>
        <v>0</v>
      </c>
      <c r="AS22" s="75">
        <f t="shared" si="11"/>
        <v>0</v>
      </c>
      <c r="AT22" s="75">
        <f t="shared" si="11"/>
        <v>0</v>
      </c>
      <c r="AU22" s="75">
        <f t="shared" si="11"/>
        <v>0</v>
      </c>
      <c r="AV22" s="75">
        <f t="shared" si="11"/>
        <v>0</v>
      </c>
      <c r="AW22" s="75">
        <f t="shared" si="11"/>
        <v>0</v>
      </c>
      <c r="AX22" s="75">
        <f t="shared" si="11"/>
        <v>0</v>
      </c>
      <c r="AY22" s="75">
        <f t="shared" si="11"/>
        <v>0</v>
      </c>
      <c r="AZ22" s="75">
        <f t="shared" si="11"/>
        <v>0</v>
      </c>
      <c r="BA22" s="75">
        <f t="shared" si="11"/>
        <v>0</v>
      </c>
      <c r="BB22" s="75">
        <f t="shared" si="11"/>
        <v>0</v>
      </c>
      <c r="BC22" s="75">
        <f t="shared" si="11"/>
        <v>0</v>
      </c>
      <c r="BD22" s="75">
        <f t="shared" si="11"/>
        <v>0</v>
      </c>
      <c r="BE22" s="75">
        <f t="shared" si="11"/>
        <v>0</v>
      </c>
      <c r="BF22" s="75">
        <f t="shared" si="11"/>
        <v>0</v>
      </c>
      <c r="BG22" s="75">
        <f t="shared" si="11"/>
        <v>0</v>
      </c>
      <c r="BH22" s="75">
        <f t="shared" si="11"/>
        <v>0</v>
      </c>
      <c r="BI22" s="75">
        <f t="shared" si="11"/>
        <v>0</v>
      </c>
      <c r="BJ22" s="75">
        <f t="shared" si="11"/>
        <v>0</v>
      </c>
      <c r="BK22" s="75">
        <f t="shared" si="11"/>
        <v>0</v>
      </c>
      <c r="BL22" s="75">
        <f t="shared" si="11"/>
        <v>0</v>
      </c>
      <c r="BM22" s="75">
        <f t="shared" si="11"/>
        <v>0</v>
      </c>
      <c r="BN22" s="75">
        <f t="shared" si="11"/>
        <v>0</v>
      </c>
      <c r="BO22" s="75">
        <f t="shared" si="11"/>
        <v>0</v>
      </c>
      <c r="BP22" s="75">
        <f t="shared" si="11"/>
        <v>0</v>
      </c>
      <c r="BQ22" s="75">
        <f t="shared" si="11"/>
        <v>0</v>
      </c>
      <c r="BR22" s="75">
        <f t="shared" si="11"/>
        <v>0</v>
      </c>
      <c r="BS22" s="75">
        <f t="shared" si="11"/>
        <v>0</v>
      </c>
      <c r="BT22" s="75">
        <f t="shared" si="11"/>
        <v>0</v>
      </c>
      <c r="BU22" s="75">
        <f t="shared" si="11"/>
        <v>0</v>
      </c>
      <c r="BV22" s="75">
        <f t="shared" si="11"/>
        <v>0</v>
      </c>
      <c r="BW22" s="75">
        <f t="shared" si="11"/>
        <v>0</v>
      </c>
      <c r="BX22" s="75">
        <f t="shared" si="11"/>
        <v>0</v>
      </c>
      <c r="BY22" s="75">
        <f t="shared" si="11"/>
        <v>0</v>
      </c>
      <c r="BZ22" s="75">
        <f t="shared" si="11"/>
        <v>0</v>
      </c>
      <c r="CA22" s="75">
        <f t="shared" si="11"/>
        <v>0</v>
      </c>
      <c r="CB22" s="75">
        <f t="shared" ref="CB22:CN22" si="12">SUM(CB15,CB20)</f>
        <v>0</v>
      </c>
      <c r="CC22" s="75">
        <f t="shared" si="12"/>
        <v>0</v>
      </c>
      <c r="CD22" s="75">
        <f t="shared" si="12"/>
        <v>0</v>
      </c>
      <c r="CE22" s="75">
        <f t="shared" si="12"/>
        <v>0</v>
      </c>
      <c r="CF22" s="75">
        <f t="shared" si="12"/>
        <v>0</v>
      </c>
      <c r="CG22" s="75">
        <f t="shared" si="12"/>
        <v>0</v>
      </c>
      <c r="CH22" s="75">
        <f t="shared" si="12"/>
        <v>0</v>
      </c>
      <c r="CI22" s="75">
        <f t="shared" si="12"/>
        <v>0</v>
      </c>
      <c r="CJ22" s="75">
        <f t="shared" si="12"/>
        <v>0</v>
      </c>
      <c r="CK22" s="75">
        <f t="shared" si="12"/>
        <v>0</v>
      </c>
      <c r="CL22" s="75">
        <f t="shared" si="12"/>
        <v>0</v>
      </c>
      <c r="CM22" s="75">
        <f t="shared" si="12"/>
        <v>0</v>
      </c>
      <c r="CN22" s="75">
        <f t="shared" si="12"/>
        <v>0</v>
      </c>
    </row>
    <row r="23" spans="3:92" ht="12.75" customHeight="1" x14ac:dyDescent="0.25">
      <c r="C23" s="19"/>
      <c r="D23" s="74"/>
      <c r="H23" s="18"/>
      <c r="L23" s="17"/>
    </row>
    <row r="24" spans="3:92" ht="12.75" customHeight="1" x14ac:dyDescent="0.25">
      <c r="C24" s="19"/>
      <c r="D24" s="97" t="s">
        <v>163</v>
      </c>
      <c r="H24" s="18" t="s">
        <v>1</v>
      </c>
      <c r="J24" s="58">
        <f>SUM(L24:CN24)</f>
        <v>0</v>
      </c>
      <c r="L24" s="17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</row>
    <row r="25" spans="3:92" ht="12.75" customHeight="1" x14ac:dyDescent="0.25">
      <c r="C25" s="19"/>
      <c r="D25" s="97" t="s">
        <v>161</v>
      </c>
      <c r="H25" s="18" t="s">
        <v>1</v>
      </c>
      <c r="J25" s="58">
        <f>SUM(L25:CN25)</f>
        <v>0</v>
      </c>
      <c r="L25" s="17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</row>
    <row r="26" spans="3:92" ht="12.75" customHeight="1" x14ac:dyDescent="0.25">
      <c r="C26" s="19"/>
      <c r="D26" s="74"/>
      <c r="H26" s="18"/>
      <c r="L26" s="17"/>
    </row>
    <row r="27" spans="3:92" ht="12.75" customHeight="1" x14ac:dyDescent="0.25">
      <c r="C27" s="19" t="s">
        <v>124</v>
      </c>
      <c r="D27" s="74"/>
      <c r="H27" s="18" t="s">
        <v>1</v>
      </c>
      <c r="J27" s="58">
        <f>SUM(L27:CN27)</f>
        <v>0</v>
      </c>
      <c r="L27" s="17"/>
      <c r="M27" s="75">
        <f t="shared" ref="M27:O27" si="13">SUM(M22,M24:M25)</f>
        <v>0</v>
      </c>
      <c r="N27" s="75">
        <f t="shared" si="13"/>
        <v>0</v>
      </c>
      <c r="O27" s="75">
        <f t="shared" si="13"/>
        <v>0</v>
      </c>
      <c r="P27" s="75">
        <f t="shared" ref="P27:CA27" si="14">SUM(P22,P24:P25)</f>
        <v>0</v>
      </c>
      <c r="Q27" s="75">
        <f t="shared" si="14"/>
        <v>0</v>
      </c>
      <c r="R27" s="75">
        <f t="shared" si="14"/>
        <v>0</v>
      </c>
      <c r="S27" s="75">
        <f t="shared" si="14"/>
        <v>0</v>
      </c>
      <c r="T27" s="75">
        <f t="shared" si="14"/>
        <v>0</v>
      </c>
      <c r="U27" s="75">
        <f t="shared" si="14"/>
        <v>0</v>
      </c>
      <c r="V27" s="75">
        <f t="shared" si="14"/>
        <v>0</v>
      </c>
      <c r="W27" s="75">
        <f t="shared" si="14"/>
        <v>0</v>
      </c>
      <c r="X27" s="75">
        <f t="shared" si="14"/>
        <v>0</v>
      </c>
      <c r="Y27" s="75">
        <f t="shared" si="14"/>
        <v>0</v>
      </c>
      <c r="Z27" s="75">
        <f t="shared" si="14"/>
        <v>0</v>
      </c>
      <c r="AA27" s="75">
        <f t="shared" si="14"/>
        <v>0</v>
      </c>
      <c r="AB27" s="75">
        <f t="shared" si="14"/>
        <v>0</v>
      </c>
      <c r="AC27" s="75">
        <f t="shared" si="14"/>
        <v>0</v>
      </c>
      <c r="AD27" s="75">
        <f t="shared" si="14"/>
        <v>0</v>
      </c>
      <c r="AE27" s="75">
        <f t="shared" si="14"/>
        <v>0</v>
      </c>
      <c r="AF27" s="75">
        <f t="shared" si="14"/>
        <v>0</v>
      </c>
      <c r="AG27" s="75">
        <f t="shared" si="14"/>
        <v>0</v>
      </c>
      <c r="AH27" s="75">
        <f t="shared" si="14"/>
        <v>0</v>
      </c>
      <c r="AI27" s="75">
        <f t="shared" si="14"/>
        <v>0</v>
      </c>
      <c r="AJ27" s="75">
        <f t="shared" si="14"/>
        <v>0</v>
      </c>
      <c r="AK27" s="75">
        <f t="shared" si="14"/>
        <v>0</v>
      </c>
      <c r="AL27" s="75">
        <f t="shared" si="14"/>
        <v>0</v>
      </c>
      <c r="AM27" s="75">
        <f t="shared" si="14"/>
        <v>0</v>
      </c>
      <c r="AN27" s="75">
        <f t="shared" si="14"/>
        <v>0</v>
      </c>
      <c r="AO27" s="75">
        <f t="shared" si="14"/>
        <v>0</v>
      </c>
      <c r="AP27" s="75">
        <f t="shared" si="14"/>
        <v>0</v>
      </c>
      <c r="AQ27" s="75">
        <f t="shared" si="14"/>
        <v>0</v>
      </c>
      <c r="AR27" s="75">
        <f t="shared" si="14"/>
        <v>0</v>
      </c>
      <c r="AS27" s="75">
        <f t="shared" si="14"/>
        <v>0</v>
      </c>
      <c r="AT27" s="75">
        <f t="shared" si="14"/>
        <v>0</v>
      </c>
      <c r="AU27" s="75">
        <f t="shared" si="14"/>
        <v>0</v>
      </c>
      <c r="AV27" s="75">
        <f t="shared" si="14"/>
        <v>0</v>
      </c>
      <c r="AW27" s="75">
        <f t="shared" si="14"/>
        <v>0</v>
      </c>
      <c r="AX27" s="75">
        <f t="shared" si="14"/>
        <v>0</v>
      </c>
      <c r="AY27" s="75">
        <f t="shared" si="14"/>
        <v>0</v>
      </c>
      <c r="AZ27" s="75">
        <f t="shared" si="14"/>
        <v>0</v>
      </c>
      <c r="BA27" s="75">
        <f t="shared" si="14"/>
        <v>0</v>
      </c>
      <c r="BB27" s="75">
        <f t="shared" si="14"/>
        <v>0</v>
      </c>
      <c r="BC27" s="75">
        <f t="shared" si="14"/>
        <v>0</v>
      </c>
      <c r="BD27" s="75">
        <f t="shared" si="14"/>
        <v>0</v>
      </c>
      <c r="BE27" s="75">
        <f t="shared" si="14"/>
        <v>0</v>
      </c>
      <c r="BF27" s="75">
        <f t="shared" si="14"/>
        <v>0</v>
      </c>
      <c r="BG27" s="75">
        <f t="shared" si="14"/>
        <v>0</v>
      </c>
      <c r="BH27" s="75">
        <f t="shared" si="14"/>
        <v>0</v>
      </c>
      <c r="BI27" s="75">
        <f t="shared" si="14"/>
        <v>0</v>
      </c>
      <c r="BJ27" s="75">
        <f t="shared" si="14"/>
        <v>0</v>
      </c>
      <c r="BK27" s="75">
        <f t="shared" si="14"/>
        <v>0</v>
      </c>
      <c r="BL27" s="75">
        <f t="shared" si="14"/>
        <v>0</v>
      </c>
      <c r="BM27" s="75">
        <f t="shared" si="14"/>
        <v>0</v>
      </c>
      <c r="BN27" s="75">
        <f t="shared" si="14"/>
        <v>0</v>
      </c>
      <c r="BO27" s="75">
        <f t="shared" si="14"/>
        <v>0</v>
      </c>
      <c r="BP27" s="75">
        <f t="shared" si="14"/>
        <v>0</v>
      </c>
      <c r="BQ27" s="75">
        <f t="shared" si="14"/>
        <v>0</v>
      </c>
      <c r="BR27" s="75">
        <f t="shared" si="14"/>
        <v>0</v>
      </c>
      <c r="BS27" s="75">
        <f t="shared" si="14"/>
        <v>0</v>
      </c>
      <c r="BT27" s="75">
        <f t="shared" si="14"/>
        <v>0</v>
      </c>
      <c r="BU27" s="75">
        <f t="shared" si="14"/>
        <v>0</v>
      </c>
      <c r="BV27" s="75">
        <f t="shared" si="14"/>
        <v>0</v>
      </c>
      <c r="BW27" s="75">
        <f t="shared" si="14"/>
        <v>0</v>
      </c>
      <c r="BX27" s="75">
        <f t="shared" si="14"/>
        <v>0</v>
      </c>
      <c r="BY27" s="75">
        <f t="shared" si="14"/>
        <v>0</v>
      </c>
      <c r="BZ27" s="75">
        <f t="shared" si="14"/>
        <v>0</v>
      </c>
      <c r="CA27" s="75">
        <f t="shared" si="14"/>
        <v>0</v>
      </c>
      <c r="CB27" s="75">
        <f t="shared" ref="CB27:CN27" si="15">SUM(CB22,CB24:CB25)</f>
        <v>0</v>
      </c>
      <c r="CC27" s="75">
        <f t="shared" si="15"/>
        <v>0</v>
      </c>
      <c r="CD27" s="75">
        <f t="shared" si="15"/>
        <v>0</v>
      </c>
      <c r="CE27" s="75">
        <f t="shared" si="15"/>
        <v>0</v>
      </c>
      <c r="CF27" s="75">
        <f t="shared" si="15"/>
        <v>0</v>
      </c>
      <c r="CG27" s="75">
        <f t="shared" si="15"/>
        <v>0</v>
      </c>
      <c r="CH27" s="75">
        <f t="shared" si="15"/>
        <v>0</v>
      </c>
      <c r="CI27" s="75">
        <f t="shared" si="15"/>
        <v>0</v>
      </c>
      <c r="CJ27" s="75">
        <f t="shared" si="15"/>
        <v>0</v>
      </c>
      <c r="CK27" s="75">
        <f t="shared" si="15"/>
        <v>0</v>
      </c>
      <c r="CL27" s="75">
        <f t="shared" si="15"/>
        <v>0</v>
      </c>
      <c r="CM27" s="75">
        <f t="shared" si="15"/>
        <v>0</v>
      </c>
      <c r="CN27" s="75">
        <f t="shared" si="15"/>
        <v>0</v>
      </c>
    </row>
    <row r="28" spans="3:92" ht="12.75" customHeight="1" x14ac:dyDescent="0.25">
      <c r="C28" s="19"/>
      <c r="D28" s="74"/>
      <c r="H28" s="18"/>
      <c r="L28" s="1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</row>
    <row r="29" spans="3:92" ht="12.75" customHeight="1" x14ac:dyDescent="0.25">
      <c r="C29" s="19"/>
      <c r="D29" s="74" t="s">
        <v>125</v>
      </c>
      <c r="H29" s="18" t="s">
        <v>1</v>
      </c>
      <c r="J29" s="58">
        <f>SUM(L29:CN29)</f>
        <v>0</v>
      </c>
      <c r="L29" s="17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</row>
    <row r="30" spans="3:92" ht="12.75" customHeight="1" x14ac:dyDescent="0.25">
      <c r="C30" s="19"/>
      <c r="D30" s="74"/>
      <c r="H30" s="18"/>
      <c r="L30" s="1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</row>
    <row r="31" spans="3:92" ht="12.75" customHeight="1" x14ac:dyDescent="0.25">
      <c r="C31" s="19" t="s">
        <v>126</v>
      </c>
      <c r="D31" s="74"/>
      <c r="H31" s="18" t="s">
        <v>1</v>
      </c>
      <c r="J31" s="58">
        <f>SUM(L31:CN31)</f>
        <v>0</v>
      </c>
      <c r="L31" s="17"/>
      <c r="M31" s="75">
        <f t="shared" ref="M31:AQ31" si="16">SUM(M27,M29)</f>
        <v>0</v>
      </c>
      <c r="N31" s="75">
        <f t="shared" si="16"/>
        <v>0</v>
      </c>
      <c r="O31" s="75">
        <f t="shared" si="16"/>
        <v>0</v>
      </c>
      <c r="P31" s="75">
        <f t="shared" si="16"/>
        <v>0</v>
      </c>
      <c r="Q31" s="75">
        <f t="shared" si="16"/>
        <v>0</v>
      </c>
      <c r="R31" s="75">
        <f t="shared" si="16"/>
        <v>0</v>
      </c>
      <c r="S31" s="75">
        <f t="shared" si="16"/>
        <v>0</v>
      </c>
      <c r="T31" s="75">
        <f t="shared" si="16"/>
        <v>0</v>
      </c>
      <c r="U31" s="75">
        <f t="shared" si="16"/>
        <v>0</v>
      </c>
      <c r="V31" s="75">
        <f t="shared" si="16"/>
        <v>0</v>
      </c>
      <c r="W31" s="75">
        <f t="shared" si="16"/>
        <v>0</v>
      </c>
      <c r="X31" s="75">
        <f t="shared" si="16"/>
        <v>0</v>
      </c>
      <c r="Y31" s="75">
        <f t="shared" si="16"/>
        <v>0</v>
      </c>
      <c r="Z31" s="75">
        <f t="shared" si="16"/>
        <v>0</v>
      </c>
      <c r="AA31" s="75">
        <f t="shared" si="16"/>
        <v>0</v>
      </c>
      <c r="AB31" s="75">
        <f t="shared" si="16"/>
        <v>0</v>
      </c>
      <c r="AC31" s="75">
        <f t="shared" si="16"/>
        <v>0</v>
      </c>
      <c r="AD31" s="75">
        <f t="shared" si="16"/>
        <v>0</v>
      </c>
      <c r="AE31" s="75">
        <f t="shared" si="16"/>
        <v>0</v>
      </c>
      <c r="AF31" s="75">
        <f t="shared" si="16"/>
        <v>0</v>
      </c>
      <c r="AG31" s="75">
        <f t="shared" si="16"/>
        <v>0</v>
      </c>
      <c r="AH31" s="75">
        <f t="shared" si="16"/>
        <v>0</v>
      </c>
      <c r="AI31" s="75">
        <f t="shared" si="16"/>
        <v>0</v>
      </c>
      <c r="AJ31" s="75">
        <f t="shared" si="16"/>
        <v>0</v>
      </c>
      <c r="AK31" s="75">
        <f t="shared" si="16"/>
        <v>0</v>
      </c>
      <c r="AL31" s="75">
        <f t="shared" si="16"/>
        <v>0</v>
      </c>
      <c r="AM31" s="75">
        <f t="shared" si="16"/>
        <v>0</v>
      </c>
      <c r="AN31" s="75">
        <f t="shared" si="16"/>
        <v>0</v>
      </c>
      <c r="AO31" s="75">
        <f t="shared" si="16"/>
        <v>0</v>
      </c>
      <c r="AP31" s="75">
        <f t="shared" si="16"/>
        <v>0</v>
      </c>
      <c r="AQ31" s="75">
        <f t="shared" si="16"/>
        <v>0</v>
      </c>
      <c r="AR31" s="75">
        <f t="shared" ref="AR31:BW31" si="17">SUM(AR27,AR29)</f>
        <v>0</v>
      </c>
      <c r="AS31" s="75">
        <f t="shared" si="17"/>
        <v>0</v>
      </c>
      <c r="AT31" s="75">
        <f t="shared" si="17"/>
        <v>0</v>
      </c>
      <c r="AU31" s="75">
        <f t="shared" si="17"/>
        <v>0</v>
      </c>
      <c r="AV31" s="75">
        <f t="shared" si="17"/>
        <v>0</v>
      </c>
      <c r="AW31" s="75">
        <f t="shared" si="17"/>
        <v>0</v>
      </c>
      <c r="AX31" s="75">
        <f t="shared" si="17"/>
        <v>0</v>
      </c>
      <c r="AY31" s="75">
        <f t="shared" si="17"/>
        <v>0</v>
      </c>
      <c r="AZ31" s="75">
        <f t="shared" si="17"/>
        <v>0</v>
      </c>
      <c r="BA31" s="75">
        <f t="shared" si="17"/>
        <v>0</v>
      </c>
      <c r="BB31" s="75">
        <f t="shared" si="17"/>
        <v>0</v>
      </c>
      <c r="BC31" s="75">
        <f t="shared" si="17"/>
        <v>0</v>
      </c>
      <c r="BD31" s="75">
        <f t="shared" si="17"/>
        <v>0</v>
      </c>
      <c r="BE31" s="75">
        <f t="shared" si="17"/>
        <v>0</v>
      </c>
      <c r="BF31" s="75">
        <f t="shared" si="17"/>
        <v>0</v>
      </c>
      <c r="BG31" s="75">
        <f t="shared" si="17"/>
        <v>0</v>
      </c>
      <c r="BH31" s="75">
        <f t="shared" si="17"/>
        <v>0</v>
      </c>
      <c r="BI31" s="75">
        <f t="shared" si="17"/>
        <v>0</v>
      </c>
      <c r="BJ31" s="75">
        <f t="shared" si="17"/>
        <v>0</v>
      </c>
      <c r="BK31" s="75">
        <f t="shared" si="17"/>
        <v>0</v>
      </c>
      <c r="BL31" s="75">
        <f t="shared" si="17"/>
        <v>0</v>
      </c>
      <c r="BM31" s="75">
        <f t="shared" si="17"/>
        <v>0</v>
      </c>
      <c r="BN31" s="75">
        <f t="shared" si="17"/>
        <v>0</v>
      </c>
      <c r="BO31" s="75">
        <f t="shared" si="17"/>
        <v>0</v>
      </c>
      <c r="BP31" s="75">
        <f t="shared" si="17"/>
        <v>0</v>
      </c>
      <c r="BQ31" s="75">
        <f t="shared" si="17"/>
        <v>0</v>
      </c>
      <c r="BR31" s="75">
        <f t="shared" si="17"/>
        <v>0</v>
      </c>
      <c r="BS31" s="75">
        <f t="shared" si="17"/>
        <v>0</v>
      </c>
      <c r="BT31" s="75">
        <f t="shared" si="17"/>
        <v>0</v>
      </c>
      <c r="BU31" s="75">
        <f t="shared" si="17"/>
        <v>0</v>
      </c>
      <c r="BV31" s="75">
        <f t="shared" si="17"/>
        <v>0</v>
      </c>
      <c r="BW31" s="75">
        <f t="shared" si="17"/>
        <v>0</v>
      </c>
      <c r="BX31" s="75">
        <f t="shared" ref="BX31:CN31" si="18">SUM(BX27,BX29)</f>
        <v>0</v>
      </c>
      <c r="BY31" s="75">
        <f t="shared" si="18"/>
        <v>0</v>
      </c>
      <c r="BZ31" s="75">
        <f t="shared" si="18"/>
        <v>0</v>
      </c>
      <c r="CA31" s="75">
        <f t="shared" si="18"/>
        <v>0</v>
      </c>
      <c r="CB31" s="75">
        <f t="shared" si="18"/>
        <v>0</v>
      </c>
      <c r="CC31" s="75">
        <f t="shared" si="18"/>
        <v>0</v>
      </c>
      <c r="CD31" s="75">
        <f t="shared" si="18"/>
        <v>0</v>
      </c>
      <c r="CE31" s="75">
        <f t="shared" si="18"/>
        <v>0</v>
      </c>
      <c r="CF31" s="75">
        <f t="shared" si="18"/>
        <v>0</v>
      </c>
      <c r="CG31" s="75">
        <f t="shared" si="18"/>
        <v>0</v>
      </c>
      <c r="CH31" s="75">
        <f t="shared" si="18"/>
        <v>0</v>
      </c>
      <c r="CI31" s="75">
        <f t="shared" si="18"/>
        <v>0</v>
      </c>
      <c r="CJ31" s="75">
        <f t="shared" si="18"/>
        <v>0</v>
      </c>
      <c r="CK31" s="75">
        <f t="shared" si="18"/>
        <v>0</v>
      </c>
      <c r="CL31" s="75">
        <f t="shared" si="18"/>
        <v>0</v>
      </c>
      <c r="CM31" s="75">
        <f t="shared" si="18"/>
        <v>0</v>
      </c>
      <c r="CN31" s="75">
        <f t="shared" si="18"/>
        <v>0</v>
      </c>
    </row>
    <row r="32" spans="3:92" ht="12.75" customHeight="1" x14ac:dyDescent="0.25">
      <c r="C32" s="19"/>
      <c r="D32" s="74"/>
      <c r="H32" s="18"/>
      <c r="L32" s="1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</row>
    <row r="33" spans="1:92" ht="12.75" customHeight="1" x14ac:dyDescent="0.25">
      <c r="C33" s="19"/>
      <c r="D33" s="80" t="s">
        <v>138</v>
      </c>
      <c r="H33" s="18" t="s">
        <v>1</v>
      </c>
      <c r="J33" s="58">
        <f>SUM(L33:CN33)</f>
        <v>0</v>
      </c>
      <c r="L33" s="17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</row>
    <row r="34" spans="1:92" ht="12.75" customHeight="1" x14ac:dyDescent="0.25">
      <c r="C34" s="19"/>
      <c r="D34" s="74"/>
      <c r="H34" s="18"/>
      <c r="L34" s="1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</row>
    <row r="35" spans="1:92" ht="12.75" customHeight="1" x14ac:dyDescent="0.25">
      <c r="C35" s="19" t="s">
        <v>127</v>
      </c>
      <c r="D35" s="74"/>
      <c r="H35" s="18" t="s">
        <v>1</v>
      </c>
      <c r="J35" s="58">
        <f>SUM(L35:CN35)</f>
        <v>0</v>
      </c>
      <c r="L35" s="17"/>
      <c r="M35" s="75">
        <f t="shared" ref="M35:O35" si="19">SUM(M31,M33)</f>
        <v>0</v>
      </c>
      <c r="N35" s="75">
        <f t="shared" si="19"/>
        <v>0</v>
      </c>
      <c r="O35" s="75">
        <f t="shared" si="19"/>
        <v>0</v>
      </c>
      <c r="P35" s="75">
        <f t="shared" ref="P35:CA35" si="20">SUM(P31,P33)</f>
        <v>0</v>
      </c>
      <c r="Q35" s="75">
        <f t="shared" si="20"/>
        <v>0</v>
      </c>
      <c r="R35" s="75">
        <f t="shared" si="20"/>
        <v>0</v>
      </c>
      <c r="S35" s="75">
        <f t="shared" si="20"/>
        <v>0</v>
      </c>
      <c r="T35" s="75">
        <f t="shared" si="20"/>
        <v>0</v>
      </c>
      <c r="U35" s="75">
        <f t="shared" si="20"/>
        <v>0</v>
      </c>
      <c r="V35" s="75">
        <f t="shared" si="20"/>
        <v>0</v>
      </c>
      <c r="W35" s="75">
        <f t="shared" si="20"/>
        <v>0</v>
      </c>
      <c r="X35" s="75">
        <f t="shared" si="20"/>
        <v>0</v>
      </c>
      <c r="Y35" s="75">
        <f t="shared" si="20"/>
        <v>0</v>
      </c>
      <c r="Z35" s="75">
        <f t="shared" si="20"/>
        <v>0</v>
      </c>
      <c r="AA35" s="75">
        <f t="shared" si="20"/>
        <v>0</v>
      </c>
      <c r="AB35" s="75">
        <f t="shared" si="20"/>
        <v>0</v>
      </c>
      <c r="AC35" s="75">
        <f t="shared" si="20"/>
        <v>0</v>
      </c>
      <c r="AD35" s="75">
        <f t="shared" si="20"/>
        <v>0</v>
      </c>
      <c r="AE35" s="75">
        <f t="shared" si="20"/>
        <v>0</v>
      </c>
      <c r="AF35" s="75">
        <f t="shared" si="20"/>
        <v>0</v>
      </c>
      <c r="AG35" s="75">
        <f t="shared" si="20"/>
        <v>0</v>
      </c>
      <c r="AH35" s="75">
        <f t="shared" si="20"/>
        <v>0</v>
      </c>
      <c r="AI35" s="75">
        <f t="shared" si="20"/>
        <v>0</v>
      </c>
      <c r="AJ35" s="75">
        <f t="shared" si="20"/>
        <v>0</v>
      </c>
      <c r="AK35" s="75">
        <f t="shared" si="20"/>
        <v>0</v>
      </c>
      <c r="AL35" s="75">
        <f t="shared" si="20"/>
        <v>0</v>
      </c>
      <c r="AM35" s="75">
        <f t="shared" si="20"/>
        <v>0</v>
      </c>
      <c r="AN35" s="75">
        <f t="shared" si="20"/>
        <v>0</v>
      </c>
      <c r="AO35" s="75">
        <f t="shared" si="20"/>
        <v>0</v>
      </c>
      <c r="AP35" s="75">
        <f t="shared" si="20"/>
        <v>0</v>
      </c>
      <c r="AQ35" s="75">
        <f t="shared" si="20"/>
        <v>0</v>
      </c>
      <c r="AR35" s="75">
        <f t="shared" si="20"/>
        <v>0</v>
      </c>
      <c r="AS35" s="75">
        <f t="shared" si="20"/>
        <v>0</v>
      </c>
      <c r="AT35" s="75">
        <f t="shared" si="20"/>
        <v>0</v>
      </c>
      <c r="AU35" s="75">
        <f t="shared" si="20"/>
        <v>0</v>
      </c>
      <c r="AV35" s="75">
        <f t="shared" si="20"/>
        <v>0</v>
      </c>
      <c r="AW35" s="75">
        <f t="shared" si="20"/>
        <v>0</v>
      </c>
      <c r="AX35" s="75">
        <f t="shared" si="20"/>
        <v>0</v>
      </c>
      <c r="AY35" s="75">
        <f t="shared" si="20"/>
        <v>0</v>
      </c>
      <c r="AZ35" s="75">
        <f t="shared" si="20"/>
        <v>0</v>
      </c>
      <c r="BA35" s="75">
        <f t="shared" si="20"/>
        <v>0</v>
      </c>
      <c r="BB35" s="75">
        <f t="shared" si="20"/>
        <v>0</v>
      </c>
      <c r="BC35" s="75">
        <f t="shared" si="20"/>
        <v>0</v>
      </c>
      <c r="BD35" s="75">
        <f t="shared" si="20"/>
        <v>0</v>
      </c>
      <c r="BE35" s="75">
        <f t="shared" si="20"/>
        <v>0</v>
      </c>
      <c r="BF35" s="75">
        <f t="shared" si="20"/>
        <v>0</v>
      </c>
      <c r="BG35" s="75">
        <f t="shared" si="20"/>
        <v>0</v>
      </c>
      <c r="BH35" s="75">
        <f t="shared" si="20"/>
        <v>0</v>
      </c>
      <c r="BI35" s="75">
        <f t="shared" si="20"/>
        <v>0</v>
      </c>
      <c r="BJ35" s="75">
        <f t="shared" si="20"/>
        <v>0</v>
      </c>
      <c r="BK35" s="75">
        <f t="shared" si="20"/>
        <v>0</v>
      </c>
      <c r="BL35" s="75">
        <f t="shared" si="20"/>
        <v>0</v>
      </c>
      <c r="BM35" s="75">
        <f t="shared" si="20"/>
        <v>0</v>
      </c>
      <c r="BN35" s="75">
        <f t="shared" si="20"/>
        <v>0</v>
      </c>
      <c r="BO35" s="75">
        <f t="shared" si="20"/>
        <v>0</v>
      </c>
      <c r="BP35" s="75">
        <f t="shared" si="20"/>
        <v>0</v>
      </c>
      <c r="BQ35" s="75">
        <f t="shared" si="20"/>
        <v>0</v>
      </c>
      <c r="BR35" s="75">
        <f t="shared" si="20"/>
        <v>0</v>
      </c>
      <c r="BS35" s="75">
        <f t="shared" si="20"/>
        <v>0</v>
      </c>
      <c r="BT35" s="75">
        <f t="shared" si="20"/>
        <v>0</v>
      </c>
      <c r="BU35" s="75">
        <f t="shared" si="20"/>
        <v>0</v>
      </c>
      <c r="BV35" s="75">
        <f t="shared" si="20"/>
        <v>0</v>
      </c>
      <c r="BW35" s="75">
        <f t="shared" si="20"/>
        <v>0</v>
      </c>
      <c r="BX35" s="75">
        <f t="shared" si="20"/>
        <v>0</v>
      </c>
      <c r="BY35" s="75">
        <f t="shared" si="20"/>
        <v>0</v>
      </c>
      <c r="BZ35" s="75">
        <f t="shared" si="20"/>
        <v>0</v>
      </c>
      <c r="CA35" s="75">
        <f t="shared" si="20"/>
        <v>0</v>
      </c>
      <c r="CB35" s="75">
        <f t="shared" ref="CB35:CN35" si="21">SUM(CB31,CB33)</f>
        <v>0</v>
      </c>
      <c r="CC35" s="75">
        <f t="shared" si="21"/>
        <v>0</v>
      </c>
      <c r="CD35" s="75">
        <f t="shared" si="21"/>
        <v>0</v>
      </c>
      <c r="CE35" s="75">
        <f t="shared" si="21"/>
        <v>0</v>
      </c>
      <c r="CF35" s="75">
        <f t="shared" si="21"/>
        <v>0</v>
      </c>
      <c r="CG35" s="75">
        <f t="shared" si="21"/>
        <v>0</v>
      </c>
      <c r="CH35" s="75">
        <f t="shared" si="21"/>
        <v>0</v>
      </c>
      <c r="CI35" s="75">
        <f t="shared" si="21"/>
        <v>0</v>
      </c>
      <c r="CJ35" s="75">
        <f t="shared" si="21"/>
        <v>0</v>
      </c>
      <c r="CK35" s="75">
        <f t="shared" si="21"/>
        <v>0</v>
      </c>
      <c r="CL35" s="75">
        <f t="shared" si="21"/>
        <v>0</v>
      </c>
      <c r="CM35" s="75">
        <f t="shared" si="21"/>
        <v>0</v>
      </c>
      <c r="CN35" s="75">
        <f t="shared" si="21"/>
        <v>0</v>
      </c>
    </row>
    <row r="36" spans="1:92" ht="12.75" customHeight="1" x14ac:dyDescent="0.25">
      <c r="D36" s="74"/>
      <c r="H36" s="18"/>
      <c r="L36" s="1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</row>
    <row r="37" spans="1:92" ht="12.75" customHeight="1" x14ac:dyDescent="0.25">
      <c r="D37" s="74" t="s">
        <v>128</v>
      </c>
      <c r="H37" s="18" t="s">
        <v>1</v>
      </c>
      <c r="J37" s="58">
        <f>SUM(L37:CN37)</f>
        <v>0</v>
      </c>
      <c r="L37" s="17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</row>
    <row r="38" spans="1:92" ht="12.75" customHeight="1" x14ac:dyDescent="0.25">
      <c r="D38" s="76" t="s">
        <v>129</v>
      </c>
      <c r="H38" s="18" t="s">
        <v>1</v>
      </c>
      <c r="J38" s="58">
        <f>SUM(L38:CN38)</f>
        <v>0</v>
      </c>
      <c r="L38" s="17"/>
      <c r="M38" s="59">
        <f t="shared" ref="M38:O38" si="22">SUM(M35,M37)</f>
        <v>0</v>
      </c>
      <c r="N38" s="59">
        <f t="shared" si="22"/>
        <v>0</v>
      </c>
      <c r="O38" s="59">
        <f t="shared" si="22"/>
        <v>0</v>
      </c>
      <c r="P38" s="59">
        <f t="shared" ref="P38" si="23">SUM(P35,P37)</f>
        <v>0</v>
      </c>
      <c r="Q38" s="59">
        <f t="shared" ref="Q38" si="24">SUM(Q35,Q37)</f>
        <v>0</v>
      </c>
      <c r="R38" s="59">
        <f t="shared" ref="R38" si="25">SUM(R35,R37)</f>
        <v>0</v>
      </c>
      <c r="S38" s="59">
        <f t="shared" ref="S38" si="26">SUM(S35,S37)</f>
        <v>0</v>
      </c>
      <c r="T38" s="59">
        <f t="shared" ref="T38" si="27">SUM(T35,T37)</f>
        <v>0</v>
      </c>
      <c r="U38" s="59">
        <f t="shared" ref="U38" si="28">SUM(U35,U37)</f>
        <v>0</v>
      </c>
      <c r="V38" s="59">
        <f t="shared" ref="V38" si="29">SUM(V35,V37)</f>
        <v>0</v>
      </c>
      <c r="W38" s="59">
        <f t="shared" ref="W38" si="30">SUM(W35,W37)</f>
        <v>0</v>
      </c>
      <c r="X38" s="59">
        <f t="shared" ref="X38" si="31">SUM(X35,X37)</f>
        <v>0</v>
      </c>
      <c r="Y38" s="59">
        <f t="shared" ref="Y38" si="32">SUM(Y35,Y37)</f>
        <v>0</v>
      </c>
      <c r="Z38" s="59">
        <f t="shared" ref="Z38" si="33">SUM(Z35,Z37)</f>
        <v>0</v>
      </c>
      <c r="AA38" s="59">
        <f t="shared" ref="AA38" si="34">SUM(AA35,AA37)</f>
        <v>0</v>
      </c>
      <c r="AB38" s="59">
        <f t="shared" ref="AB38" si="35">SUM(AB35,AB37)</f>
        <v>0</v>
      </c>
      <c r="AC38" s="59">
        <f t="shared" ref="AC38" si="36">SUM(AC35,AC37)</f>
        <v>0</v>
      </c>
      <c r="AD38" s="59">
        <f t="shared" ref="AD38" si="37">SUM(AD35,AD37)</f>
        <v>0</v>
      </c>
      <c r="AE38" s="59">
        <f t="shared" ref="AE38" si="38">SUM(AE35,AE37)</f>
        <v>0</v>
      </c>
      <c r="AF38" s="59">
        <f t="shared" ref="AF38" si="39">SUM(AF35,AF37)</f>
        <v>0</v>
      </c>
      <c r="AG38" s="59">
        <f t="shared" ref="AG38" si="40">SUM(AG35,AG37)</f>
        <v>0</v>
      </c>
      <c r="AH38" s="59">
        <f t="shared" ref="AH38" si="41">SUM(AH35,AH37)</f>
        <v>0</v>
      </c>
      <c r="AI38" s="59">
        <f t="shared" ref="AI38" si="42">SUM(AI35,AI37)</f>
        <v>0</v>
      </c>
      <c r="AJ38" s="59">
        <f t="shared" ref="AJ38" si="43">SUM(AJ35,AJ37)</f>
        <v>0</v>
      </c>
      <c r="AK38" s="59">
        <f t="shared" ref="AK38" si="44">SUM(AK35,AK37)</f>
        <v>0</v>
      </c>
      <c r="AL38" s="59">
        <f t="shared" ref="AL38" si="45">SUM(AL35,AL37)</f>
        <v>0</v>
      </c>
      <c r="AM38" s="59">
        <f t="shared" ref="AM38" si="46">SUM(AM35,AM37)</f>
        <v>0</v>
      </c>
      <c r="AN38" s="59">
        <f t="shared" ref="AN38" si="47">SUM(AN35,AN37)</f>
        <v>0</v>
      </c>
      <c r="AO38" s="59">
        <f t="shared" ref="AO38" si="48">SUM(AO35,AO37)</f>
        <v>0</v>
      </c>
      <c r="AP38" s="59">
        <f t="shared" ref="AP38" si="49">SUM(AP35,AP37)</f>
        <v>0</v>
      </c>
      <c r="AQ38" s="59">
        <f t="shared" ref="AQ38" si="50">SUM(AQ35,AQ37)</f>
        <v>0</v>
      </c>
      <c r="AR38" s="59">
        <f t="shared" ref="AR38" si="51">SUM(AR35,AR37)</f>
        <v>0</v>
      </c>
      <c r="AS38" s="59">
        <f t="shared" ref="AS38" si="52">SUM(AS35,AS37)</f>
        <v>0</v>
      </c>
      <c r="AT38" s="59">
        <f t="shared" ref="AT38" si="53">SUM(AT35,AT37)</f>
        <v>0</v>
      </c>
      <c r="AU38" s="59">
        <f t="shared" ref="AU38" si="54">SUM(AU35,AU37)</f>
        <v>0</v>
      </c>
      <c r="AV38" s="59">
        <f t="shared" ref="AV38" si="55">SUM(AV35,AV37)</f>
        <v>0</v>
      </c>
      <c r="AW38" s="59">
        <f t="shared" ref="AW38" si="56">SUM(AW35,AW37)</f>
        <v>0</v>
      </c>
      <c r="AX38" s="59">
        <f t="shared" ref="AX38" si="57">SUM(AX35,AX37)</f>
        <v>0</v>
      </c>
      <c r="AY38" s="59">
        <f t="shared" ref="AY38" si="58">SUM(AY35,AY37)</f>
        <v>0</v>
      </c>
      <c r="AZ38" s="59">
        <f t="shared" ref="AZ38" si="59">SUM(AZ35,AZ37)</f>
        <v>0</v>
      </c>
      <c r="BA38" s="59">
        <f t="shared" ref="BA38" si="60">SUM(BA35,BA37)</f>
        <v>0</v>
      </c>
      <c r="BB38" s="59">
        <f t="shared" ref="BB38" si="61">SUM(BB35,BB37)</f>
        <v>0</v>
      </c>
      <c r="BC38" s="59">
        <f t="shared" ref="BC38" si="62">SUM(BC35,BC37)</f>
        <v>0</v>
      </c>
      <c r="BD38" s="59">
        <f t="shared" ref="BD38" si="63">SUM(BD35,BD37)</f>
        <v>0</v>
      </c>
      <c r="BE38" s="59">
        <f t="shared" ref="BE38" si="64">SUM(BE35,BE37)</f>
        <v>0</v>
      </c>
      <c r="BF38" s="59">
        <f t="shared" ref="BF38" si="65">SUM(BF35,BF37)</f>
        <v>0</v>
      </c>
      <c r="BG38" s="59">
        <f t="shared" ref="BG38" si="66">SUM(BG35,BG37)</f>
        <v>0</v>
      </c>
      <c r="BH38" s="59">
        <f t="shared" ref="BH38" si="67">SUM(BH35,BH37)</f>
        <v>0</v>
      </c>
      <c r="BI38" s="59">
        <f t="shared" ref="BI38" si="68">SUM(BI35,BI37)</f>
        <v>0</v>
      </c>
      <c r="BJ38" s="59">
        <f t="shared" ref="BJ38" si="69">SUM(BJ35,BJ37)</f>
        <v>0</v>
      </c>
      <c r="BK38" s="59">
        <f t="shared" ref="BK38" si="70">SUM(BK35,BK37)</f>
        <v>0</v>
      </c>
      <c r="BL38" s="59">
        <f t="shared" ref="BL38" si="71">SUM(BL35,BL37)</f>
        <v>0</v>
      </c>
      <c r="BM38" s="59">
        <f t="shared" ref="BM38" si="72">SUM(BM35,BM37)</f>
        <v>0</v>
      </c>
      <c r="BN38" s="59">
        <f t="shared" ref="BN38" si="73">SUM(BN35,BN37)</f>
        <v>0</v>
      </c>
      <c r="BO38" s="59">
        <f t="shared" ref="BO38" si="74">SUM(BO35,BO37)</f>
        <v>0</v>
      </c>
      <c r="BP38" s="59">
        <f t="shared" ref="BP38" si="75">SUM(BP35,BP37)</f>
        <v>0</v>
      </c>
      <c r="BQ38" s="59">
        <f t="shared" ref="BQ38" si="76">SUM(BQ35,BQ37)</f>
        <v>0</v>
      </c>
      <c r="BR38" s="59">
        <f t="shared" ref="BR38" si="77">SUM(BR35,BR37)</f>
        <v>0</v>
      </c>
      <c r="BS38" s="59">
        <f t="shared" ref="BS38" si="78">SUM(BS35,BS37)</f>
        <v>0</v>
      </c>
      <c r="BT38" s="59">
        <f t="shared" ref="BT38" si="79">SUM(BT35,BT37)</f>
        <v>0</v>
      </c>
      <c r="BU38" s="59">
        <f t="shared" ref="BU38" si="80">SUM(BU35,BU37)</f>
        <v>0</v>
      </c>
      <c r="BV38" s="59">
        <f t="shared" ref="BV38" si="81">SUM(BV35,BV37)</f>
        <v>0</v>
      </c>
      <c r="BW38" s="59">
        <f t="shared" ref="BW38" si="82">SUM(BW35,BW37)</f>
        <v>0</v>
      </c>
      <c r="BX38" s="59">
        <f t="shared" ref="BX38" si="83">SUM(BX35,BX37)</f>
        <v>0</v>
      </c>
      <c r="BY38" s="59">
        <f t="shared" ref="BY38" si="84">SUM(BY35,BY37)</f>
        <v>0</v>
      </c>
      <c r="BZ38" s="59">
        <f t="shared" ref="BZ38" si="85">SUM(BZ35,BZ37)</f>
        <v>0</v>
      </c>
      <c r="CA38" s="59">
        <f t="shared" ref="CA38" si="86">SUM(CA35,CA37)</f>
        <v>0</v>
      </c>
      <c r="CB38" s="59">
        <f t="shared" ref="CB38" si="87">SUM(CB35,CB37)</f>
        <v>0</v>
      </c>
      <c r="CC38" s="59">
        <f t="shared" ref="CC38" si="88">SUM(CC35,CC37)</f>
        <v>0</v>
      </c>
      <c r="CD38" s="59">
        <f t="shared" ref="CD38" si="89">SUM(CD35,CD37)</f>
        <v>0</v>
      </c>
      <c r="CE38" s="59">
        <f t="shared" ref="CE38" si="90">SUM(CE35,CE37)</f>
        <v>0</v>
      </c>
      <c r="CF38" s="59">
        <f t="shared" ref="CF38" si="91">SUM(CF35,CF37)</f>
        <v>0</v>
      </c>
      <c r="CG38" s="59">
        <f t="shared" ref="CG38" si="92">SUM(CG35,CG37)</f>
        <v>0</v>
      </c>
      <c r="CH38" s="59">
        <f t="shared" ref="CH38" si="93">SUM(CH35,CH37)</f>
        <v>0</v>
      </c>
      <c r="CI38" s="59">
        <f t="shared" ref="CI38" si="94">SUM(CI35,CI37)</f>
        <v>0</v>
      </c>
      <c r="CJ38" s="59">
        <f t="shared" ref="CJ38" si="95">SUM(CJ35,CJ37)</f>
        <v>0</v>
      </c>
      <c r="CK38" s="59">
        <f t="shared" ref="CK38" si="96">SUM(CK35,CK37)</f>
        <v>0</v>
      </c>
      <c r="CL38" s="59">
        <f t="shared" ref="CL38" si="97">SUM(CL35,CL37)</f>
        <v>0</v>
      </c>
      <c r="CM38" s="59">
        <f t="shared" ref="CM38" si="98">SUM(CM35,CM37)</f>
        <v>0</v>
      </c>
      <c r="CN38" s="59">
        <f t="shared" ref="CN38" si="99">SUM(CN35,CN37)</f>
        <v>0</v>
      </c>
    </row>
    <row r="39" spans="1:92" ht="12.75" customHeight="1" x14ac:dyDescent="0.25">
      <c r="D39" s="74"/>
      <c r="H39" s="18"/>
    </row>
    <row r="40" spans="1:92" ht="12.75" x14ac:dyDescent="0.2">
      <c r="A40" s="16">
        <f>MAX(A$3:A39)+0.01</f>
        <v>2.0199999999999996</v>
      </c>
      <c r="B40" s="16"/>
      <c r="C40" s="16" t="s">
        <v>130</v>
      </c>
      <c r="D40" s="22"/>
      <c r="E40" s="16"/>
      <c r="F40" s="16"/>
      <c r="G40" s="16"/>
      <c r="H40" s="57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1:92" ht="12.75" customHeight="1" x14ac:dyDescent="0.25">
      <c r="C41" s="19"/>
      <c r="D41" s="74"/>
      <c r="H41" s="18"/>
    </row>
    <row r="42" spans="1:92" ht="12.75" customHeight="1" x14ac:dyDescent="0.25">
      <c r="C42" s="19" t="s">
        <v>131</v>
      </c>
      <c r="D42" s="74"/>
      <c r="H42" s="18"/>
    </row>
    <row r="43" spans="1:92" ht="12.75" customHeight="1" x14ac:dyDescent="0.25">
      <c r="C43" s="19"/>
      <c r="D43" s="74" t="s">
        <v>16</v>
      </c>
      <c r="H43" s="18" t="s">
        <v>1</v>
      </c>
      <c r="L43" s="73">
        <f>Ass!I116</f>
        <v>1000000</v>
      </c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</row>
    <row r="44" spans="1:92" ht="12.75" customHeight="1" x14ac:dyDescent="0.25">
      <c r="C44" s="19"/>
      <c r="D44" s="74" t="s">
        <v>19</v>
      </c>
      <c r="H44" s="18" t="s">
        <v>1</v>
      </c>
      <c r="L44" s="73">
        <f>Ass!I117</f>
        <v>160000</v>
      </c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</row>
    <row r="45" spans="1:92" ht="12.75" customHeight="1" x14ac:dyDescent="0.25">
      <c r="C45" s="19"/>
      <c r="D45" s="74" t="s">
        <v>106</v>
      </c>
      <c r="H45" s="18" t="s">
        <v>1</v>
      </c>
      <c r="L45" s="73">
        <f>Ass!I118</f>
        <v>0</v>
      </c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</row>
    <row r="46" spans="1:92" ht="12.75" customHeight="1" x14ac:dyDescent="0.25">
      <c r="C46" s="19"/>
      <c r="D46" s="76" t="s">
        <v>23</v>
      </c>
      <c r="H46" s="18" t="s">
        <v>1</v>
      </c>
      <c r="L46" s="52">
        <f t="shared" ref="L46:AQ46" si="100">SUM(L43:L45)</f>
        <v>1160000</v>
      </c>
      <c r="M46" s="52">
        <f t="shared" si="100"/>
        <v>0</v>
      </c>
      <c r="N46" s="52">
        <f t="shared" si="100"/>
        <v>0</v>
      </c>
      <c r="O46" s="52">
        <f t="shared" si="100"/>
        <v>0</v>
      </c>
      <c r="P46" s="52">
        <f t="shared" si="100"/>
        <v>0</v>
      </c>
      <c r="Q46" s="52">
        <f t="shared" si="100"/>
        <v>0</v>
      </c>
      <c r="R46" s="52">
        <f t="shared" si="100"/>
        <v>0</v>
      </c>
      <c r="S46" s="52">
        <f t="shared" si="100"/>
        <v>0</v>
      </c>
      <c r="T46" s="52">
        <f t="shared" si="100"/>
        <v>0</v>
      </c>
      <c r="U46" s="52">
        <f t="shared" si="100"/>
        <v>0</v>
      </c>
      <c r="V46" s="52">
        <f t="shared" si="100"/>
        <v>0</v>
      </c>
      <c r="W46" s="52">
        <f t="shared" si="100"/>
        <v>0</v>
      </c>
      <c r="X46" s="52">
        <f t="shared" si="100"/>
        <v>0</v>
      </c>
      <c r="Y46" s="52">
        <f t="shared" si="100"/>
        <v>0</v>
      </c>
      <c r="Z46" s="52">
        <f t="shared" si="100"/>
        <v>0</v>
      </c>
      <c r="AA46" s="52">
        <f t="shared" si="100"/>
        <v>0</v>
      </c>
      <c r="AB46" s="52">
        <f t="shared" si="100"/>
        <v>0</v>
      </c>
      <c r="AC46" s="52">
        <f t="shared" si="100"/>
        <v>0</v>
      </c>
      <c r="AD46" s="52">
        <f t="shared" si="100"/>
        <v>0</v>
      </c>
      <c r="AE46" s="52">
        <f t="shared" si="100"/>
        <v>0</v>
      </c>
      <c r="AF46" s="52">
        <f t="shared" si="100"/>
        <v>0</v>
      </c>
      <c r="AG46" s="52">
        <f t="shared" si="100"/>
        <v>0</v>
      </c>
      <c r="AH46" s="52">
        <f t="shared" si="100"/>
        <v>0</v>
      </c>
      <c r="AI46" s="52">
        <f t="shared" si="100"/>
        <v>0</v>
      </c>
      <c r="AJ46" s="52">
        <f t="shared" si="100"/>
        <v>0</v>
      </c>
      <c r="AK46" s="52">
        <f t="shared" si="100"/>
        <v>0</v>
      </c>
      <c r="AL46" s="52">
        <f t="shared" si="100"/>
        <v>0</v>
      </c>
      <c r="AM46" s="52">
        <f t="shared" si="100"/>
        <v>0</v>
      </c>
      <c r="AN46" s="52">
        <f t="shared" si="100"/>
        <v>0</v>
      </c>
      <c r="AO46" s="52">
        <f t="shared" si="100"/>
        <v>0</v>
      </c>
      <c r="AP46" s="52">
        <f t="shared" si="100"/>
        <v>0</v>
      </c>
      <c r="AQ46" s="52">
        <f t="shared" si="100"/>
        <v>0</v>
      </c>
      <c r="AR46" s="52">
        <f t="shared" ref="AR46:BW46" si="101">SUM(AR43:AR45)</f>
        <v>0</v>
      </c>
      <c r="AS46" s="52">
        <f t="shared" si="101"/>
        <v>0</v>
      </c>
      <c r="AT46" s="52">
        <f t="shared" si="101"/>
        <v>0</v>
      </c>
      <c r="AU46" s="52">
        <f t="shared" si="101"/>
        <v>0</v>
      </c>
      <c r="AV46" s="52">
        <f t="shared" si="101"/>
        <v>0</v>
      </c>
      <c r="AW46" s="52">
        <f t="shared" si="101"/>
        <v>0</v>
      </c>
      <c r="AX46" s="52">
        <f t="shared" si="101"/>
        <v>0</v>
      </c>
      <c r="AY46" s="52">
        <f t="shared" si="101"/>
        <v>0</v>
      </c>
      <c r="AZ46" s="52">
        <f t="shared" si="101"/>
        <v>0</v>
      </c>
      <c r="BA46" s="52">
        <f t="shared" si="101"/>
        <v>0</v>
      </c>
      <c r="BB46" s="52">
        <f t="shared" si="101"/>
        <v>0</v>
      </c>
      <c r="BC46" s="52">
        <f t="shared" si="101"/>
        <v>0</v>
      </c>
      <c r="BD46" s="52">
        <f t="shared" si="101"/>
        <v>0</v>
      </c>
      <c r="BE46" s="52">
        <f t="shared" si="101"/>
        <v>0</v>
      </c>
      <c r="BF46" s="52">
        <f t="shared" si="101"/>
        <v>0</v>
      </c>
      <c r="BG46" s="52">
        <f t="shared" si="101"/>
        <v>0</v>
      </c>
      <c r="BH46" s="52">
        <f t="shared" si="101"/>
        <v>0</v>
      </c>
      <c r="BI46" s="52">
        <f t="shared" si="101"/>
        <v>0</v>
      </c>
      <c r="BJ46" s="52">
        <f t="shared" si="101"/>
        <v>0</v>
      </c>
      <c r="BK46" s="52">
        <f t="shared" si="101"/>
        <v>0</v>
      </c>
      <c r="BL46" s="52">
        <f t="shared" si="101"/>
        <v>0</v>
      </c>
      <c r="BM46" s="52">
        <f t="shared" si="101"/>
        <v>0</v>
      </c>
      <c r="BN46" s="52">
        <f t="shared" si="101"/>
        <v>0</v>
      </c>
      <c r="BO46" s="52">
        <f t="shared" si="101"/>
        <v>0</v>
      </c>
      <c r="BP46" s="52">
        <f t="shared" si="101"/>
        <v>0</v>
      </c>
      <c r="BQ46" s="52">
        <f t="shared" si="101"/>
        <v>0</v>
      </c>
      <c r="BR46" s="52">
        <f t="shared" si="101"/>
        <v>0</v>
      </c>
      <c r="BS46" s="52">
        <f t="shared" si="101"/>
        <v>0</v>
      </c>
      <c r="BT46" s="52">
        <f t="shared" si="101"/>
        <v>0</v>
      </c>
      <c r="BU46" s="52">
        <f t="shared" si="101"/>
        <v>0</v>
      </c>
      <c r="BV46" s="52">
        <f t="shared" si="101"/>
        <v>0</v>
      </c>
      <c r="BW46" s="52">
        <f t="shared" si="101"/>
        <v>0</v>
      </c>
      <c r="BX46" s="52">
        <f t="shared" ref="BX46:CN46" si="102">SUM(BX43:BX45)</f>
        <v>0</v>
      </c>
      <c r="BY46" s="52">
        <f t="shared" si="102"/>
        <v>0</v>
      </c>
      <c r="BZ46" s="52">
        <f t="shared" si="102"/>
        <v>0</v>
      </c>
      <c r="CA46" s="52">
        <f t="shared" si="102"/>
        <v>0</v>
      </c>
      <c r="CB46" s="52">
        <f t="shared" si="102"/>
        <v>0</v>
      </c>
      <c r="CC46" s="52">
        <f t="shared" si="102"/>
        <v>0</v>
      </c>
      <c r="CD46" s="52">
        <f t="shared" si="102"/>
        <v>0</v>
      </c>
      <c r="CE46" s="52">
        <f t="shared" si="102"/>
        <v>0</v>
      </c>
      <c r="CF46" s="52">
        <f t="shared" si="102"/>
        <v>0</v>
      </c>
      <c r="CG46" s="52">
        <f t="shared" si="102"/>
        <v>0</v>
      </c>
      <c r="CH46" s="52">
        <f t="shared" si="102"/>
        <v>0</v>
      </c>
      <c r="CI46" s="52">
        <f t="shared" si="102"/>
        <v>0</v>
      </c>
      <c r="CJ46" s="52">
        <f t="shared" si="102"/>
        <v>0</v>
      </c>
      <c r="CK46" s="52">
        <f t="shared" si="102"/>
        <v>0</v>
      </c>
      <c r="CL46" s="52">
        <f t="shared" si="102"/>
        <v>0</v>
      </c>
      <c r="CM46" s="52">
        <f t="shared" si="102"/>
        <v>0</v>
      </c>
      <c r="CN46" s="52">
        <f t="shared" si="102"/>
        <v>0</v>
      </c>
    </row>
    <row r="47" spans="1:92" ht="12.75" customHeight="1" x14ac:dyDescent="0.25">
      <c r="C47" s="19"/>
      <c r="D47" s="74"/>
      <c r="H47" s="18"/>
      <c r="L47" s="73"/>
    </row>
    <row r="48" spans="1:92" ht="12.75" customHeight="1" x14ac:dyDescent="0.25">
      <c r="C48" s="19"/>
      <c r="D48" s="74" t="s">
        <v>17</v>
      </c>
      <c r="H48" s="18" t="s">
        <v>1</v>
      </c>
      <c r="L48" s="73">
        <f>Ass!I121</f>
        <v>168400000</v>
      </c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</row>
    <row r="49" spans="3:92" ht="12.75" customHeight="1" x14ac:dyDescent="0.25">
      <c r="C49" s="19"/>
      <c r="D49" s="74" t="s">
        <v>132</v>
      </c>
      <c r="H49" s="18" t="s">
        <v>1</v>
      </c>
      <c r="L49" s="73">
        <v>0</v>
      </c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</row>
    <row r="50" spans="3:92" ht="12.75" customHeight="1" x14ac:dyDescent="0.25">
      <c r="C50" s="19"/>
      <c r="D50" s="76" t="s">
        <v>24</v>
      </c>
      <c r="H50" s="18" t="s">
        <v>1</v>
      </c>
      <c r="L50" s="52">
        <f>SUM(L48:L49)</f>
        <v>168400000</v>
      </c>
      <c r="M50" s="52">
        <f t="shared" ref="M50:Q50" si="103">SUM(M48:M49)</f>
        <v>0</v>
      </c>
      <c r="N50" s="52">
        <f t="shared" si="103"/>
        <v>0</v>
      </c>
      <c r="O50" s="52">
        <f t="shared" si="103"/>
        <v>0</v>
      </c>
      <c r="P50" s="52">
        <f t="shared" si="103"/>
        <v>0</v>
      </c>
      <c r="Q50" s="52">
        <f t="shared" si="103"/>
        <v>0</v>
      </c>
      <c r="R50" s="52">
        <f t="shared" ref="R50" si="104">SUM(R48:R49)</f>
        <v>0</v>
      </c>
      <c r="S50" s="52">
        <f t="shared" ref="S50" si="105">SUM(S48:S49)</f>
        <v>0</v>
      </c>
      <c r="T50" s="52">
        <f t="shared" ref="T50" si="106">SUM(T48:T49)</f>
        <v>0</v>
      </c>
      <c r="U50" s="52">
        <f t="shared" ref="U50" si="107">SUM(U48:U49)</f>
        <v>0</v>
      </c>
      <c r="V50" s="52">
        <f t="shared" ref="V50" si="108">SUM(V48:V49)</f>
        <v>0</v>
      </c>
      <c r="W50" s="52">
        <f t="shared" ref="W50" si="109">SUM(W48:W49)</f>
        <v>0</v>
      </c>
      <c r="X50" s="52">
        <f t="shared" ref="X50" si="110">SUM(X48:X49)</f>
        <v>0</v>
      </c>
      <c r="Y50" s="52">
        <f t="shared" ref="Y50" si="111">SUM(Y48:Y49)</f>
        <v>0</v>
      </c>
      <c r="Z50" s="52">
        <f t="shared" ref="Z50" si="112">SUM(Z48:Z49)</f>
        <v>0</v>
      </c>
      <c r="AA50" s="52">
        <f t="shared" ref="AA50" si="113">SUM(AA48:AA49)</f>
        <v>0</v>
      </c>
      <c r="AB50" s="52">
        <f t="shared" ref="AB50" si="114">SUM(AB48:AB49)</f>
        <v>0</v>
      </c>
      <c r="AC50" s="52">
        <f t="shared" ref="AC50" si="115">SUM(AC48:AC49)</f>
        <v>0</v>
      </c>
      <c r="AD50" s="52">
        <f t="shared" ref="AD50" si="116">SUM(AD48:AD49)</f>
        <v>0</v>
      </c>
      <c r="AE50" s="52">
        <f t="shared" ref="AE50" si="117">SUM(AE48:AE49)</f>
        <v>0</v>
      </c>
      <c r="AF50" s="52">
        <f t="shared" ref="AF50" si="118">SUM(AF48:AF49)</f>
        <v>0</v>
      </c>
      <c r="AG50" s="52">
        <f t="shared" ref="AG50" si="119">SUM(AG48:AG49)</f>
        <v>0</v>
      </c>
      <c r="AH50" s="52">
        <f t="shared" ref="AH50" si="120">SUM(AH48:AH49)</f>
        <v>0</v>
      </c>
      <c r="AI50" s="52">
        <f t="shared" ref="AI50" si="121">SUM(AI48:AI49)</f>
        <v>0</v>
      </c>
      <c r="AJ50" s="52">
        <f t="shared" ref="AJ50" si="122">SUM(AJ48:AJ49)</f>
        <v>0</v>
      </c>
      <c r="AK50" s="52">
        <f t="shared" ref="AK50" si="123">SUM(AK48:AK49)</f>
        <v>0</v>
      </c>
      <c r="AL50" s="52">
        <f t="shared" ref="AL50" si="124">SUM(AL48:AL49)</f>
        <v>0</v>
      </c>
      <c r="AM50" s="52">
        <f t="shared" ref="AM50" si="125">SUM(AM48:AM49)</f>
        <v>0</v>
      </c>
      <c r="AN50" s="52">
        <f t="shared" ref="AN50" si="126">SUM(AN48:AN49)</f>
        <v>0</v>
      </c>
      <c r="AO50" s="52">
        <f t="shared" ref="AO50" si="127">SUM(AO48:AO49)</f>
        <v>0</v>
      </c>
      <c r="AP50" s="52">
        <f t="shared" ref="AP50" si="128">SUM(AP48:AP49)</f>
        <v>0</v>
      </c>
      <c r="AQ50" s="52">
        <f t="shared" ref="AQ50" si="129">SUM(AQ48:AQ49)</f>
        <v>0</v>
      </c>
      <c r="AR50" s="52">
        <f t="shared" ref="AR50" si="130">SUM(AR48:AR49)</f>
        <v>0</v>
      </c>
      <c r="AS50" s="52">
        <f t="shared" ref="AS50" si="131">SUM(AS48:AS49)</f>
        <v>0</v>
      </c>
      <c r="AT50" s="52">
        <f t="shared" ref="AT50" si="132">SUM(AT48:AT49)</f>
        <v>0</v>
      </c>
      <c r="AU50" s="52">
        <f t="shared" ref="AU50" si="133">SUM(AU48:AU49)</f>
        <v>0</v>
      </c>
      <c r="AV50" s="52">
        <f t="shared" ref="AV50" si="134">SUM(AV48:AV49)</f>
        <v>0</v>
      </c>
      <c r="AW50" s="52">
        <f t="shared" ref="AW50" si="135">SUM(AW48:AW49)</f>
        <v>0</v>
      </c>
      <c r="AX50" s="52">
        <f t="shared" ref="AX50" si="136">SUM(AX48:AX49)</f>
        <v>0</v>
      </c>
      <c r="AY50" s="52">
        <f t="shared" ref="AY50" si="137">SUM(AY48:AY49)</f>
        <v>0</v>
      </c>
      <c r="AZ50" s="52">
        <f t="shared" ref="AZ50" si="138">SUM(AZ48:AZ49)</f>
        <v>0</v>
      </c>
      <c r="BA50" s="52">
        <f t="shared" ref="BA50" si="139">SUM(BA48:BA49)</f>
        <v>0</v>
      </c>
      <c r="BB50" s="52">
        <f t="shared" ref="BB50" si="140">SUM(BB48:BB49)</f>
        <v>0</v>
      </c>
      <c r="BC50" s="52">
        <f t="shared" ref="BC50" si="141">SUM(BC48:BC49)</f>
        <v>0</v>
      </c>
      <c r="BD50" s="52">
        <f t="shared" ref="BD50" si="142">SUM(BD48:BD49)</f>
        <v>0</v>
      </c>
      <c r="BE50" s="52">
        <f t="shared" ref="BE50" si="143">SUM(BE48:BE49)</f>
        <v>0</v>
      </c>
      <c r="BF50" s="52">
        <f t="shared" ref="BF50" si="144">SUM(BF48:BF49)</f>
        <v>0</v>
      </c>
      <c r="BG50" s="52">
        <f t="shared" ref="BG50" si="145">SUM(BG48:BG49)</f>
        <v>0</v>
      </c>
      <c r="BH50" s="52">
        <f t="shared" ref="BH50" si="146">SUM(BH48:BH49)</f>
        <v>0</v>
      </c>
      <c r="BI50" s="52">
        <f t="shared" ref="BI50" si="147">SUM(BI48:BI49)</f>
        <v>0</v>
      </c>
      <c r="BJ50" s="52">
        <f t="shared" ref="BJ50" si="148">SUM(BJ48:BJ49)</f>
        <v>0</v>
      </c>
      <c r="BK50" s="52">
        <f t="shared" ref="BK50" si="149">SUM(BK48:BK49)</f>
        <v>0</v>
      </c>
      <c r="BL50" s="52">
        <f t="shared" ref="BL50" si="150">SUM(BL48:BL49)</f>
        <v>0</v>
      </c>
      <c r="BM50" s="52">
        <f t="shared" ref="BM50" si="151">SUM(BM48:BM49)</f>
        <v>0</v>
      </c>
      <c r="BN50" s="52">
        <f t="shared" ref="BN50" si="152">SUM(BN48:BN49)</f>
        <v>0</v>
      </c>
      <c r="BO50" s="52">
        <f t="shared" ref="BO50" si="153">SUM(BO48:BO49)</f>
        <v>0</v>
      </c>
      <c r="BP50" s="52">
        <f t="shared" ref="BP50" si="154">SUM(BP48:BP49)</f>
        <v>0</v>
      </c>
      <c r="BQ50" s="52">
        <f t="shared" ref="BQ50" si="155">SUM(BQ48:BQ49)</f>
        <v>0</v>
      </c>
      <c r="BR50" s="52">
        <f t="shared" ref="BR50" si="156">SUM(BR48:BR49)</f>
        <v>0</v>
      </c>
      <c r="BS50" s="52">
        <f t="shared" ref="BS50" si="157">SUM(BS48:BS49)</f>
        <v>0</v>
      </c>
      <c r="BT50" s="52">
        <f t="shared" ref="BT50" si="158">SUM(BT48:BT49)</f>
        <v>0</v>
      </c>
      <c r="BU50" s="52">
        <f t="shared" ref="BU50" si="159">SUM(BU48:BU49)</f>
        <v>0</v>
      </c>
      <c r="BV50" s="52">
        <f t="shared" ref="BV50" si="160">SUM(BV48:BV49)</f>
        <v>0</v>
      </c>
      <c r="BW50" s="52">
        <f t="shared" ref="BW50" si="161">SUM(BW48:BW49)</f>
        <v>0</v>
      </c>
      <c r="BX50" s="52">
        <f t="shared" ref="BX50" si="162">SUM(BX48:BX49)</f>
        <v>0</v>
      </c>
      <c r="BY50" s="52">
        <f t="shared" ref="BY50" si="163">SUM(BY48:BY49)</f>
        <v>0</v>
      </c>
      <c r="BZ50" s="52">
        <f t="shared" ref="BZ50" si="164">SUM(BZ48:BZ49)</f>
        <v>0</v>
      </c>
      <c r="CA50" s="52">
        <f t="shared" ref="CA50" si="165">SUM(CA48:CA49)</f>
        <v>0</v>
      </c>
      <c r="CB50" s="52">
        <f t="shared" ref="CB50" si="166">SUM(CB48:CB49)</f>
        <v>0</v>
      </c>
      <c r="CC50" s="52">
        <f t="shared" ref="CC50" si="167">SUM(CC48:CC49)</f>
        <v>0</v>
      </c>
      <c r="CD50" s="52">
        <f t="shared" ref="CD50" si="168">SUM(CD48:CD49)</f>
        <v>0</v>
      </c>
      <c r="CE50" s="52">
        <f t="shared" ref="CE50" si="169">SUM(CE48:CE49)</f>
        <v>0</v>
      </c>
      <c r="CF50" s="52">
        <f t="shared" ref="CF50" si="170">SUM(CF48:CF49)</f>
        <v>0</v>
      </c>
      <c r="CG50" s="52">
        <f t="shared" ref="CG50" si="171">SUM(CG48:CG49)</f>
        <v>0</v>
      </c>
      <c r="CH50" s="52">
        <f t="shared" ref="CH50" si="172">SUM(CH48:CH49)</f>
        <v>0</v>
      </c>
      <c r="CI50" s="52">
        <f t="shared" ref="CI50" si="173">SUM(CI48:CI49)</f>
        <v>0</v>
      </c>
      <c r="CJ50" s="52">
        <f t="shared" ref="CJ50" si="174">SUM(CJ48:CJ49)</f>
        <v>0</v>
      </c>
      <c r="CK50" s="52">
        <f t="shared" ref="CK50" si="175">SUM(CK48:CK49)</f>
        <v>0</v>
      </c>
      <c r="CL50" s="52">
        <f t="shared" ref="CL50" si="176">SUM(CL48:CL49)</f>
        <v>0</v>
      </c>
      <c r="CM50" s="52">
        <f t="shared" ref="CM50" si="177">SUM(CM48:CM49)</f>
        <v>0</v>
      </c>
      <c r="CN50" s="52">
        <f t="shared" ref="CN50" si="178">SUM(CN48:CN49)</f>
        <v>0</v>
      </c>
    </row>
    <row r="51" spans="3:92" ht="12.75" customHeight="1" x14ac:dyDescent="0.25">
      <c r="C51" s="19"/>
      <c r="D51" s="74"/>
      <c r="H51" s="1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</row>
    <row r="52" spans="3:92" ht="12.75" customHeight="1" x14ac:dyDescent="0.25">
      <c r="C52" s="19"/>
      <c r="D52" s="19" t="s">
        <v>25</v>
      </c>
      <c r="H52" s="18" t="s">
        <v>1</v>
      </c>
      <c r="L52" s="17">
        <f>SUM(L46,L50)</f>
        <v>169560000</v>
      </c>
      <c r="M52" s="17">
        <f t="shared" ref="M52:Q52" si="179">SUM(M46,M50)</f>
        <v>0</v>
      </c>
      <c r="N52" s="17">
        <f t="shared" si="179"/>
        <v>0</v>
      </c>
      <c r="O52" s="17">
        <f t="shared" si="179"/>
        <v>0</v>
      </c>
      <c r="P52" s="17">
        <f t="shared" si="179"/>
        <v>0</v>
      </c>
      <c r="Q52" s="17">
        <f t="shared" si="179"/>
        <v>0</v>
      </c>
      <c r="R52" s="17">
        <f t="shared" ref="R52:CC52" si="180">SUM(R46,R50)</f>
        <v>0</v>
      </c>
      <c r="S52" s="17">
        <f t="shared" si="180"/>
        <v>0</v>
      </c>
      <c r="T52" s="17">
        <f t="shared" si="180"/>
        <v>0</v>
      </c>
      <c r="U52" s="17">
        <f t="shared" si="180"/>
        <v>0</v>
      </c>
      <c r="V52" s="17">
        <f t="shared" si="180"/>
        <v>0</v>
      </c>
      <c r="W52" s="17">
        <f t="shared" si="180"/>
        <v>0</v>
      </c>
      <c r="X52" s="17">
        <f t="shared" si="180"/>
        <v>0</v>
      </c>
      <c r="Y52" s="17">
        <f t="shared" si="180"/>
        <v>0</v>
      </c>
      <c r="Z52" s="17">
        <f t="shared" si="180"/>
        <v>0</v>
      </c>
      <c r="AA52" s="17">
        <f t="shared" si="180"/>
        <v>0</v>
      </c>
      <c r="AB52" s="17">
        <f t="shared" si="180"/>
        <v>0</v>
      </c>
      <c r="AC52" s="17">
        <f t="shared" si="180"/>
        <v>0</v>
      </c>
      <c r="AD52" s="17">
        <f t="shared" si="180"/>
        <v>0</v>
      </c>
      <c r="AE52" s="17">
        <f t="shared" si="180"/>
        <v>0</v>
      </c>
      <c r="AF52" s="17">
        <f t="shared" si="180"/>
        <v>0</v>
      </c>
      <c r="AG52" s="17">
        <f t="shared" si="180"/>
        <v>0</v>
      </c>
      <c r="AH52" s="17">
        <f t="shared" si="180"/>
        <v>0</v>
      </c>
      <c r="AI52" s="17">
        <f t="shared" si="180"/>
        <v>0</v>
      </c>
      <c r="AJ52" s="17">
        <f t="shared" si="180"/>
        <v>0</v>
      </c>
      <c r="AK52" s="17">
        <f t="shared" si="180"/>
        <v>0</v>
      </c>
      <c r="AL52" s="17">
        <f t="shared" si="180"/>
        <v>0</v>
      </c>
      <c r="AM52" s="17">
        <f t="shared" si="180"/>
        <v>0</v>
      </c>
      <c r="AN52" s="17">
        <f t="shared" si="180"/>
        <v>0</v>
      </c>
      <c r="AO52" s="17">
        <f t="shared" si="180"/>
        <v>0</v>
      </c>
      <c r="AP52" s="17">
        <f t="shared" si="180"/>
        <v>0</v>
      </c>
      <c r="AQ52" s="17">
        <f t="shared" si="180"/>
        <v>0</v>
      </c>
      <c r="AR52" s="17">
        <f t="shared" si="180"/>
        <v>0</v>
      </c>
      <c r="AS52" s="17">
        <f t="shared" si="180"/>
        <v>0</v>
      </c>
      <c r="AT52" s="17">
        <f t="shared" si="180"/>
        <v>0</v>
      </c>
      <c r="AU52" s="17">
        <f t="shared" si="180"/>
        <v>0</v>
      </c>
      <c r="AV52" s="17">
        <f t="shared" si="180"/>
        <v>0</v>
      </c>
      <c r="AW52" s="17">
        <f t="shared" si="180"/>
        <v>0</v>
      </c>
      <c r="AX52" s="17">
        <f t="shared" si="180"/>
        <v>0</v>
      </c>
      <c r="AY52" s="17">
        <f t="shared" si="180"/>
        <v>0</v>
      </c>
      <c r="AZ52" s="17">
        <f t="shared" si="180"/>
        <v>0</v>
      </c>
      <c r="BA52" s="17">
        <f t="shared" si="180"/>
        <v>0</v>
      </c>
      <c r="BB52" s="17">
        <f t="shared" si="180"/>
        <v>0</v>
      </c>
      <c r="BC52" s="17">
        <f t="shared" si="180"/>
        <v>0</v>
      </c>
      <c r="BD52" s="17">
        <f t="shared" si="180"/>
        <v>0</v>
      </c>
      <c r="BE52" s="17">
        <f t="shared" si="180"/>
        <v>0</v>
      </c>
      <c r="BF52" s="17">
        <f t="shared" si="180"/>
        <v>0</v>
      </c>
      <c r="BG52" s="17">
        <f t="shared" si="180"/>
        <v>0</v>
      </c>
      <c r="BH52" s="17">
        <f t="shared" si="180"/>
        <v>0</v>
      </c>
      <c r="BI52" s="17">
        <f t="shared" si="180"/>
        <v>0</v>
      </c>
      <c r="BJ52" s="17">
        <f t="shared" si="180"/>
        <v>0</v>
      </c>
      <c r="BK52" s="17">
        <f t="shared" si="180"/>
        <v>0</v>
      </c>
      <c r="BL52" s="17">
        <f t="shared" si="180"/>
        <v>0</v>
      </c>
      <c r="BM52" s="17">
        <f t="shared" si="180"/>
        <v>0</v>
      </c>
      <c r="BN52" s="17">
        <f t="shared" si="180"/>
        <v>0</v>
      </c>
      <c r="BO52" s="17">
        <f t="shared" si="180"/>
        <v>0</v>
      </c>
      <c r="BP52" s="17">
        <f t="shared" si="180"/>
        <v>0</v>
      </c>
      <c r="BQ52" s="17">
        <f t="shared" si="180"/>
        <v>0</v>
      </c>
      <c r="BR52" s="17">
        <f t="shared" si="180"/>
        <v>0</v>
      </c>
      <c r="BS52" s="17">
        <f t="shared" si="180"/>
        <v>0</v>
      </c>
      <c r="BT52" s="17">
        <f t="shared" si="180"/>
        <v>0</v>
      </c>
      <c r="BU52" s="17">
        <f t="shared" si="180"/>
        <v>0</v>
      </c>
      <c r="BV52" s="17">
        <f t="shared" si="180"/>
        <v>0</v>
      </c>
      <c r="BW52" s="17">
        <f t="shared" si="180"/>
        <v>0</v>
      </c>
      <c r="BX52" s="17">
        <f t="shared" si="180"/>
        <v>0</v>
      </c>
      <c r="BY52" s="17">
        <f t="shared" si="180"/>
        <v>0</v>
      </c>
      <c r="BZ52" s="17">
        <f t="shared" si="180"/>
        <v>0</v>
      </c>
      <c r="CA52" s="17">
        <f t="shared" si="180"/>
        <v>0</v>
      </c>
      <c r="CB52" s="17">
        <f t="shared" si="180"/>
        <v>0</v>
      </c>
      <c r="CC52" s="17">
        <f t="shared" si="180"/>
        <v>0</v>
      </c>
      <c r="CD52" s="17">
        <f t="shared" ref="CD52:CN52" si="181">SUM(CD46,CD50)</f>
        <v>0</v>
      </c>
      <c r="CE52" s="17">
        <f t="shared" si="181"/>
        <v>0</v>
      </c>
      <c r="CF52" s="17">
        <f t="shared" si="181"/>
        <v>0</v>
      </c>
      <c r="CG52" s="17">
        <f t="shared" si="181"/>
        <v>0</v>
      </c>
      <c r="CH52" s="17">
        <f t="shared" si="181"/>
        <v>0</v>
      </c>
      <c r="CI52" s="17">
        <f t="shared" si="181"/>
        <v>0</v>
      </c>
      <c r="CJ52" s="17">
        <f t="shared" si="181"/>
        <v>0</v>
      </c>
      <c r="CK52" s="17">
        <f t="shared" si="181"/>
        <v>0</v>
      </c>
      <c r="CL52" s="17">
        <f t="shared" si="181"/>
        <v>0</v>
      </c>
      <c r="CM52" s="17">
        <f t="shared" si="181"/>
        <v>0</v>
      </c>
      <c r="CN52" s="17">
        <f t="shared" si="181"/>
        <v>0</v>
      </c>
    </row>
    <row r="53" spans="3:92" ht="12.75" customHeight="1" x14ac:dyDescent="0.25">
      <c r="C53" s="19"/>
      <c r="D53" s="74"/>
      <c r="H53" s="18"/>
      <c r="L53" s="78"/>
    </row>
    <row r="54" spans="3:92" ht="12.75" customHeight="1" x14ac:dyDescent="0.25">
      <c r="C54" s="19" t="s">
        <v>133</v>
      </c>
      <c r="D54" s="74"/>
      <c r="H54" s="18"/>
      <c r="L54" s="78"/>
    </row>
    <row r="55" spans="3:92" ht="12.75" customHeight="1" x14ac:dyDescent="0.25">
      <c r="C55" s="19"/>
      <c r="D55" s="74" t="s">
        <v>20</v>
      </c>
      <c r="H55" s="18" t="s">
        <v>1</v>
      </c>
      <c r="L55" s="73">
        <f>Ass!I126</f>
        <v>178000</v>
      </c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</row>
    <row r="56" spans="3:92" ht="12.75" customHeight="1" x14ac:dyDescent="0.25">
      <c r="C56" s="19"/>
      <c r="D56" s="74" t="s">
        <v>21</v>
      </c>
      <c r="H56" s="18" t="s">
        <v>1</v>
      </c>
      <c r="L56" s="73">
        <f>Ass!I127</f>
        <v>120000</v>
      </c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</row>
    <row r="57" spans="3:92" ht="12.75" customHeight="1" x14ac:dyDescent="0.25">
      <c r="C57" s="19"/>
      <c r="D57" s="77" t="s">
        <v>107</v>
      </c>
      <c r="H57" s="18" t="s">
        <v>1</v>
      </c>
      <c r="L57" s="73">
        <f>Ass!I128</f>
        <v>30207596.758677851</v>
      </c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</row>
    <row r="58" spans="3:92" ht="12.75" customHeight="1" x14ac:dyDescent="0.25">
      <c r="C58" s="19"/>
      <c r="D58" s="74" t="s">
        <v>85</v>
      </c>
      <c r="H58" s="18" t="s">
        <v>1</v>
      </c>
      <c r="L58" s="73">
        <f>Ass!I129</f>
        <v>120000000</v>
      </c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</row>
    <row r="59" spans="3:92" ht="12.75" customHeight="1" x14ac:dyDescent="0.25">
      <c r="C59" s="19"/>
      <c r="D59" s="53" t="s">
        <v>26</v>
      </c>
      <c r="H59" s="18" t="s">
        <v>1</v>
      </c>
      <c r="L59" s="52">
        <f t="shared" ref="L59:AQ59" si="182">SUM(L55:L58)</f>
        <v>150505596.75867784</v>
      </c>
      <c r="M59" s="52">
        <f t="shared" si="182"/>
        <v>0</v>
      </c>
      <c r="N59" s="52">
        <f t="shared" si="182"/>
        <v>0</v>
      </c>
      <c r="O59" s="52">
        <f t="shared" si="182"/>
        <v>0</v>
      </c>
      <c r="P59" s="52">
        <f t="shared" si="182"/>
        <v>0</v>
      </c>
      <c r="Q59" s="52">
        <f t="shared" si="182"/>
        <v>0</v>
      </c>
      <c r="R59" s="52">
        <f t="shared" si="182"/>
        <v>0</v>
      </c>
      <c r="S59" s="52">
        <f t="shared" si="182"/>
        <v>0</v>
      </c>
      <c r="T59" s="52">
        <f t="shared" si="182"/>
        <v>0</v>
      </c>
      <c r="U59" s="52">
        <f t="shared" si="182"/>
        <v>0</v>
      </c>
      <c r="V59" s="52">
        <f t="shared" si="182"/>
        <v>0</v>
      </c>
      <c r="W59" s="52">
        <f t="shared" si="182"/>
        <v>0</v>
      </c>
      <c r="X59" s="52">
        <f t="shared" si="182"/>
        <v>0</v>
      </c>
      <c r="Y59" s="52">
        <f t="shared" si="182"/>
        <v>0</v>
      </c>
      <c r="Z59" s="52">
        <f t="shared" si="182"/>
        <v>0</v>
      </c>
      <c r="AA59" s="52">
        <f t="shared" si="182"/>
        <v>0</v>
      </c>
      <c r="AB59" s="52">
        <f t="shared" si="182"/>
        <v>0</v>
      </c>
      <c r="AC59" s="52">
        <f t="shared" si="182"/>
        <v>0</v>
      </c>
      <c r="AD59" s="52">
        <f t="shared" si="182"/>
        <v>0</v>
      </c>
      <c r="AE59" s="52">
        <f t="shared" si="182"/>
        <v>0</v>
      </c>
      <c r="AF59" s="52">
        <f t="shared" si="182"/>
        <v>0</v>
      </c>
      <c r="AG59" s="52">
        <f t="shared" si="182"/>
        <v>0</v>
      </c>
      <c r="AH59" s="52">
        <f t="shared" si="182"/>
        <v>0</v>
      </c>
      <c r="AI59" s="52">
        <f t="shared" si="182"/>
        <v>0</v>
      </c>
      <c r="AJ59" s="52">
        <f t="shared" si="182"/>
        <v>0</v>
      </c>
      <c r="AK59" s="52">
        <f t="shared" si="182"/>
        <v>0</v>
      </c>
      <c r="AL59" s="52">
        <f t="shared" si="182"/>
        <v>0</v>
      </c>
      <c r="AM59" s="52">
        <f t="shared" si="182"/>
        <v>0</v>
      </c>
      <c r="AN59" s="52">
        <f t="shared" si="182"/>
        <v>0</v>
      </c>
      <c r="AO59" s="52">
        <f t="shared" si="182"/>
        <v>0</v>
      </c>
      <c r="AP59" s="52">
        <f t="shared" si="182"/>
        <v>0</v>
      </c>
      <c r="AQ59" s="52">
        <f t="shared" si="182"/>
        <v>0</v>
      </c>
      <c r="AR59" s="52">
        <f t="shared" ref="AR59:BW59" si="183">SUM(AR55:AR58)</f>
        <v>0</v>
      </c>
      <c r="AS59" s="52">
        <f t="shared" si="183"/>
        <v>0</v>
      </c>
      <c r="AT59" s="52">
        <f t="shared" si="183"/>
        <v>0</v>
      </c>
      <c r="AU59" s="52">
        <f t="shared" si="183"/>
        <v>0</v>
      </c>
      <c r="AV59" s="52">
        <f t="shared" si="183"/>
        <v>0</v>
      </c>
      <c r="AW59" s="52">
        <f t="shared" si="183"/>
        <v>0</v>
      </c>
      <c r="AX59" s="52">
        <f t="shared" si="183"/>
        <v>0</v>
      </c>
      <c r="AY59" s="52">
        <f t="shared" si="183"/>
        <v>0</v>
      </c>
      <c r="AZ59" s="52">
        <f t="shared" si="183"/>
        <v>0</v>
      </c>
      <c r="BA59" s="52">
        <f t="shared" si="183"/>
        <v>0</v>
      </c>
      <c r="BB59" s="52">
        <f t="shared" si="183"/>
        <v>0</v>
      </c>
      <c r="BC59" s="52">
        <f t="shared" si="183"/>
        <v>0</v>
      </c>
      <c r="BD59" s="52">
        <f t="shared" si="183"/>
        <v>0</v>
      </c>
      <c r="BE59" s="52">
        <f t="shared" si="183"/>
        <v>0</v>
      </c>
      <c r="BF59" s="52">
        <f t="shared" si="183"/>
        <v>0</v>
      </c>
      <c r="BG59" s="52">
        <f t="shared" si="183"/>
        <v>0</v>
      </c>
      <c r="BH59" s="52">
        <f t="shared" si="183"/>
        <v>0</v>
      </c>
      <c r="BI59" s="52">
        <f t="shared" si="183"/>
        <v>0</v>
      </c>
      <c r="BJ59" s="52">
        <f t="shared" si="183"/>
        <v>0</v>
      </c>
      <c r="BK59" s="52">
        <f t="shared" si="183"/>
        <v>0</v>
      </c>
      <c r="BL59" s="52">
        <f t="shared" si="183"/>
        <v>0</v>
      </c>
      <c r="BM59" s="52">
        <f t="shared" si="183"/>
        <v>0</v>
      </c>
      <c r="BN59" s="52">
        <f t="shared" si="183"/>
        <v>0</v>
      </c>
      <c r="BO59" s="52">
        <f t="shared" si="183"/>
        <v>0</v>
      </c>
      <c r="BP59" s="52">
        <f t="shared" si="183"/>
        <v>0</v>
      </c>
      <c r="BQ59" s="52">
        <f t="shared" si="183"/>
        <v>0</v>
      </c>
      <c r="BR59" s="52">
        <f t="shared" si="183"/>
        <v>0</v>
      </c>
      <c r="BS59" s="52">
        <f t="shared" si="183"/>
        <v>0</v>
      </c>
      <c r="BT59" s="52">
        <f t="shared" si="183"/>
        <v>0</v>
      </c>
      <c r="BU59" s="52">
        <f t="shared" si="183"/>
        <v>0</v>
      </c>
      <c r="BV59" s="52">
        <f t="shared" si="183"/>
        <v>0</v>
      </c>
      <c r="BW59" s="52">
        <f t="shared" si="183"/>
        <v>0</v>
      </c>
      <c r="BX59" s="52">
        <f t="shared" ref="BX59:CN59" si="184">SUM(BX55:BX58)</f>
        <v>0</v>
      </c>
      <c r="BY59" s="52">
        <f t="shared" si="184"/>
        <v>0</v>
      </c>
      <c r="BZ59" s="52">
        <f t="shared" si="184"/>
        <v>0</v>
      </c>
      <c r="CA59" s="52">
        <f t="shared" si="184"/>
        <v>0</v>
      </c>
      <c r="CB59" s="52">
        <f t="shared" si="184"/>
        <v>0</v>
      </c>
      <c r="CC59" s="52">
        <f t="shared" si="184"/>
        <v>0</v>
      </c>
      <c r="CD59" s="52">
        <f t="shared" si="184"/>
        <v>0</v>
      </c>
      <c r="CE59" s="52">
        <f t="shared" si="184"/>
        <v>0</v>
      </c>
      <c r="CF59" s="52">
        <f t="shared" si="184"/>
        <v>0</v>
      </c>
      <c r="CG59" s="52">
        <f t="shared" si="184"/>
        <v>0</v>
      </c>
      <c r="CH59" s="52">
        <f t="shared" si="184"/>
        <v>0</v>
      </c>
      <c r="CI59" s="52">
        <f t="shared" si="184"/>
        <v>0</v>
      </c>
      <c r="CJ59" s="52">
        <f t="shared" si="184"/>
        <v>0</v>
      </c>
      <c r="CK59" s="52">
        <f t="shared" si="184"/>
        <v>0</v>
      </c>
      <c r="CL59" s="52">
        <f t="shared" si="184"/>
        <v>0</v>
      </c>
      <c r="CM59" s="52">
        <f t="shared" si="184"/>
        <v>0</v>
      </c>
      <c r="CN59" s="52">
        <f t="shared" si="184"/>
        <v>0</v>
      </c>
    </row>
    <row r="60" spans="3:92" ht="12.75" customHeight="1" x14ac:dyDescent="0.25">
      <c r="C60" s="19"/>
      <c r="D60" s="74"/>
      <c r="H60" s="18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</row>
    <row r="61" spans="3:92" ht="12.75" customHeight="1" x14ac:dyDescent="0.25">
      <c r="C61" s="19" t="s">
        <v>27</v>
      </c>
      <c r="D61" s="74"/>
      <c r="H61" s="18" t="s">
        <v>1</v>
      </c>
      <c r="L61" s="17">
        <f t="shared" ref="L61:AQ61" si="185">SUM(L52,-L59)</f>
        <v>19054403.24132216</v>
      </c>
      <c r="M61" s="17">
        <f t="shared" si="185"/>
        <v>0</v>
      </c>
      <c r="N61" s="17">
        <f t="shared" si="185"/>
        <v>0</v>
      </c>
      <c r="O61" s="17">
        <f t="shared" si="185"/>
        <v>0</v>
      </c>
      <c r="P61" s="17">
        <f t="shared" si="185"/>
        <v>0</v>
      </c>
      <c r="Q61" s="17">
        <f t="shared" si="185"/>
        <v>0</v>
      </c>
      <c r="R61" s="17">
        <f t="shared" si="185"/>
        <v>0</v>
      </c>
      <c r="S61" s="17">
        <f t="shared" si="185"/>
        <v>0</v>
      </c>
      <c r="T61" s="17">
        <f t="shared" si="185"/>
        <v>0</v>
      </c>
      <c r="U61" s="17">
        <f t="shared" si="185"/>
        <v>0</v>
      </c>
      <c r="V61" s="17">
        <f t="shared" si="185"/>
        <v>0</v>
      </c>
      <c r="W61" s="17">
        <f t="shared" si="185"/>
        <v>0</v>
      </c>
      <c r="X61" s="17">
        <f t="shared" si="185"/>
        <v>0</v>
      </c>
      <c r="Y61" s="17">
        <f t="shared" si="185"/>
        <v>0</v>
      </c>
      <c r="Z61" s="17">
        <f t="shared" si="185"/>
        <v>0</v>
      </c>
      <c r="AA61" s="17">
        <f t="shared" si="185"/>
        <v>0</v>
      </c>
      <c r="AB61" s="17">
        <f t="shared" si="185"/>
        <v>0</v>
      </c>
      <c r="AC61" s="17">
        <f t="shared" si="185"/>
        <v>0</v>
      </c>
      <c r="AD61" s="17">
        <f t="shared" si="185"/>
        <v>0</v>
      </c>
      <c r="AE61" s="17">
        <f t="shared" si="185"/>
        <v>0</v>
      </c>
      <c r="AF61" s="17">
        <f t="shared" si="185"/>
        <v>0</v>
      </c>
      <c r="AG61" s="17">
        <f t="shared" si="185"/>
        <v>0</v>
      </c>
      <c r="AH61" s="17">
        <f t="shared" si="185"/>
        <v>0</v>
      </c>
      <c r="AI61" s="17">
        <f t="shared" si="185"/>
        <v>0</v>
      </c>
      <c r="AJ61" s="17">
        <f t="shared" si="185"/>
        <v>0</v>
      </c>
      <c r="AK61" s="17">
        <f t="shared" si="185"/>
        <v>0</v>
      </c>
      <c r="AL61" s="17">
        <f t="shared" si="185"/>
        <v>0</v>
      </c>
      <c r="AM61" s="17">
        <f t="shared" si="185"/>
        <v>0</v>
      </c>
      <c r="AN61" s="17">
        <f t="shared" si="185"/>
        <v>0</v>
      </c>
      <c r="AO61" s="17">
        <f t="shared" si="185"/>
        <v>0</v>
      </c>
      <c r="AP61" s="17">
        <f t="shared" si="185"/>
        <v>0</v>
      </c>
      <c r="AQ61" s="17">
        <f t="shared" si="185"/>
        <v>0</v>
      </c>
      <c r="AR61" s="17">
        <f t="shared" ref="AR61:BW61" si="186">SUM(AR52,-AR59)</f>
        <v>0</v>
      </c>
      <c r="AS61" s="17">
        <f t="shared" si="186"/>
        <v>0</v>
      </c>
      <c r="AT61" s="17">
        <f t="shared" si="186"/>
        <v>0</v>
      </c>
      <c r="AU61" s="17">
        <f t="shared" si="186"/>
        <v>0</v>
      </c>
      <c r="AV61" s="17">
        <f t="shared" si="186"/>
        <v>0</v>
      </c>
      <c r="AW61" s="17">
        <f t="shared" si="186"/>
        <v>0</v>
      </c>
      <c r="AX61" s="17">
        <f t="shared" si="186"/>
        <v>0</v>
      </c>
      <c r="AY61" s="17">
        <f t="shared" si="186"/>
        <v>0</v>
      </c>
      <c r="AZ61" s="17">
        <f t="shared" si="186"/>
        <v>0</v>
      </c>
      <c r="BA61" s="17">
        <f t="shared" si="186"/>
        <v>0</v>
      </c>
      <c r="BB61" s="17">
        <f t="shared" si="186"/>
        <v>0</v>
      </c>
      <c r="BC61" s="17">
        <f t="shared" si="186"/>
        <v>0</v>
      </c>
      <c r="BD61" s="17">
        <f t="shared" si="186"/>
        <v>0</v>
      </c>
      <c r="BE61" s="17">
        <f t="shared" si="186"/>
        <v>0</v>
      </c>
      <c r="BF61" s="17">
        <f t="shared" si="186"/>
        <v>0</v>
      </c>
      <c r="BG61" s="17">
        <f t="shared" si="186"/>
        <v>0</v>
      </c>
      <c r="BH61" s="17">
        <f t="shared" si="186"/>
        <v>0</v>
      </c>
      <c r="BI61" s="17">
        <f t="shared" si="186"/>
        <v>0</v>
      </c>
      <c r="BJ61" s="17">
        <f t="shared" si="186"/>
        <v>0</v>
      </c>
      <c r="BK61" s="17">
        <f t="shared" si="186"/>
        <v>0</v>
      </c>
      <c r="BL61" s="17">
        <f t="shared" si="186"/>
        <v>0</v>
      </c>
      <c r="BM61" s="17">
        <f t="shared" si="186"/>
        <v>0</v>
      </c>
      <c r="BN61" s="17">
        <f t="shared" si="186"/>
        <v>0</v>
      </c>
      <c r="BO61" s="17">
        <f t="shared" si="186"/>
        <v>0</v>
      </c>
      <c r="BP61" s="17">
        <f t="shared" si="186"/>
        <v>0</v>
      </c>
      <c r="BQ61" s="17">
        <f t="shared" si="186"/>
        <v>0</v>
      </c>
      <c r="BR61" s="17">
        <f t="shared" si="186"/>
        <v>0</v>
      </c>
      <c r="BS61" s="17">
        <f t="shared" si="186"/>
        <v>0</v>
      </c>
      <c r="BT61" s="17">
        <f t="shared" si="186"/>
        <v>0</v>
      </c>
      <c r="BU61" s="17">
        <f t="shared" si="186"/>
        <v>0</v>
      </c>
      <c r="BV61" s="17">
        <f t="shared" si="186"/>
        <v>0</v>
      </c>
      <c r="BW61" s="17">
        <f t="shared" si="186"/>
        <v>0</v>
      </c>
      <c r="BX61" s="17">
        <f t="shared" ref="BX61:CN61" si="187">SUM(BX52,-BX59)</f>
        <v>0</v>
      </c>
      <c r="BY61" s="17">
        <f t="shared" si="187"/>
        <v>0</v>
      </c>
      <c r="BZ61" s="17">
        <f t="shared" si="187"/>
        <v>0</v>
      </c>
      <c r="CA61" s="17">
        <f t="shared" si="187"/>
        <v>0</v>
      </c>
      <c r="CB61" s="17">
        <f t="shared" si="187"/>
        <v>0</v>
      </c>
      <c r="CC61" s="17">
        <f t="shared" si="187"/>
        <v>0</v>
      </c>
      <c r="CD61" s="17">
        <f t="shared" si="187"/>
        <v>0</v>
      </c>
      <c r="CE61" s="17">
        <f t="shared" si="187"/>
        <v>0</v>
      </c>
      <c r="CF61" s="17">
        <f t="shared" si="187"/>
        <v>0</v>
      </c>
      <c r="CG61" s="17">
        <f t="shared" si="187"/>
        <v>0</v>
      </c>
      <c r="CH61" s="17">
        <f t="shared" si="187"/>
        <v>0</v>
      </c>
      <c r="CI61" s="17">
        <f t="shared" si="187"/>
        <v>0</v>
      </c>
      <c r="CJ61" s="17">
        <f t="shared" si="187"/>
        <v>0</v>
      </c>
      <c r="CK61" s="17">
        <f t="shared" si="187"/>
        <v>0</v>
      </c>
      <c r="CL61" s="17">
        <f t="shared" si="187"/>
        <v>0</v>
      </c>
      <c r="CM61" s="17">
        <f t="shared" si="187"/>
        <v>0</v>
      </c>
      <c r="CN61" s="17">
        <f t="shared" si="187"/>
        <v>0</v>
      </c>
    </row>
    <row r="62" spans="3:92" ht="12.75" customHeight="1" x14ac:dyDescent="0.25">
      <c r="C62" s="19"/>
      <c r="D62" s="74"/>
      <c r="H62" s="18"/>
      <c r="L62" s="17"/>
    </row>
    <row r="63" spans="3:92" ht="12.75" customHeight="1" x14ac:dyDescent="0.25">
      <c r="C63" s="19"/>
      <c r="D63" s="74" t="s">
        <v>28</v>
      </c>
      <c r="H63" s="18" t="s">
        <v>1</v>
      </c>
      <c r="L63" s="73">
        <f>Ass!I134</f>
        <v>19054403.24132216</v>
      </c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</row>
    <row r="64" spans="3:92" ht="12.75" customHeight="1" x14ac:dyDescent="0.25">
      <c r="C64" s="19"/>
      <c r="D64" s="77" t="s">
        <v>135</v>
      </c>
      <c r="H64" s="18" t="s">
        <v>1</v>
      </c>
      <c r="L64" s="73">
        <v>0</v>
      </c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</row>
    <row r="65" spans="1:92" ht="12.75" customHeight="1" x14ac:dyDescent="0.25">
      <c r="C65" s="19"/>
      <c r="D65" s="53" t="s">
        <v>29</v>
      </c>
      <c r="H65" s="18" t="s">
        <v>1</v>
      </c>
      <c r="L65" s="52">
        <f t="shared" ref="L65:AQ65" si="188">SUM(L63:L64)</f>
        <v>19054403.24132216</v>
      </c>
      <c r="M65" s="52">
        <f t="shared" si="188"/>
        <v>0</v>
      </c>
      <c r="N65" s="52">
        <f t="shared" si="188"/>
        <v>0</v>
      </c>
      <c r="O65" s="52">
        <f t="shared" si="188"/>
        <v>0</v>
      </c>
      <c r="P65" s="52">
        <f t="shared" si="188"/>
        <v>0</v>
      </c>
      <c r="Q65" s="52">
        <f t="shared" si="188"/>
        <v>0</v>
      </c>
      <c r="R65" s="52">
        <f t="shared" si="188"/>
        <v>0</v>
      </c>
      <c r="S65" s="52">
        <f t="shared" si="188"/>
        <v>0</v>
      </c>
      <c r="T65" s="52">
        <f t="shared" si="188"/>
        <v>0</v>
      </c>
      <c r="U65" s="52">
        <f t="shared" si="188"/>
        <v>0</v>
      </c>
      <c r="V65" s="52">
        <f t="shared" si="188"/>
        <v>0</v>
      </c>
      <c r="W65" s="52">
        <f t="shared" si="188"/>
        <v>0</v>
      </c>
      <c r="X65" s="52">
        <f t="shared" si="188"/>
        <v>0</v>
      </c>
      <c r="Y65" s="52">
        <f t="shared" si="188"/>
        <v>0</v>
      </c>
      <c r="Z65" s="52">
        <f t="shared" si="188"/>
        <v>0</v>
      </c>
      <c r="AA65" s="52">
        <f t="shared" si="188"/>
        <v>0</v>
      </c>
      <c r="AB65" s="52">
        <f t="shared" si="188"/>
        <v>0</v>
      </c>
      <c r="AC65" s="52">
        <f t="shared" si="188"/>
        <v>0</v>
      </c>
      <c r="AD65" s="52">
        <f t="shared" si="188"/>
        <v>0</v>
      </c>
      <c r="AE65" s="52">
        <f t="shared" si="188"/>
        <v>0</v>
      </c>
      <c r="AF65" s="52">
        <f t="shared" si="188"/>
        <v>0</v>
      </c>
      <c r="AG65" s="52">
        <f t="shared" si="188"/>
        <v>0</v>
      </c>
      <c r="AH65" s="52">
        <f t="shared" si="188"/>
        <v>0</v>
      </c>
      <c r="AI65" s="52">
        <f t="shared" si="188"/>
        <v>0</v>
      </c>
      <c r="AJ65" s="52">
        <f t="shared" si="188"/>
        <v>0</v>
      </c>
      <c r="AK65" s="52">
        <f t="shared" si="188"/>
        <v>0</v>
      </c>
      <c r="AL65" s="52">
        <f t="shared" si="188"/>
        <v>0</v>
      </c>
      <c r="AM65" s="52">
        <f t="shared" si="188"/>
        <v>0</v>
      </c>
      <c r="AN65" s="52">
        <f t="shared" si="188"/>
        <v>0</v>
      </c>
      <c r="AO65" s="52">
        <f t="shared" si="188"/>
        <v>0</v>
      </c>
      <c r="AP65" s="52">
        <f t="shared" si="188"/>
        <v>0</v>
      </c>
      <c r="AQ65" s="52">
        <f t="shared" si="188"/>
        <v>0</v>
      </c>
      <c r="AR65" s="52">
        <f t="shared" ref="AR65:BW65" si="189">SUM(AR63:AR64)</f>
        <v>0</v>
      </c>
      <c r="AS65" s="52">
        <f t="shared" si="189"/>
        <v>0</v>
      </c>
      <c r="AT65" s="52">
        <f t="shared" si="189"/>
        <v>0</v>
      </c>
      <c r="AU65" s="52">
        <f t="shared" si="189"/>
        <v>0</v>
      </c>
      <c r="AV65" s="52">
        <f t="shared" si="189"/>
        <v>0</v>
      </c>
      <c r="AW65" s="52">
        <f t="shared" si="189"/>
        <v>0</v>
      </c>
      <c r="AX65" s="52">
        <f t="shared" si="189"/>
        <v>0</v>
      </c>
      <c r="AY65" s="52">
        <f t="shared" si="189"/>
        <v>0</v>
      </c>
      <c r="AZ65" s="52">
        <f t="shared" si="189"/>
        <v>0</v>
      </c>
      <c r="BA65" s="52">
        <f t="shared" si="189"/>
        <v>0</v>
      </c>
      <c r="BB65" s="52">
        <f t="shared" si="189"/>
        <v>0</v>
      </c>
      <c r="BC65" s="52">
        <f t="shared" si="189"/>
        <v>0</v>
      </c>
      <c r="BD65" s="52">
        <f t="shared" si="189"/>
        <v>0</v>
      </c>
      <c r="BE65" s="52">
        <f t="shared" si="189"/>
        <v>0</v>
      </c>
      <c r="BF65" s="52">
        <f t="shared" si="189"/>
        <v>0</v>
      </c>
      <c r="BG65" s="52">
        <f t="shared" si="189"/>
        <v>0</v>
      </c>
      <c r="BH65" s="52">
        <f t="shared" si="189"/>
        <v>0</v>
      </c>
      <c r="BI65" s="52">
        <f t="shared" si="189"/>
        <v>0</v>
      </c>
      <c r="BJ65" s="52">
        <f t="shared" si="189"/>
        <v>0</v>
      </c>
      <c r="BK65" s="52">
        <f t="shared" si="189"/>
        <v>0</v>
      </c>
      <c r="BL65" s="52">
        <f t="shared" si="189"/>
        <v>0</v>
      </c>
      <c r="BM65" s="52">
        <f t="shared" si="189"/>
        <v>0</v>
      </c>
      <c r="BN65" s="52">
        <f t="shared" si="189"/>
        <v>0</v>
      </c>
      <c r="BO65" s="52">
        <f t="shared" si="189"/>
        <v>0</v>
      </c>
      <c r="BP65" s="52">
        <f t="shared" si="189"/>
        <v>0</v>
      </c>
      <c r="BQ65" s="52">
        <f t="shared" si="189"/>
        <v>0</v>
      </c>
      <c r="BR65" s="52">
        <f t="shared" si="189"/>
        <v>0</v>
      </c>
      <c r="BS65" s="52">
        <f t="shared" si="189"/>
        <v>0</v>
      </c>
      <c r="BT65" s="52">
        <f t="shared" si="189"/>
        <v>0</v>
      </c>
      <c r="BU65" s="52">
        <f t="shared" si="189"/>
        <v>0</v>
      </c>
      <c r="BV65" s="52">
        <f t="shared" si="189"/>
        <v>0</v>
      </c>
      <c r="BW65" s="52">
        <f t="shared" si="189"/>
        <v>0</v>
      </c>
      <c r="BX65" s="52">
        <f t="shared" ref="BX65:CN65" si="190">SUM(BX63:BX64)</f>
        <v>0</v>
      </c>
      <c r="BY65" s="52">
        <f t="shared" si="190"/>
        <v>0</v>
      </c>
      <c r="BZ65" s="52">
        <f t="shared" si="190"/>
        <v>0</v>
      </c>
      <c r="CA65" s="52">
        <f t="shared" si="190"/>
        <v>0</v>
      </c>
      <c r="CB65" s="52">
        <f t="shared" si="190"/>
        <v>0</v>
      </c>
      <c r="CC65" s="52">
        <f t="shared" si="190"/>
        <v>0</v>
      </c>
      <c r="CD65" s="52">
        <f t="shared" si="190"/>
        <v>0</v>
      </c>
      <c r="CE65" s="52">
        <f t="shared" si="190"/>
        <v>0</v>
      </c>
      <c r="CF65" s="52">
        <f t="shared" si="190"/>
        <v>0</v>
      </c>
      <c r="CG65" s="52">
        <f t="shared" si="190"/>
        <v>0</v>
      </c>
      <c r="CH65" s="52">
        <f t="shared" si="190"/>
        <v>0</v>
      </c>
      <c r="CI65" s="52">
        <f t="shared" si="190"/>
        <v>0</v>
      </c>
      <c r="CJ65" s="52">
        <f t="shared" si="190"/>
        <v>0</v>
      </c>
      <c r="CK65" s="52">
        <f t="shared" si="190"/>
        <v>0</v>
      </c>
      <c r="CL65" s="52">
        <f t="shared" si="190"/>
        <v>0</v>
      </c>
      <c r="CM65" s="52">
        <f t="shared" si="190"/>
        <v>0</v>
      </c>
      <c r="CN65" s="52">
        <f t="shared" si="190"/>
        <v>0</v>
      </c>
    </row>
    <row r="66" spans="1:92" ht="12.75" customHeight="1" x14ac:dyDescent="0.25">
      <c r="C66" s="19"/>
      <c r="D66" s="74"/>
      <c r="H66" s="18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</row>
    <row r="67" spans="1:92" ht="12.75" customHeight="1" x14ac:dyDescent="0.25">
      <c r="C67" s="19"/>
      <c r="D67" s="74" t="s">
        <v>134</v>
      </c>
      <c r="H67" s="18" t="s">
        <v>1</v>
      </c>
      <c r="L67" s="17" t="str">
        <f t="shared" ref="L67:AQ67" si="191">IF(ROUND(L61-L65,4)=0,"ok","error")</f>
        <v>ok</v>
      </c>
      <c r="M67" s="17" t="str">
        <f t="shared" si="191"/>
        <v>ok</v>
      </c>
      <c r="N67" s="17" t="str">
        <f t="shared" si="191"/>
        <v>ok</v>
      </c>
      <c r="O67" s="17" t="str">
        <f t="shared" si="191"/>
        <v>ok</v>
      </c>
      <c r="P67" s="17" t="str">
        <f t="shared" si="191"/>
        <v>ok</v>
      </c>
      <c r="Q67" s="17" t="str">
        <f t="shared" si="191"/>
        <v>ok</v>
      </c>
      <c r="R67" s="17" t="str">
        <f t="shared" si="191"/>
        <v>ok</v>
      </c>
      <c r="S67" s="17" t="str">
        <f t="shared" si="191"/>
        <v>ok</v>
      </c>
      <c r="T67" s="17" t="str">
        <f t="shared" si="191"/>
        <v>ok</v>
      </c>
      <c r="U67" s="17" t="str">
        <f t="shared" si="191"/>
        <v>ok</v>
      </c>
      <c r="V67" s="17" t="str">
        <f t="shared" si="191"/>
        <v>ok</v>
      </c>
      <c r="W67" s="17" t="str">
        <f t="shared" si="191"/>
        <v>ok</v>
      </c>
      <c r="X67" s="17" t="str">
        <f t="shared" si="191"/>
        <v>ok</v>
      </c>
      <c r="Y67" s="17" t="str">
        <f t="shared" si="191"/>
        <v>ok</v>
      </c>
      <c r="Z67" s="17" t="str">
        <f t="shared" si="191"/>
        <v>ok</v>
      </c>
      <c r="AA67" s="17" t="str">
        <f t="shared" si="191"/>
        <v>ok</v>
      </c>
      <c r="AB67" s="17" t="str">
        <f t="shared" si="191"/>
        <v>ok</v>
      </c>
      <c r="AC67" s="17" t="str">
        <f t="shared" si="191"/>
        <v>ok</v>
      </c>
      <c r="AD67" s="17" t="str">
        <f t="shared" si="191"/>
        <v>ok</v>
      </c>
      <c r="AE67" s="17" t="str">
        <f t="shared" si="191"/>
        <v>ok</v>
      </c>
      <c r="AF67" s="17" t="str">
        <f t="shared" si="191"/>
        <v>ok</v>
      </c>
      <c r="AG67" s="17" t="str">
        <f t="shared" si="191"/>
        <v>ok</v>
      </c>
      <c r="AH67" s="17" t="str">
        <f t="shared" si="191"/>
        <v>ok</v>
      </c>
      <c r="AI67" s="17" t="str">
        <f t="shared" si="191"/>
        <v>ok</v>
      </c>
      <c r="AJ67" s="17" t="str">
        <f t="shared" si="191"/>
        <v>ok</v>
      </c>
      <c r="AK67" s="17" t="str">
        <f t="shared" si="191"/>
        <v>ok</v>
      </c>
      <c r="AL67" s="17" t="str">
        <f t="shared" si="191"/>
        <v>ok</v>
      </c>
      <c r="AM67" s="17" t="str">
        <f t="shared" si="191"/>
        <v>ok</v>
      </c>
      <c r="AN67" s="17" t="str">
        <f t="shared" si="191"/>
        <v>ok</v>
      </c>
      <c r="AO67" s="17" t="str">
        <f t="shared" si="191"/>
        <v>ok</v>
      </c>
      <c r="AP67" s="17" t="str">
        <f t="shared" si="191"/>
        <v>ok</v>
      </c>
      <c r="AQ67" s="17" t="str">
        <f t="shared" si="191"/>
        <v>ok</v>
      </c>
      <c r="AR67" s="17" t="str">
        <f t="shared" ref="AR67:BW67" si="192">IF(ROUND(AR61-AR65,4)=0,"ok","error")</f>
        <v>ok</v>
      </c>
      <c r="AS67" s="17" t="str">
        <f t="shared" si="192"/>
        <v>ok</v>
      </c>
      <c r="AT67" s="17" t="str">
        <f t="shared" si="192"/>
        <v>ok</v>
      </c>
      <c r="AU67" s="17" t="str">
        <f t="shared" si="192"/>
        <v>ok</v>
      </c>
      <c r="AV67" s="17" t="str">
        <f t="shared" si="192"/>
        <v>ok</v>
      </c>
      <c r="AW67" s="17" t="str">
        <f t="shared" si="192"/>
        <v>ok</v>
      </c>
      <c r="AX67" s="17" t="str">
        <f t="shared" si="192"/>
        <v>ok</v>
      </c>
      <c r="AY67" s="17" t="str">
        <f t="shared" si="192"/>
        <v>ok</v>
      </c>
      <c r="AZ67" s="17" t="str">
        <f t="shared" si="192"/>
        <v>ok</v>
      </c>
      <c r="BA67" s="17" t="str">
        <f t="shared" si="192"/>
        <v>ok</v>
      </c>
      <c r="BB67" s="17" t="str">
        <f t="shared" si="192"/>
        <v>ok</v>
      </c>
      <c r="BC67" s="17" t="str">
        <f t="shared" si="192"/>
        <v>ok</v>
      </c>
      <c r="BD67" s="17" t="str">
        <f t="shared" si="192"/>
        <v>ok</v>
      </c>
      <c r="BE67" s="17" t="str">
        <f t="shared" si="192"/>
        <v>ok</v>
      </c>
      <c r="BF67" s="17" t="str">
        <f t="shared" si="192"/>
        <v>ok</v>
      </c>
      <c r="BG67" s="17" t="str">
        <f t="shared" si="192"/>
        <v>ok</v>
      </c>
      <c r="BH67" s="17" t="str">
        <f t="shared" si="192"/>
        <v>ok</v>
      </c>
      <c r="BI67" s="17" t="str">
        <f t="shared" si="192"/>
        <v>ok</v>
      </c>
      <c r="BJ67" s="17" t="str">
        <f t="shared" si="192"/>
        <v>ok</v>
      </c>
      <c r="BK67" s="17" t="str">
        <f t="shared" si="192"/>
        <v>ok</v>
      </c>
      <c r="BL67" s="17" t="str">
        <f t="shared" si="192"/>
        <v>ok</v>
      </c>
      <c r="BM67" s="17" t="str">
        <f t="shared" si="192"/>
        <v>ok</v>
      </c>
      <c r="BN67" s="17" t="str">
        <f t="shared" si="192"/>
        <v>ok</v>
      </c>
      <c r="BO67" s="17" t="str">
        <f t="shared" si="192"/>
        <v>ok</v>
      </c>
      <c r="BP67" s="17" t="str">
        <f t="shared" si="192"/>
        <v>ok</v>
      </c>
      <c r="BQ67" s="17" t="str">
        <f t="shared" si="192"/>
        <v>ok</v>
      </c>
      <c r="BR67" s="17" t="str">
        <f t="shared" si="192"/>
        <v>ok</v>
      </c>
      <c r="BS67" s="17" t="str">
        <f t="shared" si="192"/>
        <v>ok</v>
      </c>
      <c r="BT67" s="17" t="str">
        <f t="shared" si="192"/>
        <v>ok</v>
      </c>
      <c r="BU67" s="17" t="str">
        <f t="shared" si="192"/>
        <v>ok</v>
      </c>
      <c r="BV67" s="17" t="str">
        <f t="shared" si="192"/>
        <v>ok</v>
      </c>
      <c r="BW67" s="17" t="str">
        <f t="shared" si="192"/>
        <v>ok</v>
      </c>
      <c r="BX67" s="17" t="str">
        <f t="shared" ref="BX67:CN67" si="193">IF(ROUND(BX61-BX65,4)=0,"ok","error")</f>
        <v>ok</v>
      </c>
      <c r="BY67" s="17" t="str">
        <f t="shared" si="193"/>
        <v>ok</v>
      </c>
      <c r="BZ67" s="17" t="str">
        <f t="shared" si="193"/>
        <v>ok</v>
      </c>
      <c r="CA67" s="17" t="str">
        <f t="shared" si="193"/>
        <v>ok</v>
      </c>
      <c r="CB67" s="17" t="str">
        <f t="shared" si="193"/>
        <v>ok</v>
      </c>
      <c r="CC67" s="17" t="str">
        <f t="shared" si="193"/>
        <v>ok</v>
      </c>
      <c r="CD67" s="17" t="str">
        <f t="shared" si="193"/>
        <v>ok</v>
      </c>
      <c r="CE67" s="17" t="str">
        <f t="shared" si="193"/>
        <v>ok</v>
      </c>
      <c r="CF67" s="17" t="str">
        <f t="shared" si="193"/>
        <v>ok</v>
      </c>
      <c r="CG67" s="17" t="str">
        <f t="shared" si="193"/>
        <v>ok</v>
      </c>
      <c r="CH67" s="17" t="str">
        <f t="shared" si="193"/>
        <v>ok</v>
      </c>
      <c r="CI67" s="17" t="str">
        <f t="shared" si="193"/>
        <v>ok</v>
      </c>
      <c r="CJ67" s="17" t="str">
        <f t="shared" si="193"/>
        <v>ok</v>
      </c>
      <c r="CK67" s="17" t="str">
        <f t="shared" si="193"/>
        <v>ok</v>
      </c>
      <c r="CL67" s="17" t="str">
        <f t="shared" si="193"/>
        <v>ok</v>
      </c>
      <c r="CM67" s="17" t="str">
        <f t="shared" si="193"/>
        <v>ok</v>
      </c>
      <c r="CN67" s="17" t="str">
        <f t="shared" si="193"/>
        <v>ok</v>
      </c>
    </row>
    <row r="68" spans="1:92" ht="12.75" customHeight="1" x14ac:dyDescent="0.25">
      <c r="C68" s="19"/>
      <c r="D68" s="74"/>
      <c r="H68" s="18"/>
      <c r="L68" s="17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</row>
    <row r="69" spans="1:92" ht="12.75" x14ac:dyDescent="0.2">
      <c r="A69" s="16">
        <f>MAX(A$3:A68)+0.01</f>
        <v>2.0299999999999994</v>
      </c>
      <c r="B69" s="16"/>
      <c r="C69" s="16" t="s">
        <v>136</v>
      </c>
      <c r="D69" s="22"/>
      <c r="E69" s="16"/>
      <c r="F69" s="16"/>
      <c r="G69" s="16"/>
      <c r="H69" s="57"/>
      <c r="I69" s="16"/>
      <c r="J69" s="16"/>
      <c r="K69" s="16"/>
      <c r="L69" s="16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</row>
    <row r="70" spans="1:92" ht="12.75" customHeight="1" x14ac:dyDescent="0.25">
      <c r="C70" s="19"/>
      <c r="D70" s="74"/>
      <c r="H70" s="18"/>
      <c r="J70" s="17"/>
      <c r="L70" s="17"/>
      <c r="M70" s="17"/>
      <c r="N70" s="17"/>
      <c r="O70" s="17"/>
      <c r="P70" s="17"/>
    </row>
    <row r="71" spans="1:92" ht="12.75" customHeight="1" x14ac:dyDescent="0.25">
      <c r="C71" s="19"/>
      <c r="D71" s="74"/>
    </row>
    <row r="72" spans="1:92" ht="12.75" customHeight="1" x14ac:dyDescent="0.25">
      <c r="D72" s="74"/>
    </row>
    <row r="73" spans="1:92" ht="12.75" customHeight="1" x14ac:dyDescent="0.25">
      <c r="D73" s="80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</row>
    <row r="74" spans="1:92" ht="12.75" customHeight="1" x14ac:dyDescent="0.25">
      <c r="D74" s="74"/>
    </row>
    <row r="75" spans="1:92" ht="12.75" customHeight="1" x14ac:dyDescent="0.25">
      <c r="D75" s="80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</row>
    <row r="76" spans="1:92" ht="12.75" customHeight="1" x14ac:dyDescent="0.25">
      <c r="D76" s="80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</row>
    <row r="77" spans="1:92" ht="12.75" customHeight="1" x14ac:dyDescent="0.25">
      <c r="D77" s="74"/>
    </row>
    <row r="78" spans="1:92" ht="12.75" customHeight="1" x14ac:dyDescent="0.25">
      <c r="D78" s="74"/>
    </row>
    <row r="79" spans="1:92" ht="12.75" customHeight="1" x14ac:dyDescent="0.25"/>
    <row r="80" spans="1:92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</sheetData>
  <pageMargins left="0.7" right="0.7" top="0.75" bottom="0.75" header="0.3" footer="0.3"/>
  <pageSetup paperSize="9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</vt:lpstr>
      <vt:lpstr>Accounts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Dan Mayoh</cp:lastModifiedBy>
  <cp:lastPrinted>2013-12-06T00:09:25Z</cp:lastPrinted>
  <dcterms:created xsi:type="dcterms:W3CDTF">2013-11-22T23:25:19Z</dcterms:created>
  <dcterms:modified xsi:type="dcterms:W3CDTF">2013-12-08T03:01:19Z</dcterms:modified>
</cp:coreProperties>
</file>