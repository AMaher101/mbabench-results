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6"/>
  <workbookPr filterPrivacy="1" defaultThemeVersion="124226"/>
  <xr:revisionPtr revIDLastSave="26" documentId="11_E72BE25DBA1971986045A765E864A540125154EE" xr6:coauthVersionLast="47" xr6:coauthVersionMax="47" xr10:uidLastSave="{1B8E9B35-C008-4F99-BCDA-26D0A1081E6E}"/>
  <bookViews>
    <workbookView xWindow="-98" yWindow="-98" windowWidth="20715" windowHeight="13276" xr2:uid="{00000000-000D-0000-FFFF-FFFF00000000}"/>
  </bookViews>
  <sheets>
    <sheet name="Notes" sheetId="5" r:id="rId1"/>
    <sheet name="Model" sheetId="4" r:id="rId2"/>
  </sheets>
  <definedNames>
    <definedName name="CIQWBGuid" hidden="1">"20121011 Sportingbet financials.xlsx"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41371.9999652778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4" l="1"/>
  <c r="G47" i="4" s="1"/>
  <c r="H47" i="4" s="1"/>
  <c r="I47" i="4" s="1"/>
  <c r="E154" i="4" l="1"/>
  <c r="F154" i="4"/>
  <c r="G154" i="4"/>
  <c r="H154" i="4"/>
  <c r="I154" i="4"/>
  <c r="I59" i="4" l="1"/>
  <c r="H59" i="4"/>
  <c r="G59" i="4"/>
  <c r="F59" i="4"/>
  <c r="E59" i="4"/>
  <c r="D59" i="4"/>
  <c r="F24" i="4" s="1"/>
  <c r="I150" i="4" l="1"/>
  <c r="H150" i="4"/>
  <c r="G150" i="4"/>
  <c r="F150" i="4"/>
  <c r="E150" i="4"/>
  <c r="F176" i="4"/>
  <c r="G176" i="4"/>
  <c r="H176" i="4"/>
  <c r="I176" i="4"/>
  <c r="E176" i="4"/>
  <c r="I169" i="4"/>
  <c r="H169" i="4"/>
  <c r="G169" i="4"/>
  <c r="F169" i="4"/>
  <c r="E169" i="4"/>
  <c r="I164" i="4"/>
  <c r="H164" i="4"/>
  <c r="G164" i="4"/>
  <c r="F164" i="4"/>
  <c r="E164" i="4"/>
  <c r="I163" i="4"/>
  <c r="H163" i="4"/>
  <c r="G163" i="4"/>
  <c r="F163" i="4"/>
  <c r="E163" i="4"/>
  <c r="I158" i="4"/>
  <c r="H158" i="4"/>
  <c r="G158" i="4"/>
  <c r="F158" i="4"/>
  <c r="E158" i="4"/>
  <c r="I153" i="4"/>
  <c r="H153" i="4"/>
  <c r="G153" i="4"/>
  <c r="F153" i="4"/>
  <c r="E153" i="4"/>
  <c r="D170" i="4"/>
  <c r="D159" i="4"/>
  <c r="D165" i="4"/>
  <c r="D151" i="4"/>
  <c r="D143" i="4"/>
  <c r="I133" i="4"/>
  <c r="H133" i="4"/>
  <c r="G133" i="4"/>
  <c r="F133" i="4"/>
  <c r="E133" i="4"/>
  <c r="I142" i="4"/>
  <c r="H142" i="4"/>
  <c r="G142" i="4"/>
  <c r="F142" i="4"/>
  <c r="E142" i="4"/>
  <c r="I141" i="4"/>
  <c r="H141" i="4"/>
  <c r="G141" i="4"/>
  <c r="F141" i="4"/>
  <c r="E141" i="4"/>
  <c r="I145" i="4"/>
  <c r="H145" i="4"/>
  <c r="G145" i="4"/>
  <c r="F145" i="4"/>
  <c r="E145" i="4"/>
  <c r="I146" i="4"/>
  <c r="H146" i="4"/>
  <c r="G146" i="4"/>
  <c r="F146" i="4"/>
  <c r="E146" i="4"/>
  <c r="I137" i="4"/>
  <c r="H137" i="4"/>
  <c r="G137" i="4"/>
  <c r="F137" i="4"/>
  <c r="E137" i="4"/>
  <c r="F129" i="4"/>
  <c r="G129" i="4"/>
  <c r="H129" i="4"/>
  <c r="I129" i="4"/>
  <c r="E129" i="4"/>
  <c r="I136" i="4"/>
  <c r="H136" i="4"/>
  <c r="G136" i="4"/>
  <c r="F136" i="4"/>
  <c r="E136" i="4"/>
  <c r="I125" i="4"/>
  <c r="H125" i="4"/>
  <c r="G125" i="4"/>
  <c r="F125" i="4"/>
  <c r="E125" i="4"/>
  <c r="E128" i="4"/>
  <c r="I128" i="4"/>
  <c r="H128" i="4"/>
  <c r="G128" i="4"/>
  <c r="F128" i="4"/>
  <c r="E53" i="4"/>
  <c r="E54" i="4" s="1"/>
  <c r="D120" i="4"/>
  <c r="E120" i="4"/>
  <c r="F120" i="4"/>
  <c r="G120" i="4"/>
  <c r="H120" i="4"/>
  <c r="I120" i="4"/>
  <c r="I107" i="4"/>
  <c r="H107" i="4"/>
  <c r="G107" i="4"/>
  <c r="F107" i="4"/>
  <c r="E107" i="4"/>
  <c r="I102" i="4"/>
  <c r="H102" i="4"/>
  <c r="G102" i="4"/>
  <c r="F102" i="4"/>
  <c r="E102" i="4"/>
  <c r="I67" i="4"/>
  <c r="H67" i="4"/>
  <c r="G67" i="4"/>
  <c r="F67" i="4"/>
  <c r="E67" i="4"/>
  <c r="E65" i="4"/>
  <c r="I65" i="4"/>
  <c r="H65" i="4"/>
  <c r="G65" i="4"/>
  <c r="F65" i="4"/>
  <c r="I62" i="4"/>
  <c r="H62" i="4"/>
  <c r="G62" i="4"/>
  <c r="F62" i="4"/>
  <c r="E62" i="4"/>
  <c r="I61" i="4"/>
  <c r="H61" i="4"/>
  <c r="G61" i="4"/>
  <c r="F61" i="4"/>
  <c r="E61" i="4"/>
  <c r="I57" i="4"/>
  <c r="H57" i="4"/>
  <c r="G57" i="4"/>
  <c r="F57" i="4"/>
  <c r="E57" i="4"/>
  <c r="E58" i="4" s="1"/>
  <c r="I55" i="4"/>
  <c r="H55" i="4"/>
  <c r="G55" i="4"/>
  <c r="F55" i="4"/>
  <c r="E55" i="4"/>
  <c r="F53" i="4"/>
  <c r="G53" i="4"/>
  <c r="H53" i="4"/>
  <c r="I53" i="4"/>
  <c r="I54" i="4" s="1"/>
  <c r="D35" i="4"/>
  <c r="E56" i="4" l="1"/>
  <c r="H58" i="4"/>
  <c r="H54" i="4"/>
  <c r="F54" i="4"/>
  <c r="H56" i="4"/>
  <c r="G58" i="4"/>
  <c r="I56" i="4"/>
  <c r="F56" i="4"/>
  <c r="I58" i="4"/>
  <c r="G54" i="4"/>
  <c r="G56" i="4"/>
  <c r="F58" i="4"/>
  <c r="J30" i="4"/>
  <c r="J23" i="4" s="1"/>
  <c r="I174" i="4"/>
  <c r="H174" i="4"/>
  <c r="G174" i="4"/>
  <c r="F174" i="4"/>
  <c r="E174" i="4"/>
  <c r="D173" i="4"/>
  <c r="E173" i="4" s="1"/>
  <c r="F173" i="4" s="1"/>
  <c r="G173" i="4" s="1"/>
  <c r="H173" i="4" s="1"/>
  <c r="I173" i="4" s="1"/>
  <c r="E149" i="4"/>
  <c r="E132" i="4"/>
  <c r="E74" i="4"/>
  <c r="E124" i="4"/>
  <c r="D110" i="4"/>
  <c r="D105" i="4"/>
  <c r="D99" i="4"/>
  <c r="J28" i="4"/>
  <c r="D58" i="4"/>
  <c r="D56" i="4"/>
  <c r="D39" i="4"/>
  <c r="J22" i="4"/>
  <c r="D17" i="4"/>
  <c r="F17" i="4" s="1"/>
  <c r="F16" i="4"/>
  <c r="D4" i="4"/>
  <c r="E4" i="4" s="1"/>
  <c r="B4" i="4"/>
  <c r="E71" i="4" l="1"/>
  <c r="F4" i="4"/>
  <c r="G4" i="4" s="1"/>
  <c r="H4" i="4" s="1"/>
  <c r="I4" i="4" s="1"/>
  <c r="D60" i="4"/>
  <c r="D36" i="4"/>
  <c r="D23" i="4" s="1"/>
  <c r="C186" i="4" l="1" a="1"/>
  <c r="C189" i="4" s="1"/>
  <c r="E151" i="4"/>
  <c r="F23" i="4"/>
  <c r="J34" i="4"/>
  <c r="J35" i="4" s="1"/>
  <c r="C190" i="4" l="1"/>
  <c r="C187" i="4"/>
  <c r="C188" i="4"/>
  <c r="C186" i="4"/>
  <c r="J24" i="4"/>
  <c r="J25" i="4" s="1"/>
  <c r="E78" i="4"/>
  <c r="E175" i="4"/>
  <c r="E60" i="4"/>
  <c r="E140" i="4"/>
  <c r="D106" i="4"/>
  <c r="F149" i="4"/>
  <c r="E110" i="4"/>
  <c r="G60" i="4" l="1"/>
  <c r="G78" i="4"/>
  <c r="G175" i="4"/>
  <c r="D117" i="4"/>
  <c r="D108" i="4"/>
  <c r="D118" i="4"/>
  <c r="D119" i="4" s="1"/>
  <c r="F175" i="4"/>
  <c r="F78" i="4"/>
  <c r="F60" i="4"/>
  <c r="D25" i="4"/>
  <c r="E72" i="4"/>
  <c r="E73" i="4" s="1"/>
  <c r="E75" i="4" s="1"/>
  <c r="D100" i="4"/>
  <c r="E168" i="4"/>
  <c r="E170" i="4" l="1"/>
  <c r="E64" i="4"/>
  <c r="E196" i="4" s="1"/>
  <c r="D101" i="4"/>
  <c r="E162" i="4"/>
  <c r="F151" i="4"/>
  <c r="D26" i="4"/>
  <c r="F25" i="4"/>
  <c r="D103" i="4"/>
  <c r="I78" i="4" l="1"/>
  <c r="I60" i="4"/>
  <c r="I175" i="4"/>
  <c r="F168" i="4"/>
  <c r="E100" i="4"/>
  <c r="F110" i="4"/>
  <c r="G149" i="4"/>
  <c r="D188" i="4"/>
  <c r="D187" i="4"/>
  <c r="D190" i="4"/>
  <c r="D186" i="4"/>
  <c r="D189" i="4"/>
  <c r="F26" i="4"/>
  <c r="D27" i="4"/>
  <c r="E63" i="4"/>
  <c r="E66" i="4" s="1"/>
  <c r="D111" i="4"/>
  <c r="D112" i="4" s="1"/>
  <c r="D114" i="4" s="1"/>
  <c r="E157" i="4"/>
  <c r="H175" i="4"/>
  <c r="H78" i="4"/>
  <c r="H60" i="4"/>
  <c r="E84" i="4" l="1"/>
  <c r="F27" i="4"/>
  <c r="E24" i="4"/>
  <c r="D28" i="4"/>
  <c r="E23" i="4"/>
  <c r="E25" i="4"/>
  <c r="E165" i="4"/>
  <c r="E101" i="4" l="1"/>
  <c r="F162" i="4"/>
  <c r="E197" i="4"/>
  <c r="E134" i="4"/>
  <c r="E26" i="4"/>
  <c r="E27" i="4" s="1"/>
  <c r="F170" i="4"/>
  <c r="G151" i="4"/>
  <c r="E68" i="4"/>
  <c r="E159" i="4" s="1"/>
  <c r="G110" i="4" l="1"/>
  <c r="H149" i="4"/>
  <c r="E143" i="4"/>
  <c r="F132" i="4"/>
  <c r="E105" i="4"/>
  <c r="F63" i="4"/>
  <c r="F157" i="4"/>
  <c r="E111" i="4"/>
  <c r="E112" i="4" s="1"/>
  <c r="G168" i="4"/>
  <c r="F100" i="4"/>
  <c r="E96" i="4"/>
  <c r="E126" i="4" s="1"/>
  <c r="F124" i="4" l="1"/>
  <c r="E99" i="4"/>
  <c r="F71" i="4"/>
  <c r="F165" i="4"/>
  <c r="F140" i="4"/>
  <c r="E106" i="4"/>
  <c r="E108" i="4" s="1"/>
  <c r="G170" i="4"/>
  <c r="E178" i="4"/>
  <c r="H168" i="4" l="1"/>
  <c r="G100" i="4"/>
  <c r="E103" i="4"/>
  <c r="E114" i="4" s="1"/>
  <c r="E181" i="4"/>
  <c r="H151" i="4"/>
  <c r="E179" i="4"/>
  <c r="E180" i="4" s="1"/>
  <c r="E184" i="4" s="1"/>
  <c r="E186" i="4" s="1"/>
  <c r="E117" i="4"/>
  <c r="E193" i="4" s="1"/>
  <c r="F74" i="4"/>
  <c r="F72" i="4"/>
  <c r="F73" i="4" s="1"/>
  <c r="F75" i="4" s="1"/>
  <c r="E118" i="4"/>
  <c r="F101" i="4"/>
  <c r="G162" i="4"/>
  <c r="F64" i="4" l="1"/>
  <c r="E194" i="4"/>
  <c r="E119" i="4"/>
  <c r="E195" i="4" s="1"/>
  <c r="G63" i="4"/>
  <c r="H110" i="4"/>
  <c r="I149" i="4"/>
  <c r="F196" i="4" l="1"/>
  <c r="F66" i="4"/>
  <c r="G165" i="4"/>
  <c r="H170" i="4"/>
  <c r="I151" i="4" l="1"/>
  <c r="I110" i="4" s="1"/>
  <c r="H100" i="4"/>
  <c r="I168" i="4"/>
  <c r="H162" i="4"/>
  <c r="G101" i="4"/>
  <c r="F84" i="4"/>
  <c r="H63" i="4" l="1"/>
  <c r="F197" i="4"/>
  <c r="F134" i="4"/>
  <c r="F68" i="4"/>
  <c r="F159" i="4" s="1"/>
  <c r="G157" i="4" l="1"/>
  <c r="F111" i="4"/>
  <c r="F112" i="4" s="1"/>
  <c r="G132" i="4"/>
  <c r="F105" i="4"/>
  <c r="H165" i="4"/>
  <c r="I170" i="4"/>
  <c r="I100" i="4" s="1"/>
  <c r="F143" i="4"/>
  <c r="I162" i="4" l="1"/>
  <c r="H101" i="4"/>
  <c r="G140" i="4"/>
  <c r="F106" i="4"/>
  <c r="F118" i="4" s="1"/>
  <c r="F96" i="4"/>
  <c r="F126" i="4" s="1"/>
  <c r="F178" i="4"/>
  <c r="G71" i="4"/>
  <c r="F108" i="4" l="1"/>
  <c r="F194" i="4"/>
  <c r="F117" i="4"/>
  <c r="F193" i="4" s="1"/>
  <c r="F179" i="4"/>
  <c r="F180" i="4" s="1"/>
  <c r="I165" i="4"/>
  <c r="I101" i="4" s="1"/>
  <c r="I63" i="4"/>
  <c r="G72" i="4"/>
  <c r="G73" i="4" s="1"/>
  <c r="G124" i="4"/>
  <c r="F99" i="4"/>
  <c r="F119" i="4" s="1"/>
  <c r="F195" i="4" s="1"/>
  <c r="F184" i="4" l="1"/>
  <c r="F187" i="4" s="1"/>
  <c r="G75" i="4"/>
  <c r="F181" i="4"/>
  <c r="F103" i="4"/>
  <c r="F114" i="4" s="1"/>
  <c r="G74" i="4"/>
  <c r="G64" i="4" l="1"/>
  <c r="G196" i="4" l="1"/>
  <c r="G66" i="4"/>
  <c r="G84" i="4" l="1"/>
  <c r="G197" i="4" l="1"/>
  <c r="G68" i="4"/>
  <c r="G159" i="4" s="1"/>
  <c r="H157" i="4" l="1"/>
  <c r="G111" i="4"/>
  <c r="G112" i="4" s="1"/>
  <c r="G134" i="4"/>
  <c r="G143" i="4" l="1"/>
  <c r="G96" i="4"/>
  <c r="G126" i="4" s="1"/>
  <c r="H132" i="4"/>
  <c r="G105" i="4"/>
  <c r="H124" i="4" l="1"/>
  <c r="G99" i="4"/>
  <c r="G178" i="4"/>
  <c r="G106" i="4"/>
  <c r="H140" i="4"/>
  <c r="H71" i="4"/>
  <c r="G179" i="4" l="1"/>
  <c r="G180" i="4" s="1"/>
  <c r="G184" i="4" s="1"/>
  <c r="G188" i="4" s="1"/>
  <c r="G117" i="4"/>
  <c r="G193" i="4" s="1"/>
  <c r="G181" i="4"/>
  <c r="G103" i="4"/>
  <c r="G108" i="4"/>
  <c r="H74" i="4"/>
  <c r="G118" i="4"/>
  <c r="H72" i="4"/>
  <c r="H73" i="4" s="1"/>
  <c r="H75" i="4" s="1"/>
  <c r="G114" i="4" l="1"/>
  <c r="H64" i="4"/>
  <c r="G194" i="4"/>
  <c r="G119" i="4"/>
  <c r="G195" i="4" s="1"/>
  <c r="H196" i="4" l="1"/>
  <c r="H66" i="4"/>
  <c r="H84" i="4" l="1"/>
  <c r="H68" i="4"/>
  <c r="H159" i="4" s="1"/>
  <c r="H111" i="4" l="1"/>
  <c r="H112" i="4" s="1"/>
  <c r="I157" i="4"/>
  <c r="H197" i="4"/>
  <c r="H134" i="4"/>
  <c r="H143" i="4"/>
  <c r="I140" i="4" l="1"/>
  <c r="H106" i="4"/>
  <c r="I132" i="4"/>
  <c r="H105" i="4"/>
  <c r="H96" i="4"/>
  <c r="H126" i="4" s="1"/>
  <c r="I124" i="4" l="1"/>
  <c r="H99" i="4"/>
  <c r="H179" i="4"/>
  <c r="H117" i="4"/>
  <c r="H193" i="4" s="1"/>
  <c r="H118" i="4"/>
  <c r="H108" i="4"/>
  <c r="H178" i="4"/>
  <c r="H180" i="4" s="1"/>
  <c r="I72" i="4"/>
  <c r="I71" i="4"/>
  <c r="I73" i="4" l="1"/>
  <c r="H181" i="4"/>
  <c r="H184" i="4" s="1"/>
  <c r="H189" i="4" s="1"/>
  <c r="H103" i="4"/>
  <c r="H114" i="4" s="1"/>
  <c r="H194" i="4"/>
  <c r="H119" i="4"/>
  <c r="H195" i="4" s="1"/>
  <c r="I74" i="4"/>
  <c r="I75" i="4" l="1"/>
  <c r="I64" i="4" s="1"/>
  <c r="I196" i="4" l="1"/>
  <c r="I66" i="4"/>
  <c r="I84" i="4" l="1"/>
  <c r="I197" i="4" l="1"/>
  <c r="I96" i="4"/>
  <c r="I126" i="4" s="1"/>
  <c r="I99" i="4" s="1"/>
  <c r="I134" i="4"/>
  <c r="I105" i="4" s="1"/>
  <c r="I143" i="4"/>
  <c r="I106" i="4" s="1"/>
  <c r="I68" i="4"/>
  <c r="I159" i="4" s="1"/>
  <c r="I111" i="4" s="1"/>
  <c r="I112" i="4" s="1"/>
  <c r="I181" i="4" l="1"/>
  <c r="I103" i="4"/>
  <c r="I179" i="4"/>
  <c r="I117" i="4"/>
  <c r="I193" i="4" s="1"/>
  <c r="I108" i="4"/>
  <c r="I118" i="4"/>
  <c r="I178" i="4"/>
  <c r="I180" i="4" s="1"/>
  <c r="I114" i="4" l="1"/>
  <c r="I194" i="4"/>
  <c r="I119" i="4"/>
  <c r="I195" i="4" s="1"/>
  <c r="I184" i="4"/>
  <c r="I19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9" authorId="0" shapeId="0" xr:uid="{00000000-0006-0000-0000-000001000000}">
      <text>
        <r>
          <rPr>
            <sz val="9"/>
            <color indexed="81"/>
            <rFont val="Tahoma"/>
            <family val="2"/>
          </rPr>
          <t>Insert and delete lines as required. You may delete this comment.</t>
        </r>
      </text>
    </comment>
    <comment ref="B86" authorId="0" shapeId="0" xr:uid="{00000000-0006-0000-0000-000002000000}">
      <text>
        <r>
          <rPr>
            <sz val="9"/>
            <color indexed="81"/>
            <rFont val="Tahoma"/>
            <family val="2"/>
          </rPr>
          <t>Insert and delete lines as required. You may delete this comment.</t>
        </r>
      </text>
    </comment>
  </commentList>
</comments>
</file>

<file path=xl/sharedStrings.xml><?xml version="1.0" encoding="utf-8"?>
<sst xmlns="http://schemas.openxmlformats.org/spreadsheetml/2006/main" count="164" uniqueCount="118">
  <si>
    <t>ModelOff 2013</t>
  </si>
  <si>
    <t>LBO question</t>
  </si>
  <si>
    <t>LTM</t>
  </si>
  <si>
    <t>Assumptions</t>
  </si>
  <si>
    <t>Tax rate</t>
  </si>
  <si>
    <t>Minimum cash balance</t>
  </si>
  <si>
    <t>LTM financial year end</t>
  </si>
  <si>
    <t>Exit multiple</t>
  </si>
  <si>
    <t>Interest rate</t>
  </si>
  <si>
    <t>Margin</t>
  </si>
  <si>
    <t>Total</t>
  </si>
  <si>
    <t>Revolver</t>
  </si>
  <si>
    <t>Senior debt</t>
  </si>
  <si>
    <t>Shareholder loan</t>
  </si>
  <si>
    <t>Cash</t>
  </si>
  <si>
    <t>Capitalisation</t>
  </si>
  <si>
    <t>Sources</t>
  </si>
  <si>
    <t>% of total</t>
  </si>
  <si>
    <t>x EBITDA</t>
  </si>
  <si>
    <t>Uses</t>
  </si>
  <si>
    <t>Total debt</t>
  </si>
  <si>
    <t>Enterprise value</t>
  </si>
  <si>
    <t>Sponsor equity</t>
  </si>
  <si>
    <t>Total uses</t>
  </si>
  <si>
    <t>Total equity</t>
  </si>
  <si>
    <t>Total sources of funds</t>
  </si>
  <si>
    <t>Acquisition metrics</t>
  </si>
  <si>
    <t>Check</t>
  </si>
  <si>
    <t>LTM EBITDA</t>
  </si>
  <si>
    <t>Calculations</t>
  </si>
  <si>
    <t>Leverage</t>
  </si>
  <si>
    <t>x LTM EBITDA</t>
  </si>
  <si>
    <t>Bank debt</t>
  </si>
  <si>
    <t>Total senior debt</t>
  </si>
  <si>
    <t>Total costs</t>
  </si>
  <si>
    <t>Amoritsation</t>
  </si>
  <si>
    <t>Amortisation schedule (%)</t>
  </si>
  <si>
    <t>Financial assumptions</t>
  </si>
  <si>
    <t>Revenue growth (%)</t>
  </si>
  <si>
    <t>COGS margin (%)</t>
  </si>
  <si>
    <t>PPE Useful Life in Years</t>
  </si>
  <si>
    <t>Income statement</t>
  </si>
  <si>
    <t>Revenue</t>
  </si>
  <si>
    <t>% growth</t>
  </si>
  <si>
    <t>COGS</t>
  </si>
  <si>
    <t>% margin</t>
  </si>
  <si>
    <t>Other operating expenses</t>
  </si>
  <si>
    <t>EBITDA</t>
  </si>
  <si>
    <t>Depreciation</t>
  </si>
  <si>
    <t>Amortisation of new financing fees</t>
  </si>
  <si>
    <t xml:space="preserve">EBIT </t>
  </si>
  <si>
    <t>Net Interest expense</t>
  </si>
  <si>
    <t>Shareholder loan PIK interest</t>
  </si>
  <si>
    <t>PBT</t>
  </si>
  <si>
    <t>Tax expense</t>
  </si>
  <si>
    <t>NPAT</t>
  </si>
  <si>
    <t>Total interest expense</t>
  </si>
  <si>
    <t>Interest income</t>
  </si>
  <si>
    <t>Net interest expense</t>
  </si>
  <si>
    <t>Cash flow</t>
  </si>
  <si>
    <t>CFADS</t>
  </si>
  <si>
    <t>Net Change in Cash</t>
  </si>
  <si>
    <t>Balance sheet</t>
  </si>
  <si>
    <t>Capitalised finance costs</t>
  </si>
  <si>
    <t>PP&amp;E</t>
  </si>
  <si>
    <t>Receivables</t>
  </si>
  <si>
    <t>Total assets</t>
  </si>
  <si>
    <t>Payables</t>
  </si>
  <si>
    <t>Total liabilities</t>
  </si>
  <si>
    <t>Net debt</t>
  </si>
  <si>
    <t>Schedules</t>
  </si>
  <si>
    <t>Opening balance</t>
  </si>
  <si>
    <t>Net cash flow</t>
  </si>
  <si>
    <t>Closing balance</t>
  </si>
  <si>
    <t xml:space="preserve">Interest rate </t>
  </si>
  <si>
    <t>Scheduled amortisation</t>
  </si>
  <si>
    <t>PIK interest</t>
  </si>
  <si>
    <t>NPAT to shareholders</t>
  </si>
  <si>
    <t>Opening belance</t>
  </si>
  <si>
    <t>Capex</t>
  </si>
  <si>
    <t>Capitalised financing fees</t>
  </si>
  <si>
    <t>Amortisation</t>
  </si>
  <si>
    <t>IRR analysis</t>
  </si>
  <si>
    <t>Exit year</t>
  </si>
  <si>
    <t>Implied equity value</t>
  </si>
  <si>
    <t>IRR</t>
  </si>
  <si>
    <t>Credit metrics</t>
  </si>
  <si>
    <t>Senior debt / EBITDA</t>
  </si>
  <si>
    <t>Total debt / EBITDA</t>
  </si>
  <si>
    <t>Net debt / EBITDA</t>
  </si>
  <si>
    <t>(EBITDA - capex) / net cash interest</t>
  </si>
  <si>
    <t>DSCR</t>
  </si>
  <si>
    <t>All values in $m</t>
  </si>
  <si>
    <t>Swap</t>
  </si>
  <si>
    <t>Cash Desposits</t>
  </si>
  <si>
    <t>Upfront Costs</t>
  </si>
  <si>
    <t>Senior Debt Cash Sweep</t>
  </si>
  <si>
    <t>Financing Fees Amortising Life in Years</t>
  </si>
  <si>
    <t>Exit year (exit at 31 Dec)</t>
  </si>
  <si>
    <t>Excess Cash above minimum required balance</t>
  </si>
  <si>
    <t>Interest expense</t>
  </si>
  <si>
    <t>$m</t>
  </si>
  <si>
    <t>Entry multiple</t>
  </si>
  <si>
    <t>Capex % of revenue</t>
  </si>
  <si>
    <t>Drawdown / (repayment)</t>
  </si>
  <si>
    <t>Other operating expenses (ex. Depreciation) % of revenue</t>
  </si>
  <si>
    <t>Sponsors Equity &amp; Retained Earnings</t>
  </si>
  <si>
    <t>Interest  Schedule (Excluding Capitalised Shareholder PIK)</t>
  </si>
  <si>
    <t>Net Working Capital</t>
  </si>
  <si>
    <t>Debt and NWC Summary</t>
  </si>
  <si>
    <t>Receivable as % of Revenue</t>
  </si>
  <si>
    <t>Payables as % of COGS</t>
  </si>
  <si>
    <t>Version</t>
  </si>
  <si>
    <t>v2</t>
  </si>
  <si>
    <t>Date</t>
  </si>
  <si>
    <t>Note</t>
  </si>
  <si>
    <t>Update notes</t>
  </si>
  <si>
    <t>Corrected receivables / payables %ages (rows 49/50) - rounded numbers were used in the solution model, so old version didn't solve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</si>
</sst>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FY&quot;00&quot;A&quot;"/>
    <numFmt numFmtId="165" formatCode="&quot;FY&quot;00&quot;F&quot;"/>
    <numFmt numFmtId="166" formatCode="0.0%;\(0.0%\);0.0%"/>
    <numFmt numFmtId="167" formatCode="#,##0.0_);\(#,##0.0\);0.0_)"/>
    <numFmt numFmtId="168" formatCode="d\ mmm\ yy"/>
    <numFmt numFmtId="169" formatCode="0.0\x_);\(0.0\x\);0.0\x_);@_)"/>
    <numFmt numFmtId="170" formatCode="0.00%_);\(0.00%\);0.00%_)"/>
    <numFmt numFmtId="171" formatCode="0.0%_);\(0.0%\);0.0%_)"/>
    <numFmt numFmtId="172" formatCode="0%_);\(0%\);0%_)"/>
    <numFmt numFmtId="173" formatCode="#,##0.0_);\(#,##0.0\);0.0_);@_)"/>
    <numFmt numFmtId="174" formatCode="#,##0.0\x_);\(#,##0.0\x\);0.0\x_);@_)"/>
    <numFmt numFmtId="175" formatCode="#,##0.0%_);\(#,##0.0%\);0.0%_);@_)"/>
    <numFmt numFmtId="176" formatCode="#,##0.0"/>
    <numFmt numFmtId="177" formatCode="#,##0.000000_);\(#,##0.000000\);0.000000_)"/>
    <numFmt numFmtId="178" formatCode="0.0000000000000000000000000000000000000000000000000000000000000000000000000000000000000000000000000000000000"/>
    <numFmt numFmtId="179" formatCode="0.00\x_);\(0.00\x\);0.00\x_);@_)"/>
    <numFmt numFmtId="180" formatCode="0.000000000000000000%"/>
    <numFmt numFmtId="181" formatCode="00&quot;A&quot;"/>
    <numFmt numFmtId="182" formatCode="00&quot;F&quot;"/>
    <numFmt numFmtId="183" formatCode="0.0"/>
    <numFmt numFmtId="185" formatCode="yyyy\-mm\-dd;@"/>
  </numFmts>
  <fonts count="22" x14ac:knownFonts="1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i/>
      <sz val="10"/>
      <color theme="0"/>
      <name val="Calibri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indexed="12"/>
      <name val="Calibri"/>
      <family val="2"/>
    </font>
    <font>
      <sz val="10"/>
      <color indexed="12"/>
      <name val="Calibri"/>
      <family val="2"/>
    </font>
    <font>
      <b/>
      <sz val="10"/>
      <color indexed="8"/>
      <name val="Calibri"/>
      <family val="2"/>
    </font>
    <font>
      <i/>
      <sz val="10"/>
      <color rgb="FFFF0000"/>
      <name val="Calibri"/>
      <family val="2"/>
    </font>
    <font>
      <sz val="10"/>
      <color indexed="8"/>
      <name val="Calibri"/>
      <family val="2"/>
    </font>
    <font>
      <i/>
      <sz val="10"/>
      <color indexed="12"/>
      <name val="Calibri"/>
      <family val="2"/>
    </font>
    <font>
      <i/>
      <sz val="10"/>
      <color indexed="8"/>
      <name val="Calibri"/>
      <family val="2"/>
    </font>
    <font>
      <sz val="10"/>
      <color indexed="17"/>
      <name val="Calibri"/>
      <family val="2"/>
    </font>
    <font>
      <b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9"/>
      <color indexed="81"/>
      <name val="Tahoma"/>
      <family val="2"/>
    </font>
    <font>
      <sz val="10"/>
      <color theme="0" tint="-0.34998626667073579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 style="dashed">
        <color rgb="FFFF0000"/>
      </left>
      <right/>
      <top style="dashed">
        <color rgb="FFFF0000"/>
      </top>
      <bottom style="dashed">
        <color rgb="FFFF0000"/>
      </bottom>
      <diagonal/>
    </border>
    <border>
      <left/>
      <right/>
      <top style="dashed">
        <color rgb="FFFF0000"/>
      </top>
      <bottom style="dashed">
        <color rgb="FFFF0000"/>
      </bottom>
      <diagonal/>
    </border>
    <border>
      <left/>
      <right style="dashed">
        <color rgb="FFFF0000"/>
      </right>
      <top style="dashed">
        <color rgb="FFFF0000"/>
      </top>
      <bottom style="dashed">
        <color rgb="FFFF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/>
    <xf numFmtId="0" fontId="0" fillId="3" borderId="0" xfId="0" applyFill="1"/>
    <xf numFmtId="166" fontId="7" fillId="4" borderId="2" xfId="0" applyNumberFormat="1" applyFont="1" applyFill="1" applyBorder="1" applyAlignment="1">
      <alignment horizontal="center"/>
    </xf>
    <xf numFmtId="167" fontId="7" fillId="4" borderId="1" xfId="0" applyNumberFormat="1" applyFont="1" applyFill="1" applyBorder="1" applyAlignment="1">
      <alignment horizontal="center"/>
    </xf>
    <xf numFmtId="168" fontId="7" fillId="4" borderId="1" xfId="0" applyNumberFormat="1" applyFont="1" applyFill="1" applyBorder="1" applyAlignment="1">
      <alignment horizontal="center"/>
    </xf>
    <xf numFmtId="169" fontId="7" fillId="4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70" fontId="7" fillId="4" borderId="1" xfId="0" applyNumberFormat="1" applyFont="1" applyFill="1" applyBorder="1"/>
    <xf numFmtId="170" fontId="0" fillId="0" borderId="0" xfId="0" applyNumberFormat="1"/>
    <xf numFmtId="171" fontId="7" fillId="4" borderId="1" xfId="0" applyNumberFormat="1" applyFont="1" applyFill="1" applyBorder="1"/>
    <xf numFmtId="0" fontId="5" fillId="0" borderId="3" xfId="0" applyFont="1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167" fontId="8" fillId="0" borderId="0" xfId="0" applyNumberFormat="1" applyFont="1"/>
    <xf numFmtId="172" fontId="5" fillId="0" borderId="0" xfId="0" applyNumberFormat="1" applyFont="1"/>
    <xf numFmtId="169" fontId="5" fillId="0" borderId="0" xfId="0" applyNumberFormat="1" applyFont="1"/>
    <xf numFmtId="167" fontId="0" fillId="0" borderId="0" xfId="0" applyNumberFormat="1"/>
    <xf numFmtId="167" fontId="7" fillId="4" borderId="1" xfId="0" applyNumberFormat="1" applyFont="1" applyFill="1" applyBorder="1"/>
    <xf numFmtId="172" fontId="0" fillId="0" borderId="0" xfId="0" applyNumberFormat="1"/>
    <xf numFmtId="169" fontId="0" fillId="0" borderId="0" xfId="0" applyNumberFormat="1"/>
    <xf numFmtId="167" fontId="5" fillId="0" borderId="0" xfId="0" applyNumberFormat="1" applyFont="1"/>
    <xf numFmtId="167" fontId="9" fillId="0" borderId="0" xfId="0" applyNumberFormat="1" applyFont="1" applyAlignment="1">
      <alignment horizontal="right"/>
    </xf>
    <xf numFmtId="173" fontId="10" fillId="0" borderId="0" xfId="0" applyNumberFormat="1" applyFont="1"/>
    <xf numFmtId="166" fontId="0" fillId="0" borderId="0" xfId="0" applyNumberFormat="1"/>
    <xf numFmtId="171" fontId="0" fillId="0" borderId="0" xfId="0" applyNumberFormat="1"/>
    <xf numFmtId="171" fontId="7" fillId="4" borderId="4" xfId="0" applyNumberFormat="1" applyFont="1" applyFill="1" applyBorder="1"/>
    <xf numFmtId="175" fontId="7" fillId="4" borderId="2" xfId="0" applyNumberFormat="1" applyFont="1" applyFill="1" applyBorder="1"/>
    <xf numFmtId="175" fontId="7" fillId="4" borderId="5" xfId="0" applyNumberFormat="1" applyFont="1" applyFill="1" applyBorder="1"/>
    <xf numFmtId="175" fontId="7" fillId="4" borderId="1" xfId="0" applyNumberFormat="1" applyFont="1" applyFill="1" applyBorder="1"/>
    <xf numFmtId="175" fontId="11" fillId="0" borderId="0" xfId="0" applyNumberFormat="1" applyFont="1"/>
    <xf numFmtId="167" fontId="10" fillId="0" borderId="0" xfId="0" applyNumberFormat="1" applyFont="1"/>
    <xf numFmtId="167" fontId="7" fillId="0" borderId="0" xfId="0" applyNumberFormat="1" applyFont="1"/>
    <xf numFmtId="175" fontId="12" fillId="0" borderId="0" xfId="0" applyNumberFormat="1" applyFont="1"/>
    <xf numFmtId="167" fontId="13" fillId="0" borderId="0" xfId="0" applyNumberFormat="1" applyFont="1"/>
    <xf numFmtId="167" fontId="0" fillId="0" borderId="3" xfId="0" applyNumberFormat="1" applyBorder="1"/>
    <xf numFmtId="0" fontId="5" fillId="0" borderId="6" xfId="0" applyFont="1" applyBorder="1"/>
    <xf numFmtId="167" fontId="5" fillId="0" borderId="6" xfId="0" applyNumberFormat="1" applyFont="1" applyBorder="1"/>
    <xf numFmtId="0" fontId="14" fillId="0" borderId="0" xfId="0" applyFont="1"/>
    <xf numFmtId="0" fontId="0" fillId="0" borderId="6" xfId="0" applyBorder="1"/>
    <xf numFmtId="167" fontId="0" fillId="0" borderId="6" xfId="0" applyNumberFormat="1" applyBorder="1"/>
    <xf numFmtId="171" fontId="4" fillId="0" borderId="0" xfId="0" applyNumberFormat="1" applyFont="1"/>
    <xf numFmtId="170" fontId="4" fillId="0" borderId="0" xfId="0" applyNumberFormat="1" applyFont="1"/>
    <xf numFmtId="167" fontId="7" fillId="4" borderId="2" xfId="0" applyNumberFormat="1" applyFont="1" applyFill="1" applyBorder="1"/>
    <xf numFmtId="167" fontId="8" fillId="0" borderId="6" xfId="0" applyNumberFormat="1" applyFont="1" applyBorder="1"/>
    <xf numFmtId="175" fontId="10" fillId="0" borderId="0" xfId="0" applyNumberFormat="1" applyFont="1"/>
    <xf numFmtId="167" fontId="15" fillId="0" borderId="0" xfId="0" applyNumberFormat="1" applyFont="1"/>
    <xf numFmtId="167" fontId="0" fillId="0" borderId="0" xfId="0" applyNumberFormat="1" applyAlignment="1">
      <alignment horizontal="right"/>
    </xf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horizontal="left" indent="1"/>
    </xf>
    <xf numFmtId="167" fontId="0" fillId="0" borderId="7" xfId="0" applyNumberFormat="1" applyBorder="1"/>
    <xf numFmtId="173" fontId="4" fillId="0" borderId="0" xfId="0" applyNumberFormat="1" applyFont="1"/>
    <xf numFmtId="168" fontId="10" fillId="0" borderId="0" xfId="0" applyNumberFormat="1" applyFont="1"/>
    <xf numFmtId="168" fontId="0" fillId="0" borderId="0" xfId="0" applyNumberFormat="1"/>
    <xf numFmtId="173" fontId="0" fillId="0" borderId="0" xfId="0" applyNumberFormat="1"/>
    <xf numFmtId="0" fontId="0" fillId="0" borderId="0" xfId="0" applyAlignment="1">
      <alignment horizontal="right"/>
    </xf>
    <xf numFmtId="179" fontId="0" fillId="0" borderId="0" xfId="0" applyNumberFormat="1"/>
    <xf numFmtId="180" fontId="0" fillId="0" borderId="0" xfId="0" applyNumberFormat="1"/>
    <xf numFmtId="181" fontId="6" fillId="0" borderId="0" xfId="0" applyNumberFormat="1" applyFont="1"/>
    <xf numFmtId="182" fontId="5" fillId="0" borderId="0" xfId="0" applyNumberFormat="1" applyFont="1"/>
    <xf numFmtId="176" fontId="7" fillId="6" borderId="1" xfId="0" applyNumberFormat="1" applyFont="1" applyFill="1" applyBorder="1"/>
    <xf numFmtId="182" fontId="0" fillId="0" borderId="0" xfId="0" applyNumberFormat="1"/>
    <xf numFmtId="182" fontId="0" fillId="0" borderId="0" xfId="0" applyNumberFormat="1" applyAlignment="1">
      <alignment horizontal="left"/>
    </xf>
    <xf numFmtId="170" fontId="9" fillId="0" borderId="0" xfId="0" applyNumberFormat="1" applyFont="1"/>
    <xf numFmtId="0" fontId="16" fillId="0" borderId="0" xfId="0" applyFont="1"/>
    <xf numFmtId="167" fontId="17" fillId="0" borderId="0" xfId="0" applyNumberFormat="1" applyFont="1"/>
    <xf numFmtId="174" fontId="7" fillId="4" borderId="2" xfId="0" applyNumberFormat="1" applyFont="1" applyFill="1" applyBorder="1"/>
    <xf numFmtId="167" fontId="5" fillId="0" borderId="8" xfId="0" applyNumberFormat="1" applyFont="1" applyBorder="1"/>
    <xf numFmtId="169" fontId="7" fillId="4" borderId="2" xfId="0" applyNumberFormat="1" applyFont="1" applyFill="1" applyBorder="1"/>
    <xf numFmtId="167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7" fontId="10" fillId="0" borderId="8" xfId="0" applyNumberFormat="1" applyFont="1" applyBorder="1"/>
    <xf numFmtId="170" fontId="4" fillId="0" borderId="8" xfId="0" applyNumberFormat="1" applyFont="1" applyBorder="1"/>
    <xf numFmtId="171" fontId="0" fillId="0" borderId="8" xfId="0" applyNumberFormat="1" applyBorder="1"/>
    <xf numFmtId="183" fontId="19" fillId="5" borderId="0" xfId="0" applyNumberFormat="1" applyFont="1" applyFill="1"/>
    <xf numFmtId="176" fontId="0" fillId="0" borderId="0" xfId="0" applyNumberFormat="1"/>
    <xf numFmtId="0" fontId="21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0" fillId="0" borderId="0" xfId="0" applyAlignment="1">
      <alignment vertical="top"/>
    </xf>
    <xf numFmtId="185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85" formatCode="yyyy\-mm\-dd;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5420F-8BA6-46DC-8E80-0E9E9760CA63}" name="Notes" displayName="Notes" ref="A3:C4" totalsRowShown="0" headerRowDxfId="0">
  <autoFilter ref="A3:C4" xr:uid="{7345420F-8BA6-46DC-8E80-0E9E9760CA63}"/>
  <tableColumns count="3">
    <tableColumn id="1" xr3:uid="{2335E7F1-CE1F-49AA-96BB-005D582B6583}" name="Version" dataDxfId="3"/>
    <tableColumn id="2" xr3:uid="{C24367CA-D926-4A74-89F9-CD0D36C58BE2}" name="Date" dataDxfId="2"/>
    <tableColumn id="3" xr3:uid="{E413F709-5251-49B0-ADDE-DFEFFE396B17}" name="No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D77F-181E-426D-9F4D-EE53902FC9BE}">
  <dimension ref="A1:C4"/>
  <sheetViews>
    <sheetView showGridLines="0" tabSelected="1" workbookViewId="0"/>
  </sheetViews>
  <sheetFormatPr defaultRowHeight="13.15" x14ac:dyDescent="0.4"/>
  <cols>
    <col min="1" max="1" width="9.140625" style="89"/>
    <col min="2" max="2" width="9.92578125" style="89" bestFit="1" customWidth="1"/>
    <col min="3" max="3" width="38.78515625" style="89" customWidth="1"/>
    <col min="4" max="16384" width="9.140625" style="89"/>
  </cols>
  <sheetData>
    <row r="1" spans="1:3" s="88" customFormat="1" ht="25.5" x14ac:dyDescent="0.4">
      <c r="A1" s="87" t="s">
        <v>116</v>
      </c>
    </row>
    <row r="3" spans="1:3" x14ac:dyDescent="0.4">
      <c r="A3" s="89" t="s">
        <v>112</v>
      </c>
      <c r="B3" s="89" t="s">
        <v>114</v>
      </c>
      <c r="C3" s="89" t="s">
        <v>115</v>
      </c>
    </row>
    <row r="4" spans="1:3" ht="52.5" x14ac:dyDescent="0.4">
      <c r="A4" s="89" t="s">
        <v>113</v>
      </c>
      <c r="B4" s="90">
        <v>44981</v>
      </c>
      <c r="C4" s="91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RowHeight="13.15" x14ac:dyDescent="0.4"/>
  <cols>
    <col min="1" max="1" width="3.7109375" customWidth="1"/>
    <col min="2" max="2" width="1.85546875" customWidth="1"/>
    <col min="3" max="3" width="36.5703125" customWidth="1"/>
    <col min="4" max="9" width="10.85546875" customWidth="1"/>
    <col min="16" max="16" width="22.140625" bestFit="1" customWidth="1"/>
  </cols>
  <sheetData>
    <row r="1" spans="2:14" s="2" customFormat="1" x14ac:dyDescent="0.4">
      <c r="B1" s="1" t="s">
        <v>0</v>
      </c>
    </row>
    <row r="2" spans="2:14" s="2" customFormat="1" x14ac:dyDescent="0.4">
      <c r="B2" s="3" t="s">
        <v>1</v>
      </c>
    </row>
    <row r="3" spans="2:14" s="2" customFormat="1" x14ac:dyDescent="0.4">
      <c r="B3" s="2" t="s">
        <v>92</v>
      </c>
      <c r="D3" s="4" t="s">
        <v>2</v>
      </c>
    </row>
    <row r="4" spans="2:14" x14ac:dyDescent="0.4">
      <c r="B4" s="5" t="str">
        <f>"y/e "&amp;TEXT(LEFT(D11,5),"d mmm")</f>
        <v>y/e 31 Dec</v>
      </c>
      <c r="C4" s="6"/>
      <c r="D4" s="67">
        <f>YEAR(D11)</f>
        <v>2013</v>
      </c>
      <c r="E4" s="68">
        <f t="shared" ref="E4:I4" si="0">D4+1</f>
        <v>2014</v>
      </c>
      <c r="F4" s="68">
        <f t="shared" si="0"/>
        <v>2015</v>
      </c>
      <c r="G4" s="68">
        <f t="shared" si="0"/>
        <v>2016</v>
      </c>
      <c r="H4" s="68">
        <f t="shared" si="0"/>
        <v>2017</v>
      </c>
      <c r="I4" s="68">
        <f t="shared" si="0"/>
        <v>2018</v>
      </c>
      <c r="J4" s="7"/>
      <c r="K4" s="7"/>
      <c r="L4" s="7"/>
      <c r="M4" s="7"/>
      <c r="N4" s="7"/>
    </row>
    <row r="5" spans="2:14" x14ac:dyDescent="0.4">
      <c r="B5" s="5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x14ac:dyDescent="0.4">
      <c r="B6" s="8" t="s">
        <v>3</v>
      </c>
      <c r="C6" s="9"/>
      <c r="D6" s="9"/>
      <c r="E6" s="9"/>
      <c r="F6" s="9"/>
      <c r="G6" s="9"/>
      <c r="H6" s="9"/>
      <c r="I6" s="9"/>
      <c r="J6" s="9"/>
    </row>
    <row r="8" spans="2:14" x14ac:dyDescent="0.4">
      <c r="E8" s="5"/>
    </row>
    <row r="9" spans="2:14" x14ac:dyDescent="0.4">
      <c r="B9" t="s">
        <v>4</v>
      </c>
      <c r="D9" s="10">
        <v>0.3</v>
      </c>
    </row>
    <row r="10" spans="2:14" x14ac:dyDescent="0.4">
      <c r="B10" t="s">
        <v>5</v>
      </c>
      <c r="D10" s="11">
        <v>10</v>
      </c>
    </row>
    <row r="11" spans="2:14" x14ac:dyDescent="0.4">
      <c r="B11" t="s">
        <v>6</v>
      </c>
      <c r="D11" s="12">
        <v>41639</v>
      </c>
    </row>
    <row r="13" spans="2:14" x14ac:dyDescent="0.4">
      <c r="B13" t="s">
        <v>7</v>
      </c>
      <c r="D13" s="13">
        <v>6</v>
      </c>
    </row>
    <row r="15" spans="2:14" x14ac:dyDescent="0.4">
      <c r="B15" s="14" t="s">
        <v>8</v>
      </c>
      <c r="D15" s="15" t="s">
        <v>93</v>
      </c>
      <c r="E15" s="15" t="s">
        <v>9</v>
      </c>
      <c r="F15" s="15" t="s">
        <v>10</v>
      </c>
    </row>
    <row r="16" spans="2:14" x14ac:dyDescent="0.4">
      <c r="B16" t="s">
        <v>11</v>
      </c>
      <c r="D16" s="16">
        <v>3.7499999999999999E-2</v>
      </c>
      <c r="E16" s="16">
        <v>0.04</v>
      </c>
      <c r="F16" s="17">
        <f>SUM(D16:E16)</f>
        <v>7.7499999999999999E-2</v>
      </c>
    </row>
    <row r="17" spans="2:10" x14ac:dyDescent="0.4">
      <c r="B17" t="s">
        <v>12</v>
      </c>
      <c r="D17" s="17">
        <f>D16</f>
        <v>3.7499999999999999E-2</v>
      </c>
      <c r="E17" s="16">
        <v>4.4999999999999998E-2</v>
      </c>
      <c r="F17" s="17">
        <f t="shared" ref="F17" si="1">SUM(D17:E17)</f>
        <v>8.249999999999999E-2</v>
      </c>
    </row>
    <row r="18" spans="2:10" x14ac:dyDescent="0.4">
      <c r="B18" t="s">
        <v>13</v>
      </c>
      <c r="D18" s="17"/>
      <c r="F18" s="18">
        <v>0.16</v>
      </c>
    </row>
    <row r="19" spans="2:10" x14ac:dyDescent="0.4">
      <c r="B19" t="s">
        <v>94</v>
      </c>
      <c r="D19" s="17"/>
      <c r="F19" s="18">
        <v>0.01</v>
      </c>
    </row>
    <row r="20" spans="2:10" x14ac:dyDescent="0.4">
      <c r="B20" s="14"/>
    </row>
    <row r="21" spans="2:10" x14ac:dyDescent="0.4">
      <c r="B21" s="8" t="s">
        <v>15</v>
      </c>
      <c r="C21" s="9"/>
      <c r="D21" s="9"/>
      <c r="E21" s="9"/>
      <c r="F21" s="9"/>
      <c r="G21" s="9"/>
      <c r="H21" s="9"/>
      <c r="I21" s="9"/>
      <c r="J21" s="9"/>
    </row>
    <row r="22" spans="2:10" x14ac:dyDescent="0.4">
      <c r="B22" s="19" t="s">
        <v>16</v>
      </c>
      <c r="C22" s="20"/>
      <c r="D22" s="21" t="s">
        <v>101</v>
      </c>
      <c r="E22" s="21" t="s">
        <v>17</v>
      </c>
      <c r="F22" s="21" t="s">
        <v>18</v>
      </c>
      <c r="H22" s="19" t="s">
        <v>19</v>
      </c>
      <c r="I22" s="20"/>
      <c r="J22" s="21" t="str">
        <f>D22</f>
        <v>$m</v>
      </c>
    </row>
    <row r="23" spans="2:10" x14ac:dyDescent="0.4">
      <c r="B23" s="14" t="s">
        <v>20</v>
      </c>
      <c r="C23" s="14"/>
      <c r="D23" s="22" t="e">
        <f>D36</f>
        <v>#REF!</v>
      </c>
      <c r="E23" s="23" t="e">
        <f>D23/$D$27</f>
        <v>#REF!</v>
      </c>
      <c r="F23" s="24" t="e">
        <f>D23/$D$59</f>
        <v>#REF!</v>
      </c>
      <c r="H23" t="s">
        <v>21</v>
      </c>
      <c r="J23" s="25" t="e">
        <f>+J30</f>
        <v>#REF!</v>
      </c>
    </row>
    <row r="24" spans="2:10" x14ac:dyDescent="0.4">
      <c r="B24" t="s">
        <v>13</v>
      </c>
      <c r="D24" s="26">
        <v>50</v>
      </c>
      <c r="E24" s="27" t="e">
        <f>D24/$D$27</f>
        <v>#REF!</v>
      </c>
      <c r="F24" s="28" t="e">
        <f>D24/$D$59</f>
        <v>#REF!</v>
      </c>
      <c r="H24" t="s">
        <v>95</v>
      </c>
      <c r="J24" s="25" t="e">
        <f>+J35</f>
        <v>#REF!</v>
      </c>
    </row>
    <row r="25" spans="2:10" x14ac:dyDescent="0.4">
      <c r="B25" t="s">
        <v>22</v>
      </c>
      <c r="D25" s="25" t="e">
        <f>J25-D24-D23</f>
        <v>#REF!</v>
      </c>
      <c r="E25" s="27" t="e">
        <f>D25/$D$27</f>
        <v>#REF!</v>
      </c>
      <c r="F25" s="28" t="e">
        <f>D25/$D$59</f>
        <v>#REF!</v>
      </c>
      <c r="H25" s="14" t="s">
        <v>23</v>
      </c>
      <c r="J25" s="29" t="e">
        <f>SUM(J23:J24)</f>
        <v>#REF!</v>
      </c>
    </row>
    <row r="26" spans="2:10" x14ac:dyDescent="0.4">
      <c r="B26" s="14" t="s">
        <v>24</v>
      </c>
      <c r="D26" s="29" t="e">
        <f>SUM(D24:D25)</f>
        <v>#REF!</v>
      </c>
      <c r="E26" s="23" t="e">
        <f>SUM(E24:E25)</f>
        <v>#REF!</v>
      </c>
      <c r="F26" s="24" t="e">
        <f>D26/$D$59</f>
        <v>#REF!</v>
      </c>
    </row>
    <row r="27" spans="2:10" x14ac:dyDescent="0.4">
      <c r="B27" s="14" t="s">
        <v>25</v>
      </c>
      <c r="C27" s="14"/>
      <c r="D27" s="29" t="e">
        <f>D23+D26</f>
        <v>#REF!</v>
      </c>
      <c r="E27" s="23" t="e">
        <f>E23+E26</f>
        <v>#REF!</v>
      </c>
      <c r="F27" s="24" t="e">
        <f>D27/$D$59</f>
        <v>#REF!</v>
      </c>
      <c r="H27" s="19" t="s">
        <v>26</v>
      </c>
      <c r="I27" s="20"/>
      <c r="J27" s="20"/>
    </row>
    <row r="28" spans="2:10" x14ac:dyDescent="0.4">
      <c r="B28" s="5" t="s">
        <v>27</v>
      </c>
      <c r="D28" s="30" t="e">
        <f>IF(D27=J25,"Ok","Error")</f>
        <v>#REF!</v>
      </c>
      <c r="H28" t="s">
        <v>28</v>
      </c>
      <c r="J28" s="31" t="e">
        <f>D59</f>
        <v>#REF!</v>
      </c>
    </row>
    <row r="29" spans="2:10" x14ac:dyDescent="0.4">
      <c r="H29" t="s">
        <v>102</v>
      </c>
      <c r="J29" s="75">
        <v>8</v>
      </c>
    </row>
    <row r="30" spans="2:10" x14ac:dyDescent="0.4">
      <c r="H30" s="14" t="s">
        <v>21</v>
      </c>
      <c r="J30" s="76" t="e">
        <f>#REF!</f>
        <v>#REF!</v>
      </c>
    </row>
    <row r="32" spans="2:10" x14ac:dyDescent="0.4">
      <c r="B32" s="8" t="s">
        <v>29</v>
      </c>
      <c r="C32" s="9"/>
      <c r="D32" s="9"/>
      <c r="E32" s="9"/>
      <c r="F32" s="9"/>
      <c r="G32" s="9"/>
      <c r="H32" s="9"/>
      <c r="I32" s="9"/>
      <c r="J32" s="9"/>
    </row>
    <row r="33" spans="2:10" x14ac:dyDescent="0.4">
      <c r="B33" s="19" t="s">
        <v>30</v>
      </c>
      <c r="C33" s="19"/>
      <c r="D33" s="19"/>
      <c r="E33" s="14"/>
      <c r="F33" s="14"/>
      <c r="G33" s="19" t="s">
        <v>95</v>
      </c>
      <c r="H33" s="20"/>
      <c r="I33" s="20"/>
      <c r="J33" s="20"/>
    </row>
    <row r="34" spans="2:10" x14ac:dyDescent="0.4">
      <c r="B34" t="s">
        <v>31</v>
      </c>
      <c r="D34" s="77">
        <v>4</v>
      </c>
      <c r="G34" t="s">
        <v>32</v>
      </c>
      <c r="I34" s="16">
        <v>0.04</v>
      </c>
      <c r="J34" s="25" t="e">
        <f>D23*I34</f>
        <v>#REF!</v>
      </c>
    </row>
    <row r="35" spans="2:10" x14ac:dyDescent="0.4">
      <c r="B35" s="32" t="s">
        <v>28</v>
      </c>
      <c r="D35" s="78" t="e">
        <f>#REF!</f>
        <v>#REF!</v>
      </c>
      <c r="G35" s="14" t="s">
        <v>34</v>
      </c>
      <c r="J35" s="29" t="e">
        <f>SUM(J34)</f>
        <v>#REF!</v>
      </c>
    </row>
    <row r="36" spans="2:10" x14ac:dyDescent="0.4">
      <c r="B36" s="32" t="s">
        <v>33</v>
      </c>
      <c r="D36" s="25" t="e">
        <f>D34*D35</f>
        <v>#REF!</v>
      </c>
    </row>
    <row r="38" spans="2:10" x14ac:dyDescent="0.4">
      <c r="B38" s="8" t="s">
        <v>35</v>
      </c>
      <c r="C38" s="9"/>
      <c r="D38" s="9"/>
      <c r="E38" s="9"/>
      <c r="F38" s="9"/>
      <c r="G38" s="9"/>
      <c r="H38" s="9"/>
      <c r="I38" s="9"/>
      <c r="J38" s="9"/>
    </row>
    <row r="39" spans="2:10" x14ac:dyDescent="0.4">
      <c r="B39" s="32" t="s">
        <v>36</v>
      </c>
      <c r="D39" s="33">
        <f>SUM(E39:I39)</f>
        <v>1</v>
      </c>
      <c r="E39" s="18">
        <v>0.1</v>
      </c>
      <c r="F39" s="18">
        <v>0.2</v>
      </c>
      <c r="G39" s="18">
        <v>0.3</v>
      </c>
      <c r="H39" s="34">
        <v>0.2</v>
      </c>
      <c r="I39" s="18">
        <v>0.2</v>
      </c>
    </row>
    <row r="40" spans="2:10" x14ac:dyDescent="0.4">
      <c r="D40" s="25"/>
    </row>
    <row r="41" spans="2:10" x14ac:dyDescent="0.4">
      <c r="B41" s="32"/>
      <c r="D41" s="25"/>
    </row>
    <row r="42" spans="2:10" x14ac:dyDescent="0.4">
      <c r="B42" s="8" t="s">
        <v>37</v>
      </c>
      <c r="C42" s="9"/>
      <c r="D42" s="9"/>
      <c r="E42" s="9"/>
      <c r="F42" s="9"/>
      <c r="G42" s="9"/>
      <c r="H42" s="9"/>
      <c r="I42" s="9"/>
      <c r="J42" s="9"/>
    </row>
    <row r="43" spans="2:10" x14ac:dyDescent="0.4">
      <c r="B43" t="s">
        <v>38</v>
      </c>
      <c r="C43" s="5"/>
      <c r="D43" s="31"/>
      <c r="E43" s="35">
        <v>0.03</v>
      </c>
      <c r="F43" s="35">
        <v>0.1</v>
      </c>
      <c r="G43" s="35">
        <v>0.08</v>
      </c>
      <c r="H43" s="35">
        <v>0.08</v>
      </c>
      <c r="I43" s="35">
        <v>0.08</v>
      </c>
    </row>
    <row r="44" spans="2:10" x14ac:dyDescent="0.4">
      <c r="B44" t="s">
        <v>39</v>
      </c>
      <c r="C44" s="5"/>
      <c r="D44" s="31"/>
      <c r="E44" s="35">
        <v>0.82</v>
      </c>
      <c r="F44" s="36">
        <v>0.75</v>
      </c>
      <c r="G44" s="36">
        <v>0.72</v>
      </c>
      <c r="H44" s="36">
        <v>0.7</v>
      </c>
      <c r="I44" s="36">
        <v>0.7</v>
      </c>
    </row>
    <row r="45" spans="2:10" x14ac:dyDescent="0.4">
      <c r="B45" t="s">
        <v>105</v>
      </c>
      <c r="D45" s="31"/>
      <c r="E45" s="37">
        <v>0.1</v>
      </c>
      <c r="F45" s="37">
        <v>0.125</v>
      </c>
      <c r="G45" s="37">
        <v>0.1199999999999999</v>
      </c>
      <c r="H45" s="37">
        <v>0.11999999999999998</v>
      </c>
      <c r="I45" s="37">
        <v>0.11999999999999997</v>
      </c>
    </row>
    <row r="46" spans="2:10" x14ac:dyDescent="0.4">
      <c r="B46" t="s">
        <v>40</v>
      </c>
      <c r="D46" s="31"/>
      <c r="E46" s="69">
        <v>12</v>
      </c>
      <c r="F46" s="69">
        <v>12</v>
      </c>
      <c r="G46" s="69">
        <v>12</v>
      </c>
      <c r="H46" s="69">
        <v>12</v>
      </c>
      <c r="I46" s="69">
        <v>12</v>
      </c>
    </row>
    <row r="47" spans="2:10" x14ac:dyDescent="0.4">
      <c r="B47" t="s">
        <v>97</v>
      </c>
      <c r="D47" s="31"/>
      <c r="E47" s="69">
        <v>5</v>
      </c>
      <c r="F47" s="86">
        <f>E47</f>
        <v>5</v>
      </c>
      <c r="G47" s="86">
        <f t="shared" ref="G47:I47" si="2">F47</f>
        <v>5</v>
      </c>
      <c r="H47" s="86">
        <f t="shared" si="2"/>
        <v>5</v>
      </c>
      <c r="I47" s="86">
        <f t="shared" si="2"/>
        <v>5</v>
      </c>
    </row>
    <row r="48" spans="2:10" x14ac:dyDescent="0.4">
      <c r="B48" t="s">
        <v>103</v>
      </c>
      <c r="D48" s="31"/>
      <c r="E48" s="37">
        <v>0.03</v>
      </c>
      <c r="F48" s="37">
        <v>0.03</v>
      </c>
      <c r="G48" s="37">
        <v>0.03</v>
      </c>
      <c r="H48" s="37">
        <v>0.03</v>
      </c>
      <c r="I48" s="37">
        <v>0.03</v>
      </c>
    </row>
    <row r="49" spans="2:14" x14ac:dyDescent="0.4">
      <c r="B49" t="s">
        <v>110</v>
      </c>
      <c r="D49" s="31"/>
      <c r="E49" s="37">
        <v>0.11</v>
      </c>
      <c r="F49" s="37">
        <v>0.11</v>
      </c>
      <c r="G49" s="37">
        <v>0.11</v>
      </c>
      <c r="H49" s="37">
        <v>0.11</v>
      </c>
      <c r="I49" s="37">
        <v>0.11</v>
      </c>
    </row>
    <row r="50" spans="2:14" x14ac:dyDescent="0.4">
      <c r="B50" t="s">
        <v>111</v>
      </c>
      <c r="D50" s="31"/>
      <c r="E50" s="37">
        <v>6.8000000000000005E-2</v>
      </c>
      <c r="F50" s="37">
        <v>6.8000000000000005E-2</v>
      </c>
      <c r="G50" s="37">
        <v>6.8000000000000005E-2</v>
      </c>
      <c r="H50" s="37">
        <v>6.8000000000000005E-2</v>
      </c>
      <c r="I50" s="37">
        <v>6.8000000000000005E-2</v>
      </c>
    </row>
    <row r="51" spans="2:14" x14ac:dyDescent="0.4">
      <c r="D51" s="31"/>
      <c r="E51" s="38"/>
      <c r="F51" s="38"/>
      <c r="G51" s="38"/>
      <c r="H51" s="38"/>
      <c r="I51" s="38"/>
    </row>
    <row r="52" spans="2:14" x14ac:dyDescent="0.4">
      <c r="B52" s="8" t="s">
        <v>41</v>
      </c>
      <c r="C52" s="9"/>
      <c r="D52" s="9"/>
      <c r="E52" s="9"/>
      <c r="F52" s="9"/>
      <c r="G52" s="9"/>
      <c r="H52" s="9"/>
      <c r="I52" s="9"/>
      <c r="J52" s="9"/>
    </row>
    <row r="53" spans="2:14" x14ac:dyDescent="0.4">
      <c r="B53" t="s">
        <v>42</v>
      </c>
      <c r="D53" s="26">
        <v>512</v>
      </c>
      <c r="E53" s="78" t="e">
        <f>#REF!</f>
        <v>#REF!</v>
      </c>
      <c r="F53" s="78" t="e">
        <f>#REF!</f>
        <v>#REF!</v>
      </c>
      <c r="G53" s="78" t="e">
        <f>#REF!</f>
        <v>#REF!</v>
      </c>
      <c r="H53" s="78" t="e">
        <f>#REF!</f>
        <v>#REF!</v>
      </c>
      <c r="I53" s="78" t="e">
        <f>#REF!</f>
        <v>#REF!</v>
      </c>
    </row>
    <row r="54" spans="2:14" x14ac:dyDescent="0.4">
      <c r="C54" s="5" t="s">
        <v>43</v>
      </c>
      <c r="D54" s="40"/>
      <c r="E54" s="41" t="e">
        <f t="shared" ref="E54" si="3">E53/D53-1</f>
        <v>#REF!</v>
      </c>
      <c r="F54" s="41" t="e">
        <f t="shared" ref="F54" si="4">F53/E53-1</f>
        <v>#REF!</v>
      </c>
      <c r="G54" s="41" t="e">
        <f t="shared" ref="G54" si="5">G53/F53-1</f>
        <v>#REF!</v>
      </c>
      <c r="H54" s="41" t="e">
        <f t="shared" ref="H54" si="6">H53/G53-1</f>
        <v>#REF!</v>
      </c>
      <c r="I54" s="41" t="e">
        <f t="shared" ref="I54" si="7">I53/H53-1</f>
        <v>#REF!</v>
      </c>
    </row>
    <row r="55" spans="2:14" x14ac:dyDescent="0.4">
      <c r="B55" t="s">
        <v>44</v>
      </c>
      <c r="C55" s="5"/>
      <c r="D55" s="26">
        <v>-425</v>
      </c>
      <c r="E55" s="78" t="e">
        <f>#REF!</f>
        <v>#REF!</v>
      </c>
      <c r="F55" s="78" t="e">
        <f>#REF!</f>
        <v>#REF!</v>
      </c>
      <c r="G55" s="78" t="e">
        <f>#REF!</f>
        <v>#REF!</v>
      </c>
      <c r="H55" s="78" t="e">
        <f>#REF!</f>
        <v>#REF!</v>
      </c>
      <c r="I55" s="78" t="e">
        <f>#REF!</f>
        <v>#REF!</v>
      </c>
    </row>
    <row r="56" spans="2:14" x14ac:dyDescent="0.4">
      <c r="C56" s="5" t="s">
        <v>45</v>
      </c>
      <c r="D56" s="41">
        <f>-D55/D53</f>
        <v>0.830078125</v>
      </c>
      <c r="E56" s="41" t="e">
        <f t="shared" ref="E56:I56" si="8">-E55/E53</f>
        <v>#REF!</v>
      </c>
      <c r="F56" s="41" t="e">
        <f t="shared" si="8"/>
        <v>#REF!</v>
      </c>
      <c r="G56" s="41" t="e">
        <f t="shared" si="8"/>
        <v>#REF!</v>
      </c>
      <c r="H56" s="41" t="e">
        <f t="shared" si="8"/>
        <v>#REF!</v>
      </c>
      <c r="I56" s="41" t="e">
        <f t="shared" si="8"/>
        <v>#REF!</v>
      </c>
    </row>
    <row r="57" spans="2:14" x14ac:dyDescent="0.4">
      <c r="B57" t="s">
        <v>46</v>
      </c>
      <c r="C57" s="5"/>
      <c r="D57" s="26">
        <v>-45</v>
      </c>
      <c r="E57" s="78" t="e">
        <f>#REF!</f>
        <v>#REF!</v>
      </c>
      <c r="F57" s="78" t="e">
        <f>#REF!</f>
        <v>#REF!</v>
      </c>
      <c r="G57" s="78" t="e">
        <f>#REF!</f>
        <v>#REF!</v>
      </c>
      <c r="H57" s="78" t="e">
        <f>#REF!</f>
        <v>#REF!</v>
      </c>
      <c r="I57" s="78" t="e">
        <f>#REF!</f>
        <v>#REF!</v>
      </c>
    </row>
    <row r="58" spans="2:14" x14ac:dyDescent="0.4">
      <c r="C58" s="5" t="s">
        <v>45</v>
      </c>
      <c r="D58" s="41">
        <f>-D57/D53</f>
        <v>8.7890625E-2</v>
      </c>
      <c r="E58" s="41" t="e">
        <f t="shared" ref="E58:I58" si="9">-E57/E53</f>
        <v>#REF!</v>
      </c>
      <c r="F58" s="41" t="e">
        <f t="shared" si="9"/>
        <v>#REF!</v>
      </c>
      <c r="G58" s="41" t="e">
        <f t="shared" si="9"/>
        <v>#REF!</v>
      </c>
      <c r="H58" s="41" t="e">
        <f t="shared" si="9"/>
        <v>#REF!</v>
      </c>
      <c r="I58" s="41" t="e">
        <f t="shared" si="9"/>
        <v>#REF!</v>
      </c>
    </row>
    <row r="59" spans="2:14" s="14" customFormat="1" x14ac:dyDescent="0.4">
      <c r="B59" t="s">
        <v>47</v>
      </c>
      <c r="D59" s="78" t="e">
        <f>#REF!</f>
        <v>#REF!</v>
      </c>
      <c r="E59" s="78" t="e">
        <f>#REF!</f>
        <v>#REF!</v>
      </c>
      <c r="F59" s="78" t="e">
        <f>#REF!</f>
        <v>#REF!</v>
      </c>
      <c r="G59" s="78" t="e">
        <f>#REF!</f>
        <v>#REF!</v>
      </c>
      <c r="H59" s="78" t="e">
        <f>#REF!</f>
        <v>#REF!</v>
      </c>
      <c r="I59" s="78" t="e">
        <f>#REF!</f>
        <v>#REF!</v>
      </c>
      <c r="J59" s="42"/>
      <c r="K59" s="42"/>
      <c r="L59" s="42"/>
      <c r="M59" s="42"/>
      <c r="N59" s="42"/>
    </row>
    <row r="60" spans="2:14" s="14" customFormat="1" x14ac:dyDescent="0.4">
      <c r="B60"/>
      <c r="C60" s="5" t="s">
        <v>45</v>
      </c>
      <c r="D60" s="41" t="e">
        <f>D59/D$53</f>
        <v>#REF!</v>
      </c>
      <c r="E60" s="41" t="e">
        <f t="shared" ref="E60:I60" si="10">E59/E$53</f>
        <v>#REF!</v>
      </c>
      <c r="F60" s="41" t="e">
        <f t="shared" si="10"/>
        <v>#REF!</v>
      </c>
      <c r="G60" s="41" t="e">
        <f t="shared" si="10"/>
        <v>#REF!</v>
      </c>
      <c r="H60" s="41" t="e">
        <f t="shared" si="10"/>
        <v>#REF!</v>
      </c>
      <c r="I60" s="41" t="e">
        <f t="shared" si="10"/>
        <v>#REF!</v>
      </c>
      <c r="J60" s="42"/>
      <c r="K60" s="42"/>
      <c r="L60" s="42"/>
      <c r="M60" s="42"/>
      <c r="N60" s="42"/>
    </row>
    <row r="61" spans="2:14" x14ac:dyDescent="0.4">
      <c r="B61" t="s">
        <v>48</v>
      </c>
      <c r="D61" s="39"/>
      <c r="E61" s="78" t="e">
        <f>#REF!</f>
        <v>#REF!</v>
      </c>
      <c r="F61" s="78" t="e">
        <f>#REF!</f>
        <v>#REF!</v>
      </c>
      <c r="G61" s="78" t="e">
        <f>#REF!</f>
        <v>#REF!</v>
      </c>
      <c r="H61" s="78" t="e">
        <f>#REF!</f>
        <v>#REF!</v>
      </c>
      <c r="I61" s="78" t="e">
        <f>#REF!</f>
        <v>#REF!</v>
      </c>
      <c r="J61" s="42"/>
      <c r="K61" s="42"/>
      <c r="L61" s="42"/>
      <c r="M61" s="42"/>
      <c r="N61" s="42"/>
    </row>
    <row r="62" spans="2:14" x14ac:dyDescent="0.4">
      <c r="B62" s="20" t="s">
        <v>49</v>
      </c>
      <c r="C62" s="20"/>
      <c r="D62" s="39"/>
      <c r="E62" s="78" t="e">
        <f>#REF!</f>
        <v>#REF!</v>
      </c>
      <c r="F62" s="78" t="e">
        <f>#REF!</f>
        <v>#REF!</v>
      </c>
      <c r="G62" s="78" t="e">
        <f>#REF!</f>
        <v>#REF!</v>
      </c>
      <c r="H62" s="78" t="e">
        <f>#REF!</f>
        <v>#REF!</v>
      </c>
      <c r="I62" s="78" t="e">
        <f>#REF!</f>
        <v>#REF!</v>
      </c>
      <c r="J62" s="43"/>
      <c r="K62" s="73"/>
    </row>
    <row r="63" spans="2:14" s="14" customFormat="1" x14ac:dyDescent="0.4">
      <c r="B63" s="14" t="s">
        <v>50</v>
      </c>
      <c r="D63" s="45"/>
      <c r="E63" s="29" t="e">
        <f t="shared" ref="E63:I63" si="11">+E59+E61+E62</f>
        <v>#REF!</v>
      </c>
      <c r="F63" s="29" t="e">
        <f t="shared" si="11"/>
        <v>#REF!</v>
      </c>
      <c r="G63" s="29" t="e">
        <f t="shared" si="11"/>
        <v>#REF!</v>
      </c>
      <c r="H63" s="29" t="e">
        <f t="shared" si="11"/>
        <v>#REF!</v>
      </c>
      <c r="I63" s="29" t="e">
        <f t="shared" si="11"/>
        <v>#REF!</v>
      </c>
      <c r="J63" s="29"/>
      <c r="K63" s="74"/>
      <c r="L63" s="29"/>
      <c r="M63" s="29"/>
      <c r="N63" s="29"/>
    </row>
    <row r="64" spans="2:14" x14ac:dyDescent="0.4">
      <c r="B64" t="s">
        <v>51</v>
      </c>
      <c r="E64" s="25" t="e">
        <f>E75</f>
        <v>#REF!</v>
      </c>
      <c r="F64" s="25" t="e">
        <f t="shared" ref="F64:I64" si="12">F75</f>
        <v>#REF!</v>
      </c>
      <c r="G64" s="25" t="e">
        <f t="shared" si="12"/>
        <v>#REF!</v>
      </c>
      <c r="H64" s="25" t="e">
        <f t="shared" si="12"/>
        <v>#REF!</v>
      </c>
      <c r="I64" s="25" t="e">
        <f t="shared" si="12"/>
        <v>#REF!</v>
      </c>
      <c r="J64" s="25"/>
      <c r="K64" s="73"/>
    </row>
    <row r="65" spans="2:14" x14ac:dyDescent="0.4">
      <c r="B65" t="s">
        <v>52</v>
      </c>
      <c r="E65" s="78" t="e">
        <f>#REF!</f>
        <v>#REF!</v>
      </c>
      <c r="F65" s="78" t="e">
        <f>#REF!</f>
        <v>#REF!</v>
      </c>
      <c r="G65" s="78" t="e">
        <f>#REF!</f>
        <v>#REF!</v>
      </c>
      <c r="H65" s="78" t="e">
        <f>#REF!</f>
        <v>#REF!</v>
      </c>
      <c r="I65" s="78" t="e">
        <f>#REF!</f>
        <v>#REF!</v>
      </c>
      <c r="J65" s="25"/>
    </row>
    <row r="66" spans="2:14" s="14" customFormat="1" x14ac:dyDescent="0.4">
      <c r="B66" s="44" t="s">
        <v>53</v>
      </c>
      <c r="C66" s="44"/>
      <c r="D66" s="45"/>
      <c r="E66" s="45" t="e">
        <f>SUM(E63:E65)</f>
        <v>#REF!</v>
      </c>
      <c r="F66" s="45" t="e">
        <f t="shared" ref="F66:I66" si="13">SUM(F63:F65)</f>
        <v>#REF!</v>
      </c>
      <c r="G66" s="45" t="e">
        <f t="shared" si="13"/>
        <v>#REF!</v>
      </c>
      <c r="H66" s="45" t="e">
        <f t="shared" si="13"/>
        <v>#REF!</v>
      </c>
      <c r="I66" s="45" t="e">
        <f t="shared" si="13"/>
        <v>#REF!</v>
      </c>
      <c r="J66" s="45"/>
      <c r="K66" s="29"/>
      <c r="L66" s="29"/>
      <c r="M66" s="29"/>
      <c r="N66" s="29"/>
    </row>
    <row r="67" spans="2:14" x14ac:dyDescent="0.4">
      <c r="B67" s="20" t="s">
        <v>54</v>
      </c>
      <c r="C67" s="20"/>
      <c r="D67" s="43"/>
      <c r="E67" s="78" t="e">
        <f>#REF!</f>
        <v>#REF!</v>
      </c>
      <c r="F67" s="78" t="e">
        <f>#REF!</f>
        <v>#REF!</v>
      </c>
      <c r="G67" s="78" t="e">
        <f>#REF!</f>
        <v>#REF!</v>
      </c>
      <c r="H67" s="78" t="e">
        <f>#REF!</f>
        <v>#REF!</v>
      </c>
      <c r="I67" s="78" t="e">
        <f>#REF!</f>
        <v>#REF!</v>
      </c>
      <c r="J67" s="43"/>
    </row>
    <row r="68" spans="2:14" x14ac:dyDescent="0.4">
      <c r="B68" s="14" t="s">
        <v>55</v>
      </c>
      <c r="D68" s="25"/>
      <c r="E68" s="29" t="e">
        <f>SUM(E66:E67)</f>
        <v>#REF!</v>
      </c>
      <c r="F68" s="29" t="e">
        <f t="shared" ref="F68:I68" si="14">SUM(F66:F67)</f>
        <v>#REF!</v>
      </c>
      <c r="G68" s="29" t="e">
        <f t="shared" si="14"/>
        <v>#REF!</v>
      </c>
      <c r="H68" s="29" t="e">
        <f t="shared" si="14"/>
        <v>#REF!</v>
      </c>
      <c r="I68" s="29" t="e">
        <f t="shared" si="14"/>
        <v>#REF!</v>
      </c>
      <c r="J68" s="25"/>
    </row>
    <row r="70" spans="2:14" x14ac:dyDescent="0.4">
      <c r="B70" s="46" t="s">
        <v>107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2:14" x14ac:dyDescent="0.4">
      <c r="B71" t="s">
        <v>11</v>
      </c>
      <c r="E71" s="25" t="e">
        <f>-E136</f>
        <v>#REF!</v>
      </c>
      <c r="F71" s="25" t="e">
        <f t="shared" ref="F71:I71" si="15">-F136</f>
        <v>#REF!</v>
      </c>
      <c r="G71" s="25" t="e">
        <f t="shared" si="15"/>
        <v>#REF!</v>
      </c>
      <c r="H71" s="25" t="e">
        <f t="shared" si="15"/>
        <v>#REF!</v>
      </c>
      <c r="I71" s="25" t="e">
        <f t="shared" si="15"/>
        <v>#REF!</v>
      </c>
    </row>
    <row r="72" spans="2:14" x14ac:dyDescent="0.4">
      <c r="B72" t="s">
        <v>12</v>
      </c>
      <c r="E72" s="25" t="e">
        <f>-E145</f>
        <v>#REF!</v>
      </c>
      <c r="F72" s="25" t="e">
        <f t="shared" ref="F72:I72" si="16">-F145</f>
        <v>#REF!</v>
      </c>
      <c r="G72" s="25" t="e">
        <f t="shared" si="16"/>
        <v>#REF!</v>
      </c>
      <c r="H72" s="25" t="e">
        <f t="shared" si="16"/>
        <v>#REF!</v>
      </c>
      <c r="I72" s="25" t="e">
        <f t="shared" si="16"/>
        <v>#REF!</v>
      </c>
      <c r="J72" s="25"/>
    </row>
    <row r="73" spans="2:14" x14ac:dyDescent="0.4">
      <c r="B73" s="44" t="s">
        <v>56</v>
      </c>
      <c r="C73" s="44"/>
      <c r="D73" s="47"/>
      <c r="E73" s="45" t="e">
        <f>SUM(E71:E72)</f>
        <v>#REF!</v>
      </c>
      <c r="F73" s="45" t="e">
        <f t="shared" ref="F73:I73" si="17">SUM(F71:F72)</f>
        <v>#REF!</v>
      </c>
      <c r="G73" s="45" t="e">
        <f t="shared" si="17"/>
        <v>#REF!</v>
      </c>
      <c r="H73" s="45" t="e">
        <f t="shared" si="17"/>
        <v>#REF!</v>
      </c>
      <c r="I73" s="45" t="e">
        <f t="shared" si="17"/>
        <v>#REF!</v>
      </c>
      <c r="J73" s="45"/>
    </row>
    <row r="74" spans="2:14" x14ac:dyDescent="0.4">
      <c r="B74" t="s">
        <v>57</v>
      </c>
      <c r="E74" s="25" t="e">
        <f>E128</f>
        <v>#REF!</v>
      </c>
      <c r="F74" s="25" t="e">
        <f t="shared" ref="F74:I74" si="18">F128</f>
        <v>#REF!</v>
      </c>
      <c r="G74" s="25" t="e">
        <f t="shared" si="18"/>
        <v>#REF!</v>
      </c>
      <c r="H74" s="25" t="e">
        <f t="shared" si="18"/>
        <v>#REF!</v>
      </c>
      <c r="I74" s="25" t="e">
        <f t="shared" si="18"/>
        <v>#REF!</v>
      </c>
    </row>
    <row r="75" spans="2:14" x14ac:dyDescent="0.4">
      <c r="B75" s="44" t="s">
        <v>58</v>
      </c>
      <c r="C75" s="44"/>
      <c r="D75" s="47"/>
      <c r="E75" s="45" t="e">
        <f>SUM(E73:E74)</f>
        <v>#REF!</v>
      </c>
      <c r="F75" s="45" t="e">
        <f t="shared" ref="F75:I75" si="19">SUM(F73:F74)</f>
        <v>#REF!</v>
      </c>
      <c r="G75" s="45" t="e">
        <f t="shared" si="19"/>
        <v>#REF!</v>
      </c>
      <c r="H75" s="45" t="e">
        <f t="shared" si="19"/>
        <v>#REF!</v>
      </c>
      <c r="I75" s="45" t="e">
        <f t="shared" si="19"/>
        <v>#REF!</v>
      </c>
      <c r="J75" s="48"/>
    </row>
    <row r="77" spans="2:14" x14ac:dyDescent="0.4">
      <c r="B77" s="8" t="s">
        <v>59</v>
      </c>
      <c r="C77" s="9"/>
      <c r="D77" s="9"/>
      <c r="E77" s="9"/>
      <c r="F77" s="9"/>
      <c r="G77" s="9"/>
      <c r="H77" s="9"/>
      <c r="I77" s="9"/>
      <c r="J77" s="9"/>
    </row>
    <row r="78" spans="2:14" x14ac:dyDescent="0.4">
      <c r="B78" t="s">
        <v>47</v>
      </c>
      <c r="D78" s="25"/>
      <c r="E78" s="25" t="e">
        <f>E59</f>
        <v>#REF!</v>
      </c>
      <c r="F78" s="25" t="e">
        <f>F59</f>
        <v>#REF!</v>
      </c>
      <c r="G78" s="25" t="e">
        <f>G59</f>
        <v>#REF!</v>
      </c>
      <c r="H78" s="25" t="e">
        <f>H59</f>
        <v>#REF!</v>
      </c>
      <c r="I78" s="25" t="e">
        <f>I59</f>
        <v>#REF!</v>
      </c>
      <c r="J78" s="25"/>
      <c r="K78" s="25"/>
      <c r="L78" s="25"/>
      <c r="M78" s="25"/>
      <c r="N78" s="25"/>
    </row>
    <row r="79" spans="2:14" x14ac:dyDescent="0.4">
      <c r="B79" s="79"/>
      <c r="C79" s="80"/>
      <c r="D79" s="81"/>
      <c r="E79" s="78"/>
      <c r="F79" s="78"/>
      <c r="G79" s="78"/>
      <c r="H79" s="78"/>
      <c r="I79" s="78"/>
      <c r="J79" s="42"/>
      <c r="K79" s="42"/>
      <c r="L79" s="42"/>
      <c r="M79" s="42"/>
      <c r="N79" s="42"/>
    </row>
    <row r="80" spans="2:14" x14ac:dyDescent="0.4">
      <c r="B80" s="79"/>
      <c r="C80" s="80"/>
      <c r="D80" s="81"/>
      <c r="E80" s="78"/>
      <c r="F80" s="78"/>
      <c r="G80" s="78"/>
      <c r="H80" s="78"/>
      <c r="I80" s="78"/>
      <c r="J80" s="25"/>
      <c r="K80" s="25"/>
      <c r="L80" s="25"/>
      <c r="M80" s="25"/>
      <c r="N80" s="25"/>
    </row>
    <row r="81" spans="2:14" x14ac:dyDescent="0.4">
      <c r="B81" s="79"/>
      <c r="C81" s="80"/>
      <c r="D81" s="81"/>
      <c r="E81" s="78"/>
      <c r="F81" s="78"/>
      <c r="G81" s="82"/>
      <c r="H81" s="82"/>
      <c r="I81" s="82"/>
      <c r="J81" s="42"/>
      <c r="K81" s="42"/>
      <c r="L81" s="42"/>
      <c r="M81" s="42"/>
      <c r="N81" s="42"/>
    </row>
    <row r="82" spans="2:14" x14ac:dyDescent="0.4">
      <c r="B82" s="79"/>
      <c r="C82" s="80"/>
      <c r="D82" s="81"/>
      <c r="E82" s="78"/>
      <c r="F82" s="78"/>
      <c r="G82" s="82"/>
      <c r="H82" s="82"/>
      <c r="I82" s="82"/>
      <c r="J82" s="42"/>
      <c r="K82" s="42"/>
      <c r="L82" s="42"/>
      <c r="M82" s="42"/>
      <c r="N82" s="42"/>
    </row>
    <row r="83" spans="2:14" x14ac:dyDescent="0.4">
      <c r="B83" s="79"/>
      <c r="C83" s="80"/>
      <c r="D83" s="81"/>
      <c r="E83" s="78"/>
      <c r="F83" s="78"/>
      <c r="G83" s="82"/>
      <c r="H83" s="82"/>
      <c r="I83" s="82"/>
      <c r="J83" s="42"/>
      <c r="K83" s="42"/>
      <c r="L83" s="42"/>
      <c r="M83" s="42"/>
      <c r="N83" s="42"/>
    </row>
    <row r="84" spans="2:14" s="14" customFormat="1" x14ac:dyDescent="0.4">
      <c r="B84" s="44" t="s">
        <v>60</v>
      </c>
      <c r="C84" s="44"/>
      <c r="D84" s="45"/>
      <c r="E84" s="45" t="e">
        <f>SUM(E78:E83)</f>
        <v>#REF!</v>
      </c>
      <c r="F84" s="45" t="e">
        <f>SUM(F78:F83)</f>
        <v>#REF!</v>
      </c>
      <c r="G84" s="45" t="e">
        <f>SUM(G78:G83)</f>
        <v>#REF!</v>
      </c>
      <c r="H84" s="45" t="e">
        <f>SUM(H78:H83)</f>
        <v>#REF!</v>
      </c>
      <c r="I84" s="45" t="e">
        <f>SUM(I78:I83)</f>
        <v>#REF!</v>
      </c>
      <c r="J84" s="45"/>
      <c r="K84" s="29"/>
      <c r="L84" s="29"/>
      <c r="M84" s="29"/>
      <c r="N84" s="29"/>
    </row>
    <row r="85" spans="2:14" x14ac:dyDescent="0.4">
      <c r="E85" s="25"/>
      <c r="F85" s="25"/>
      <c r="G85" s="25"/>
      <c r="H85" s="25"/>
      <c r="I85" s="25"/>
    </row>
    <row r="86" spans="2:14" x14ac:dyDescent="0.4">
      <c r="B86" s="79"/>
      <c r="C86" s="80"/>
      <c r="D86" s="81"/>
      <c r="E86" s="78"/>
      <c r="F86" s="78"/>
      <c r="G86" s="78"/>
      <c r="H86" s="78"/>
      <c r="I86" s="78"/>
      <c r="J86" s="25"/>
    </row>
    <row r="87" spans="2:14" x14ac:dyDescent="0.4">
      <c r="B87" s="79"/>
      <c r="C87" s="80"/>
      <c r="D87" s="81"/>
      <c r="E87" s="78"/>
      <c r="F87" s="78"/>
      <c r="G87" s="78"/>
      <c r="H87" s="78"/>
      <c r="I87" s="78"/>
      <c r="J87" s="25"/>
    </row>
    <row r="88" spans="2:14" x14ac:dyDescent="0.4">
      <c r="B88" s="79"/>
      <c r="C88" s="80"/>
      <c r="D88" s="81"/>
      <c r="E88" s="78"/>
      <c r="F88" s="78"/>
      <c r="G88" s="82"/>
      <c r="H88" s="82"/>
      <c r="I88" s="82"/>
      <c r="J88" s="25"/>
    </row>
    <row r="89" spans="2:14" x14ac:dyDescent="0.4">
      <c r="B89" s="79"/>
      <c r="C89" s="80"/>
      <c r="D89" s="81"/>
      <c r="E89" s="78"/>
      <c r="F89" s="78"/>
      <c r="G89" s="78"/>
      <c r="H89" s="78"/>
      <c r="I89" s="78"/>
    </row>
    <row r="90" spans="2:14" x14ac:dyDescent="0.4">
      <c r="B90" s="79"/>
      <c r="C90" s="80"/>
      <c r="D90" s="81"/>
      <c r="E90" s="78"/>
      <c r="F90" s="78"/>
      <c r="G90" s="78"/>
      <c r="H90" s="78"/>
      <c r="I90" s="78"/>
    </row>
    <row r="91" spans="2:14" x14ac:dyDescent="0.4">
      <c r="B91" s="79"/>
      <c r="C91" s="80"/>
      <c r="D91" s="81"/>
      <c r="E91" s="78"/>
      <c r="F91" s="78"/>
      <c r="G91" s="82"/>
      <c r="H91" s="82"/>
      <c r="I91" s="82"/>
      <c r="J91" s="25"/>
    </row>
    <row r="92" spans="2:14" x14ac:dyDescent="0.4">
      <c r="B92" s="79"/>
      <c r="C92" s="80"/>
      <c r="D92" s="81"/>
      <c r="E92" s="78"/>
      <c r="F92" s="78"/>
      <c r="G92" s="78"/>
      <c r="H92" s="78"/>
      <c r="I92" s="78"/>
      <c r="J92" s="25"/>
    </row>
    <row r="93" spans="2:14" s="14" customFormat="1" x14ac:dyDescent="0.4">
      <c r="B93" s="79"/>
      <c r="C93" s="80"/>
      <c r="D93" s="81"/>
      <c r="E93" s="78"/>
      <c r="F93" s="78"/>
      <c r="G93" s="78"/>
      <c r="H93" s="78"/>
      <c r="I93" s="78"/>
      <c r="J93" s="29"/>
    </row>
    <row r="94" spans="2:14" x14ac:dyDescent="0.4">
      <c r="B94" s="79"/>
      <c r="C94" s="80"/>
      <c r="D94" s="81"/>
      <c r="E94" s="78"/>
      <c r="F94" s="78"/>
      <c r="G94" s="82"/>
      <c r="H94" s="82"/>
      <c r="I94" s="82"/>
    </row>
    <row r="95" spans="2:14" x14ac:dyDescent="0.4">
      <c r="E95" s="25"/>
      <c r="F95" s="25"/>
      <c r="G95" s="25"/>
      <c r="H95" s="25"/>
      <c r="I95" s="25"/>
      <c r="J95" s="25"/>
    </row>
    <row r="96" spans="2:14" x14ac:dyDescent="0.4">
      <c r="B96" s="44" t="s">
        <v>61</v>
      </c>
      <c r="C96" s="44"/>
      <c r="D96" s="44"/>
      <c r="E96" s="45" t="e">
        <f t="shared" ref="E96:I96" si="20">SUM(E84:E95)</f>
        <v>#REF!</v>
      </c>
      <c r="F96" s="45" t="e">
        <f t="shared" si="20"/>
        <v>#REF!</v>
      </c>
      <c r="G96" s="45" t="e">
        <f t="shared" si="20"/>
        <v>#REF!</v>
      </c>
      <c r="H96" s="45" t="e">
        <f t="shared" si="20"/>
        <v>#REF!</v>
      </c>
      <c r="I96" s="45" t="e">
        <f t="shared" si="20"/>
        <v>#REF!</v>
      </c>
      <c r="J96" s="45"/>
    </row>
    <row r="97" spans="2:14" x14ac:dyDescent="0.4">
      <c r="E97" s="25"/>
      <c r="F97" s="25"/>
      <c r="G97" s="25"/>
      <c r="H97" s="25"/>
      <c r="I97" s="25"/>
      <c r="J97" s="25"/>
    </row>
    <row r="98" spans="2:14" x14ac:dyDescent="0.4">
      <c r="B98" s="8" t="s">
        <v>62</v>
      </c>
      <c r="C98" s="9"/>
      <c r="D98" s="9"/>
      <c r="E98" s="9"/>
      <c r="F98" s="9"/>
      <c r="G98" s="9"/>
      <c r="H98" s="9"/>
      <c r="I98" s="9"/>
      <c r="J98" s="9"/>
    </row>
    <row r="99" spans="2:14" x14ac:dyDescent="0.4">
      <c r="B99" t="s">
        <v>14</v>
      </c>
      <c r="D99" s="39">
        <f>D126</f>
        <v>10</v>
      </c>
      <c r="E99" s="39" t="e">
        <f>E126</f>
        <v>#REF!</v>
      </c>
      <c r="F99" s="39" t="e">
        <f t="shared" ref="F99:I99" si="21">F126</f>
        <v>#REF!</v>
      </c>
      <c r="G99" s="39" t="e">
        <f t="shared" si="21"/>
        <v>#REF!</v>
      </c>
      <c r="H99" s="39" t="e">
        <f t="shared" si="21"/>
        <v>#REF!</v>
      </c>
      <c r="I99" s="39" t="e">
        <f t="shared" si="21"/>
        <v>#REF!</v>
      </c>
    </row>
    <row r="100" spans="2:14" x14ac:dyDescent="0.4">
      <c r="B100" t="s">
        <v>63</v>
      </c>
      <c r="D100" s="39" t="e">
        <f>D170</f>
        <v>#REF!</v>
      </c>
      <c r="E100" s="39" t="e">
        <f t="shared" ref="E100:I100" si="22">E170</f>
        <v>#REF!</v>
      </c>
      <c r="F100" s="39" t="e">
        <f t="shared" si="22"/>
        <v>#REF!</v>
      </c>
      <c r="G100" s="39" t="e">
        <f t="shared" si="22"/>
        <v>#REF!</v>
      </c>
      <c r="H100" s="39" t="e">
        <f t="shared" si="22"/>
        <v>#REF!</v>
      </c>
      <c r="I100" s="39" t="e">
        <f t="shared" si="22"/>
        <v>#REF!</v>
      </c>
    </row>
    <row r="101" spans="2:14" x14ac:dyDescent="0.4">
      <c r="B101" t="s">
        <v>64</v>
      </c>
      <c r="D101" s="39" t="e">
        <f>D165</f>
        <v>#REF!</v>
      </c>
      <c r="E101" s="39" t="e">
        <f t="shared" ref="E101:I101" si="23">E165</f>
        <v>#REF!</v>
      </c>
      <c r="F101" s="39" t="e">
        <f t="shared" si="23"/>
        <v>#REF!</v>
      </c>
      <c r="G101" s="39" t="e">
        <f t="shared" si="23"/>
        <v>#REF!</v>
      </c>
      <c r="H101" s="39" t="e">
        <f t="shared" si="23"/>
        <v>#REF!</v>
      </c>
      <c r="I101" s="39" t="e">
        <f t="shared" si="23"/>
        <v>#REF!</v>
      </c>
    </row>
    <row r="102" spans="2:14" x14ac:dyDescent="0.4">
      <c r="B102" t="s">
        <v>65</v>
      </c>
      <c r="D102" s="51">
        <v>40</v>
      </c>
      <c r="E102" s="78" t="e">
        <f>#REF!</f>
        <v>#REF!</v>
      </c>
      <c r="F102" s="78" t="e">
        <f>#REF!</f>
        <v>#REF!</v>
      </c>
      <c r="G102" s="78" t="e">
        <f>#REF!</f>
        <v>#REF!</v>
      </c>
      <c r="H102" s="78" t="e">
        <f>#REF!</f>
        <v>#REF!</v>
      </c>
      <c r="I102" s="78" t="e">
        <f>#REF!</f>
        <v>#REF!</v>
      </c>
    </row>
    <row r="103" spans="2:14" s="14" customFormat="1" x14ac:dyDescent="0.4">
      <c r="B103" s="44" t="s">
        <v>66</v>
      </c>
      <c r="C103" s="44"/>
      <c r="D103" s="52" t="e">
        <f>SUM(D99:D102)</f>
        <v>#REF!</v>
      </c>
      <c r="E103" s="52" t="e">
        <f t="shared" ref="E103:I103" si="24">SUM(E99:E102)</f>
        <v>#REF!</v>
      </c>
      <c r="F103" s="52" t="e">
        <f t="shared" si="24"/>
        <v>#REF!</v>
      </c>
      <c r="G103" s="52" t="e">
        <f t="shared" si="24"/>
        <v>#REF!</v>
      </c>
      <c r="H103" s="52" t="e">
        <f t="shared" si="24"/>
        <v>#REF!</v>
      </c>
      <c r="I103" s="52" t="e">
        <f t="shared" si="24"/>
        <v>#REF!</v>
      </c>
      <c r="J103" s="44"/>
    </row>
    <row r="104" spans="2:14" x14ac:dyDescent="0.4">
      <c r="D104" s="53"/>
      <c r="E104" s="39"/>
      <c r="F104" s="39"/>
      <c r="G104" s="39"/>
      <c r="H104" s="39"/>
      <c r="I104" s="39"/>
    </row>
    <row r="105" spans="2:14" x14ac:dyDescent="0.4">
      <c r="B105" t="s">
        <v>11</v>
      </c>
      <c r="D105" s="25">
        <f t="shared" ref="D105" si="25">D134</f>
        <v>0</v>
      </c>
      <c r="E105" s="25" t="e">
        <f>E134</f>
        <v>#REF!</v>
      </c>
      <c r="F105" s="25" t="e">
        <f t="shared" ref="F105:I105" si="26">F134</f>
        <v>#REF!</v>
      </c>
      <c r="G105" s="25" t="e">
        <f t="shared" si="26"/>
        <v>#REF!</v>
      </c>
      <c r="H105" s="25" t="e">
        <f t="shared" si="26"/>
        <v>#REF!</v>
      </c>
      <c r="I105" s="25" t="e">
        <f t="shared" si="26"/>
        <v>#REF!</v>
      </c>
    </row>
    <row r="106" spans="2:14" x14ac:dyDescent="0.4">
      <c r="B106" t="s">
        <v>12</v>
      </c>
      <c r="D106" s="25" t="e">
        <f>D143</f>
        <v>#REF!</v>
      </c>
      <c r="E106" s="25" t="e">
        <f t="shared" ref="E106:I106" si="27">E143</f>
        <v>#REF!</v>
      </c>
      <c r="F106" s="25" t="e">
        <f t="shared" si="27"/>
        <v>#REF!</v>
      </c>
      <c r="G106" s="25" t="e">
        <f t="shared" si="27"/>
        <v>#REF!</v>
      </c>
      <c r="H106" s="25" t="e">
        <f t="shared" si="27"/>
        <v>#REF!</v>
      </c>
      <c r="I106" s="25" t="e">
        <f t="shared" si="27"/>
        <v>#REF!</v>
      </c>
      <c r="J106" s="25"/>
      <c r="K106" s="25"/>
      <c r="L106" s="25"/>
      <c r="M106" s="25"/>
      <c r="N106" s="25"/>
    </row>
    <row r="107" spans="2:14" x14ac:dyDescent="0.4">
      <c r="B107" t="s">
        <v>67</v>
      </c>
      <c r="D107" s="51">
        <v>30</v>
      </c>
      <c r="E107" s="78" t="e">
        <f>#REF!</f>
        <v>#REF!</v>
      </c>
      <c r="F107" s="78" t="e">
        <f>#REF!</f>
        <v>#REF!</v>
      </c>
      <c r="G107" s="78" t="e">
        <f>#REF!</f>
        <v>#REF!</v>
      </c>
      <c r="H107" s="78" t="e">
        <f>#REF!</f>
        <v>#REF!</v>
      </c>
      <c r="I107" s="78" t="e">
        <f>#REF!</f>
        <v>#REF!</v>
      </c>
      <c r="J107" s="25"/>
      <c r="K107" s="25"/>
      <c r="L107" s="25"/>
      <c r="M107" s="25"/>
      <c r="N107" s="25"/>
    </row>
    <row r="108" spans="2:14" x14ac:dyDescent="0.4">
      <c r="B108" s="44" t="s">
        <v>68</v>
      </c>
      <c r="C108" s="47"/>
      <c r="D108" s="45" t="e">
        <f>SUM(D105:D107)</f>
        <v>#REF!</v>
      </c>
      <c r="E108" s="45" t="e">
        <f t="shared" ref="E108:I108" si="28">SUM(E105:E107)</f>
        <v>#REF!</v>
      </c>
      <c r="F108" s="45" t="e">
        <f t="shared" si="28"/>
        <v>#REF!</v>
      </c>
      <c r="G108" s="45" t="e">
        <f t="shared" si="28"/>
        <v>#REF!</v>
      </c>
      <c r="H108" s="45" t="e">
        <f t="shared" si="28"/>
        <v>#REF!</v>
      </c>
      <c r="I108" s="45" t="e">
        <f t="shared" si="28"/>
        <v>#REF!</v>
      </c>
      <c r="J108" s="45"/>
      <c r="K108" s="29"/>
      <c r="L108" s="29"/>
      <c r="M108" s="29"/>
      <c r="N108" s="29"/>
    </row>
    <row r="109" spans="2:14" x14ac:dyDescent="0.4">
      <c r="B109" s="14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2:14" x14ac:dyDescent="0.4">
      <c r="B110" t="s">
        <v>13</v>
      </c>
      <c r="D110" s="25" t="e">
        <f>D151</f>
        <v>#REF!</v>
      </c>
      <c r="E110" s="25" t="e">
        <f t="shared" ref="E110:I110" si="29">E151</f>
        <v>#REF!</v>
      </c>
      <c r="F110" s="25" t="e">
        <f t="shared" si="29"/>
        <v>#REF!</v>
      </c>
      <c r="G110" s="25" t="e">
        <f t="shared" si="29"/>
        <v>#REF!</v>
      </c>
      <c r="H110" s="25" t="e">
        <f t="shared" si="29"/>
        <v>#REF!</v>
      </c>
      <c r="I110" s="25" t="e">
        <f t="shared" si="29"/>
        <v>#REF!</v>
      </c>
    </row>
    <row r="111" spans="2:14" x14ac:dyDescent="0.4">
      <c r="B111" t="s">
        <v>106</v>
      </c>
      <c r="D111" s="25" t="e">
        <f>D159</f>
        <v>#REF!</v>
      </c>
      <c r="E111" s="25" t="e">
        <f t="shared" ref="E111:I111" si="30">E159</f>
        <v>#REF!</v>
      </c>
      <c r="F111" s="25" t="e">
        <f t="shared" si="30"/>
        <v>#REF!</v>
      </c>
      <c r="G111" s="25" t="e">
        <f t="shared" si="30"/>
        <v>#REF!</v>
      </c>
      <c r="H111" s="25" t="e">
        <f t="shared" si="30"/>
        <v>#REF!</v>
      </c>
      <c r="I111" s="25" t="e">
        <f t="shared" si="30"/>
        <v>#REF!</v>
      </c>
    </row>
    <row r="112" spans="2:14" x14ac:dyDescent="0.4">
      <c r="B112" s="44" t="s">
        <v>24</v>
      </c>
      <c r="C112" s="47"/>
      <c r="D112" s="45" t="e">
        <f>SUM(D110:D111)</f>
        <v>#REF!</v>
      </c>
      <c r="E112" s="45" t="e">
        <f t="shared" ref="E112:I112" si="31">SUM(E110:E111)</f>
        <v>#REF!</v>
      </c>
      <c r="F112" s="45" t="e">
        <f t="shared" si="31"/>
        <v>#REF!</v>
      </c>
      <c r="G112" s="45" t="e">
        <f t="shared" si="31"/>
        <v>#REF!</v>
      </c>
      <c r="H112" s="45" t="e">
        <f t="shared" si="31"/>
        <v>#REF!</v>
      </c>
      <c r="I112" s="45" t="e">
        <f t="shared" si="31"/>
        <v>#REF!</v>
      </c>
      <c r="J112" s="45"/>
      <c r="K112" s="29"/>
      <c r="L112" s="29"/>
      <c r="M112" s="29"/>
      <c r="N112" s="29"/>
    </row>
    <row r="113" spans="1:14" x14ac:dyDescent="0.4">
      <c r="B113" s="14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1:14" s="5" customFormat="1" x14ac:dyDescent="0.4">
      <c r="B114" s="5" t="s">
        <v>27</v>
      </c>
      <c r="D114" s="30" t="str">
        <f t="shared" ref="D114:I114" si="32">IF(ISERROR(ROUND(D103-D108-D112,3)),"Error",IF(ROUND(D103-D108-D112,3)=0,"OK","Error"))</f>
        <v>Error</v>
      </c>
      <c r="E114" s="30" t="str">
        <f t="shared" si="32"/>
        <v>Error</v>
      </c>
      <c r="F114" s="30" t="str">
        <f t="shared" si="32"/>
        <v>Error</v>
      </c>
      <c r="G114" s="30" t="str">
        <f t="shared" si="32"/>
        <v>Error</v>
      </c>
      <c r="H114" s="30" t="str">
        <f t="shared" si="32"/>
        <v>Error</v>
      </c>
      <c r="I114" s="30" t="str">
        <f t="shared" si="32"/>
        <v>Error</v>
      </c>
      <c r="K114" s="54"/>
      <c r="L114" s="54"/>
      <c r="M114" s="54"/>
      <c r="N114" s="54"/>
    </row>
    <row r="115" spans="1:14" s="5" customFormat="1" x14ac:dyDescent="0.4">
      <c r="A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s="5" customFormat="1" x14ac:dyDescent="0.4">
      <c r="A116" s="54"/>
      <c r="B116" s="46" t="s">
        <v>109</v>
      </c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x14ac:dyDescent="0.4">
      <c r="B117" t="s">
        <v>12</v>
      </c>
      <c r="D117" s="55" t="e">
        <f>D106</f>
        <v>#REF!</v>
      </c>
      <c r="E117" s="55" t="e">
        <f t="shared" ref="E117:I117" si="33">E106</f>
        <v>#REF!</v>
      </c>
      <c r="F117" s="55" t="e">
        <f t="shared" si="33"/>
        <v>#REF!</v>
      </c>
      <c r="G117" s="55" t="e">
        <f t="shared" si="33"/>
        <v>#REF!</v>
      </c>
      <c r="H117" s="55" t="e">
        <f t="shared" si="33"/>
        <v>#REF!</v>
      </c>
      <c r="I117" s="55" t="e">
        <f t="shared" si="33"/>
        <v>#REF!</v>
      </c>
      <c r="J117" s="29"/>
      <c r="K117" s="29"/>
      <c r="L117" s="29"/>
      <c r="M117" s="29"/>
      <c r="N117" s="29"/>
    </row>
    <row r="118" spans="1:14" x14ac:dyDescent="0.4">
      <c r="B118" t="s">
        <v>20</v>
      </c>
      <c r="D118" s="55" t="e">
        <f>D105+D106</f>
        <v>#REF!</v>
      </c>
      <c r="E118" s="55" t="e">
        <f t="shared" ref="E118:I118" si="34">E105+E106</f>
        <v>#REF!</v>
      </c>
      <c r="F118" s="55" t="e">
        <f t="shared" si="34"/>
        <v>#REF!</v>
      </c>
      <c r="G118" s="55" t="e">
        <f t="shared" si="34"/>
        <v>#REF!</v>
      </c>
      <c r="H118" s="55" t="e">
        <f t="shared" si="34"/>
        <v>#REF!</v>
      </c>
      <c r="I118" s="55" t="e">
        <f t="shared" si="34"/>
        <v>#REF!</v>
      </c>
      <c r="J118" s="29"/>
      <c r="K118" s="29"/>
      <c r="L118" s="29"/>
      <c r="M118" s="29"/>
      <c r="N118" s="29"/>
    </row>
    <row r="119" spans="1:14" x14ac:dyDescent="0.4">
      <c r="B119" t="s">
        <v>69</v>
      </c>
      <c r="D119" s="55" t="e">
        <f>D118-D99</f>
        <v>#REF!</v>
      </c>
      <c r="E119" s="55" t="e">
        <f t="shared" ref="E119:I119" si="35">E118-E99</f>
        <v>#REF!</v>
      </c>
      <c r="F119" s="55" t="e">
        <f t="shared" si="35"/>
        <v>#REF!</v>
      </c>
      <c r="G119" s="55" t="e">
        <f t="shared" si="35"/>
        <v>#REF!</v>
      </c>
      <c r="H119" s="55" t="e">
        <f t="shared" si="35"/>
        <v>#REF!</v>
      </c>
      <c r="I119" s="55" t="e">
        <f t="shared" si="35"/>
        <v>#REF!</v>
      </c>
      <c r="J119" s="29"/>
      <c r="K119" s="29"/>
      <c r="L119" s="29"/>
      <c r="M119" s="29"/>
      <c r="N119" s="29"/>
    </row>
    <row r="120" spans="1:14" x14ac:dyDescent="0.4">
      <c r="B120" t="s">
        <v>108</v>
      </c>
      <c r="D120" s="78" t="e">
        <f>#REF!</f>
        <v>#REF!</v>
      </c>
      <c r="E120" s="78" t="e">
        <f>#REF!</f>
        <v>#REF!</v>
      </c>
      <c r="F120" s="78" t="e">
        <f>#REF!</f>
        <v>#REF!</v>
      </c>
      <c r="G120" s="78" t="e">
        <f>#REF!</f>
        <v>#REF!</v>
      </c>
      <c r="H120" s="78" t="e">
        <f>#REF!</f>
        <v>#REF!</v>
      </c>
      <c r="I120" s="78" t="e">
        <f>#REF!</f>
        <v>#REF!</v>
      </c>
      <c r="J120" s="29"/>
      <c r="K120" s="29"/>
      <c r="L120" s="29"/>
      <c r="M120" s="29"/>
      <c r="N120" s="29"/>
    </row>
    <row r="121" spans="1:14" x14ac:dyDescent="0.4">
      <c r="F121" s="25"/>
      <c r="G121" s="56"/>
      <c r="I121" s="25"/>
      <c r="M121" s="57"/>
    </row>
    <row r="122" spans="1:14" x14ac:dyDescent="0.4">
      <c r="B122" s="19" t="s">
        <v>70</v>
      </c>
      <c r="C122" s="20"/>
      <c r="D122" s="20"/>
      <c r="E122" s="20"/>
      <c r="F122" s="20"/>
      <c r="G122" s="20"/>
      <c r="H122" s="20"/>
      <c r="I122" s="20"/>
      <c r="J122" s="20"/>
    </row>
    <row r="123" spans="1:14" x14ac:dyDescent="0.4">
      <c r="B123" s="14" t="s">
        <v>14</v>
      </c>
      <c r="D123" s="25"/>
      <c r="E123" s="25"/>
      <c r="F123" s="25"/>
      <c r="G123" s="25"/>
      <c r="H123" s="25"/>
      <c r="I123" s="25"/>
    </row>
    <row r="124" spans="1:14" x14ac:dyDescent="0.4">
      <c r="C124" t="s">
        <v>71</v>
      </c>
      <c r="D124" s="25"/>
      <c r="E124" s="25">
        <f>D126</f>
        <v>10</v>
      </c>
      <c r="F124" s="25" t="e">
        <f t="shared" ref="F124:I124" si="36">E126</f>
        <v>#REF!</v>
      </c>
      <c r="G124" s="25" t="e">
        <f t="shared" si="36"/>
        <v>#REF!</v>
      </c>
      <c r="H124" s="25" t="e">
        <f t="shared" si="36"/>
        <v>#REF!</v>
      </c>
      <c r="I124" s="25" t="e">
        <f t="shared" si="36"/>
        <v>#REF!</v>
      </c>
    </row>
    <row r="125" spans="1:14" x14ac:dyDescent="0.4">
      <c r="C125" t="s">
        <v>72</v>
      </c>
      <c r="D125" s="25"/>
      <c r="E125" s="78" t="e">
        <f>#REF!</f>
        <v>#REF!</v>
      </c>
      <c r="F125" s="78" t="e">
        <f>#REF!</f>
        <v>#REF!</v>
      </c>
      <c r="G125" s="78" t="e">
        <f>#REF!</f>
        <v>#REF!</v>
      </c>
      <c r="H125" s="78" t="e">
        <f>#REF!</f>
        <v>#REF!</v>
      </c>
      <c r="I125" s="78" t="e">
        <f>#REF!</f>
        <v>#REF!</v>
      </c>
    </row>
    <row r="126" spans="1:14" x14ac:dyDescent="0.4">
      <c r="C126" t="s">
        <v>73</v>
      </c>
      <c r="D126" s="26">
        <v>10</v>
      </c>
      <c r="E126" s="48" t="e">
        <f>SUM(E124:E125)</f>
        <v>#REF!</v>
      </c>
      <c r="F126" s="48" t="e">
        <f t="shared" ref="F126:I126" si="37">SUM(F124:F125)</f>
        <v>#REF!</v>
      </c>
      <c r="G126" s="48" t="e">
        <f t="shared" si="37"/>
        <v>#REF!</v>
      </c>
      <c r="H126" s="48" t="e">
        <f t="shared" si="37"/>
        <v>#REF!</v>
      </c>
      <c r="I126" s="48" t="e">
        <f t="shared" si="37"/>
        <v>#REF!</v>
      </c>
    </row>
    <row r="127" spans="1:14" x14ac:dyDescent="0.4">
      <c r="D127" s="25"/>
      <c r="E127" s="25"/>
      <c r="F127" s="25"/>
      <c r="G127" s="25"/>
      <c r="H127" s="25"/>
      <c r="I127" s="25"/>
    </row>
    <row r="128" spans="1:14" x14ac:dyDescent="0.4">
      <c r="B128" s="58" t="s">
        <v>57</v>
      </c>
      <c r="E128" s="78" t="e">
        <f>#REF!</f>
        <v>#REF!</v>
      </c>
      <c r="F128" s="78" t="e">
        <f>#REF!</f>
        <v>#REF!</v>
      </c>
      <c r="G128" s="78" t="e">
        <f>#REF!</f>
        <v>#REF!</v>
      </c>
      <c r="H128" s="78" t="e">
        <f>#REF!</f>
        <v>#REF!</v>
      </c>
      <c r="I128" s="78" t="e">
        <f>#REF!</f>
        <v>#REF!</v>
      </c>
      <c r="J128" s="25"/>
      <c r="K128" s="25"/>
      <c r="L128" s="25"/>
      <c r="M128" s="25"/>
      <c r="N128" s="25"/>
    </row>
    <row r="129" spans="2:14" s="5" customFormat="1" x14ac:dyDescent="0.4">
      <c r="C129" s="5" t="s">
        <v>74</v>
      </c>
      <c r="D129" s="50"/>
      <c r="E129" s="83" t="e">
        <f>#REF!</f>
        <v>#REF!</v>
      </c>
      <c r="F129" s="83" t="e">
        <f>#REF!</f>
        <v>#REF!</v>
      </c>
      <c r="G129" s="83" t="e">
        <f>#REF!</f>
        <v>#REF!</v>
      </c>
      <c r="H129" s="83" t="e">
        <f>#REF!</f>
        <v>#REF!</v>
      </c>
      <c r="I129" s="83" t="e">
        <f>#REF!</f>
        <v>#REF!</v>
      </c>
      <c r="J129" s="50"/>
      <c r="K129" s="50"/>
      <c r="L129" s="50"/>
      <c r="M129" s="50"/>
      <c r="N129" s="50"/>
    </row>
    <row r="130" spans="2:14" s="5" customFormat="1" x14ac:dyDescent="0.4"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 spans="2:14" s="5" customFormat="1" x14ac:dyDescent="0.4">
      <c r="B131" s="14" t="s">
        <v>11</v>
      </c>
      <c r="D131" s="49"/>
      <c r="E131" s="49"/>
      <c r="F131" s="49"/>
      <c r="G131" s="49"/>
      <c r="H131" s="49"/>
      <c r="I131" s="49"/>
      <c r="J131" s="50"/>
      <c r="K131" s="50"/>
      <c r="L131" s="50"/>
      <c r="M131" s="50"/>
      <c r="N131" s="50"/>
    </row>
    <row r="132" spans="2:14" s="5" customFormat="1" x14ac:dyDescent="0.4">
      <c r="C132" t="s">
        <v>71</v>
      </c>
      <c r="D132" s="49"/>
      <c r="E132" s="25">
        <f>D134</f>
        <v>0</v>
      </c>
      <c r="F132" s="25" t="e">
        <f t="shared" ref="F132:I132" si="38">E134</f>
        <v>#REF!</v>
      </c>
      <c r="G132" s="25" t="e">
        <f t="shared" si="38"/>
        <v>#REF!</v>
      </c>
      <c r="H132" s="25" t="e">
        <f t="shared" si="38"/>
        <v>#REF!</v>
      </c>
      <c r="I132" s="25" t="e">
        <f t="shared" si="38"/>
        <v>#REF!</v>
      </c>
      <c r="J132" s="50"/>
      <c r="K132" s="50"/>
      <c r="L132" s="50"/>
      <c r="M132" s="50"/>
      <c r="N132" s="50"/>
    </row>
    <row r="133" spans="2:14" s="5" customFormat="1" x14ac:dyDescent="0.4">
      <c r="C133" t="s">
        <v>104</v>
      </c>
      <c r="D133" s="49"/>
      <c r="E133" s="78" t="e">
        <f>#REF!</f>
        <v>#REF!</v>
      </c>
      <c r="F133" s="78" t="e">
        <f>#REF!</f>
        <v>#REF!</v>
      </c>
      <c r="G133" s="78" t="e">
        <f>#REF!</f>
        <v>#REF!</v>
      </c>
      <c r="H133" s="78" t="e">
        <f>#REF!</f>
        <v>#REF!</v>
      </c>
      <c r="I133" s="78" t="e">
        <f>#REF!</f>
        <v>#REF!</v>
      </c>
      <c r="J133" s="50"/>
      <c r="K133" s="50"/>
      <c r="L133" s="50"/>
      <c r="M133" s="50"/>
      <c r="N133" s="50"/>
    </row>
    <row r="134" spans="2:14" x14ac:dyDescent="0.4">
      <c r="C134" t="s">
        <v>73</v>
      </c>
      <c r="D134" s="26">
        <v>0</v>
      </c>
      <c r="E134" s="48" t="e">
        <f>SUM(E132:E133)</f>
        <v>#REF!</v>
      </c>
      <c r="F134" s="48" t="e">
        <f t="shared" ref="F134:I134" si="39">SUM(F132:F133)</f>
        <v>#REF!</v>
      </c>
      <c r="G134" s="48" t="e">
        <f t="shared" si="39"/>
        <v>#REF!</v>
      </c>
      <c r="H134" s="48" t="e">
        <f t="shared" si="39"/>
        <v>#REF!</v>
      </c>
      <c r="I134" s="48" t="e">
        <f t="shared" si="39"/>
        <v>#REF!</v>
      </c>
    </row>
    <row r="135" spans="2:14" x14ac:dyDescent="0.4">
      <c r="D135" s="25"/>
      <c r="E135" s="25"/>
      <c r="F135" s="25"/>
      <c r="G135" s="25"/>
      <c r="H135" s="25"/>
      <c r="I135" s="25"/>
    </row>
    <row r="136" spans="2:14" x14ac:dyDescent="0.4">
      <c r="B136" s="58" t="s">
        <v>100</v>
      </c>
      <c r="E136" s="78" t="e">
        <f>#REF!</f>
        <v>#REF!</v>
      </c>
      <c r="F136" s="78" t="e">
        <f>#REF!</f>
        <v>#REF!</v>
      </c>
      <c r="G136" s="78" t="e">
        <f>#REF!</f>
        <v>#REF!</v>
      </c>
      <c r="H136" s="78" t="e">
        <f>#REF!</f>
        <v>#REF!</v>
      </c>
      <c r="I136" s="78" t="e">
        <f>#REF!</f>
        <v>#REF!</v>
      </c>
      <c r="J136" s="25"/>
      <c r="K136" s="25"/>
      <c r="L136" s="25"/>
      <c r="M136" s="25"/>
      <c r="N136" s="25"/>
    </row>
    <row r="137" spans="2:14" s="5" customFormat="1" x14ac:dyDescent="0.4">
      <c r="C137" s="5" t="s">
        <v>74</v>
      </c>
      <c r="D137" s="50"/>
      <c r="E137" s="83" t="e">
        <f>#REF!</f>
        <v>#REF!</v>
      </c>
      <c r="F137" s="83" t="e">
        <f>#REF!</f>
        <v>#REF!</v>
      </c>
      <c r="G137" s="83" t="e">
        <f>#REF!</f>
        <v>#REF!</v>
      </c>
      <c r="H137" s="83" t="e">
        <f>#REF!</f>
        <v>#REF!</v>
      </c>
      <c r="I137" s="83" t="e">
        <f>#REF!</f>
        <v>#REF!</v>
      </c>
      <c r="J137" s="50"/>
      <c r="K137" s="50"/>
      <c r="L137" s="50"/>
      <c r="M137" s="50"/>
      <c r="N137" s="50"/>
    </row>
    <row r="138" spans="2:14" s="5" customFormat="1" x14ac:dyDescent="0.4"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</row>
    <row r="139" spans="2:14" x14ac:dyDescent="0.4">
      <c r="B139" s="14" t="s">
        <v>12</v>
      </c>
    </row>
    <row r="140" spans="2:14" x14ac:dyDescent="0.4">
      <c r="C140" t="s">
        <v>71</v>
      </c>
      <c r="D140" s="25"/>
      <c r="E140" s="25" t="e">
        <f>D143</f>
        <v>#REF!</v>
      </c>
      <c r="F140" s="25" t="e">
        <f t="shared" ref="F140:I140" si="40">E143</f>
        <v>#REF!</v>
      </c>
      <c r="G140" s="25" t="e">
        <f t="shared" si="40"/>
        <v>#REF!</v>
      </c>
      <c r="H140" s="25" t="e">
        <f t="shared" si="40"/>
        <v>#REF!</v>
      </c>
      <c r="I140" s="25" t="e">
        <f t="shared" si="40"/>
        <v>#REF!</v>
      </c>
      <c r="J140" s="25"/>
      <c r="K140" s="25"/>
      <c r="L140" s="25"/>
      <c r="M140" s="25"/>
      <c r="N140" s="25"/>
    </row>
    <row r="141" spans="2:14" x14ac:dyDescent="0.4">
      <c r="C141" t="s">
        <v>75</v>
      </c>
      <c r="E141" s="78" t="e">
        <f>#REF!</f>
        <v>#REF!</v>
      </c>
      <c r="F141" s="78" t="e">
        <f>#REF!</f>
        <v>#REF!</v>
      </c>
      <c r="G141" s="78" t="e">
        <f>#REF!</f>
        <v>#REF!</v>
      </c>
      <c r="H141" s="78" t="e">
        <f>#REF!</f>
        <v>#REF!</v>
      </c>
      <c r="I141" s="78" t="e">
        <f>#REF!</f>
        <v>#REF!</v>
      </c>
      <c r="J141" s="25"/>
    </row>
    <row r="142" spans="2:14" x14ac:dyDescent="0.4">
      <c r="C142" t="s">
        <v>96</v>
      </c>
      <c r="E142" s="78" t="e">
        <f>#REF!</f>
        <v>#REF!</v>
      </c>
      <c r="F142" s="78" t="e">
        <f>#REF!</f>
        <v>#REF!</v>
      </c>
      <c r="G142" s="78" t="e">
        <f>#REF!</f>
        <v>#REF!</v>
      </c>
      <c r="H142" s="78" t="e">
        <f>#REF!</f>
        <v>#REF!</v>
      </c>
      <c r="I142" s="78" t="e">
        <f>#REF!</f>
        <v>#REF!</v>
      </c>
      <c r="J142" s="25"/>
    </row>
    <row r="143" spans="2:14" x14ac:dyDescent="0.4">
      <c r="C143" t="s">
        <v>73</v>
      </c>
      <c r="D143" s="78" t="e">
        <f>#REF!</f>
        <v>#REF!</v>
      </c>
      <c r="E143" s="59" t="e">
        <f>SUM(E140:E142)</f>
        <v>#REF!</v>
      </c>
      <c r="F143" s="48" t="e">
        <f t="shared" ref="F143:I143" si="41">SUM(F140:F142)</f>
        <v>#REF!</v>
      </c>
      <c r="G143" s="48" t="e">
        <f t="shared" si="41"/>
        <v>#REF!</v>
      </c>
      <c r="H143" s="48" t="e">
        <f t="shared" si="41"/>
        <v>#REF!</v>
      </c>
      <c r="I143" s="48" t="e">
        <f t="shared" si="41"/>
        <v>#REF!</v>
      </c>
      <c r="J143" s="25"/>
      <c r="K143" s="25"/>
      <c r="L143" s="25"/>
      <c r="M143" s="25"/>
      <c r="N143" s="25"/>
    </row>
    <row r="144" spans="2:14" x14ac:dyDescent="0.4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spans="2:14" x14ac:dyDescent="0.4">
      <c r="B145" s="58" t="s">
        <v>100</v>
      </c>
      <c r="E145" s="78" t="e">
        <f>#REF!</f>
        <v>#REF!</v>
      </c>
      <c r="F145" s="78" t="e">
        <f>#REF!</f>
        <v>#REF!</v>
      </c>
      <c r="G145" s="78" t="e">
        <f>#REF!</f>
        <v>#REF!</v>
      </c>
      <c r="H145" s="78" t="e">
        <f>#REF!</f>
        <v>#REF!</v>
      </c>
      <c r="I145" s="78" t="e">
        <f>#REF!</f>
        <v>#REF!</v>
      </c>
      <c r="J145" s="25"/>
      <c r="K145" s="25"/>
      <c r="L145" s="25"/>
      <c r="M145" s="25"/>
      <c r="N145" s="25"/>
    </row>
    <row r="146" spans="2:14" s="5" customFormat="1" x14ac:dyDescent="0.4">
      <c r="C146" s="5" t="s">
        <v>74</v>
      </c>
      <c r="D146" s="50"/>
      <c r="E146" s="83" t="e">
        <f>#REF!</f>
        <v>#REF!</v>
      </c>
      <c r="F146" s="83" t="e">
        <f>#REF!</f>
        <v>#REF!</v>
      </c>
      <c r="G146" s="83" t="e">
        <f>#REF!</f>
        <v>#REF!</v>
      </c>
      <c r="H146" s="83" t="e">
        <f>#REF!</f>
        <v>#REF!</v>
      </c>
      <c r="I146" s="83" t="e">
        <f>#REF!</f>
        <v>#REF!</v>
      </c>
      <c r="J146" s="50"/>
      <c r="K146" s="50"/>
      <c r="L146" s="50"/>
      <c r="M146" s="50"/>
      <c r="N146" s="50"/>
    </row>
    <row r="147" spans="2:14" x14ac:dyDescent="0.4">
      <c r="D147" s="25"/>
      <c r="E147" s="25"/>
      <c r="F147" s="25"/>
      <c r="G147" s="25"/>
      <c r="H147" s="25"/>
      <c r="I147" s="25"/>
    </row>
    <row r="148" spans="2:14" s="5" customFormat="1" x14ac:dyDescent="0.4">
      <c r="B148" s="14" t="s">
        <v>13</v>
      </c>
      <c r="D148" s="50"/>
      <c r="E148" s="50"/>
      <c r="F148" s="50"/>
      <c r="G148" s="60"/>
      <c r="H148" s="50"/>
      <c r="I148" s="50"/>
      <c r="J148" s="50"/>
      <c r="K148" s="50"/>
      <c r="L148" s="50"/>
      <c r="M148" s="50"/>
      <c r="N148" s="50"/>
    </row>
    <row r="149" spans="2:14" s="5" customFormat="1" x14ac:dyDescent="0.4">
      <c r="C149" t="s">
        <v>71</v>
      </c>
      <c r="D149" s="50"/>
      <c r="E149" s="25" t="e">
        <f>D151</f>
        <v>#REF!</v>
      </c>
      <c r="F149" s="25" t="e">
        <f t="shared" ref="F149:I149" si="42">E151</f>
        <v>#REF!</v>
      </c>
      <c r="G149" s="25" t="e">
        <f t="shared" si="42"/>
        <v>#REF!</v>
      </c>
      <c r="H149" s="25" t="e">
        <f t="shared" si="42"/>
        <v>#REF!</v>
      </c>
      <c r="I149" s="25" t="e">
        <f t="shared" si="42"/>
        <v>#REF!</v>
      </c>
      <c r="J149" s="50"/>
      <c r="K149" s="50"/>
      <c r="L149" s="50"/>
      <c r="M149" s="50"/>
      <c r="N149" s="50"/>
    </row>
    <row r="150" spans="2:14" x14ac:dyDescent="0.4">
      <c r="C150" t="s">
        <v>76</v>
      </c>
      <c r="D150" s="17"/>
      <c r="E150" s="78" t="e">
        <f>#REF!</f>
        <v>#REF!</v>
      </c>
      <c r="F150" s="78" t="e">
        <f>#REF!</f>
        <v>#REF!</v>
      </c>
      <c r="G150" s="78" t="e">
        <f>#REF!</f>
        <v>#REF!</v>
      </c>
      <c r="H150" s="78" t="e">
        <f>#REF!</f>
        <v>#REF!</v>
      </c>
      <c r="I150" s="78" t="e">
        <f>#REF!</f>
        <v>#REF!</v>
      </c>
      <c r="J150" s="17"/>
      <c r="K150" s="17"/>
      <c r="L150" s="17"/>
      <c r="M150" s="17"/>
      <c r="N150" s="17"/>
    </row>
    <row r="151" spans="2:14" s="5" customFormat="1" x14ac:dyDescent="0.4">
      <c r="C151" t="s">
        <v>73</v>
      </c>
      <c r="D151" s="78" t="e">
        <f>#REF!</f>
        <v>#REF!</v>
      </c>
      <c r="E151" s="48" t="e">
        <f>SUM(E149:E150)</f>
        <v>#REF!</v>
      </c>
      <c r="F151" s="48" t="e">
        <f t="shared" ref="F151:I151" si="43">SUM(F149:F150)</f>
        <v>#REF!</v>
      </c>
      <c r="G151" s="48" t="e">
        <f t="shared" si="43"/>
        <v>#REF!</v>
      </c>
      <c r="H151" s="48" t="e">
        <f t="shared" si="43"/>
        <v>#REF!</v>
      </c>
      <c r="I151" s="48" t="e">
        <f t="shared" si="43"/>
        <v>#REF!</v>
      </c>
      <c r="J151" s="50"/>
      <c r="K151" s="50"/>
      <c r="L151" s="50"/>
      <c r="M151" s="50"/>
      <c r="N151" s="50"/>
    </row>
    <row r="152" spans="2:14" s="5" customFormat="1" x14ac:dyDescent="0.4">
      <c r="C152"/>
      <c r="D152" s="25"/>
      <c r="E152" s="25"/>
      <c r="F152" s="25"/>
      <c r="G152" s="25"/>
      <c r="H152" s="25"/>
      <c r="I152" s="25"/>
      <c r="J152" s="50"/>
      <c r="K152" s="50"/>
      <c r="L152" s="50"/>
      <c r="M152" s="50"/>
      <c r="N152" s="50"/>
    </row>
    <row r="153" spans="2:14" x14ac:dyDescent="0.4">
      <c r="B153" s="58" t="s">
        <v>76</v>
      </c>
      <c r="D153" s="17"/>
      <c r="E153" s="78" t="e">
        <f>#REF!</f>
        <v>#REF!</v>
      </c>
      <c r="F153" s="78" t="e">
        <f>#REF!</f>
        <v>#REF!</v>
      </c>
      <c r="G153" s="78" t="e">
        <f>#REF!</f>
        <v>#REF!</v>
      </c>
      <c r="H153" s="78" t="e">
        <f>#REF!</f>
        <v>#REF!</v>
      </c>
      <c r="I153" s="78" t="e">
        <f>#REF!</f>
        <v>#REF!</v>
      </c>
      <c r="J153" s="17"/>
      <c r="K153" s="17"/>
      <c r="L153" s="17"/>
      <c r="M153" s="17"/>
      <c r="N153" s="17"/>
    </row>
    <row r="154" spans="2:14" s="5" customFormat="1" x14ac:dyDescent="0.4">
      <c r="C154" s="5" t="s">
        <v>8</v>
      </c>
      <c r="D154" s="49"/>
      <c r="E154" s="83" t="e">
        <f>#REF!</f>
        <v>#REF!</v>
      </c>
      <c r="F154" s="83" t="e">
        <f>#REF!</f>
        <v>#REF!</v>
      </c>
      <c r="G154" s="83" t="e">
        <f>#REF!</f>
        <v>#REF!</v>
      </c>
      <c r="H154" s="83" t="e">
        <f>#REF!</f>
        <v>#REF!</v>
      </c>
      <c r="I154" s="83" t="e">
        <f>#REF!</f>
        <v>#REF!</v>
      </c>
      <c r="J154" s="50"/>
      <c r="K154" s="50"/>
      <c r="L154" s="50"/>
      <c r="M154" s="50"/>
      <c r="N154" s="50"/>
    </row>
    <row r="155" spans="2:14" s="5" customFormat="1" x14ac:dyDescent="0.4">
      <c r="D155" s="49"/>
      <c r="E155" s="49"/>
      <c r="F155" s="49"/>
      <c r="G155" s="49"/>
      <c r="H155" s="49"/>
      <c r="I155" s="49"/>
      <c r="J155" s="50"/>
      <c r="K155" s="50"/>
      <c r="L155" s="50"/>
      <c r="M155" s="50"/>
      <c r="N155" s="50"/>
    </row>
    <row r="156" spans="2:14" s="5" customFormat="1" x14ac:dyDescent="0.4">
      <c r="B156" s="14" t="s">
        <v>106</v>
      </c>
      <c r="D156" s="49"/>
      <c r="E156" s="49"/>
      <c r="F156" s="49"/>
      <c r="G156" s="49"/>
      <c r="H156" s="49"/>
      <c r="I156" s="49"/>
      <c r="J156" s="50"/>
      <c r="K156" s="50"/>
      <c r="L156" s="50"/>
      <c r="M156" s="50"/>
      <c r="N156" s="50"/>
    </row>
    <row r="157" spans="2:14" s="5" customFormat="1" x14ac:dyDescent="0.4">
      <c r="C157" t="s">
        <v>71</v>
      </c>
      <c r="D157" s="49"/>
      <c r="E157" s="25" t="e">
        <f>D159</f>
        <v>#REF!</v>
      </c>
      <c r="F157" s="25" t="e">
        <f t="shared" ref="F157:I157" si="44">E159</f>
        <v>#REF!</v>
      </c>
      <c r="G157" s="25" t="e">
        <f t="shared" si="44"/>
        <v>#REF!</v>
      </c>
      <c r="H157" s="25" t="e">
        <f t="shared" si="44"/>
        <v>#REF!</v>
      </c>
      <c r="I157" s="25" t="e">
        <f t="shared" si="44"/>
        <v>#REF!</v>
      </c>
      <c r="J157" s="50"/>
      <c r="K157" s="72"/>
      <c r="L157" s="50"/>
      <c r="M157" s="50"/>
      <c r="N157" s="50"/>
    </row>
    <row r="158" spans="2:14" s="5" customFormat="1" x14ac:dyDescent="0.4">
      <c r="C158" t="s">
        <v>77</v>
      </c>
      <c r="D158" s="49"/>
      <c r="E158" s="78" t="e">
        <f>#REF!</f>
        <v>#REF!</v>
      </c>
      <c r="F158" s="78" t="e">
        <f>#REF!</f>
        <v>#REF!</v>
      </c>
      <c r="G158" s="78" t="e">
        <f>#REF!</f>
        <v>#REF!</v>
      </c>
      <c r="H158" s="78" t="e">
        <f>#REF!</f>
        <v>#REF!</v>
      </c>
      <c r="I158" s="78" t="e">
        <f>#REF!</f>
        <v>#REF!</v>
      </c>
      <c r="J158" s="50"/>
      <c r="K158" s="72"/>
      <c r="L158" s="50"/>
      <c r="M158" s="50"/>
      <c r="N158" s="50"/>
    </row>
    <row r="159" spans="2:14" x14ac:dyDescent="0.4">
      <c r="C159" t="s">
        <v>73</v>
      </c>
      <c r="D159" s="78" t="e">
        <f>#REF!</f>
        <v>#REF!</v>
      </c>
      <c r="E159" s="48" t="e">
        <f>SUM(E157:E158)</f>
        <v>#REF!</v>
      </c>
      <c r="F159" s="48" t="e">
        <f t="shared" ref="F159:I159" si="45">SUM(F157:F158)</f>
        <v>#REF!</v>
      </c>
      <c r="G159" s="48" t="e">
        <f t="shared" si="45"/>
        <v>#REF!</v>
      </c>
      <c r="H159" s="48" t="e">
        <f t="shared" si="45"/>
        <v>#REF!</v>
      </c>
      <c r="I159" s="48" t="e">
        <f t="shared" si="45"/>
        <v>#REF!</v>
      </c>
      <c r="K159" s="73"/>
    </row>
    <row r="160" spans="2:14" x14ac:dyDescent="0.4">
      <c r="D160" s="25"/>
      <c r="E160" s="25"/>
      <c r="F160" s="25"/>
      <c r="G160" s="25"/>
      <c r="H160" s="25"/>
      <c r="I160" s="25"/>
    </row>
    <row r="161" spans="2:10" x14ac:dyDescent="0.4">
      <c r="B161" s="14" t="s">
        <v>64</v>
      </c>
      <c r="D161" s="25"/>
      <c r="E161" s="25"/>
      <c r="F161" s="25"/>
      <c r="G161" s="25"/>
      <c r="H161" s="25"/>
      <c r="I161" s="25"/>
    </row>
    <row r="162" spans="2:10" x14ac:dyDescent="0.4">
      <c r="C162" t="s">
        <v>78</v>
      </c>
      <c r="D162" s="25"/>
      <c r="E162" s="25" t="e">
        <f>D165</f>
        <v>#REF!</v>
      </c>
      <c r="F162" s="25" t="e">
        <f t="shared" ref="F162:I162" si="46">E165</f>
        <v>#REF!</v>
      </c>
      <c r="G162" s="25" t="e">
        <f t="shared" si="46"/>
        <v>#REF!</v>
      </c>
      <c r="H162" s="25" t="e">
        <f t="shared" si="46"/>
        <v>#REF!</v>
      </c>
      <c r="I162" s="25" t="e">
        <f t="shared" si="46"/>
        <v>#REF!</v>
      </c>
    </row>
    <row r="163" spans="2:10" x14ac:dyDescent="0.4">
      <c r="C163" t="s">
        <v>79</v>
      </c>
      <c r="D163" s="25"/>
      <c r="E163" s="78" t="e">
        <f>#REF!</f>
        <v>#REF!</v>
      </c>
      <c r="F163" s="78" t="e">
        <f>#REF!</f>
        <v>#REF!</v>
      </c>
      <c r="G163" s="78" t="e">
        <f>#REF!</f>
        <v>#REF!</v>
      </c>
      <c r="H163" s="78" t="e">
        <f>#REF!</f>
        <v>#REF!</v>
      </c>
      <c r="I163" s="78" t="e">
        <f>#REF!</f>
        <v>#REF!</v>
      </c>
    </row>
    <row r="164" spans="2:10" x14ac:dyDescent="0.4">
      <c r="C164" t="s">
        <v>48</v>
      </c>
      <c r="D164" s="25"/>
      <c r="E164" s="78" t="e">
        <f>#REF!</f>
        <v>#REF!</v>
      </c>
      <c r="F164" s="78" t="e">
        <f>#REF!</f>
        <v>#REF!</v>
      </c>
      <c r="G164" s="78" t="e">
        <f>#REF!</f>
        <v>#REF!</v>
      </c>
      <c r="H164" s="78" t="e">
        <f>#REF!</f>
        <v>#REF!</v>
      </c>
      <c r="I164" s="78" t="e">
        <f>#REF!</f>
        <v>#REF!</v>
      </c>
    </row>
    <row r="165" spans="2:10" x14ac:dyDescent="0.4">
      <c r="C165" t="s">
        <v>73</v>
      </c>
      <c r="D165" s="78" t="e">
        <f>#REF!</f>
        <v>#REF!</v>
      </c>
      <c r="E165" s="48" t="e">
        <f>SUM(E162:E164)</f>
        <v>#REF!</v>
      </c>
      <c r="F165" s="48" t="e">
        <f t="shared" ref="F165:I165" si="47">SUM(F162:F164)</f>
        <v>#REF!</v>
      </c>
      <c r="G165" s="48" t="e">
        <f t="shared" si="47"/>
        <v>#REF!</v>
      </c>
      <c r="H165" s="48" t="e">
        <f t="shared" si="47"/>
        <v>#REF!</v>
      </c>
      <c r="I165" s="48" t="e">
        <f t="shared" si="47"/>
        <v>#REF!</v>
      </c>
    </row>
    <row r="166" spans="2:10" x14ac:dyDescent="0.4">
      <c r="D166" s="25"/>
      <c r="E166" s="25"/>
      <c r="F166" s="25"/>
      <c r="G166" s="25"/>
      <c r="H166" s="25"/>
      <c r="I166" s="25"/>
    </row>
    <row r="167" spans="2:10" x14ac:dyDescent="0.4">
      <c r="B167" s="14" t="s">
        <v>80</v>
      </c>
      <c r="D167" s="25"/>
      <c r="E167" s="25"/>
      <c r="F167" s="25"/>
      <c r="G167" s="25"/>
      <c r="H167" s="25"/>
      <c r="I167" s="25"/>
    </row>
    <row r="168" spans="2:10" x14ac:dyDescent="0.4">
      <c r="C168" t="s">
        <v>78</v>
      </c>
      <c r="D168" s="25"/>
      <c r="E168" s="25" t="e">
        <f>D170</f>
        <v>#REF!</v>
      </c>
      <c r="F168" s="25" t="e">
        <f t="shared" ref="F168:I168" si="48">E170</f>
        <v>#REF!</v>
      </c>
      <c r="G168" s="25" t="e">
        <f t="shared" si="48"/>
        <v>#REF!</v>
      </c>
      <c r="H168" s="25" t="e">
        <f t="shared" si="48"/>
        <v>#REF!</v>
      </c>
      <c r="I168" s="25" t="e">
        <f t="shared" si="48"/>
        <v>#REF!</v>
      </c>
    </row>
    <row r="169" spans="2:10" x14ac:dyDescent="0.4">
      <c r="C169" t="s">
        <v>81</v>
      </c>
      <c r="D169" s="25"/>
      <c r="E169" s="78" t="e">
        <f>#REF!</f>
        <v>#REF!</v>
      </c>
      <c r="F169" s="78" t="e">
        <f>#REF!</f>
        <v>#REF!</v>
      </c>
      <c r="G169" s="78" t="e">
        <f>#REF!</f>
        <v>#REF!</v>
      </c>
      <c r="H169" s="78" t="e">
        <f>#REF!</f>
        <v>#REF!</v>
      </c>
      <c r="I169" s="78" t="e">
        <f>#REF!</f>
        <v>#REF!</v>
      </c>
    </row>
    <row r="170" spans="2:10" x14ac:dyDescent="0.4">
      <c r="C170" t="s">
        <v>73</v>
      </c>
      <c r="D170" s="78" t="e">
        <f>#REF!</f>
        <v>#REF!</v>
      </c>
      <c r="E170" s="48" t="e">
        <f>SUM(E168:E169)</f>
        <v>#REF!</v>
      </c>
      <c r="F170" s="48" t="e">
        <f t="shared" ref="F170:I170" si="49">SUM(F168:F169)</f>
        <v>#REF!</v>
      </c>
      <c r="G170" s="48" t="e">
        <f t="shared" si="49"/>
        <v>#REF!</v>
      </c>
      <c r="H170" s="48" t="e">
        <f t="shared" si="49"/>
        <v>#REF!</v>
      </c>
      <c r="I170" s="48" t="e">
        <f t="shared" si="49"/>
        <v>#REF!</v>
      </c>
    </row>
    <row r="171" spans="2:10" x14ac:dyDescent="0.4">
      <c r="D171" s="25"/>
      <c r="E171" s="25"/>
      <c r="F171" s="25"/>
      <c r="G171" s="25"/>
      <c r="H171" s="25"/>
      <c r="I171" s="25"/>
    </row>
    <row r="172" spans="2:10" x14ac:dyDescent="0.4">
      <c r="B172" s="8" t="s">
        <v>82</v>
      </c>
      <c r="C172" s="9"/>
      <c r="D172" s="9"/>
      <c r="E172" s="9"/>
      <c r="F172" s="9"/>
      <c r="G172" s="9"/>
      <c r="H172" s="9"/>
      <c r="I172" s="9"/>
      <c r="J172" s="9"/>
    </row>
    <row r="173" spans="2:10" x14ac:dyDescent="0.4">
      <c r="B173" t="s">
        <v>83</v>
      </c>
      <c r="D173" s="61">
        <f>D11</f>
        <v>41639</v>
      </c>
      <c r="E173" s="62">
        <f>EDATE(D173,12)</f>
        <v>42004</v>
      </c>
      <c r="F173" s="62">
        <f t="shared" ref="F173:I173" si="50">EDATE(E173,12)</f>
        <v>42369</v>
      </c>
      <c r="G173" s="62">
        <f t="shared" si="50"/>
        <v>42735</v>
      </c>
      <c r="H173" s="62">
        <f t="shared" si="50"/>
        <v>43100</v>
      </c>
      <c r="I173" s="62">
        <f t="shared" si="50"/>
        <v>43465</v>
      </c>
    </row>
    <row r="174" spans="2:10" x14ac:dyDescent="0.4">
      <c r="B174" t="s">
        <v>7</v>
      </c>
      <c r="E174" s="28">
        <f>$D$13</f>
        <v>6</v>
      </c>
      <c r="F174" s="28">
        <f t="shared" ref="F174:I174" si="51">$D$13</f>
        <v>6</v>
      </c>
      <c r="G174" s="28">
        <f t="shared" si="51"/>
        <v>6</v>
      </c>
      <c r="H174" s="28">
        <f t="shared" si="51"/>
        <v>6</v>
      </c>
      <c r="I174" s="28">
        <f t="shared" si="51"/>
        <v>6</v>
      </c>
    </row>
    <row r="175" spans="2:10" x14ac:dyDescent="0.4">
      <c r="B175" t="s">
        <v>47</v>
      </c>
      <c r="E175" s="25" t="e">
        <f>E59</f>
        <v>#REF!</v>
      </c>
      <c r="F175" s="25" t="e">
        <f>F59</f>
        <v>#REF!</v>
      </c>
      <c r="G175" s="25" t="e">
        <f>G59</f>
        <v>#REF!</v>
      </c>
      <c r="H175" s="25" t="e">
        <f>H59</f>
        <v>#REF!</v>
      </c>
      <c r="I175" s="25" t="e">
        <f>I59</f>
        <v>#REF!</v>
      </c>
    </row>
    <row r="176" spans="2:10" x14ac:dyDescent="0.4">
      <c r="B176" s="14" t="s">
        <v>21</v>
      </c>
      <c r="C176" s="14"/>
      <c r="D176" s="14"/>
      <c r="E176" s="76" t="e">
        <f>#REF!</f>
        <v>#REF!</v>
      </c>
      <c r="F176" s="76" t="e">
        <f>#REF!</f>
        <v>#REF!</v>
      </c>
      <c r="G176" s="76" t="e">
        <f>#REF!</f>
        <v>#REF!</v>
      </c>
      <c r="H176" s="76" t="e">
        <f>#REF!</f>
        <v>#REF!</v>
      </c>
      <c r="I176" s="76" t="e">
        <f>#REF!</f>
        <v>#REF!</v>
      </c>
      <c r="J176" s="14"/>
    </row>
    <row r="178" spans="2:16" x14ac:dyDescent="0.4">
      <c r="B178" t="s">
        <v>11</v>
      </c>
      <c r="E178" s="25" t="e">
        <f>E105</f>
        <v>#REF!</v>
      </c>
      <c r="F178" s="25" t="e">
        <f t="shared" ref="F178:I179" si="52">F105</f>
        <v>#REF!</v>
      </c>
      <c r="G178" s="25" t="e">
        <f t="shared" si="52"/>
        <v>#REF!</v>
      </c>
      <c r="H178" s="25" t="e">
        <f t="shared" si="52"/>
        <v>#REF!</v>
      </c>
      <c r="I178" s="25" t="e">
        <f t="shared" si="52"/>
        <v>#REF!</v>
      </c>
    </row>
    <row r="179" spans="2:16" x14ac:dyDescent="0.4">
      <c r="B179" t="s">
        <v>12</v>
      </c>
      <c r="E179" s="25" t="e">
        <f>E106</f>
        <v>#REF!</v>
      </c>
      <c r="F179" s="25" t="e">
        <f t="shared" si="52"/>
        <v>#REF!</v>
      </c>
      <c r="G179" s="25" t="e">
        <f t="shared" si="52"/>
        <v>#REF!</v>
      </c>
      <c r="H179" s="25" t="e">
        <f t="shared" si="52"/>
        <v>#REF!</v>
      </c>
      <c r="I179" s="25" t="e">
        <f t="shared" si="52"/>
        <v>#REF!</v>
      </c>
    </row>
    <row r="180" spans="2:16" x14ac:dyDescent="0.4">
      <c r="B180" s="14" t="s">
        <v>20</v>
      </c>
      <c r="C180" s="14"/>
      <c r="D180" s="14"/>
      <c r="E180" s="29" t="e">
        <f>SUM(E178:E179)</f>
        <v>#REF!</v>
      </c>
      <c r="F180" s="29" t="e">
        <f>SUM(F178:F179)</f>
        <v>#REF!</v>
      </c>
      <c r="G180" s="29" t="e">
        <f>SUM(G178:G179)</f>
        <v>#REF!</v>
      </c>
      <c r="H180" s="29" t="e">
        <f>SUM(H178:H179)</f>
        <v>#REF!</v>
      </c>
      <c r="I180" s="29" t="e">
        <f>SUM(I178:I179)</f>
        <v>#REF!</v>
      </c>
      <c r="J180" s="14"/>
    </row>
    <row r="181" spans="2:16" x14ac:dyDescent="0.4">
      <c r="B181" t="s">
        <v>99</v>
      </c>
      <c r="E181" s="25" t="e">
        <f>-E99+$D$10</f>
        <v>#REF!</v>
      </c>
      <c r="F181" s="25" t="e">
        <f t="shared" ref="F181:I181" si="53">-F99+$D$10</f>
        <v>#REF!</v>
      </c>
      <c r="G181" s="25" t="e">
        <f t="shared" si="53"/>
        <v>#REF!</v>
      </c>
      <c r="H181" s="25" t="e">
        <f t="shared" si="53"/>
        <v>#REF!</v>
      </c>
      <c r="I181" s="25" t="e">
        <f t="shared" si="53"/>
        <v>#REF!</v>
      </c>
    </row>
    <row r="182" spans="2:16" x14ac:dyDescent="0.4">
      <c r="B182" s="14"/>
      <c r="E182" s="29"/>
      <c r="F182" s="29"/>
      <c r="G182" s="29"/>
      <c r="H182" s="29"/>
      <c r="I182" s="29"/>
    </row>
    <row r="183" spans="2:16" x14ac:dyDescent="0.4">
      <c r="I183" s="63"/>
    </row>
    <row r="184" spans="2:16" x14ac:dyDescent="0.4">
      <c r="B184" s="14" t="s">
        <v>84</v>
      </c>
      <c r="E184" s="29" t="e">
        <f t="shared" ref="E184:I184" si="54">E176-SUM(E180:E181)</f>
        <v>#REF!</v>
      </c>
      <c r="F184" s="29" t="e">
        <f t="shared" si="54"/>
        <v>#REF!</v>
      </c>
      <c r="G184" s="29" t="e">
        <f t="shared" si="54"/>
        <v>#REF!</v>
      </c>
      <c r="H184" s="29" t="e">
        <f t="shared" si="54"/>
        <v>#REF!</v>
      </c>
      <c r="I184" s="29" t="e">
        <f t="shared" si="54"/>
        <v>#REF!</v>
      </c>
    </row>
    <row r="185" spans="2:16" x14ac:dyDescent="0.4">
      <c r="B185" t="s">
        <v>98</v>
      </c>
      <c r="J185" s="15" t="s">
        <v>85</v>
      </c>
    </row>
    <row r="186" spans="2:16" x14ac:dyDescent="0.4">
      <c r="B186" s="70"/>
      <c r="C186" s="71">
        <f t="array" ref="C186:C190">TRANSPOSE(E4:I4)</f>
        <v>2014</v>
      </c>
      <c r="D186" s="25" t="e">
        <f>-$D$26</f>
        <v>#REF!</v>
      </c>
      <c r="E186" s="25" t="e">
        <f>E184</f>
        <v>#REF!</v>
      </c>
      <c r="F186" s="85">
        <v>0</v>
      </c>
      <c r="G186" s="85">
        <v>0</v>
      </c>
      <c r="H186" s="85">
        <v>0</v>
      </c>
      <c r="I186" s="85">
        <v>0</v>
      </c>
      <c r="J186" s="84" t="e">
        <v>#REF!</v>
      </c>
      <c r="K186" s="33"/>
      <c r="P186" s="66"/>
    </row>
    <row r="187" spans="2:16" x14ac:dyDescent="0.4">
      <c r="B187" s="70"/>
      <c r="C187" s="71">
        <v>2015</v>
      </c>
      <c r="D187" s="25" t="e">
        <f>-$D$26</f>
        <v>#REF!</v>
      </c>
      <c r="E187" s="85">
        <v>0</v>
      </c>
      <c r="F187" s="25" t="e">
        <f>F184</f>
        <v>#REF!</v>
      </c>
      <c r="G187" s="85">
        <v>0</v>
      </c>
      <c r="H187" s="85">
        <v>0</v>
      </c>
      <c r="I187" s="85">
        <v>0</v>
      </c>
      <c r="J187" s="84" t="e">
        <v>#REF!</v>
      </c>
      <c r="K187" s="33"/>
      <c r="P187" s="66"/>
    </row>
    <row r="188" spans="2:16" x14ac:dyDescent="0.4">
      <c r="B188" s="70"/>
      <c r="C188" s="71">
        <v>2016</v>
      </c>
      <c r="D188" s="25" t="e">
        <f>-$D$26</f>
        <v>#REF!</v>
      </c>
      <c r="E188" s="85">
        <v>0</v>
      </c>
      <c r="F188" s="85">
        <v>0</v>
      </c>
      <c r="G188" s="25" t="e">
        <f>G184</f>
        <v>#REF!</v>
      </c>
      <c r="H188" s="85">
        <v>0</v>
      </c>
      <c r="I188" s="85">
        <v>0</v>
      </c>
      <c r="J188" s="84" t="e">
        <v>#REF!</v>
      </c>
      <c r="K188" s="33"/>
      <c r="P188" s="66"/>
    </row>
    <row r="189" spans="2:16" x14ac:dyDescent="0.4">
      <c r="B189" s="70"/>
      <c r="C189" s="71">
        <v>2017</v>
      </c>
      <c r="D189" s="25" t="e">
        <f>-$D$26</f>
        <v>#REF!</v>
      </c>
      <c r="E189" s="85">
        <v>0</v>
      </c>
      <c r="F189" s="85">
        <v>0</v>
      </c>
      <c r="G189" s="85">
        <v>0</v>
      </c>
      <c r="H189" s="25" t="e">
        <f>H184</f>
        <v>#REF!</v>
      </c>
      <c r="I189" s="85">
        <v>0</v>
      </c>
      <c r="J189" s="84" t="e">
        <v>#REF!</v>
      </c>
      <c r="K189" s="33"/>
      <c r="P189" s="66"/>
    </row>
    <row r="190" spans="2:16" x14ac:dyDescent="0.4">
      <c r="B190" s="70"/>
      <c r="C190" s="71">
        <v>2018</v>
      </c>
      <c r="D190" s="25" t="e">
        <f>-$D$26</f>
        <v>#REF!</v>
      </c>
      <c r="E190" s="85">
        <v>0</v>
      </c>
      <c r="F190" s="85">
        <v>0</v>
      </c>
      <c r="G190" s="85">
        <v>0</v>
      </c>
      <c r="H190" s="85">
        <v>0</v>
      </c>
      <c r="I190" s="25" t="e">
        <f>I184</f>
        <v>#REF!</v>
      </c>
      <c r="J190" s="84" t="e">
        <v>#REF!</v>
      </c>
      <c r="K190" s="33"/>
      <c r="P190" s="66"/>
    </row>
    <row r="191" spans="2:16" x14ac:dyDescent="0.4">
      <c r="C191" s="64"/>
    </row>
    <row r="192" spans="2:16" x14ac:dyDescent="0.4">
      <c r="B192" s="8" t="s">
        <v>86</v>
      </c>
      <c r="C192" s="9"/>
      <c r="D192" s="9"/>
      <c r="E192" s="9"/>
      <c r="F192" s="9"/>
      <c r="G192" s="9"/>
      <c r="H192" s="9"/>
      <c r="I192" s="9"/>
      <c r="J192" s="9"/>
    </row>
    <row r="193" spans="2:9" x14ac:dyDescent="0.4">
      <c r="B193" t="s">
        <v>87</v>
      </c>
      <c r="E193" s="28" t="e">
        <f>E117/E$59</f>
        <v>#REF!</v>
      </c>
      <c r="F193" s="28" t="e">
        <f t="shared" ref="F193:I195" si="55">F117/F$59</f>
        <v>#REF!</v>
      </c>
      <c r="G193" s="28" t="e">
        <f t="shared" si="55"/>
        <v>#REF!</v>
      </c>
      <c r="H193" s="28" t="e">
        <f t="shared" si="55"/>
        <v>#REF!</v>
      </c>
      <c r="I193" s="28" t="e">
        <f t="shared" si="55"/>
        <v>#REF!</v>
      </c>
    </row>
    <row r="194" spans="2:9" x14ac:dyDescent="0.4">
      <c r="B194" t="s">
        <v>88</v>
      </c>
      <c r="E194" s="28" t="e">
        <f>E118/E$59</f>
        <v>#REF!</v>
      </c>
      <c r="F194" s="28" t="e">
        <f t="shared" si="55"/>
        <v>#REF!</v>
      </c>
      <c r="G194" s="28" t="e">
        <f t="shared" si="55"/>
        <v>#REF!</v>
      </c>
      <c r="H194" s="28" t="e">
        <f t="shared" si="55"/>
        <v>#REF!</v>
      </c>
      <c r="I194" s="28" t="e">
        <f t="shared" si="55"/>
        <v>#REF!</v>
      </c>
    </row>
    <row r="195" spans="2:9" x14ac:dyDescent="0.4">
      <c r="B195" t="s">
        <v>89</v>
      </c>
      <c r="E195" s="28" t="e">
        <f>E119/E$59</f>
        <v>#REF!</v>
      </c>
      <c r="F195" s="28" t="e">
        <f t="shared" si="55"/>
        <v>#REF!</v>
      </c>
      <c r="G195" s="28" t="e">
        <f t="shared" si="55"/>
        <v>#REF!</v>
      </c>
      <c r="H195" s="28" t="e">
        <f t="shared" si="55"/>
        <v>#REF!</v>
      </c>
      <c r="I195" s="28" t="e">
        <f t="shared" si="55"/>
        <v>#REF!</v>
      </c>
    </row>
    <row r="196" spans="2:9" x14ac:dyDescent="0.4">
      <c r="B196" t="s">
        <v>90</v>
      </c>
      <c r="E196" s="28" t="e">
        <f>(E$59-E163)/-E64</f>
        <v>#REF!</v>
      </c>
      <c r="F196" s="28" t="e">
        <f>(F$59-F163)/-F64</f>
        <v>#REF!</v>
      </c>
      <c r="G196" s="28" t="e">
        <f>(G$59-G163)/-G64</f>
        <v>#REF!</v>
      </c>
      <c r="H196" s="28" t="e">
        <f>(H$59-H163)/-H64</f>
        <v>#REF!</v>
      </c>
      <c r="I196" s="28" t="e">
        <f>(I$59-I163)/-I64</f>
        <v>#REF!</v>
      </c>
    </row>
    <row r="197" spans="2:9" x14ac:dyDescent="0.4">
      <c r="B197" t="s">
        <v>91</v>
      </c>
      <c r="E197" s="65" t="e">
        <f>-E84/(E141+E75)</f>
        <v>#REF!</v>
      </c>
      <c r="F197" s="65" t="e">
        <f>-F84/(F141+F75)</f>
        <v>#REF!</v>
      </c>
      <c r="G197" s="65" t="e">
        <f>-G84/(G141+G75)</f>
        <v>#REF!</v>
      </c>
      <c r="H197" s="65" t="e">
        <f>-H84/(H141+H75)</f>
        <v>#REF!</v>
      </c>
      <c r="I197" s="65" t="e">
        <f>-I84/(I141+I75)</f>
        <v>#REF!</v>
      </c>
    </row>
  </sheetData>
  <conditionalFormatting sqref="D114:I114">
    <cfRule type="cellIs" dxfId="5" priority="2" operator="equal">
      <formula>"Ok"</formula>
    </cfRule>
  </conditionalFormatting>
  <conditionalFormatting sqref="D28">
    <cfRule type="cellIs" dxfId="4" priority="1" operator="equal">
      <formula>"Ok"</formula>
    </cfRule>
  </conditionalFormatting>
  <pageMargins left="0.7" right="0.7" top="0.75" bottom="0.75" header="0.3" footer="0.3"/>
  <pageSetup paperSize="9" scale="9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2013-11-03T12:49:59Z</dcterms:created>
  <dcterms:modified xsi:type="dcterms:W3CDTF">2023-02-24T10:12:54Z</dcterms:modified>
</cp:coreProperties>
</file>