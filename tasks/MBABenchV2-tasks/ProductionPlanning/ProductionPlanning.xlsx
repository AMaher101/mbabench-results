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Non-Financial or Non-FP&amp;A Model\ProductionPlanning\starting_files\"/>
    </mc:Choice>
  </mc:AlternateContent>
  <xr:revisionPtr revIDLastSave="0" documentId="13_ncr:1_{814C99AF-FC7E-4CBF-BCA6-3AB21B48BB00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Assumption" sheetId="9" r:id="rId2"/>
    <sheet name="Baked goods" sheetId="19" r:id="rId3"/>
    <sheet name="Machines" sheetId="20" r:id="rId4"/>
    <sheet name="Production Plan" sheetId="21" r:id="rId5"/>
    <sheet name="Questions" sheetId="6" r:id="rId6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<sst xmlns="http://schemas.openxmlformats.org/spreadsheetml/2006/main" count="214" uniqueCount="140">
  <si>
    <t>Answers</t>
  </si>
  <si>
    <t>[years]</t>
  </si>
  <si>
    <t>End Sheet</t>
  </si>
  <si>
    <t>Questions (please round your answers to two decimal places)</t>
  </si>
  <si>
    <t>Unit</t>
  </si>
  <si>
    <t>Answer the questions using your model.</t>
  </si>
  <si>
    <t>Model basics</t>
  </si>
  <si>
    <t>Non-Financial or Non-FP&amp;A Model</t>
  </si>
  <si>
    <t>Production Planning</t>
  </si>
  <si>
    <t>Baked good</t>
  </si>
  <si>
    <t>Wheat bread</t>
  </si>
  <si>
    <t>Whole grain bread</t>
  </si>
  <si>
    <t>Wheat roll</t>
  </si>
  <si>
    <t>Multigrain roll</t>
  </si>
  <si>
    <t>Croissants</t>
  </si>
  <si>
    <t>Baguette</t>
  </si>
  <si>
    <t>Rye bread</t>
  </si>
  <si>
    <t>Milk roll</t>
  </si>
  <si>
    <t>Brioche</t>
  </si>
  <si>
    <t>Pretzel</t>
  </si>
  <si>
    <t>Ciabatta</t>
  </si>
  <si>
    <t>Seeded loaf</t>
  </si>
  <si>
    <t>Flour [g]</t>
  </si>
  <si>
    <t>Water [g]</t>
  </si>
  <si>
    <t>Salt [g]</t>
  </si>
  <si>
    <t>Yeast [g]</t>
  </si>
  <si>
    <t>Sugar [g]</t>
  </si>
  <si>
    <t>Butter [g]</t>
  </si>
  <si>
    <t>Milk [g]</t>
  </si>
  <si>
    <t>Seeds/grains [g]</t>
  </si>
  <si>
    <t>Machine</t>
  </si>
  <si>
    <t>Dough mixer / kneading machine</t>
  </si>
  <si>
    <t>Dough divider</t>
  </si>
  <si>
    <t>Proofing chamber</t>
  </si>
  <si>
    <t>Tunnel oven</t>
  </si>
  <si>
    <t>Round moulder / proofing baskets</t>
  </si>
  <si>
    <t>Roll former</t>
  </si>
  <si>
    <t>Laminating machine</t>
  </si>
  <si>
    <t>Portioning machine / rolling machine</t>
  </si>
  <si>
    <t>Dough portioner / long moulder</t>
  </si>
  <si>
    <t>Month</t>
  </si>
  <si>
    <t>You are planning the production items: Material, Production Staff and Machines for an Industrial bakery</t>
  </si>
  <si>
    <t>Each baked good requires different machines and different machine times.</t>
  </si>
  <si>
    <t>All machines are used for 12 years.</t>
  </si>
  <si>
    <t>Start your model with 0 inventory in the beginning.</t>
  </si>
  <si>
    <t>Start your model with 0 machines in the beginning.</t>
  </si>
  <si>
    <t xml:space="preserve">You are able to buy machines at the beginning of a month (they are immediatelly ready) - once bought, machines stay with the company. </t>
  </si>
  <si>
    <t>Machines cannot run without employees.</t>
  </si>
  <si>
    <t>You are given a table called 'Production Plan' where the monthly production in pcs. per baked good is stated - assume consistent production across all production days.</t>
  </si>
  <si>
    <t>Purpose of the model is to assess the (minimum) needed production items per month - this will be used for other stuff like CapEx planning (outside the scope of this model).</t>
  </si>
  <si>
    <t>Employees can be hired and fired for each month (no time offset).</t>
  </si>
  <si>
    <t>Weight directly equals material consumption in this model.</t>
  </si>
  <si>
    <t>Build a monthly model for the model period for the production planning of the company for all production items.</t>
  </si>
  <si>
    <t>Model period</t>
  </si>
  <si>
    <t>Months per year</t>
  </si>
  <si>
    <t>You are given a table called 'Machines' where the time in minutes each baked good (per pcs.) needs on the respective machine is given.</t>
  </si>
  <si>
    <t>Machines</t>
  </si>
  <si>
    <t>Useful life</t>
  </si>
  <si>
    <t>Capacity</t>
  </si>
  <si>
    <t>[%]</t>
  </si>
  <si>
    <t>(up to)</t>
  </si>
  <si>
    <t>Production</t>
  </si>
  <si>
    <t>Production free day</t>
  </si>
  <si>
    <t>Sunday</t>
  </si>
  <si>
    <t>Start your model with 0 employees in the beginning.</t>
  </si>
  <si>
    <t>Shifts per day</t>
  </si>
  <si>
    <t>Hours per shift</t>
  </si>
  <si>
    <t>[h]</t>
  </si>
  <si>
    <t>Employees and machines can only be modeled in full units.</t>
  </si>
  <si>
    <t>Material is ordered at the beginning of the month and inventory is zero at months end (can be ordered exactly/ no other constraints, unlimited supply).</t>
  </si>
  <si>
    <t>Employees are working (up to) 1 shift per day.</t>
  </si>
  <si>
    <t>(company)</t>
  </si>
  <si>
    <t>Machine handling per employee</t>
  </si>
  <si>
    <t>[machines]</t>
  </si>
  <si>
    <t>Shifts per day (per production employee)</t>
  </si>
  <si>
    <t>The number of machines is monotonically non-decreasing - minimize new purchases each month given that all previously bought machines are retained.</t>
  </si>
  <si>
    <t>You are given a table called 'Baked goods' where the weight per product unit is given in grams.</t>
  </si>
  <si>
    <t>Grams per Kilogram</t>
  </si>
  <si>
    <t>[kg]</t>
  </si>
  <si>
    <t>Minutes per hour</t>
  </si>
  <si>
    <t>[pcs.]</t>
  </si>
  <si>
    <t>How many kilograms of Butter will be needed for production in 10-2027?</t>
  </si>
  <si>
    <t>How many kilograms of Butter will be needed for production in 10-2033?</t>
  </si>
  <si>
    <t>How many kilograms of Butter will be needed for production in 7-2029?</t>
  </si>
  <si>
    <t>How many kilograms of Flour will be needed for production in 10-2035?</t>
  </si>
  <si>
    <t>How many kilograms of Flour will be needed for production in 2-2032?</t>
  </si>
  <si>
    <t>How many kilograms of Salt will be needed for production in 10-2029?</t>
  </si>
  <si>
    <t>How many kilograms of Salt will be needed for production in 2-2029?</t>
  </si>
  <si>
    <t>How many kilograms of Seeds/grains will be needed for production in 3-2028?</t>
  </si>
  <si>
    <t>How many kilograms of Sugar will be needed for production in 5-2033?</t>
  </si>
  <si>
    <t>How many kilograms of Sugar will be needed for production in 7-2032?</t>
  </si>
  <si>
    <t>How many kilograms of Water will be needed for production in 11-2029?</t>
  </si>
  <si>
    <t>How many kilograms of Water will be needed for production in 5-2035?</t>
  </si>
  <si>
    <t>How many kilograms of Water will be needed for production in 6-2027?</t>
  </si>
  <si>
    <t>How many kilograms of Yeast will be needed for production in 12-2030?</t>
  </si>
  <si>
    <t>How many kilograms of Yeast will be needed for production in 12-2034?</t>
  </si>
  <si>
    <t>How many Dough mixer / kneading machine are at the company in 10-2031?</t>
  </si>
  <si>
    <t>How many Dough mixer / kneading machine are at the company in 1-2036?</t>
  </si>
  <si>
    <t>How many Dough portioner / long moulder are at the company in 10-2035?</t>
  </si>
  <si>
    <t>How many Dough portioner / long moulder are at the company in 5-2035?</t>
  </si>
  <si>
    <t>How many Dough portioner / long moulder are at the company in 8-2028?</t>
  </si>
  <si>
    <t>How many Laminating machine are at the company in 1-2033?</t>
  </si>
  <si>
    <t>How many Laminating machine are at the company in 1-2036?</t>
  </si>
  <si>
    <t>How many Portioning machine / rolling machine are at the company in 3-2036?</t>
  </si>
  <si>
    <t>How many Proofing chamber are at the company in 2-2027?</t>
  </si>
  <si>
    <t>How many Proofing chamber are at the company in 7-2034?</t>
  </si>
  <si>
    <t>How many Roll former are at the company in 7-2035?</t>
  </si>
  <si>
    <t>How many Round moulder / proofing baskets are at the company in 2-2028?</t>
  </si>
  <si>
    <t>How many Round moulder / proofing baskets are at the company in 2-2036?</t>
  </si>
  <si>
    <t>How many Round moulder / proofing baskets are at the company in 4-2033?</t>
  </si>
  <si>
    <t>How many Tunnel oven are at the company in 11-2029?</t>
  </si>
  <si>
    <t>How many machines were purchased in the year 2031?</t>
  </si>
  <si>
    <t>How many machines were purchased in the year 2032?</t>
  </si>
  <si>
    <t>How many machines were purchased in the year 2034?</t>
  </si>
  <si>
    <t>How many machines were purchased in the year 2035?</t>
  </si>
  <si>
    <t>What is the number of Employees fired at the company in 10-2035?</t>
  </si>
  <si>
    <t>What is the number of Employees fired at the company in 1-2035?</t>
  </si>
  <si>
    <t>What is the number of Employees hired at the company in 10-2031?</t>
  </si>
  <si>
    <t>What is the number of Total employees at the company in 11-2036?</t>
  </si>
  <si>
    <t>What is the number of Total employees at the company in 1-2036?</t>
  </si>
  <si>
    <t>What is the number of Total employees at the company in 2-2031?</t>
  </si>
  <si>
    <t>What is the number of Total employees at the company in 2-2036?</t>
  </si>
  <si>
    <t>What is the number of Total employees at the company in 3-2028?</t>
  </si>
  <si>
    <t>What is the number of Total employees at the company in 5-2027?</t>
  </si>
  <si>
    <t>What is the number of Total employees at the company in 5-2030?</t>
  </si>
  <si>
    <t>What is the number of Total employees at the company in 5-2034?</t>
  </si>
  <si>
    <t>What is the number of Total employees at the company in 6-2028?</t>
  </si>
  <si>
    <t>What is the number of Total employees at the company in 8-2032?</t>
  </si>
  <si>
    <t>What is the number of Total employees at the company in 8-2033?</t>
  </si>
  <si>
    <t>What is the number of Total employees at the company in 9-2030?</t>
  </si>
  <si>
    <t>How many machines were purchased in the year 2033?</t>
  </si>
  <si>
    <t>Backed good [pcs.] \ Year</t>
  </si>
  <si>
    <t>Some assumptions live on the Instructions tab in prose; regardless, use the Assumption sheet values when they're available.</t>
  </si>
  <si>
    <t>Model start date</t>
  </si>
  <si>
    <t>The 85% utilization cap applies on a daily basis; since production is consistent across all production days, monthly capacity = daily capacity × production days in that month. 'Production days' = workdays (Mon–Sat).</t>
  </si>
  <si>
    <t>Machines are not required to run both shifts - they run only the minimum time necessary to fulfill production demand. A machine may run 1 or 2 shifts (/or partial shifts) depending on need. Employee coverage is required for the machine's full operating time (productive runtime ÷ 0.85), i.e. including setup/changes/cleaning.</t>
  </si>
  <si>
    <t>One employee's capacity per shift is 4 machines × 8 hours = 32 machine-hours. Required employees = total machine operating time ÷ monthly employee capacity. Assume the schedule is always feasible under the 4-simultaneous-machines rule; it is not modeled.</t>
  </si>
  <si>
    <t>The company produces on all days except Sundays in 2 shifts of 8 hours. No holidays. Sunday is fixed - the workday assumption is not parameterised.</t>
  </si>
  <si>
    <t>Model quantities only (no costs). Minimize machines and employees independently per month - no joint trade-off between the two."</t>
  </si>
  <si>
    <t>A machine's maximum productive runtime per day is 85% × 16h = 13.6h. The 16h base = 2 shifts × 8h is always the full daily operating window, regardless of how many shifts the machine actually runs (i.e. the cap is not pro-rated down to 6.8h on days a machine only runs one shift). The 15% overhead represents setup, product changeovers and cleaning. Partial-shift operation affects employee staffing only; machine-count sizing always uses the full 16h daily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</si>
</sst>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sz val="12"/>
      <color rgb="FF0000FF"/>
      <name val="Aptos Narrow"/>
      <family val="2"/>
      <scheme val="minor"/>
    </font>
    <font>
      <b/>
      <sz val="11"/>
      <color theme="1"/>
      <name val="Roboto"/>
    </font>
  </fonts>
  <fills count="7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0" fillId="5" borderId="2">
      <alignment horizontal="left"/>
    </xf>
    <xf numFmtId="0" fontId="11" fillId="0" borderId="0"/>
  </cellStyleXfs>
  <cellXfs count="26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8" fillId="0" borderId="0" xfId="2" applyFont="1"/>
    <xf numFmtId="0" fontId="5" fillId="0" borderId="0" xfId="2"/>
    <xf numFmtId="4" fontId="3" fillId="3" borderId="5" xfId="1" applyNumberFormat="1" applyFont="1" applyFill="1" applyBorder="1" applyAlignment="1">
      <alignment horizontal="center"/>
    </xf>
    <xf numFmtId="0" fontId="9" fillId="0" borderId="0" xfId="0" applyFont="1"/>
    <xf numFmtId="4" fontId="2" fillId="6" borderId="2" xfId="4" applyFont="1" applyFill="1">
      <alignment horizontal="left"/>
    </xf>
    <xf numFmtId="3" fontId="9" fillId="4" borderId="5" xfId="3" applyNumberFormat="1" applyFont="1" applyFill="1" applyBorder="1"/>
    <xf numFmtId="0" fontId="12" fillId="0" borderId="0" xfId="0" applyFont="1"/>
    <xf numFmtId="4" fontId="9" fillId="4" borderId="5" xfId="3" applyNumberFormat="1" applyFont="1" applyFill="1" applyBorder="1"/>
    <xf numFmtId="4" fontId="0" fillId="0" borderId="0" xfId="0" applyNumberFormat="1"/>
    <xf numFmtId="0" fontId="3" fillId="0" borderId="0" xfId="1" quotePrefix="1" applyFont="1" applyAlignment="1">
      <alignment horizontal="left"/>
    </xf>
    <xf numFmtId="0" fontId="0" fillId="0" borderId="0" xfId="0" quotePrefix="1"/>
    <xf numFmtId="9" fontId="9" fillId="4" borderId="5" xfId="3" applyFont="1" applyFill="1" applyBorder="1"/>
    <xf numFmtId="0" fontId="13" fillId="0" borderId="0" xfId="1" applyFont="1" applyAlignment="1">
      <alignment horizontal="left"/>
    </xf>
    <xf numFmtId="14" fontId="9" fillId="4" borderId="5" xfId="3" applyNumberFormat="1" applyFont="1" applyFill="1" applyBorder="1"/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6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5" xr:uid="{273FDE25-047F-448D-BEF1-698059824ACE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6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21" t="s">
        <v>7</v>
      </c>
      <c r="C2" s="22"/>
      <c r="D2" s="22"/>
      <c r="E2" s="22"/>
      <c r="F2" s="22"/>
      <c r="G2" s="22"/>
      <c r="H2" s="22"/>
      <c r="I2" s="22"/>
      <c r="J2" s="22"/>
      <c r="K2" s="23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4" t="s">
        <v>8</v>
      </c>
      <c r="C4" s="25"/>
      <c r="D4" s="25"/>
      <c r="E4" s="25"/>
      <c r="F4" s="25"/>
      <c r="G4" s="25"/>
      <c r="H4" s="25"/>
      <c r="I4" s="25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41</v>
      </c>
      <c r="C6" s="1"/>
      <c r="D6" s="1"/>
      <c r="E6" s="1"/>
      <c r="F6" s="1"/>
      <c r="G6" s="1"/>
      <c r="H6" s="1"/>
      <c r="I6" s="1"/>
      <c r="J6" s="1"/>
      <c r="K6" s="1"/>
    </row>
    <row r="7" spans="2:11" ht="15" customHeight="1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3" t="s">
        <v>48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1">
      <c r="B10" s="3" t="s">
        <v>76</v>
      </c>
    </row>
    <row r="11" spans="2:11">
      <c r="B11" s="16" t="s">
        <v>51</v>
      </c>
    </row>
    <row r="12" spans="2:11">
      <c r="B12" s="16" t="s">
        <v>44</v>
      </c>
    </row>
    <row r="13" spans="2:11">
      <c r="B13" s="16" t="s">
        <v>69</v>
      </c>
    </row>
    <row r="14" spans="2:11">
      <c r="B14" s="16"/>
    </row>
    <row r="15" spans="2:11">
      <c r="B15" s="3" t="s">
        <v>42</v>
      </c>
    </row>
    <row r="16" spans="2:11">
      <c r="B16" s="3" t="s">
        <v>55</v>
      </c>
    </row>
    <row r="17" spans="2:3">
      <c r="B17" s="3" t="s">
        <v>43</v>
      </c>
    </row>
    <row r="18" spans="2:3" s="3" customFormat="1">
      <c r="B18" s="3" t="s">
        <v>139</v>
      </c>
    </row>
    <row r="19" spans="2:3" s="3" customFormat="1">
      <c r="B19" s="3" t="s">
        <v>134</v>
      </c>
    </row>
    <row r="20" spans="2:3" s="3" customFormat="1">
      <c r="B20" s="3" t="s">
        <v>135</v>
      </c>
    </row>
    <row r="21" spans="2:3" s="3" customFormat="1">
      <c r="B21" s="3" t="s">
        <v>46</v>
      </c>
    </row>
    <row r="22" spans="2:3" s="3" customFormat="1">
      <c r="B22" s="3" t="s">
        <v>75</v>
      </c>
    </row>
    <row r="23" spans="2:3">
      <c r="B23" s="16" t="s">
        <v>45</v>
      </c>
    </row>
    <row r="24" spans="2:3">
      <c r="B24" s="16"/>
    </row>
    <row r="25" spans="2:3">
      <c r="B25" s="16" t="s">
        <v>137</v>
      </c>
      <c r="C25" s="1"/>
    </row>
    <row r="26" spans="2:3">
      <c r="B26" s="16" t="s">
        <v>136</v>
      </c>
      <c r="C26" s="1"/>
    </row>
    <row r="27" spans="2:3">
      <c r="B27" s="3" t="s">
        <v>70</v>
      </c>
      <c r="C27" s="1"/>
    </row>
    <row r="28" spans="2:3">
      <c r="B28" s="3" t="s">
        <v>50</v>
      </c>
      <c r="C28" s="1"/>
    </row>
    <row r="29" spans="2:3">
      <c r="B29" s="16" t="s">
        <v>64</v>
      </c>
      <c r="C29" s="1"/>
    </row>
    <row r="30" spans="2:3">
      <c r="B30" s="16" t="s">
        <v>47</v>
      </c>
      <c r="C30" s="1"/>
    </row>
    <row r="31" spans="2:3">
      <c r="B31" s="3"/>
    </row>
    <row r="32" spans="2:3">
      <c r="B32" s="3" t="s">
        <v>68</v>
      </c>
    </row>
    <row r="33" spans="2:2">
      <c r="B33" s="3" t="s">
        <v>52</v>
      </c>
    </row>
    <row r="34" spans="2:2">
      <c r="B34" s="3" t="s">
        <v>49</v>
      </c>
    </row>
    <row r="35" spans="2:2">
      <c r="B35" s="3" t="s">
        <v>138</v>
      </c>
    </row>
    <row r="36" spans="2:2">
      <c r="B36" s="3" t="s">
        <v>5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H25"/>
  <sheetViews>
    <sheetView showGridLines="0" zoomScale="85" workbookViewId="0"/>
  </sheetViews>
  <sheetFormatPr defaultRowHeight="14.4"/>
  <cols>
    <col min="1" max="1" width="4.77734375" style="6" customWidth="1"/>
    <col min="2" max="2" width="5.33203125" style="6" customWidth="1"/>
    <col min="3" max="3" width="17.33203125" bestFit="1" customWidth="1"/>
    <col min="5" max="5" width="13.6640625" customWidth="1"/>
    <col min="6" max="6" width="18.109375" bestFit="1" customWidth="1"/>
    <col min="7" max="7" width="19.5546875" bestFit="1" customWidth="1"/>
    <col min="11" max="110" width="10.109375" bestFit="1" customWidth="1"/>
  </cols>
  <sheetData>
    <row r="1" spans="1:8">
      <c r="A1" s="6" t="str">
        <f>Instructions!B2&amp;": "&amp;Instructions!B4</f>
        <v>Non-Financial or Non-FP&amp;A Model: Production Planning</v>
      </c>
    </row>
    <row r="2" spans="1:8">
      <c r="A2" s="6" t="s">
        <v>132</v>
      </c>
    </row>
    <row r="4" spans="1:8" s="11" customFormat="1" ht="14.4" customHeight="1">
      <c r="B4" s="11" t="s">
        <v>6</v>
      </c>
    </row>
    <row r="6" spans="1:8">
      <c r="C6" t="s">
        <v>133</v>
      </c>
      <c r="F6" s="20">
        <v>46388</v>
      </c>
    </row>
    <row r="7" spans="1:8">
      <c r="C7" t="s">
        <v>53</v>
      </c>
      <c r="F7" s="12">
        <v>10</v>
      </c>
      <c r="G7" s="10" t="s">
        <v>1</v>
      </c>
    </row>
    <row r="8" spans="1:8">
      <c r="C8" t="s">
        <v>54</v>
      </c>
      <c r="F8" s="12">
        <v>12</v>
      </c>
      <c r="G8" s="10"/>
    </row>
    <row r="9" spans="1:8">
      <c r="C9" t="s">
        <v>79</v>
      </c>
      <c r="F9" s="12">
        <v>60</v>
      </c>
      <c r="G9" s="10"/>
    </row>
    <row r="10" spans="1:8">
      <c r="C10" t="s">
        <v>77</v>
      </c>
      <c r="F10" s="12">
        <v>1000</v>
      </c>
      <c r="G10" s="10"/>
    </row>
    <row r="12" spans="1:8" s="11" customFormat="1" ht="14.4" customHeight="1">
      <c r="B12" s="11" t="s">
        <v>56</v>
      </c>
    </row>
    <row r="14" spans="1:8">
      <c r="C14" t="s">
        <v>57</v>
      </c>
      <c r="F14" s="12">
        <v>12</v>
      </c>
      <c r="G14" s="10" t="s">
        <v>1</v>
      </c>
    </row>
    <row r="15" spans="1:8">
      <c r="C15" t="s">
        <v>58</v>
      </c>
      <c r="F15" s="18">
        <v>0.85</v>
      </c>
      <c r="G15" s="10" t="s">
        <v>59</v>
      </c>
      <c r="H15" t="s">
        <v>60</v>
      </c>
    </row>
    <row r="16" spans="1:8">
      <c r="C16" t="s">
        <v>72</v>
      </c>
      <c r="F16" s="12">
        <v>4</v>
      </c>
      <c r="G16" s="10" t="s">
        <v>73</v>
      </c>
    </row>
    <row r="18" spans="2:8" s="11" customFormat="1" ht="14.4" customHeight="1">
      <c r="B18" s="11" t="s">
        <v>61</v>
      </c>
    </row>
    <row r="20" spans="2:8">
      <c r="C20" t="s">
        <v>62</v>
      </c>
      <c r="F20" s="18" t="s">
        <v>63</v>
      </c>
    </row>
    <row r="21" spans="2:8">
      <c r="C21" t="s">
        <v>65</v>
      </c>
      <c r="F21" s="12">
        <v>2</v>
      </c>
      <c r="H21" t="s">
        <v>71</v>
      </c>
    </row>
    <row r="22" spans="2:8">
      <c r="C22" t="s">
        <v>74</v>
      </c>
      <c r="F22" s="12">
        <v>1</v>
      </c>
      <c r="H22" t="s">
        <v>60</v>
      </c>
    </row>
    <row r="23" spans="2:8">
      <c r="C23" t="s">
        <v>66</v>
      </c>
      <c r="F23" s="12">
        <v>8</v>
      </c>
      <c r="G23" s="10" t="s">
        <v>67</v>
      </c>
    </row>
    <row r="25" spans="2:8" s="11" customFormat="1" ht="14.4" customHeight="1">
      <c r="B25" s="1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54BE-834B-4FC8-BD90-85CB3DC70F4D}">
  <sheetPr>
    <tabColor theme="8" tint="0.39997558519241921"/>
  </sheetPr>
  <dimension ref="A1:K13"/>
  <sheetViews>
    <sheetView showGridLines="0" zoomScale="80" zoomScaleNormal="80" workbookViewId="0"/>
  </sheetViews>
  <sheetFormatPr defaultRowHeight="14.4"/>
  <cols>
    <col min="1" max="1" width="16.33203125" bestFit="1" customWidth="1"/>
    <col min="2" max="2" width="22.77734375" bestFit="1" customWidth="1"/>
    <col min="3" max="3" width="13.5546875" bestFit="1" customWidth="1"/>
    <col min="4" max="4" width="8.5546875" customWidth="1"/>
    <col min="5" max="5" width="9.88671875" bestFit="1" customWidth="1"/>
    <col min="6" max="6" width="13.6640625" bestFit="1" customWidth="1"/>
    <col min="7" max="7" width="17.44140625" bestFit="1" customWidth="1"/>
    <col min="8" max="8" width="22.21875" bestFit="1" customWidth="1"/>
    <col min="9" max="9" width="17.77734375" bestFit="1" customWidth="1"/>
  </cols>
  <sheetData>
    <row r="1" spans="1:11">
      <c r="A1" s="6" t="s">
        <v>9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</row>
    <row r="2" spans="1:11">
      <c r="A2" t="s">
        <v>10</v>
      </c>
      <c r="B2" s="12">
        <v>500</v>
      </c>
      <c r="C2" s="12">
        <v>300</v>
      </c>
      <c r="D2" s="12">
        <v>10</v>
      </c>
      <c r="E2" s="12">
        <v>8</v>
      </c>
      <c r="F2" s="12">
        <v>5</v>
      </c>
      <c r="G2" s="12">
        <v>0</v>
      </c>
      <c r="H2" s="12">
        <v>0</v>
      </c>
      <c r="I2" s="12">
        <v>0</v>
      </c>
      <c r="J2" s="15"/>
      <c r="K2" s="15"/>
    </row>
    <row r="3" spans="1:11">
      <c r="A3" t="s">
        <v>11</v>
      </c>
      <c r="B3" s="12">
        <v>500</v>
      </c>
      <c r="C3" s="12">
        <v>300</v>
      </c>
      <c r="D3" s="12">
        <v>10</v>
      </c>
      <c r="E3" s="12">
        <v>8</v>
      </c>
      <c r="F3" s="12">
        <v>5</v>
      </c>
      <c r="G3" s="12">
        <v>0</v>
      </c>
      <c r="H3" s="12">
        <v>0</v>
      </c>
      <c r="I3" s="12">
        <v>30</v>
      </c>
      <c r="J3" s="15"/>
      <c r="K3" s="15"/>
    </row>
    <row r="4" spans="1:11">
      <c r="A4" t="s">
        <v>12</v>
      </c>
      <c r="B4" s="12">
        <v>45</v>
      </c>
      <c r="C4" s="12">
        <v>25</v>
      </c>
      <c r="D4" s="12">
        <v>1</v>
      </c>
      <c r="E4" s="12">
        <v>1</v>
      </c>
      <c r="F4" s="12">
        <v>1</v>
      </c>
      <c r="G4" s="12">
        <v>0</v>
      </c>
      <c r="H4" s="12">
        <v>0</v>
      </c>
      <c r="I4" s="12">
        <v>0</v>
      </c>
      <c r="J4" s="15"/>
      <c r="K4" s="15"/>
    </row>
    <row r="5" spans="1:11">
      <c r="A5" t="s">
        <v>13</v>
      </c>
      <c r="B5" s="12">
        <v>45</v>
      </c>
      <c r="C5" s="12">
        <v>25</v>
      </c>
      <c r="D5" s="12">
        <v>1</v>
      </c>
      <c r="E5" s="12">
        <v>1</v>
      </c>
      <c r="F5" s="12">
        <v>1</v>
      </c>
      <c r="G5" s="12">
        <v>0</v>
      </c>
      <c r="H5" s="12">
        <v>0</v>
      </c>
      <c r="I5" s="12">
        <v>5</v>
      </c>
      <c r="J5" s="15"/>
      <c r="K5" s="15"/>
    </row>
    <row r="6" spans="1:11">
      <c r="A6" t="s">
        <v>14</v>
      </c>
      <c r="B6" s="12">
        <v>40</v>
      </c>
      <c r="C6" s="12">
        <v>15</v>
      </c>
      <c r="D6" s="12">
        <v>1</v>
      </c>
      <c r="E6" s="12">
        <v>2</v>
      </c>
      <c r="F6" s="12">
        <v>5</v>
      </c>
      <c r="G6" s="12">
        <v>20</v>
      </c>
      <c r="H6" s="12">
        <v>10</v>
      </c>
      <c r="I6" s="12">
        <v>0</v>
      </c>
      <c r="J6" s="15"/>
      <c r="K6" s="15"/>
    </row>
    <row r="7" spans="1:11">
      <c r="A7" t="s">
        <v>15</v>
      </c>
      <c r="B7" s="12">
        <v>200</v>
      </c>
      <c r="C7" s="12">
        <v>100</v>
      </c>
      <c r="D7" s="12">
        <v>5</v>
      </c>
      <c r="E7" s="12">
        <v>3</v>
      </c>
      <c r="F7" s="12">
        <v>2</v>
      </c>
      <c r="G7" s="12">
        <v>0</v>
      </c>
      <c r="H7" s="12">
        <v>0</v>
      </c>
      <c r="I7" s="12">
        <v>0</v>
      </c>
      <c r="J7" s="15"/>
      <c r="K7" s="15"/>
    </row>
    <row r="8" spans="1:11">
      <c r="A8" t="s">
        <v>16</v>
      </c>
      <c r="B8" s="12">
        <v>500</v>
      </c>
      <c r="C8" s="12">
        <v>350</v>
      </c>
      <c r="D8" s="12">
        <v>12</v>
      </c>
      <c r="E8" s="12">
        <v>6</v>
      </c>
      <c r="F8" s="12">
        <v>3</v>
      </c>
      <c r="G8" s="12">
        <v>0</v>
      </c>
      <c r="H8" s="12">
        <v>0</v>
      </c>
      <c r="I8" s="12">
        <v>0</v>
      </c>
      <c r="J8" s="15"/>
      <c r="K8" s="15"/>
    </row>
    <row r="9" spans="1:11">
      <c r="A9" t="s">
        <v>17</v>
      </c>
      <c r="B9" s="12">
        <v>45</v>
      </c>
      <c r="C9" s="12">
        <v>15</v>
      </c>
      <c r="D9" s="12">
        <v>1</v>
      </c>
      <c r="E9" s="12">
        <v>1</v>
      </c>
      <c r="F9" s="12">
        <v>4</v>
      </c>
      <c r="G9" s="12">
        <v>5</v>
      </c>
      <c r="H9" s="12">
        <v>20</v>
      </c>
      <c r="I9" s="12">
        <v>0</v>
      </c>
      <c r="J9" s="15"/>
      <c r="K9" s="15"/>
    </row>
    <row r="10" spans="1:11">
      <c r="A10" t="s">
        <v>18</v>
      </c>
      <c r="B10" s="12">
        <v>50</v>
      </c>
      <c r="C10" s="12">
        <v>10</v>
      </c>
      <c r="D10" s="12">
        <v>1</v>
      </c>
      <c r="E10" s="12">
        <v>2</v>
      </c>
      <c r="F10" s="12">
        <v>8</v>
      </c>
      <c r="G10" s="12">
        <v>15</v>
      </c>
      <c r="H10" s="12">
        <v>15</v>
      </c>
      <c r="I10" s="12">
        <v>0</v>
      </c>
      <c r="J10" s="15"/>
      <c r="K10" s="15"/>
    </row>
    <row r="11" spans="1:11">
      <c r="A11" t="s">
        <v>19</v>
      </c>
      <c r="B11" s="12">
        <v>90</v>
      </c>
      <c r="C11" s="12">
        <v>50</v>
      </c>
      <c r="D11" s="12">
        <v>2</v>
      </c>
      <c r="E11" s="12">
        <v>2</v>
      </c>
      <c r="F11" s="12">
        <v>1</v>
      </c>
      <c r="G11" s="12">
        <v>0</v>
      </c>
      <c r="H11" s="12">
        <v>0</v>
      </c>
      <c r="I11" s="12">
        <v>0</v>
      </c>
      <c r="J11" s="15"/>
      <c r="K11" s="15"/>
    </row>
    <row r="12" spans="1:11">
      <c r="A12" t="s">
        <v>20</v>
      </c>
      <c r="B12" s="12">
        <v>200</v>
      </c>
      <c r="C12" s="12">
        <v>140</v>
      </c>
      <c r="D12" s="12">
        <v>5</v>
      </c>
      <c r="E12" s="12">
        <v>3</v>
      </c>
      <c r="F12" s="12">
        <v>2</v>
      </c>
      <c r="G12" s="12">
        <v>0</v>
      </c>
      <c r="H12" s="12">
        <v>0</v>
      </c>
      <c r="I12" s="12">
        <v>0</v>
      </c>
      <c r="J12" s="15"/>
      <c r="K12" s="15"/>
    </row>
    <row r="13" spans="1:11">
      <c r="A13" t="s">
        <v>21</v>
      </c>
      <c r="B13" s="12">
        <v>500</v>
      </c>
      <c r="C13" s="12">
        <v>320</v>
      </c>
      <c r="D13" s="12">
        <v>10</v>
      </c>
      <c r="E13" s="12">
        <v>8</v>
      </c>
      <c r="F13" s="12">
        <v>5</v>
      </c>
      <c r="G13" s="12">
        <v>0</v>
      </c>
      <c r="H13" s="12">
        <v>0</v>
      </c>
      <c r="I13" s="12">
        <v>50</v>
      </c>
      <c r="J13" s="15"/>
      <c r="K13" s="1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CC1F-E8CD-4A92-A8A3-AD6DEB7592BD}">
  <sheetPr>
    <tabColor theme="8" tint="0.39997558519241921"/>
  </sheetPr>
  <dimension ref="A1:M10"/>
  <sheetViews>
    <sheetView showGridLines="0" zoomScale="80" zoomScaleNormal="80" workbookViewId="0"/>
  </sheetViews>
  <sheetFormatPr defaultRowHeight="14.4"/>
  <cols>
    <col min="1" max="1" width="33.5546875" bestFit="1" customWidth="1"/>
    <col min="2" max="13" width="13.5546875" bestFit="1" customWidth="1"/>
  </cols>
  <sheetData>
    <row r="1" spans="1:13">
      <c r="A1" s="6" t="s">
        <v>30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</row>
    <row r="2" spans="1:13">
      <c r="A2" t="s">
        <v>31</v>
      </c>
      <c r="B2" s="14">
        <v>0.2</v>
      </c>
      <c r="C2" s="14">
        <v>0.25</v>
      </c>
      <c r="D2" s="14">
        <v>0.05</v>
      </c>
      <c r="E2" s="14">
        <v>0.06</v>
      </c>
      <c r="F2" s="14">
        <v>0.15</v>
      </c>
      <c r="G2" s="14">
        <v>0.1</v>
      </c>
      <c r="H2" s="14">
        <v>0.3</v>
      </c>
      <c r="I2" s="14">
        <v>0.06</v>
      </c>
      <c r="J2" s="14">
        <v>0.18</v>
      </c>
      <c r="K2" s="14">
        <v>0.08</v>
      </c>
      <c r="L2" s="14">
        <v>0.12</v>
      </c>
      <c r="M2" s="14">
        <v>0.26</v>
      </c>
    </row>
    <row r="3" spans="1:13">
      <c r="A3" t="s">
        <v>32</v>
      </c>
      <c r="B3" s="14">
        <v>0.1</v>
      </c>
      <c r="C3" s="14">
        <v>0.12</v>
      </c>
      <c r="D3" s="14">
        <v>0.03</v>
      </c>
      <c r="E3" s="14">
        <v>0.04</v>
      </c>
      <c r="F3" s="14">
        <v>0</v>
      </c>
      <c r="G3" s="14">
        <v>0.06</v>
      </c>
      <c r="H3" s="14">
        <v>0.1</v>
      </c>
      <c r="I3" s="14">
        <v>0.03</v>
      </c>
      <c r="J3" s="14">
        <v>0</v>
      </c>
      <c r="K3" s="14">
        <v>0.05</v>
      </c>
      <c r="L3" s="14">
        <v>0.06</v>
      </c>
      <c r="M3" s="14">
        <v>0.12</v>
      </c>
    </row>
    <row r="4" spans="1:13">
      <c r="A4" t="s">
        <v>33</v>
      </c>
      <c r="B4" s="14">
        <v>3.6000000000000004E-2</v>
      </c>
      <c r="C4" s="14">
        <v>3.6000000000000004E-2</v>
      </c>
      <c r="D4" s="14">
        <v>1.8000000000000002E-2</v>
      </c>
      <c r="E4" s="14">
        <v>1.8000000000000002E-2</v>
      </c>
      <c r="F4" s="14">
        <v>2.4E-2</v>
      </c>
      <c r="G4" s="14">
        <v>3.6000000000000004E-2</v>
      </c>
      <c r="H4" s="14">
        <v>4.2000000000000003E-2</v>
      </c>
      <c r="I4" s="14">
        <v>0.02</v>
      </c>
      <c r="J4" s="14">
        <v>0.03</v>
      </c>
      <c r="K4" s="14">
        <v>2.5000000000000001E-2</v>
      </c>
      <c r="L4" s="14">
        <v>0.04</v>
      </c>
      <c r="M4" s="14">
        <v>3.7999999999999999E-2</v>
      </c>
    </row>
    <row r="5" spans="1:13">
      <c r="A5" t="s">
        <v>34</v>
      </c>
      <c r="B5" s="14">
        <v>4.8000000000000001E-2</v>
      </c>
      <c r="C5" s="14">
        <v>4.8000000000000001E-2</v>
      </c>
      <c r="D5" s="14">
        <v>2.4E-2</v>
      </c>
      <c r="E5" s="14">
        <v>2.4E-2</v>
      </c>
      <c r="F5" s="14">
        <v>4.2000000000000003E-2</v>
      </c>
      <c r="G5" s="14">
        <v>5.4000000000000006E-2</v>
      </c>
      <c r="H5" s="14">
        <v>0.06</v>
      </c>
      <c r="I5" s="14">
        <v>2.6000000000000002E-2</v>
      </c>
      <c r="J5" s="14">
        <v>3.5000000000000003E-2</v>
      </c>
      <c r="K5" s="14">
        <v>0.03</v>
      </c>
      <c r="L5" s="14">
        <v>5.7999999999999996E-2</v>
      </c>
      <c r="M5" s="14">
        <v>5.2000000000000005E-2</v>
      </c>
    </row>
    <row r="6" spans="1:13">
      <c r="A6" t="s">
        <v>35</v>
      </c>
      <c r="B6" s="14">
        <v>0.15</v>
      </c>
      <c r="C6" s="14">
        <v>0.15</v>
      </c>
      <c r="D6" s="14">
        <v>0.05</v>
      </c>
      <c r="E6" s="14">
        <v>0.05</v>
      </c>
      <c r="F6" s="14">
        <v>0</v>
      </c>
      <c r="G6" s="14">
        <v>0</v>
      </c>
      <c r="H6" s="14">
        <v>0.18</v>
      </c>
      <c r="I6" s="14">
        <v>0.05</v>
      </c>
      <c r="J6" s="14">
        <v>0</v>
      </c>
      <c r="K6" s="14">
        <v>0.06</v>
      </c>
      <c r="L6" s="14">
        <v>0</v>
      </c>
      <c r="M6" s="14">
        <v>0.16</v>
      </c>
    </row>
    <row r="7" spans="1:13">
      <c r="A7" t="s">
        <v>36</v>
      </c>
      <c r="B7" s="14">
        <v>0</v>
      </c>
      <c r="C7" s="14">
        <v>0</v>
      </c>
      <c r="D7" s="14">
        <v>0.03</v>
      </c>
      <c r="E7" s="14">
        <v>0.04</v>
      </c>
      <c r="F7" s="14">
        <v>0</v>
      </c>
      <c r="G7" s="14">
        <v>0</v>
      </c>
      <c r="H7" s="14">
        <v>0</v>
      </c>
      <c r="I7" s="14">
        <v>0.04</v>
      </c>
      <c r="J7" s="14">
        <v>0</v>
      </c>
      <c r="K7" s="14">
        <v>0</v>
      </c>
      <c r="L7" s="14">
        <v>0</v>
      </c>
      <c r="M7" s="14">
        <v>0</v>
      </c>
    </row>
    <row r="8" spans="1:13">
      <c r="A8" t="s">
        <v>37</v>
      </c>
      <c r="B8" s="14">
        <v>0</v>
      </c>
      <c r="C8" s="14">
        <v>0</v>
      </c>
      <c r="D8" s="14">
        <v>0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</v>
      </c>
      <c r="K8" s="14">
        <v>0</v>
      </c>
      <c r="L8" s="14">
        <v>0</v>
      </c>
      <c r="M8" s="14">
        <v>0</v>
      </c>
    </row>
    <row r="9" spans="1:13">
      <c r="A9" t="s">
        <v>38</v>
      </c>
      <c r="B9" s="14">
        <v>0</v>
      </c>
      <c r="C9" s="14">
        <v>0</v>
      </c>
      <c r="D9" s="14">
        <v>0</v>
      </c>
      <c r="E9" s="14">
        <v>0</v>
      </c>
      <c r="F9" s="14">
        <v>0.1</v>
      </c>
      <c r="G9" s="14">
        <v>0</v>
      </c>
      <c r="H9" s="14">
        <v>0</v>
      </c>
      <c r="I9" s="14">
        <v>0</v>
      </c>
      <c r="J9" s="14">
        <v>0.08</v>
      </c>
      <c r="K9" s="14">
        <v>0</v>
      </c>
      <c r="L9" s="14">
        <v>0</v>
      </c>
      <c r="M9" s="14">
        <v>0</v>
      </c>
    </row>
    <row r="10" spans="1:13">
      <c r="A10" t="s">
        <v>39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</v>
      </c>
      <c r="J10" s="14">
        <v>0</v>
      </c>
      <c r="K10" s="14">
        <v>0</v>
      </c>
      <c r="L10" s="14">
        <v>0.25</v>
      </c>
      <c r="M10" s="14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8D65-8EAD-4F5F-A6EA-CC36F932A5AD}">
  <sheetPr>
    <tabColor theme="8" tint="0.39997558519241921"/>
  </sheetPr>
  <dimension ref="A1:DQ22"/>
  <sheetViews>
    <sheetView showGridLines="0" zoomScale="80" zoomScaleNormal="80" workbookViewId="0"/>
  </sheetViews>
  <sheetFormatPr defaultRowHeight="14.4"/>
  <cols>
    <col min="1" max="1" width="23.21875" bestFit="1" customWidth="1"/>
    <col min="2" max="121" width="13" customWidth="1"/>
  </cols>
  <sheetData>
    <row r="1" spans="1:121">
      <c r="A1" s="6" t="s">
        <v>40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</v>
      </c>
      <c r="O1" s="6">
        <v>2</v>
      </c>
      <c r="P1" s="6">
        <v>3</v>
      </c>
      <c r="Q1" s="6">
        <v>4</v>
      </c>
      <c r="R1" s="6">
        <v>5</v>
      </c>
      <c r="S1" s="6">
        <v>6</v>
      </c>
      <c r="T1" s="6">
        <v>7</v>
      </c>
      <c r="U1" s="6">
        <v>8</v>
      </c>
      <c r="V1" s="6">
        <v>9</v>
      </c>
      <c r="W1" s="6">
        <v>10</v>
      </c>
      <c r="X1" s="6">
        <v>11</v>
      </c>
      <c r="Y1" s="6">
        <v>12</v>
      </c>
      <c r="Z1" s="6">
        <v>1</v>
      </c>
      <c r="AA1" s="6">
        <v>2</v>
      </c>
      <c r="AB1" s="6">
        <v>3</v>
      </c>
      <c r="AC1" s="6">
        <v>4</v>
      </c>
      <c r="AD1" s="6">
        <v>5</v>
      </c>
      <c r="AE1" s="6">
        <v>6</v>
      </c>
      <c r="AF1" s="6">
        <v>7</v>
      </c>
      <c r="AG1" s="6">
        <v>8</v>
      </c>
      <c r="AH1" s="6">
        <v>9</v>
      </c>
      <c r="AI1" s="6">
        <v>10</v>
      </c>
      <c r="AJ1" s="6">
        <v>11</v>
      </c>
      <c r="AK1" s="6">
        <v>12</v>
      </c>
      <c r="AL1" s="6">
        <v>1</v>
      </c>
      <c r="AM1" s="6">
        <v>2</v>
      </c>
      <c r="AN1" s="6">
        <v>3</v>
      </c>
      <c r="AO1" s="6">
        <v>4</v>
      </c>
      <c r="AP1" s="6">
        <v>5</v>
      </c>
      <c r="AQ1" s="6">
        <v>6</v>
      </c>
      <c r="AR1" s="6">
        <v>7</v>
      </c>
      <c r="AS1" s="6">
        <v>8</v>
      </c>
      <c r="AT1" s="6">
        <v>9</v>
      </c>
      <c r="AU1" s="6">
        <v>10</v>
      </c>
      <c r="AV1" s="6">
        <v>11</v>
      </c>
      <c r="AW1" s="6">
        <v>12</v>
      </c>
      <c r="AX1" s="6">
        <v>1</v>
      </c>
      <c r="AY1" s="6">
        <v>2</v>
      </c>
      <c r="AZ1" s="6">
        <v>3</v>
      </c>
      <c r="BA1" s="6">
        <v>4</v>
      </c>
      <c r="BB1" s="6">
        <v>5</v>
      </c>
      <c r="BC1" s="6">
        <v>6</v>
      </c>
      <c r="BD1" s="6">
        <v>7</v>
      </c>
      <c r="BE1" s="6">
        <v>8</v>
      </c>
      <c r="BF1" s="6">
        <v>9</v>
      </c>
      <c r="BG1" s="6">
        <v>10</v>
      </c>
      <c r="BH1" s="6">
        <v>11</v>
      </c>
      <c r="BI1" s="6">
        <v>12</v>
      </c>
      <c r="BJ1" s="6">
        <v>1</v>
      </c>
      <c r="BK1" s="6">
        <v>2</v>
      </c>
      <c r="BL1" s="6">
        <v>3</v>
      </c>
      <c r="BM1" s="6">
        <v>4</v>
      </c>
      <c r="BN1" s="6">
        <v>5</v>
      </c>
      <c r="BO1" s="6">
        <v>6</v>
      </c>
      <c r="BP1" s="6">
        <v>7</v>
      </c>
      <c r="BQ1" s="6">
        <v>8</v>
      </c>
      <c r="BR1" s="6">
        <v>9</v>
      </c>
      <c r="BS1" s="6">
        <v>10</v>
      </c>
      <c r="BT1" s="6">
        <v>11</v>
      </c>
      <c r="BU1" s="6">
        <v>12</v>
      </c>
      <c r="BV1" s="6">
        <v>1</v>
      </c>
      <c r="BW1" s="6">
        <v>2</v>
      </c>
      <c r="BX1" s="6">
        <v>3</v>
      </c>
      <c r="BY1" s="6">
        <v>4</v>
      </c>
      <c r="BZ1" s="6">
        <v>5</v>
      </c>
      <c r="CA1" s="6">
        <v>6</v>
      </c>
      <c r="CB1" s="6">
        <v>7</v>
      </c>
      <c r="CC1" s="6">
        <v>8</v>
      </c>
      <c r="CD1" s="6">
        <v>9</v>
      </c>
      <c r="CE1" s="6">
        <v>10</v>
      </c>
      <c r="CF1" s="6">
        <v>11</v>
      </c>
      <c r="CG1" s="6">
        <v>12</v>
      </c>
      <c r="CH1" s="6">
        <v>1</v>
      </c>
      <c r="CI1" s="6">
        <v>2</v>
      </c>
      <c r="CJ1" s="6">
        <v>3</v>
      </c>
      <c r="CK1" s="6">
        <v>4</v>
      </c>
      <c r="CL1" s="6">
        <v>5</v>
      </c>
      <c r="CM1" s="6">
        <v>6</v>
      </c>
      <c r="CN1" s="6">
        <v>7</v>
      </c>
      <c r="CO1" s="6">
        <v>8</v>
      </c>
      <c r="CP1" s="6">
        <v>9</v>
      </c>
      <c r="CQ1" s="6">
        <v>10</v>
      </c>
      <c r="CR1" s="6">
        <v>11</v>
      </c>
      <c r="CS1" s="6">
        <v>12</v>
      </c>
      <c r="CT1" s="6">
        <v>1</v>
      </c>
      <c r="CU1" s="6">
        <v>2</v>
      </c>
      <c r="CV1" s="6">
        <v>3</v>
      </c>
      <c r="CW1" s="6">
        <v>4</v>
      </c>
      <c r="CX1" s="6">
        <v>5</v>
      </c>
      <c r="CY1" s="6">
        <v>6</v>
      </c>
      <c r="CZ1" s="6">
        <v>7</v>
      </c>
      <c r="DA1" s="6">
        <v>8</v>
      </c>
      <c r="DB1" s="6">
        <v>9</v>
      </c>
      <c r="DC1" s="6">
        <v>10</v>
      </c>
      <c r="DD1" s="6">
        <v>11</v>
      </c>
      <c r="DE1" s="6">
        <v>12</v>
      </c>
      <c r="DF1" s="6">
        <v>1</v>
      </c>
      <c r="DG1" s="6">
        <v>2</v>
      </c>
      <c r="DH1" s="6">
        <v>3</v>
      </c>
      <c r="DI1" s="6">
        <v>4</v>
      </c>
      <c r="DJ1" s="6">
        <v>5</v>
      </c>
      <c r="DK1" s="6">
        <v>6</v>
      </c>
      <c r="DL1" s="6">
        <v>7</v>
      </c>
      <c r="DM1" s="6">
        <v>8</v>
      </c>
      <c r="DN1" s="6">
        <v>9</v>
      </c>
      <c r="DO1" s="6">
        <v>10</v>
      </c>
      <c r="DP1" s="6">
        <v>11</v>
      </c>
      <c r="DQ1" s="6">
        <v>12</v>
      </c>
    </row>
    <row r="2" spans="1:121">
      <c r="A2" s="6" t="s">
        <v>131</v>
      </c>
      <c r="B2" s="6">
        <v>2027</v>
      </c>
      <c r="C2" s="6">
        <v>2027</v>
      </c>
      <c r="D2" s="6">
        <v>2027</v>
      </c>
      <c r="E2" s="6">
        <v>2027</v>
      </c>
      <c r="F2" s="6">
        <v>2027</v>
      </c>
      <c r="G2" s="6">
        <v>2027</v>
      </c>
      <c r="H2" s="6">
        <v>2027</v>
      </c>
      <c r="I2" s="6">
        <v>2027</v>
      </c>
      <c r="J2" s="6">
        <v>2027</v>
      </c>
      <c r="K2" s="6">
        <v>2027</v>
      </c>
      <c r="L2" s="6">
        <v>2027</v>
      </c>
      <c r="M2" s="6">
        <v>2027</v>
      </c>
      <c r="N2" s="6">
        <v>2028</v>
      </c>
      <c r="O2" s="6">
        <v>2028</v>
      </c>
      <c r="P2" s="6">
        <v>2028</v>
      </c>
      <c r="Q2" s="6">
        <v>2028</v>
      </c>
      <c r="R2" s="6">
        <v>2028</v>
      </c>
      <c r="S2" s="6">
        <v>2028</v>
      </c>
      <c r="T2" s="6">
        <v>2028</v>
      </c>
      <c r="U2" s="6">
        <v>2028</v>
      </c>
      <c r="V2" s="6">
        <v>2028</v>
      </c>
      <c r="W2" s="6">
        <v>2028</v>
      </c>
      <c r="X2" s="6">
        <v>2028</v>
      </c>
      <c r="Y2" s="6">
        <v>2028</v>
      </c>
      <c r="Z2" s="6">
        <v>2029</v>
      </c>
      <c r="AA2" s="6">
        <v>2029</v>
      </c>
      <c r="AB2" s="6">
        <v>2029</v>
      </c>
      <c r="AC2" s="6">
        <v>2029</v>
      </c>
      <c r="AD2" s="6">
        <v>2029</v>
      </c>
      <c r="AE2" s="6">
        <v>2029</v>
      </c>
      <c r="AF2" s="6">
        <v>2029</v>
      </c>
      <c r="AG2" s="6">
        <v>2029</v>
      </c>
      <c r="AH2" s="6">
        <v>2029</v>
      </c>
      <c r="AI2" s="6">
        <v>2029</v>
      </c>
      <c r="AJ2" s="6">
        <v>2029</v>
      </c>
      <c r="AK2" s="6">
        <v>2029</v>
      </c>
      <c r="AL2" s="6">
        <v>2030</v>
      </c>
      <c r="AM2" s="6">
        <v>2030</v>
      </c>
      <c r="AN2" s="6">
        <v>2030</v>
      </c>
      <c r="AO2" s="6">
        <v>2030</v>
      </c>
      <c r="AP2" s="6">
        <v>2030</v>
      </c>
      <c r="AQ2" s="6">
        <v>2030</v>
      </c>
      <c r="AR2" s="6">
        <v>2030</v>
      </c>
      <c r="AS2" s="6">
        <v>2030</v>
      </c>
      <c r="AT2" s="6">
        <v>2030</v>
      </c>
      <c r="AU2" s="6">
        <v>2030</v>
      </c>
      <c r="AV2" s="6">
        <v>2030</v>
      </c>
      <c r="AW2" s="6">
        <v>2030</v>
      </c>
      <c r="AX2" s="6">
        <v>2031</v>
      </c>
      <c r="AY2" s="6">
        <v>2031</v>
      </c>
      <c r="AZ2" s="6">
        <v>2031</v>
      </c>
      <c r="BA2" s="6">
        <v>2031</v>
      </c>
      <c r="BB2" s="6">
        <v>2031</v>
      </c>
      <c r="BC2" s="6">
        <v>2031</v>
      </c>
      <c r="BD2" s="6">
        <v>2031</v>
      </c>
      <c r="BE2" s="6">
        <v>2031</v>
      </c>
      <c r="BF2" s="6">
        <v>2031</v>
      </c>
      <c r="BG2" s="6">
        <v>2031</v>
      </c>
      <c r="BH2" s="6">
        <v>2031</v>
      </c>
      <c r="BI2" s="6">
        <v>2031</v>
      </c>
      <c r="BJ2" s="6">
        <v>2032</v>
      </c>
      <c r="BK2" s="6">
        <v>2032</v>
      </c>
      <c r="BL2" s="6">
        <v>2032</v>
      </c>
      <c r="BM2" s="6">
        <v>2032</v>
      </c>
      <c r="BN2" s="6">
        <v>2032</v>
      </c>
      <c r="BO2" s="6">
        <v>2032</v>
      </c>
      <c r="BP2" s="6">
        <v>2032</v>
      </c>
      <c r="BQ2" s="6">
        <v>2032</v>
      </c>
      <c r="BR2" s="6">
        <v>2032</v>
      </c>
      <c r="BS2" s="6">
        <v>2032</v>
      </c>
      <c r="BT2" s="6">
        <v>2032</v>
      </c>
      <c r="BU2" s="6">
        <v>2032</v>
      </c>
      <c r="BV2" s="6">
        <v>2033</v>
      </c>
      <c r="BW2" s="6">
        <v>2033</v>
      </c>
      <c r="BX2" s="6">
        <v>2033</v>
      </c>
      <c r="BY2" s="6">
        <v>2033</v>
      </c>
      <c r="BZ2" s="6">
        <v>2033</v>
      </c>
      <c r="CA2" s="6">
        <v>2033</v>
      </c>
      <c r="CB2" s="6">
        <v>2033</v>
      </c>
      <c r="CC2" s="6">
        <v>2033</v>
      </c>
      <c r="CD2" s="6">
        <v>2033</v>
      </c>
      <c r="CE2" s="6">
        <v>2033</v>
      </c>
      <c r="CF2" s="6">
        <v>2033</v>
      </c>
      <c r="CG2" s="6">
        <v>2033</v>
      </c>
      <c r="CH2" s="6">
        <v>2034</v>
      </c>
      <c r="CI2" s="6">
        <v>2034</v>
      </c>
      <c r="CJ2" s="6">
        <v>2034</v>
      </c>
      <c r="CK2" s="6">
        <v>2034</v>
      </c>
      <c r="CL2" s="6">
        <v>2034</v>
      </c>
      <c r="CM2" s="6">
        <v>2034</v>
      </c>
      <c r="CN2" s="6">
        <v>2034</v>
      </c>
      <c r="CO2" s="6">
        <v>2034</v>
      </c>
      <c r="CP2" s="6">
        <v>2034</v>
      </c>
      <c r="CQ2" s="6">
        <v>2034</v>
      </c>
      <c r="CR2" s="6">
        <v>2034</v>
      </c>
      <c r="CS2" s="6">
        <v>2034</v>
      </c>
      <c r="CT2" s="6">
        <v>2035</v>
      </c>
      <c r="CU2" s="6">
        <v>2035</v>
      </c>
      <c r="CV2" s="6">
        <v>2035</v>
      </c>
      <c r="CW2" s="6">
        <v>2035</v>
      </c>
      <c r="CX2" s="6">
        <v>2035</v>
      </c>
      <c r="CY2" s="6">
        <v>2035</v>
      </c>
      <c r="CZ2" s="6">
        <v>2035</v>
      </c>
      <c r="DA2" s="6">
        <v>2035</v>
      </c>
      <c r="DB2" s="6">
        <v>2035</v>
      </c>
      <c r="DC2" s="6">
        <v>2035</v>
      </c>
      <c r="DD2" s="6">
        <v>2035</v>
      </c>
      <c r="DE2" s="6">
        <v>2035</v>
      </c>
      <c r="DF2" s="6">
        <v>2036</v>
      </c>
      <c r="DG2" s="6">
        <v>2036</v>
      </c>
      <c r="DH2" s="6">
        <v>2036</v>
      </c>
      <c r="DI2" s="6">
        <v>2036</v>
      </c>
      <c r="DJ2" s="6">
        <v>2036</v>
      </c>
      <c r="DK2" s="6">
        <v>2036</v>
      </c>
      <c r="DL2" s="6">
        <v>2036</v>
      </c>
      <c r="DM2" s="6">
        <v>2036</v>
      </c>
      <c r="DN2" s="6">
        <v>2036</v>
      </c>
      <c r="DO2" s="6">
        <v>2036</v>
      </c>
      <c r="DP2" s="6">
        <v>2036</v>
      </c>
      <c r="DQ2" s="6">
        <v>2036</v>
      </c>
    </row>
    <row r="3" spans="1:121">
      <c r="A3" t="s">
        <v>10</v>
      </c>
      <c r="B3" s="12">
        <v>436959</v>
      </c>
      <c r="C3" s="12">
        <v>448614</v>
      </c>
      <c r="D3" s="12">
        <v>431387</v>
      </c>
      <c r="E3" s="12">
        <v>436018</v>
      </c>
      <c r="F3" s="12">
        <v>427382</v>
      </c>
      <c r="G3" s="12">
        <v>441452</v>
      </c>
      <c r="H3" s="12">
        <v>440494</v>
      </c>
      <c r="I3" s="12">
        <v>446305</v>
      </c>
      <c r="J3" s="12">
        <v>461088</v>
      </c>
      <c r="K3" s="12">
        <v>455177</v>
      </c>
      <c r="L3" s="12">
        <v>461773</v>
      </c>
      <c r="M3" s="12">
        <v>456706</v>
      </c>
      <c r="N3" s="12">
        <v>447756</v>
      </c>
      <c r="O3" s="12">
        <v>451836</v>
      </c>
      <c r="P3" s="12">
        <v>448676</v>
      </c>
      <c r="Q3" s="12">
        <v>438016</v>
      </c>
      <c r="R3" s="12">
        <v>458995</v>
      </c>
      <c r="S3" s="12">
        <v>473250</v>
      </c>
      <c r="T3" s="12">
        <v>454932</v>
      </c>
      <c r="U3" s="12">
        <v>468360</v>
      </c>
      <c r="V3" s="12">
        <v>457257</v>
      </c>
      <c r="W3" s="12">
        <v>445971</v>
      </c>
      <c r="X3" s="12">
        <v>447933</v>
      </c>
      <c r="Y3" s="12">
        <v>465929</v>
      </c>
      <c r="Z3" s="12">
        <v>475672</v>
      </c>
      <c r="AA3" s="12">
        <v>461223</v>
      </c>
      <c r="AB3" s="12">
        <v>461343</v>
      </c>
      <c r="AC3" s="12">
        <v>462232</v>
      </c>
      <c r="AD3" s="12">
        <v>464955</v>
      </c>
      <c r="AE3" s="12">
        <v>472797</v>
      </c>
      <c r="AF3" s="12">
        <v>492249</v>
      </c>
      <c r="AG3" s="12">
        <v>492856</v>
      </c>
      <c r="AH3" s="12">
        <v>498021</v>
      </c>
      <c r="AI3" s="12">
        <v>500587</v>
      </c>
      <c r="AJ3" s="12">
        <v>480632</v>
      </c>
      <c r="AK3" s="12">
        <v>498511</v>
      </c>
      <c r="AL3" s="12">
        <v>518920</v>
      </c>
      <c r="AM3" s="12">
        <v>521744</v>
      </c>
      <c r="AN3" s="12">
        <v>535309</v>
      </c>
      <c r="AO3" s="12">
        <v>525628</v>
      </c>
      <c r="AP3" s="12">
        <v>530300</v>
      </c>
      <c r="AQ3" s="12">
        <v>542154</v>
      </c>
      <c r="AR3" s="12">
        <v>526276</v>
      </c>
      <c r="AS3" s="12">
        <v>541007</v>
      </c>
      <c r="AT3" s="12">
        <v>532341</v>
      </c>
      <c r="AU3" s="12">
        <v>512733</v>
      </c>
      <c r="AV3" s="12">
        <v>501315</v>
      </c>
      <c r="AW3" s="12">
        <v>514243</v>
      </c>
      <c r="AX3" s="12">
        <v>526627</v>
      </c>
      <c r="AY3" s="12">
        <v>511799</v>
      </c>
      <c r="AZ3" s="12">
        <v>513933</v>
      </c>
      <c r="BA3" s="12">
        <v>535908</v>
      </c>
      <c r="BB3" s="12">
        <v>527608</v>
      </c>
      <c r="BC3" s="12">
        <v>549852</v>
      </c>
      <c r="BD3" s="12">
        <v>532796</v>
      </c>
      <c r="BE3" s="12">
        <v>550651</v>
      </c>
      <c r="BF3" s="12">
        <v>554520</v>
      </c>
      <c r="BG3" s="12">
        <v>538217</v>
      </c>
      <c r="BH3" s="12">
        <v>561562</v>
      </c>
      <c r="BI3" s="12">
        <v>568970</v>
      </c>
      <c r="BJ3" s="12">
        <v>553891</v>
      </c>
      <c r="BK3" s="12">
        <v>534513</v>
      </c>
      <c r="BL3" s="12">
        <v>514644</v>
      </c>
      <c r="BM3" s="12">
        <v>517717</v>
      </c>
      <c r="BN3" s="12">
        <v>533845</v>
      </c>
      <c r="BO3" s="12">
        <v>532402</v>
      </c>
      <c r="BP3" s="12">
        <v>535460</v>
      </c>
      <c r="BQ3" s="12">
        <v>527645</v>
      </c>
      <c r="BR3" s="12">
        <v>508339</v>
      </c>
      <c r="BS3" s="12">
        <v>531183</v>
      </c>
      <c r="BT3" s="12">
        <v>540476</v>
      </c>
      <c r="BU3" s="12">
        <v>521670</v>
      </c>
      <c r="BV3" s="12">
        <v>533261</v>
      </c>
      <c r="BW3" s="12">
        <v>553262</v>
      </c>
      <c r="BX3" s="12">
        <v>537074</v>
      </c>
      <c r="BY3" s="12">
        <v>516987</v>
      </c>
      <c r="BZ3" s="12">
        <v>505863</v>
      </c>
      <c r="CA3" s="12">
        <v>505332</v>
      </c>
      <c r="CB3" s="12">
        <v>528562</v>
      </c>
      <c r="CC3" s="12">
        <v>553577</v>
      </c>
      <c r="CD3" s="12">
        <v>562455</v>
      </c>
      <c r="CE3" s="12">
        <v>568360</v>
      </c>
      <c r="CF3" s="12">
        <v>547011</v>
      </c>
      <c r="CG3" s="12">
        <v>560916</v>
      </c>
      <c r="CH3" s="12">
        <v>587056</v>
      </c>
      <c r="CI3" s="12">
        <v>594527</v>
      </c>
      <c r="CJ3" s="12">
        <v>588114</v>
      </c>
      <c r="CK3" s="12">
        <v>596519</v>
      </c>
      <c r="CL3" s="12">
        <v>605920</v>
      </c>
      <c r="CM3" s="12">
        <v>606294</v>
      </c>
      <c r="CN3" s="12">
        <v>615878</v>
      </c>
      <c r="CO3" s="12">
        <v>642028</v>
      </c>
      <c r="CP3" s="12">
        <v>630495</v>
      </c>
      <c r="CQ3" s="12">
        <v>628765</v>
      </c>
      <c r="CR3" s="12">
        <v>626829</v>
      </c>
      <c r="CS3" s="12">
        <v>650871</v>
      </c>
      <c r="CT3" s="12">
        <v>670656</v>
      </c>
      <c r="CU3" s="12">
        <v>662811</v>
      </c>
      <c r="CV3" s="12">
        <v>693754</v>
      </c>
      <c r="CW3" s="12">
        <v>674426</v>
      </c>
      <c r="CX3" s="12">
        <v>691559</v>
      </c>
      <c r="CY3" s="12">
        <v>673490</v>
      </c>
      <c r="CZ3" s="12">
        <v>683630</v>
      </c>
      <c r="DA3" s="12">
        <v>696535</v>
      </c>
      <c r="DB3" s="12">
        <v>671190</v>
      </c>
      <c r="DC3" s="12">
        <v>670972</v>
      </c>
      <c r="DD3" s="12">
        <v>675264</v>
      </c>
      <c r="DE3" s="12">
        <v>684899</v>
      </c>
      <c r="DF3" s="12">
        <v>692949</v>
      </c>
      <c r="DG3" s="12">
        <v>677237</v>
      </c>
      <c r="DH3" s="12">
        <v>667624</v>
      </c>
      <c r="DI3" s="12">
        <v>660031</v>
      </c>
      <c r="DJ3" s="12">
        <v>652641</v>
      </c>
      <c r="DK3" s="12">
        <v>631441</v>
      </c>
      <c r="DL3" s="12">
        <v>657263</v>
      </c>
      <c r="DM3" s="12">
        <v>673962</v>
      </c>
      <c r="DN3" s="12">
        <v>670904</v>
      </c>
      <c r="DO3" s="12">
        <v>659155</v>
      </c>
      <c r="DP3" s="12">
        <v>682088</v>
      </c>
      <c r="DQ3" s="12">
        <v>710833</v>
      </c>
    </row>
    <row r="4" spans="1:121">
      <c r="A4" t="s">
        <v>11</v>
      </c>
      <c r="B4" s="12">
        <v>289671</v>
      </c>
      <c r="C4" s="12">
        <v>301598</v>
      </c>
      <c r="D4" s="12">
        <v>306458</v>
      </c>
      <c r="E4" s="12">
        <v>302362</v>
      </c>
      <c r="F4" s="12">
        <v>309415</v>
      </c>
      <c r="G4" s="12">
        <v>297783</v>
      </c>
      <c r="H4" s="12">
        <v>291697</v>
      </c>
      <c r="I4" s="12">
        <v>291660</v>
      </c>
      <c r="J4" s="12">
        <v>302638</v>
      </c>
      <c r="K4" s="12">
        <v>302215</v>
      </c>
      <c r="L4" s="12">
        <v>306467</v>
      </c>
      <c r="M4" s="12">
        <v>317210</v>
      </c>
      <c r="N4" s="12">
        <v>330794</v>
      </c>
      <c r="O4" s="12">
        <v>334089</v>
      </c>
      <c r="P4" s="12">
        <v>325380</v>
      </c>
      <c r="Q4" s="12">
        <v>313985</v>
      </c>
      <c r="R4" s="12">
        <v>318494</v>
      </c>
      <c r="S4" s="12">
        <v>326391</v>
      </c>
      <c r="T4" s="12">
        <v>324145</v>
      </c>
      <c r="U4" s="12">
        <v>314716</v>
      </c>
      <c r="V4" s="12">
        <v>325286</v>
      </c>
      <c r="W4" s="12">
        <v>341525</v>
      </c>
      <c r="X4" s="12">
        <v>340921</v>
      </c>
      <c r="Y4" s="12">
        <v>340961</v>
      </c>
      <c r="Z4" s="12">
        <v>335478</v>
      </c>
      <c r="AA4" s="12">
        <v>323935</v>
      </c>
      <c r="AB4" s="12">
        <v>320697</v>
      </c>
      <c r="AC4" s="12">
        <v>335321</v>
      </c>
      <c r="AD4" s="12">
        <v>343492</v>
      </c>
      <c r="AE4" s="12">
        <v>340969</v>
      </c>
      <c r="AF4" s="12">
        <v>354504</v>
      </c>
      <c r="AG4" s="12">
        <v>353432</v>
      </c>
      <c r="AH4" s="12">
        <v>340478</v>
      </c>
      <c r="AI4" s="12">
        <v>335596</v>
      </c>
      <c r="AJ4" s="12">
        <v>329712</v>
      </c>
      <c r="AK4" s="12">
        <v>341403</v>
      </c>
      <c r="AL4" s="12">
        <v>351900</v>
      </c>
      <c r="AM4" s="12">
        <v>346848</v>
      </c>
      <c r="AN4" s="12">
        <v>353444</v>
      </c>
      <c r="AO4" s="12">
        <v>356304</v>
      </c>
      <c r="AP4" s="12">
        <v>372362</v>
      </c>
      <c r="AQ4" s="12">
        <v>371721</v>
      </c>
      <c r="AR4" s="12">
        <v>385481</v>
      </c>
      <c r="AS4" s="12">
        <v>396276</v>
      </c>
      <c r="AT4" s="12">
        <v>415537</v>
      </c>
      <c r="AU4" s="12">
        <v>433293</v>
      </c>
      <c r="AV4" s="12">
        <v>423672</v>
      </c>
      <c r="AW4" s="12">
        <v>429829</v>
      </c>
      <c r="AX4" s="12">
        <v>419269</v>
      </c>
      <c r="AY4" s="12">
        <v>426349</v>
      </c>
      <c r="AZ4" s="12">
        <v>417411</v>
      </c>
      <c r="BA4" s="12">
        <v>434760</v>
      </c>
      <c r="BB4" s="12">
        <v>454258</v>
      </c>
      <c r="BC4" s="12">
        <v>453842</v>
      </c>
      <c r="BD4" s="12">
        <v>466171</v>
      </c>
      <c r="BE4" s="12">
        <v>450623</v>
      </c>
      <c r="BF4" s="12">
        <v>457263</v>
      </c>
      <c r="BG4" s="12">
        <v>451136</v>
      </c>
      <c r="BH4" s="12">
        <v>472128</v>
      </c>
      <c r="BI4" s="12">
        <v>483663</v>
      </c>
      <c r="BJ4" s="12">
        <v>477602</v>
      </c>
      <c r="BK4" s="12">
        <v>486992</v>
      </c>
      <c r="BL4" s="12">
        <v>511277</v>
      </c>
      <c r="BM4" s="12">
        <v>530145</v>
      </c>
      <c r="BN4" s="12">
        <v>541516</v>
      </c>
      <c r="BO4" s="12">
        <v>550997</v>
      </c>
      <c r="BP4" s="12">
        <v>542898</v>
      </c>
      <c r="BQ4" s="12">
        <v>535538</v>
      </c>
      <c r="BR4" s="12">
        <v>545825</v>
      </c>
      <c r="BS4" s="12">
        <v>526157</v>
      </c>
      <c r="BT4" s="12">
        <v>539703</v>
      </c>
      <c r="BU4" s="12">
        <v>558410</v>
      </c>
      <c r="BV4" s="12">
        <v>539140</v>
      </c>
      <c r="BW4" s="12">
        <v>520655</v>
      </c>
      <c r="BX4" s="12">
        <v>527127</v>
      </c>
      <c r="BY4" s="12">
        <v>553373</v>
      </c>
      <c r="BZ4" s="12">
        <v>540062</v>
      </c>
      <c r="CA4" s="12">
        <v>533291</v>
      </c>
      <c r="CB4" s="12">
        <v>557758</v>
      </c>
      <c r="CC4" s="12">
        <v>545748</v>
      </c>
      <c r="CD4" s="12">
        <v>539616</v>
      </c>
      <c r="CE4" s="12">
        <v>532257</v>
      </c>
      <c r="CF4" s="12">
        <v>545911</v>
      </c>
      <c r="CG4" s="12">
        <v>550381</v>
      </c>
      <c r="CH4" s="12">
        <v>538114</v>
      </c>
      <c r="CI4" s="12">
        <v>525792</v>
      </c>
      <c r="CJ4" s="12">
        <v>531476</v>
      </c>
      <c r="CK4" s="12">
        <v>527185</v>
      </c>
      <c r="CL4" s="12">
        <v>550356</v>
      </c>
      <c r="CM4" s="12">
        <v>568129</v>
      </c>
      <c r="CN4" s="12">
        <v>557178</v>
      </c>
      <c r="CO4" s="12">
        <v>543933</v>
      </c>
      <c r="CP4" s="12">
        <v>522616</v>
      </c>
      <c r="CQ4" s="12">
        <v>505336</v>
      </c>
      <c r="CR4" s="12">
        <v>521762</v>
      </c>
      <c r="CS4" s="12">
        <v>509769</v>
      </c>
      <c r="CT4" s="12">
        <v>499302</v>
      </c>
      <c r="CU4" s="12">
        <v>517039</v>
      </c>
      <c r="CV4" s="12">
        <v>534905</v>
      </c>
      <c r="CW4" s="12">
        <v>524334</v>
      </c>
      <c r="CX4" s="12">
        <v>518539</v>
      </c>
      <c r="CY4" s="12">
        <v>511801</v>
      </c>
      <c r="CZ4" s="12">
        <v>519528</v>
      </c>
      <c r="DA4" s="12">
        <v>507974</v>
      </c>
      <c r="DB4" s="12">
        <v>490907</v>
      </c>
      <c r="DC4" s="12">
        <v>514780</v>
      </c>
      <c r="DD4" s="12">
        <v>525290</v>
      </c>
      <c r="DE4" s="12">
        <v>532371</v>
      </c>
      <c r="DF4" s="12">
        <v>542387</v>
      </c>
      <c r="DG4" s="12">
        <v>544053</v>
      </c>
      <c r="DH4" s="12">
        <v>540219</v>
      </c>
      <c r="DI4" s="12">
        <v>536799</v>
      </c>
      <c r="DJ4" s="12">
        <v>540926</v>
      </c>
      <c r="DK4" s="12">
        <v>551995</v>
      </c>
      <c r="DL4" s="12">
        <v>561675</v>
      </c>
      <c r="DM4" s="12">
        <v>568532</v>
      </c>
      <c r="DN4" s="12">
        <v>577991</v>
      </c>
      <c r="DO4" s="12">
        <v>590288</v>
      </c>
      <c r="DP4" s="12">
        <v>586799</v>
      </c>
      <c r="DQ4" s="12">
        <v>575343</v>
      </c>
    </row>
    <row r="5" spans="1:121">
      <c r="A5" t="s">
        <v>12</v>
      </c>
      <c r="B5" s="12">
        <v>72609</v>
      </c>
      <c r="C5" s="12">
        <v>75229</v>
      </c>
      <c r="D5" s="12">
        <v>72931</v>
      </c>
      <c r="E5" s="12">
        <v>75832</v>
      </c>
      <c r="F5" s="12">
        <v>76871</v>
      </c>
      <c r="G5" s="12">
        <v>76857</v>
      </c>
      <c r="H5" s="12">
        <v>78319</v>
      </c>
      <c r="I5" s="12">
        <v>77812</v>
      </c>
      <c r="J5" s="12">
        <v>81028</v>
      </c>
      <c r="K5" s="12">
        <v>81776</v>
      </c>
      <c r="L5" s="12">
        <v>78544</v>
      </c>
      <c r="M5" s="12">
        <v>80292</v>
      </c>
      <c r="N5" s="12">
        <v>77146</v>
      </c>
      <c r="O5" s="12">
        <v>78399</v>
      </c>
      <c r="P5" s="12">
        <v>81600</v>
      </c>
      <c r="Q5" s="12">
        <v>79248</v>
      </c>
      <c r="R5" s="12">
        <v>82427</v>
      </c>
      <c r="S5" s="12">
        <v>85769</v>
      </c>
      <c r="T5" s="12">
        <v>88608</v>
      </c>
      <c r="U5" s="12">
        <v>90603</v>
      </c>
      <c r="V5" s="12">
        <v>89852</v>
      </c>
      <c r="W5" s="12">
        <v>87082</v>
      </c>
      <c r="X5" s="12">
        <v>89606</v>
      </c>
      <c r="Y5" s="12">
        <v>86373</v>
      </c>
      <c r="Z5" s="12">
        <v>85462</v>
      </c>
      <c r="AA5" s="12">
        <v>89634</v>
      </c>
      <c r="AB5" s="12">
        <v>91379</v>
      </c>
      <c r="AC5" s="12">
        <v>94721</v>
      </c>
      <c r="AD5" s="12">
        <v>92210</v>
      </c>
      <c r="AE5" s="12">
        <v>94035</v>
      </c>
      <c r="AF5" s="12">
        <v>94355</v>
      </c>
      <c r="AG5" s="12">
        <v>95853</v>
      </c>
      <c r="AH5" s="12">
        <v>100150</v>
      </c>
      <c r="AI5" s="12">
        <v>96309</v>
      </c>
      <c r="AJ5" s="12">
        <v>96706</v>
      </c>
      <c r="AK5" s="12">
        <v>96018</v>
      </c>
      <c r="AL5" s="12">
        <v>92688</v>
      </c>
      <c r="AM5" s="12">
        <v>91821</v>
      </c>
      <c r="AN5" s="12">
        <v>94035</v>
      </c>
      <c r="AO5" s="12">
        <v>93504</v>
      </c>
      <c r="AP5" s="12">
        <v>91383</v>
      </c>
      <c r="AQ5" s="12">
        <v>88033</v>
      </c>
      <c r="AR5" s="12">
        <v>86806</v>
      </c>
      <c r="AS5" s="12">
        <v>89499</v>
      </c>
      <c r="AT5" s="12">
        <v>92007</v>
      </c>
      <c r="AU5" s="12">
        <v>95713</v>
      </c>
      <c r="AV5" s="12">
        <v>97702</v>
      </c>
      <c r="AW5" s="12">
        <v>96130</v>
      </c>
      <c r="AX5" s="12">
        <v>95980</v>
      </c>
      <c r="AY5" s="12">
        <v>93217</v>
      </c>
      <c r="AZ5" s="12">
        <v>92204</v>
      </c>
      <c r="BA5" s="12">
        <v>89488</v>
      </c>
      <c r="BB5" s="12">
        <v>90678</v>
      </c>
      <c r="BC5" s="12">
        <v>91243</v>
      </c>
      <c r="BD5" s="12">
        <v>92090</v>
      </c>
      <c r="BE5" s="12">
        <v>91474</v>
      </c>
      <c r="BF5" s="12">
        <v>92900</v>
      </c>
      <c r="BG5" s="12">
        <v>95505</v>
      </c>
      <c r="BH5" s="12">
        <v>95757</v>
      </c>
      <c r="BI5" s="12">
        <v>92700</v>
      </c>
      <c r="BJ5" s="12">
        <v>95658</v>
      </c>
      <c r="BK5" s="12">
        <v>99895</v>
      </c>
      <c r="BL5" s="12">
        <v>102553</v>
      </c>
      <c r="BM5" s="12">
        <v>102207</v>
      </c>
      <c r="BN5" s="12">
        <v>105573</v>
      </c>
      <c r="BO5" s="12">
        <v>106561</v>
      </c>
      <c r="BP5" s="12">
        <v>103797</v>
      </c>
      <c r="BQ5" s="12">
        <v>106659</v>
      </c>
      <c r="BR5" s="12">
        <v>108120</v>
      </c>
      <c r="BS5" s="12">
        <v>103799</v>
      </c>
      <c r="BT5" s="12">
        <v>101406</v>
      </c>
      <c r="BU5" s="12">
        <v>105999</v>
      </c>
      <c r="BV5" s="12">
        <v>102886</v>
      </c>
      <c r="BW5" s="12">
        <v>105001</v>
      </c>
      <c r="BX5" s="12">
        <v>103651</v>
      </c>
      <c r="BY5" s="12">
        <v>107831</v>
      </c>
      <c r="BZ5" s="12">
        <v>105426</v>
      </c>
      <c r="CA5" s="12">
        <v>104095</v>
      </c>
      <c r="CB5" s="12">
        <v>103699</v>
      </c>
      <c r="CC5" s="12">
        <v>101340</v>
      </c>
      <c r="CD5" s="12">
        <v>102215</v>
      </c>
      <c r="CE5" s="12">
        <v>101580</v>
      </c>
      <c r="CF5" s="12">
        <v>103802</v>
      </c>
      <c r="CG5" s="12">
        <v>100974</v>
      </c>
      <c r="CH5" s="12">
        <v>100442</v>
      </c>
      <c r="CI5" s="12">
        <v>97547</v>
      </c>
      <c r="CJ5" s="12">
        <v>99731</v>
      </c>
      <c r="CK5" s="12">
        <v>102584</v>
      </c>
      <c r="CL5" s="12">
        <v>102259</v>
      </c>
      <c r="CM5" s="12">
        <v>98836</v>
      </c>
      <c r="CN5" s="12">
        <v>103420</v>
      </c>
      <c r="CO5" s="12">
        <v>103669</v>
      </c>
      <c r="CP5" s="12">
        <v>100058</v>
      </c>
      <c r="CQ5" s="12">
        <v>104179</v>
      </c>
      <c r="CR5" s="12">
        <v>100604</v>
      </c>
      <c r="CS5" s="12">
        <v>96973</v>
      </c>
      <c r="CT5" s="12">
        <v>100315</v>
      </c>
      <c r="CU5" s="12">
        <v>101557</v>
      </c>
      <c r="CV5" s="12">
        <v>102945</v>
      </c>
      <c r="CW5" s="12">
        <v>99122</v>
      </c>
      <c r="CX5" s="12">
        <v>103610</v>
      </c>
      <c r="CY5" s="12">
        <v>100410</v>
      </c>
      <c r="CZ5" s="12">
        <v>98803</v>
      </c>
      <c r="DA5" s="12">
        <v>97265</v>
      </c>
      <c r="DB5" s="12">
        <v>96813</v>
      </c>
      <c r="DC5" s="12">
        <v>100458</v>
      </c>
      <c r="DD5" s="12">
        <v>104578</v>
      </c>
      <c r="DE5" s="12">
        <v>105766</v>
      </c>
      <c r="DF5" s="12">
        <v>110147</v>
      </c>
      <c r="DG5" s="12">
        <v>109162</v>
      </c>
      <c r="DH5" s="12">
        <v>109258</v>
      </c>
      <c r="DI5" s="12">
        <v>111038</v>
      </c>
      <c r="DJ5" s="12">
        <v>108784</v>
      </c>
      <c r="DK5" s="12">
        <v>109146</v>
      </c>
      <c r="DL5" s="12">
        <v>111006</v>
      </c>
      <c r="DM5" s="12">
        <v>112683</v>
      </c>
      <c r="DN5" s="12">
        <v>111510</v>
      </c>
      <c r="DO5" s="12">
        <v>116303</v>
      </c>
      <c r="DP5" s="12">
        <v>112175</v>
      </c>
      <c r="DQ5" s="12">
        <v>116224</v>
      </c>
    </row>
    <row r="6" spans="1:121">
      <c r="A6" t="s">
        <v>13</v>
      </c>
      <c r="B6" s="12">
        <v>142971</v>
      </c>
      <c r="C6" s="12">
        <v>142396</v>
      </c>
      <c r="D6" s="12">
        <v>148466</v>
      </c>
      <c r="E6" s="12">
        <v>145461</v>
      </c>
      <c r="F6" s="12">
        <v>148465</v>
      </c>
      <c r="G6" s="12">
        <v>147285</v>
      </c>
      <c r="H6" s="12">
        <v>142086</v>
      </c>
      <c r="I6" s="12">
        <v>145989</v>
      </c>
      <c r="J6" s="12">
        <v>148955</v>
      </c>
      <c r="K6" s="12">
        <v>151304</v>
      </c>
      <c r="L6" s="12">
        <v>150236</v>
      </c>
      <c r="M6" s="12">
        <v>157626</v>
      </c>
      <c r="N6" s="12">
        <v>151745</v>
      </c>
      <c r="O6" s="12">
        <v>157868</v>
      </c>
      <c r="P6" s="12">
        <v>163137</v>
      </c>
      <c r="Q6" s="12">
        <v>162263</v>
      </c>
      <c r="R6" s="12">
        <v>159051</v>
      </c>
      <c r="S6" s="12">
        <v>154883</v>
      </c>
      <c r="T6" s="12">
        <v>162555</v>
      </c>
      <c r="U6" s="12">
        <v>165529</v>
      </c>
      <c r="V6" s="12">
        <v>169490</v>
      </c>
      <c r="W6" s="12">
        <v>166438</v>
      </c>
      <c r="X6" s="12">
        <v>165775</v>
      </c>
      <c r="Y6" s="12">
        <v>163360</v>
      </c>
      <c r="Z6" s="12">
        <v>158442</v>
      </c>
      <c r="AA6" s="12">
        <v>158752</v>
      </c>
      <c r="AB6" s="12">
        <v>161039</v>
      </c>
      <c r="AC6" s="12">
        <v>157473</v>
      </c>
      <c r="AD6" s="12">
        <v>158737</v>
      </c>
      <c r="AE6" s="12">
        <v>153830</v>
      </c>
      <c r="AF6" s="12">
        <v>159991</v>
      </c>
      <c r="AG6" s="12">
        <v>157597</v>
      </c>
      <c r="AH6" s="12">
        <v>153497</v>
      </c>
      <c r="AI6" s="12">
        <v>154888</v>
      </c>
      <c r="AJ6" s="12">
        <v>153658</v>
      </c>
      <c r="AK6" s="12">
        <v>158584</v>
      </c>
      <c r="AL6" s="12">
        <v>156456</v>
      </c>
      <c r="AM6" s="12">
        <v>152455</v>
      </c>
      <c r="AN6" s="12">
        <v>152076</v>
      </c>
      <c r="AO6" s="12">
        <v>149745</v>
      </c>
      <c r="AP6" s="12">
        <v>151961</v>
      </c>
      <c r="AQ6" s="12">
        <v>147621</v>
      </c>
      <c r="AR6" s="12">
        <v>143715</v>
      </c>
      <c r="AS6" s="12">
        <v>149704</v>
      </c>
      <c r="AT6" s="12">
        <v>147157</v>
      </c>
      <c r="AU6" s="12">
        <v>154337</v>
      </c>
      <c r="AV6" s="12">
        <v>161834</v>
      </c>
      <c r="AW6" s="12">
        <v>155493</v>
      </c>
      <c r="AX6" s="12">
        <v>155934</v>
      </c>
      <c r="AY6" s="12">
        <v>159337</v>
      </c>
      <c r="AZ6" s="12">
        <v>162322</v>
      </c>
      <c r="BA6" s="12">
        <v>161291</v>
      </c>
      <c r="BB6" s="12">
        <v>164947</v>
      </c>
      <c r="BC6" s="12">
        <v>163271</v>
      </c>
      <c r="BD6" s="12">
        <v>168755</v>
      </c>
      <c r="BE6" s="12">
        <v>177015</v>
      </c>
      <c r="BF6" s="12">
        <v>173539</v>
      </c>
      <c r="BG6" s="12">
        <v>174564</v>
      </c>
      <c r="BH6" s="12">
        <v>176939</v>
      </c>
      <c r="BI6" s="12">
        <v>173642</v>
      </c>
      <c r="BJ6" s="12">
        <v>179534</v>
      </c>
      <c r="BK6" s="12">
        <v>187945</v>
      </c>
      <c r="BL6" s="12">
        <v>191253</v>
      </c>
      <c r="BM6" s="12">
        <v>200098</v>
      </c>
      <c r="BN6" s="12">
        <v>202207</v>
      </c>
      <c r="BO6" s="12">
        <v>209277</v>
      </c>
      <c r="BP6" s="12">
        <v>208929</v>
      </c>
      <c r="BQ6" s="12">
        <v>218308</v>
      </c>
      <c r="BR6" s="12">
        <v>221905</v>
      </c>
      <c r="BS6" s="12">
        <v>219213</v>
      </c>
      <c r="BT6" s="12">
        <v>221568</v>
      </c>
      <c r="BU6" s="12">
        <v>224687</v>
      </c>
      <c r="BV6" s="12">
        <v>226046</v>
      </c>
      <c r="BW6" s="12">
        <v>228167</v>
      </c>
      <c r="BX6" s="12">
        <v>232536</v>
      </c>
      <c r="BY6" s="12">
        <v>243169</v>
      </c>
      <c r="BZ6" s="12">
        <v>248262</v>
      </c>
      <c r="CA6" s="12">
        <v>241665</v>
      </c>
      <c r="CB6" s="12">
        <v>250265</v>
      </c>
      <c r="CC6" s="12">
        <v>248410</v>
      </c>
      <c r="CD6" s="12">
        <v>250301</v>
      </c>
      <c r="CE6" s="12">
        <v>251428</v>
      </c>
      <c r="CF6" s="12">
        <v>251586</v>
      </c>
      <c r="CG6" s="12">
        <v>249755</v>
      </c>
      <c r="CH6" s="12">
        <v>247106</v>
      </c>
      <c r="CI6" s="12">
        <v>250178</v>
      </c>
      <c r="CJ6" s="12">
        <v>245266</v>
      </c>
      <c r="CK6" s="12">
        <v>241137</v>
      </c>
      <c r="CL6" s="12">
        <v>246806</v>
      </c>
      <c r="CM6" s="12">
        <v>256935</v>
      </c>
      <c r="CN6" s="12">
        <v>251716</v>
      </c>
      <c r="CO6" s="12">
        <v>257119</v>
      </c>
      <c r="CP6" s="12">
        <v>251752</v>
      </c>
      <c r="CQ6" s="12">
        <v>244441</v>
      </c>
      <c r="CR6" s="12">
        <v>245349</v>
      </c>
      <c r="CS6" s="12">
        <v>238252</v>
      </c>
      <c r="CT6" s="12">
        <v>243811</v>
      </c>
      <c r="CU6" s="12">
        <v>244488</v>
      </c>
      <c r="CV6" s="12">
        <v>247194</v>
      </c>
      <c r="CW6" s="12">
        <v>251172</v>
      </c>
      <c r="CX6" s="12">
        <v>261429</v>
      </c>
      <c r="CY6" s="12">
        <v>268392</v>
      </c>
      <c r="CZ6" s="12">
        <v>268260</v>
      </c>
      <c r="DA6" s="12">
        <v>263789</v>
      </c>
      <c r="DB6" s="12">
        <v>267371</v>
      </c>
      <c r="DC6" s="12">
        <v>257460</v>
      </c>
      <c r="DD6" s="12">
        <v>248302</v>
      </c>
      <c r="DE6" s="12">
        <v>241539</v>
      </c>
      <c r="DF6" s="12">
        <v>240068</v>
      </c>
      <c r="DG6" s="12">
        <v>248628</v>
      </c>
      <c r="DH6" s="12">
        <v>255684</v>
      </c>
      <c r="DI6" s="12">
        <v>267657</v>
      </c>
      <c r="DJ6" s="12">
        <v>276703</v>
      </c>
      <c r="DK6" s="12">
        <v>280403</v>
      </c>
      <c r="DL6" s="12">
        <v>290486</v>
      </c>
      <c r="DM6" s="12">
        <v>288144</v>
      </c>
      <c r="DN6" s="12">
        <v>283189</v>
      </c>
      <c r="DO6" s="12">
        <v>289873</v>
      </c>
      <c r="DP6" s="12">
        <v>283191</v>
      </c>
      <c r="DQ6" s="12">
        <v>287255</v>
      </c>
    </row>
    <row r="7" spans="1:121">
      <c r="A7" t="s">
        <v>14</v>
      </c>
      <c r="B7" s="12">
        <v>215562</v>
      </c>
      <c r="C7" s="12">
        <v>217166</v>
      </c>
      <c r="D7" s="12">
        <v>216921</v>
      </c>
      <c r="E7" s="12">
        <v>215074</v>
      </c>
      <c r="F7" s="12">
        <v>218824</v>
      </c>
      <c r="G7" s="12">
        <v>216185</v>
      </c>
      <c r="H7" s="12">
        <v>212481</v>
      </c>
      <c r="I7" s="12">
        <v>221012</v>
      </c>
      <c r="J7" s="12">
        <v>213065</v>
      </c>
      <c r="K7" s="12">
        <v>207559</v>
      </c>
      <c r="L7" s="12">
        <v>213262</v>
      </c>
      <c r="M7" s="12">
        <v>208730</v>
      </c>
      <c r="N7" s="12">
        <v>214609</v>
      </c>
      <c r="O7" s="12">
        <v>216976</v>
      </c>
      <c r="P7" s="12">
        <v>224039</v>
      </c>
      <c r="Q7" s="12">
        <v>219271</v>
      </c>
      <c r="R7" s="12">
        <v>223153</v>
      </c>
      <c r="S7" s="12">
        <v>222683</v>
      </c>
      <c r="T7" s="12">
        <v>220413</v>
      </c>
      <c r="U7" s="12">
        <v>223059</v>
      </c>
      <c r="V7" s="12">
        <v>234003</v>
      </c>
      <c r="W7" s="12">
        <v>234329</v>
      </c>
      <c r="X7" s="12">
        <v>225726</v>
      </c>
      <c r="Y7" s="12">
        <v>227283</v>
      </c>
      <c r="Z7" s="12">
        <v>226165</v>
      </c>
      <c r="AA7" s="12">
        <v>228554</v>
      </c>
      <c r="AB7" s="12">
        <v>236357</v>
      </c>
      <c r="AC7" s="12">
        <v>237153</v>
      </c>
      <c r="AD7" s="12">
        <v>247587</v>
      </c>
      <c r="AE7" s="12">
        <v>241375</v>
      </c>
      <c r="AF7" s="12">
        <v>252349</v>
      </c>
      <c r="AG7" s="12">
        <v>261256</v>
      </c>
      <c r="AH7" s="12">
        <v>253852</v>
      </c>
      <c r="AI7" s="12">
        <v>247685</v>
      </c>
      <c r="AJ7" s="12">
        <v>251191</v>
      </c>
      <c r="AK7" s="12">
        <v>241281</v>
      </c>
      <c r="AL7" s="12">
        <v>231913</v>
      </c>
      <c r="AM7" s="12">
        <v>223548</v>
      </c>
      <c r="AN7" s="12">
        <v>226396</v>
      </c>
      <c r="AO7" s="12">
        <v>218310</v>
      </c>
      <c r="AP7" s="12">
        <v>215138</v>
      </c>
      <c r="AQ7" s="12">
        <v>223350</v>
      </c>
      <c r="AR7" s="12">
        <v>224144</v>
      </c>
      <c r="AS7" s="12">
        <v>216237</v>
      </c>
      <c r="AT7" s="12">
        <v>212273</v>
      </c>
      <c r="AU7" s="12">
        <v>214964</v>
      </c>
      <c r="AV7" s="12">
        <v>207472</v>
      </c>
      <c r="AW7" s="12">
        <v>212498</v>
      </c>
      <c r="AX7" s="12">
        <v>223020</v>
      </c>
      <c r="AY7" s="12">
        <v>216055</v>
      </c>
      <c r="AZ7" s="12">
        <v>208738</v>
      </c>
      <c r="BA7" s="12">
        <v>204124</v>
      </c>
      <c r="BB7" s="12">
        <v>206203</v>
      </c>
      <c r="BC7" s="12">
        <v>201812</v>
      </c>
      <c r="BD7" s="12">
        <v>198997</v>
      </c>
      <c r="BE7" s="12">
        <v>204214</v>
      </c>
      <c r="BF7" s="12">
        <v>208105</v>
      </c>
      <c r="BG7" s="12">
        <v>200174</v>
      </c>
      <c r="BH7" s="12">
        <v>209336</v>
      </c>
      <c r="BI7" s="12">
        <v>201223</v>
      </c>
      <c r="BJ7" s="12">
        <v>204208</v>
      </c>
      <c r="BK7" s="12">
        <v>203485</v>
      </c>
      <c r="BL7" s="12">
        <v>195891</v>
      </c>
      <c r="BM7" s="12">
        <v>196076</v>
      </c>
      <c r="BN7" s="12">
        <v>191388</v>
      </c>
      <c r="BO7" s="12">
        <v>185073</v>
      </c>
      <c r="BP7" s="12">
        <v>189553</v>
      </c>
      <c r="BQ7" s="12">
        <v>188151</v>
      </c>
      <c r="BR7" s="12">
        <v>188837</v>
      </c>
      <c r="BS7" s="12">
        <v>183905</v>
      </c>
      <c r="BT7" s="12">
        <v>181844</v>
      </c>
      <c r="BU7" s="12">
        <v>185992</v>
      </c>
      <c r="BV7" s="12">
        <v>179461</v>
      </c>
      <c r="BW7" s="12">
        <v>183729</v>
      </c>
      <c r="BX7" s="12">
        <v>187504</v>
      </c>
      <c r="BY7" s="12">
        <v>193912</v>
      </c>
      <c r="BZ7" s="12">
        <v>186712</v>
      </c>
      <c r="CA7" s="12">
        <v>188811</v>
      </c>
      <c r="CB7" s="12">
        <v>198196</v>
      </c>
      <c r="CC7" s="12">
        <v>198040</v>
      </c>
      <c r="CD7" s="12">
        <v>192177</v>
      </c>
      <c r="CE7" s="12">
        <v>198842</v>
      </c>
      <c r="CF7" s="12">
        <v>203643</v>
      </c>
      <c r="CG7" s="12">
        <v>212607</v>
      </c>
      <c r="CH7" s="12">
        <v>216844</v>
      </c>
      <c r="CI7" s="12">
        <v>213663</v>
      </c>
      <c r="CJ7" s="12">
        <v>207166</v>
      </c>
      <c r="CK7" s="12">
        <v>208884</v>
      </c>
      <c r="CL7" s="12">
        <v>212791</v>
      </c>
      <c r="CM7" s="12">
        <v>205170</v>
      </c>
      <c r="CN7" s="12">
        <v>204989</v>
      </c>
      <c r="CO7" s="12">
        <v>198212</v>
      </c>
      <c r="CP7" s="12">
        <v>205567</v>
      </c>
      <c r="CQ7" s="12">
        <v>198218</v>
      </c>
      <c r="CR7" s="12">
        <v>204339</v>
      </c>
      <c r="CS7" s="12">
        <v>203660</v>
      </c>
      <c r="CT7" s="12">
        <v>196714</v>
      </c>
      <c r="CU7" s="12">
        <v>196992</v>
      </c>
      <c r="CV7" s="12">
        <v>202924</v>
      </c>
      <c r="CW7" s="12">
        <v>210044</v>
      </c>
      <c r="CX7" s="12">
        <v>214147</v>
      </c>
      <c r="CY7" s="12">
        <v>205669</v>
      </c>
      <c r="CZ7" s="12">
        <v>215584</v>
      </c>
      <c r="DA7" s="12">
        <v>218766</v>
      </c>
      <c r="DB7" s="12">
        <v>214307</v>
      </c>
      <c r="DC7" s="12">
        <v>216113</v>
      </c>
      <c r="DD7" s="12">
        <v>222904</v>
      </c>
      <c r="DE7" s="12">
        <v>224418</v>
      </c>
      <c r="DF7" s="12">
        <v>224552</v>
      </c>
      <c r="DG7" s="12">
        <v>232332</v>
      </c>
      <c r="DH7" s="12">
        <v>235281</v>
      </c>
      <c r="DI7" s="12">
        <v>245282</v>
      </c>
      <c r="DJ7" s="12">
        <v>240854</v>
      </c>
      <c r="DK7" s="12">
        <v>240739</v>
      </c>
      <c r="DL7" s="12">
        <v>239298</v>
      </c>
      <c r="DM7" s="12">
        <v>238182</v>
      </c>
      <c r="DN7" s="12">
        <v>234806</v>
      </c>
      <c r="DO7" s="12">
        <v>230235</v>
      </c>
      <c r="DP7" s="12">
        <v>224197</v>
      </c>
      <c r="DQ7" s="12">
        <v>224968</v>
      </c>
    </row>
    <row r="8" spans="1:121">
      <c r="A8" t="s">
        <v>15</v>
      </c>
      <c r="B8" s="12">
        <v>309756</v>
      </c>
      <c r="C8" s="12">
        <v>300958</v>
      </c>
      <c r="D8" s="12">
        <v>301422</v>
      </c>
      <c r="E8" s="12">
        <v>303994</v>
      </c>
      <c r="F8" s="12">
        <v>307271</v>
      </c>
      <c r="G8" s="12">
        <v>322121</v>
      </c>
      <c r="H8" s="12">
        <v>334601</v>
      </c>
      <c r="I8" s="12">
        <v>350258</v>
      </c>
      <c r="J8" s="12">
        <v>354869</v>
      </c>
      <c r="K8" s="12">
        <v>352200</v>
      </c>
      <c r="L8" s="12">
        <v>355506</v>
      </c>
      <c r="M8" s="12">
        <v>348934</v>
      </c>
      <c r="N8" s="12">
        <v>363131</v>
      </c>
      <c r="O8" s="12">
        <v>359181</v>
      </c>
      <c r="P8" s="12">
        <v>365736</v>
      </c>
      <c r="Q8" s="12">
        <v>382110</v>
      </c>
      <c r="R8" s="12">
        <v>373987</v>
      </c>
      <c r="S8" s="12">
        <v>376016</v>
      </c>
      <c r="T8" s="12">
        <v>366516</v>
      </c>
      <c r="U8" s="12">
        <v>366486</v>
      </c>
      <c r="V8" s="12">
        <v>369885</v>
      </c>
      <c r="W8" s="12">
        <v>358820</v>
      </c>
      <c r="X8" s="12">
        <v>369784</v>
      </c>
      <c r="Y8" s="12">
        <v>370410</v>
      </c>
      <c r="Z8" s="12">
        <v>370756</v>
      </c>
      <c r="AA8" s="12">
        <v>372892</v>
      </c>
      <c r="AB8" s="12">
        <v>362222</v>
      </c>
      <c r="AC8" s="12">
        <v>352335</v>
      </c>
      <c r="AD8" s="12">
        <v>356001</v>
      </c>
      <c r="AE8" s="12">
        <v>356840</v>
      </c>
      <c r="AF8" s="12">
        <v>365278</v>
      </c>
      <c r="AG8" s="12">
        <v>372840</v>
      </c>
      <c r="AH8" s="12">
        <v>383240</v>
      </c>
      <c r="AI8" s="12">
        <v>379610</v>
      </c>
      <c r="AJ8" s="12">
        <v>393373</v>
      </c>
      <c r="AK8" s="12">
        <v>392331</v>
      </c>
      <c r="AL8" s="12">
        <v>401059</v>
      </c>
      <c r="AM8" s="12">
        <v>387617</v>
      </c>
      <c r="AN8" s="12">
        <v>386263</v>
      </c>
      <c r="AO8" s="12">
        <v>388592</v>
      </c>
      <c r="AP8" s="12">
        <v>393214</v>
      </c>
      <c r="AQ8" s="12">
        <v>411736</v>
      </c>
      <c r="AR8" s="12">
        <v>431349</v>
      </c>
      <c r="AS8" s="12">
        <v>431245</v>
      </c>
      <c r="AT8" s="12">
        <v>431196</v>
      </c>
      <c r="AU8" s="12">
        <v>425302</v>
      </c>
      <c r="AV8" s="12">
        <v>440009</v>
      </c>
      <c r="AW8" s="12">
        <v>454189</v>
      </c>
      <c r="AX8" s="12">
        <v>445155</v>
      </c>
      <c r="AY8" s="12">
        <v>462162</v>
      </c>
      <c r="AZ8" s="12">
        <v>444523</v>
      </c>
      <c r="BA8" s="12">
        <v>453185</v>
      </c>
      <c r="BB8" s="12">
        <v>469561</v>
      </c>
      <c r="BC8" s="12">
        <v>481519</v>
      </c>
      <c r="BD8" s="12">
        <v>467560</v>
      </c>
      <c r="BE8" s="12">
        <v>449477</v>
      </c>
      <c r="BF8" s="12">
        <v>442837</v>
      </c>
      <c r="BG8" s="12">
        <v>459846</v>
      </c>
      <c r="BH8" s="12">
        <v>446124</v>
      </c>
      <c r="BI8" s="12">
        <v>465744</v>
      </c>
      <c r="BJ8" s="12">
        <v>449367</v>
      </c>
      <c r="BK8" s="12">
        <v>468644</v>
      </c>
      <c r="BL8" s="12">
        <v>459184</v>
      </c>
      <c r="BM8" s="12">
        <v>456998</v>
      </c>
      <c r="BN8" s="12">
        <v>459910</v>
      </c>
      <c r="BO8" s="12">
        <v>452609</v>
      </c>
      <c r="BP8" s="12">
        <v>453110</v>
      </c>
      <c r="BQ8" s="12">
        <v>465329</v>
      </c>
      <c r="BR8" s="12">
        <v>485876</v>
      </c>
      <c r="BS8" s="12">
        <v>467100</v>
      </c>
      <c r="BT8" s="12">
        <v>459898</v>
      </c>
      <c r="BU8" s="12">
        <v>459552</v>
      </c>
      <c r="BV8" s="12">
        <v>481358</v>
      </c>
      <c r="BW8" s="12">
        <v>494254</v>
      </c>
      <c r="BX8" s="12">
        <v>488316</v>
      </c>
      <c r="BY8" s="12">
        <v>503516</v>
      </c>
      <c r="BZ8" s="12">
        <v>489409</v>
      </c>
      <c r="CA8" s="12">
        <v>482426</v>
      </c>
      <c r="CB8" s="12">
        <v>483532</v>
      </c>
      <c r="CC8" s="12">
        <v>500832</v>
      </c>
      <c r="CD8" s="12">
        <v>518103</v>
      </c>
      <c r="CE8" s="12">
        <v>501247</v>
      </c>
      <c r="CF8" s="12">
        <v>519110</v>
      </c>
      <c r="CG8" s="12">
        <v>539054</v>
      </c>
      <c r="CH8" s="12">
        <v>524755</v>
      </c>
      <c r="CI8" s="12">
        <v>511554</v>
      </c>
      <c r="CJ8" s="12">
        <v>514305</v>
      </c>
      <c r="CK8" s="12">
        <v>531333</v>
      </c>
      <c r="CL8" s="12">
        <v>520149</v>
      </c>
      <c r="CM8" s="12">
        <v>508164</v>
      </c>
      <c r="CN8" s="12">
        <v>530334</v>
      </c>
      <c r="CO8" s="12">
        <v>515334</v>
      </c>
      <c r="CP8" s="12">
        <v>495914</v>
      </c>
      <c r="CQ8" s="12">
        <v>517585</v>
      </c>
      <c r="CR8" s="12">
        <v>510046</v>
      </c>
      <c r="CS8" s="12">
        <v>524943</v>
      </c>
      <c r="CT8" s="12">
        <v>527950</v>
      </c>
      <c r="CU8" s="12">
        <v>518003</v>
      </c>
      <c r="CV8" s="12">
        <v>543327</v>
      </c>
      <c r="CW8" s="12">
        <v>561488</v>
      </c>
      <c r="CX8" s="12">
        <v>586914</v>
      </c>
      <c r="CY8" s="12">
        <v>607283</v>
      </c>
      <c r="CZ8" s="12">
        <v>628275</v>
      </c>
      <c r="DA8" s="12">
        <v>621726</v>
      </c>
      <c r="DB8" s="12">
        <v>627596</v>
      </c>
      <c r="DC8" s="12">
        <v>626862</v>
      </c>
      <c r="DD8" s="12">
        <v>612982</v>
      </c>
      <c r="DE8" s="12">
        <v>590506</v>
      </c>
      <c r="DF8" s="12">
        <v>605171</v>
      </c>
      <c r="DG8" s="12">
        <v>588114</v>
      </c>
      <c r="DH8" s="12">
        <v>599976</v>
      </c>
      <c r="DI8" s="12">
        <v>613215</v>
      </c>
      <c r="DJ8" s="12">
        <v>625860</v>
      </c>
      <c r="DK8" s="12">
        <v>628256</v>
      </c>
      <c r="DL8" s="12">
        <v>628150</v>
      </c>
      <c r="DM8" s="12">
        <v>607220</v>
      </c>
      <c r="DN8" s="12">
        <v>636381</v>
      </c>
      <c r="DO8" s="12">
        <v>652126</v>
      </c>
      <c r="DP8" s="12">
        <v>683564</v>
      </c>
      <c r="DQ8" s="12">
        <v>711766</v>
      </c>
    </row>
    <row r="9" spans="1:121">
      <c r="A9" t="s">
        <v>16</v>
      </c>
      <c r="B9" s="12">
        <v>51803</v>
      </c>
      <c r="C9" s="12">
        <v>53728</v>
      </c>
      <c r="D9" s="12">
        <v>53162</v>
      </c>
      <c r="E9" s="12">
        <v>54619</v>
      </c>
      <c r="F9" s="12">
        <v>53153</v>
      </c>
      <c r="G9" s="12">
        <v>51808</v>
      </c>
      <c r="H9" s="12">
        <v>52995</v>
      </c>
      <c r="I9" s="12">
        <v>54274</v>
      </c>
      <c r="J9" s="12">
        <v>55495</v>
      </c>
      <c r="K9" s="12">
        <v>56708</v>
      </c>
      <c r="L9" s="12">
        <v>57104</v>
      </c>
      <c r="M9" s="12">
        <v>58754</v>
      </c>
      <c r="N9" s="12">
        <v>59547</v>
      </c>
      <c r="O9" s="12">
        <v>57432</v>
      </c>
      <c r="P9" s="12">
        <v>56995</v>
      </c>
      <c r="Q9" s="12">
        <v>55829</v>
      </c>
      <c r="R9" s="12">
        <v>57160</v>
      </c>
      <c r="S9" s="12">
        <v>55787</v>
      </c>
      <c r="T9" s="12">
        <v>56151</v>
      </c>
      <c r="U9" s="12">
        <v>55237</v>
      </c>
      <c r="V9" s="12">
        <v>53727</v>
      </c>
      <c r="W9" s="12">
        <v>54100</v>
      </c>
      <c r="X9" s="12">
        <v>56457</v>
      </c>
      <c r="Y9" s="12">
        <v>56488</v>
      </c>
      <c r="Z9" s="12">
        <v>54516</v>
      </c>
      <c r="AA9" s="12">
        <v>54361</v>
      </c>
      <c r="AB9" s="12">
        <v>56545</v>
      </c>
      <c r="AC9" s="12">
        <v>57710</v>
      </c>
      <c r="AD9" s="12">
        <v>55562</v>
      </c>
      <c r="AE9" s="12">
        <v>54041</v>
      </c>
      <c r="AF9" s="12">
        <v>54866</v>
      </c>
      <c r="AG9" s="12">
        <v>56634</v>
      </c>
      <c r="AH9" s="12">
        <v>58774</v>
      </c>
      <c r="AI9" s="12">
        <v>56708</v>
      </c>
      <c r="AJ9" s="12">
        <v>55143</v>
      </c>
      <c r="AK9" s="12">
        <v>53934</v>
      </c>
      <c r="AL9" s="12">
        <v>52471</v>
      </c>
      <c r="AM9" s="12">
        <v>54960</v>
      </c>
      <c r="AN9" s="12">
        <v>54213</v>
      </c>
      <c r="AO9" s="12">
        <v>53178</v>
      </c>
      <c r="AP9" s="12">
        <v>52156</v>
      </c>
      <c r="AQ9" s="12">
        <v>54002</v>
      </c>
      <c r="AR9" s="12">
        <v>55016</v>
      </c>
      <c r="AS9" s="12">
        <v>55209</v>
      </c>
      <c r="AT9" s="12">
        <v>57263</v>
      </c>
      <c r="AU9" s="12">
        <v>57560</v>
      </c>
      <c r="AV9" s="12">
        <v>60272</v>
      </c>
      <c r="AW9" s="12">
        <v>62684</v>
      </c>
      <c r="AX9" s="12">
        <v>60867</v>
      </c>
      <c r="AY9" s="12">
        <v>61142</v>
      </c>
      <c r="AZ9" s="12">
        <v>62810</v>
      </c>
      <c r="BA9" s="12">
        <v>62085</v>
      </c>
      <c r="BB9" s="12">
        <v>61798</v>
      </c>
      <c r="BC9" s="12">
        <v>63815</v>
      </c>
      <c r="BD9" s="12">
        <v>63594</v>
      </c>
      <c r="BE9" s="12">
        <v>62671</v>
      </c>
      <c r="BF9" s="12">
        <v>63678</v>
      </c>
      <c r="BG9" s="12">
        <v>63891</v>
      </c>
      <c r="BH9" s="12">
        <v>62445</v>
      </c>
      <c r="BI9" s="12">
        <v>62488</v>
      </c>
      <c r="BJ9" s="12">
        <v>65005</v>
      </c>
      <c r="BK9" s="12">
        <v>62803</v>
      </c>
      <c r="BL9" s="12">
        <v>60998</v>
      </c>
      <c r="BM9" s="12">
        <v>62000</v>
      </c>
      <c r="BN9" s="12">
        <v>60532</v>
      </c>
      <c r="BO9" s="12">
        <v>59201</v>
      </c>
      <c r="BP9" s="12">
        <v>59409</v>
      </c>
      <c r="BQ9" s="12">
        <v>62256</v>
      </c>
      <c r="BR9" s="12">
        <v>64572</v>
      </c>
      <c r="BS9" s="12">
        <v>67170</v>
      </c>
      <c r="BT9" s="12">
        <v>66149</v>
      </c>
      <c r="BU9" s="12">
        <v>68891</v>
      </c>
      <c r="BV9" s="12">
        <v>68004</v>
      </c>
      <c r="BW9" s="12">
        <v>70240</v>
      </c>
      <c r="BX9" s="12">
        <v>69882</v>
      </c>
      <c r="BY9" s="12">
        <v>71309</v>
      </c>
      <c r="BZ9" s="12">
        <v>70830</v>
      </c>
      <c r="CA9" s="12">
        <v>72252</v>
      </c>
      <c r="CB9" s="12">
        <v>73102</v>
      </c>
      <c r="CC9" s="12">
        <v>73083</v>
      </c>
      <c r="CD9" s="12">
        <v>71786</v>
      </c>
      <c r="CE9" s="12">
        <v>71179</v>
      </c>
      <c r="CF9" s="12">
        <v>69238</v>
      </c>
      <c r="CG9" s="12">
        <v>67824</v>
      </c>
      <c r="CH9" s="12">
        <v>70180</v>
      </c>
      <c r="CI9" s="12">
        <v>69048</v>
      </c>
      <c r="CJ9" s="12">
        <v>68601</v>
      </c>
      <c r="CK9" s="12">
        <v>69224</v>
      </c>
      <c r="CL9" s="12">
        <v>68587</v>
      </c>
      <c r="CM9" s="12">
        <v>69070</v>
      </c>
      <c r="CN9" s="12">
        <v>70421</v>
      </c>
      <c r="CO9" s="12">
        <v>70885</v>
      </c>
      <c r="CP9" s="12">
        <v>69014</v>
      </c>
      <c r="CQ9" s="12">
        <v>66350</v>
      </c>
      <c r="CR9" s="12">
        <v>69498</v>
      </c>
      <c r="CS9" s="12">
        <v>71111</v>
      </c>
      <c r="CT9" s="12">
        <v>73845</v>
      </c>
      <c r="CU9" s="12">
        <v>72193</v>
      </c>
      <c r="CV9" s="12">
        <v>74000</v>
      </c>
      <c r="CW9" s="12">
        <v>71260</v>
      </c>
      <c r="CX9" s="12">
        <v>69218</v>
      </c>
      <c r="CY9" s="12">
        <v>69111</v>
      </c>
      <c r="CZ9" s="12">
        <v>69089</v>
      </c>
      <c r="DA9" s="12">
        <v>71428</v>
      </c>
      <c r="DB9" s="12">
        <v>70761</v>
      </c>
      <c r="DC9" s="12">
        <v>69414</v>
      </c>
      <c r="DD9" s="12">
        <v>66714</v>
      </c>
      <c r="DE9" s="12">
        <v>66308</v>
      </c>
      <c r="DF9" s="12">
        <v>66262</v>
      </c>
      <c r="DG9" s="12">
        <v>66973</v>
      </c>
      <c r="DH9" s="12">
        <v>67244</v>
      </c>
      <c r="DI9" s="12">
        <v>67040</v>
      </c>
      <c r="DJ9" s="12">
        <v>65769</v>
      </c>
      <c r="DK9" s="12">
        <v>68402</v>
      </c>
      <c r="DL9" s="12">
        <v>67553</v>
      </c>
      <c r="DM9" s="12">
        <v>69316</v>
      </c>
      <c r="DN9" s="12">
        <v>72078</v>
      </c>
      <c r="DO9" s="12">
        <v>74277</v>
      </c>
      <c r="DP9" s="12">
        <v>75009</v>
      </c>
      <c r="DQ9" s="12">
        <v>74296</v>
      </c>
    </row>
    <row r="10" spans="1:121">
      <c r="A10" t="s">
        <v>17</v>
      </c>
      <c r="B10" s="12">
        <v>36209</v>
      </c>
      <c r="C10" s="12">
        <v>36429</v>
      </c>
      <c r="D10" s="12">
        <v>34976</v>
      </c>
      <c r="E10" s="12">
        <v>36612</v>
      </c>
      <c r="F10" s="12">
        <v>37967</v>
      </c>
      <c r="G10" s="12">
        <v>36849</v>
      </c>
      <c r="H10" s="12">
        <v>38427</v>
      </c>
      <c r="I10" s="12">
        <v>39174</v>
      </c>
      <c r="J10" s="12">
        <v>39414</v>
      </c>
      <c r="K10" s="12">
        <v>40148</v>
      </c>
      <c r="L10" s="12">
        <v>40554</v>
      </c>
      <c r="M10" s="12">
        <v>42490</v>
      </c>
      <c r="N10" s="12">
        <v>41256</v>
      </c>
      <c r="O10" s="12">
        <v>43230</v>
      </c>
      <c r="P10" s="12">
        <v>42184</v>
      </c>
      <c r="Q10" s="12">
        <v>44268</v>
      </c>
      <c r="R10" s="12">
        <v>45602</v>
      </c>
      <c r="S10" s="12">
        <v>45902</v>
      </c>
      <c r="T10" s="12">
        <v>44376</v>
      </c>
      <c r="U10" s="12">
        <v>44170</v>
      </c>
      <c r="V10" s="12">
        <v>44506</v>
      </c>
      <c r="W10" s="12">
        <v>46331</v>
      </c>
      <c r="X10" s="12">
        <v>46954</v>
      </c>
      <c r="Y10" s="12">
        <v>48139</v>
      </c>
      <c r="Z10" s="12">
        <v>48872</v>
      </c>
      <c r="AA10" s="12">
        <v>50539</v>
      </c>
      <c r="AB10" s="12">
        <v>49933</v>
      </c>
      <c r="AC10" s="12">
        <v>48648</v>
      </c>
      <c r="AD10" s="12">
        <v>50650</v>
      </c>
      <c r="AE10" s="12">
        <v>50013</v>
      </c>
      <c r="AF10" s="12">
        <v>49352</v>
      </c>
      <c r="AG10" s="12">
        <v>51662</v>
      </c>
      <c r="AH10" s="12">
        <v>54018</v>
      </c>
      <c r="AI10" s="12">
        <v>53928</v>
      </c>
      <c r="AJ10" s="12">
        <v>55528</v>
      </c>
      <c r="AK10" s="12">
        <v>53366</v>
      </c>
      <c r="AL10" s="12">
        <v>54442</v>
      </c>
      <c r="AM10" s="12">
        <v>57043</v>
      </c>
      <c r="AN10" s="12">
        <v>56520</v>
      </c>
      <c r="AO10" s="12">
        <v>56514</v>
      </c>
      <c r="AP10" s="12">
        <v>58998</v>
      </c>
      <c r="AQ10" s="12">
        <v>61220</v>
      </c>
      <c r="AR10" s="12">
        <v>59632</v>
      </c>
      <c r="AS10" s="12">
        <v>57981</v>
      </c>
      <c r="AT10" s="12">
        <v>59411</v>
      </c>
      <c r="AU10" s="12">
        <v>59841</v>
      </c>
      <c r="AV10" s="12">
        <v>62320</v>
      </c>
      <c r="AW10" s="12">
        <v>65304</v>
      </c>
      <c r="AX10" s="12">
        <v>64620</v>
      </c>
      <c r="AY10" s="12">
        <v>65304</v>
      </c>
      <c r="AZ10" s="12">
        <v>66721</v>
      </c>
      <c r="BA10" s="12">
        <v>68345</v>
      </c>
      <c r="BB10" s="12">
        <v>65970</v>
      </c>
      <c r="BC10" s="12">
        <v>64227</v>
      </c>
      <c r="BD10" s="12">
        <v>65501</v>
      </c>
      <c r="BE10" s="12">
        <v>65286</v>
      </c>
      <c r="BF10" s="12">
        <v>65252</v>
      </c>
      <c r="BG10" s="12">
        <v>65039</v>
      </c>
      <c r="BH10" s="12">
        <v>67461</v>
      </c>
      <c r="BI10" s="12">
        <v>66194</v>
      </c>
      <c r="BJ10" s="12">
        <v>66863</v>
      </c>
      <c r="BK10" s="12">
        <v>67269</v>
      </c>
      <c r="BL10" s="12">
        <v>64758</v>
      </c>
      <c r="BM10" s="12">
        <v>64990</v>
      </c>
      <c r="BN10" s="12">
        <v>67089</v>
      </c>
      <c r="BO10" s="12">
        <v>68848</v>
      </c>
      <c r="BP10" s="12">
        <v>68577</v>
      </c>
      <c r="BQ10" s="12">
        <v>67418</v>
      </c>
      <c r="BR10" s="12">
        <v>70774</v>
      </c>
      <c r="BS10" s="12">
        <v>72064</v>
      </c>
      <c r="BT10" s="12">
        <v>73285</v>
      </c>
      <c r="BU10" s="12">
        <v>72851</v>
      </c>
      <c r="BV10" s="12">
        <v>74277</v>
      </c>
      <c r="BW10" s="12">
        <v>76034</v>
      </c>
      <c r="BX10" s="12">
        <v>78261</v>
      </c>
      <c r="BY10" s="12">
        <v>82043</v>
      </c>
      <c r="BZ10" s="12">
        <v>79966</v>
      </c>
      <c r="CA10" s="12">
        <v>82323</v>
      </c>
      <c r="CB10" s="12">
        <v>79487</v>
      </c>
      <c r="CC10" s="12">
        <v>82011</v>
      </c>
      <c r="CD10" s="12">
        <v>83427</v>
      </c>
      <c r="CE10" s="12">
        <v>87053</v>
      </c>
      <c r="CF10" s="12">
        <v>85417</v>
      </c>
      <c r="CG10" s="12">
        <v>88401</v>
      </c>
      <c r="CH10" s="12">
        <v>90998</v>
      </c>
      <c r="CI10" s="12">
        <v>92500</v>
      </c>
      <c r="CJ10" s="12">
        <v>96133</v>
      </c>
      <c r="CK10" s="12">
        <v>95183</v>
      </c>
      <c r="CL10" s="12">
        <v>96115</v>
      </c>
      <c r="CM10" s="12">
        <v>98404</v>
      </c>
      <c r="CN10" s="12">
        <v>101898</v>
      </c>
      <c r="CO10" s="12">
        <v>103709</v>
      </c>
      <c r="CP10" s="12">
        <v>107454</v>
      </c>
      <c r="CQ10" s="12">
        <v>104898</v>
      </c>
      <c r="CR10" s="12">
        <v>102298</v>
      </c>
      <c r="CS10" s="12">
        <v>103915</v>
      </c>
      <c r="CT10" s="12">
        <v>105604</v>
      </c>
      <c r="CU10" s="12">
        <v>103622</v>
      </c>
      <c r="CV10" s="12">
        <v>105994</v>
      </c>
      <c r="CW10" s="12">
        <v>102271</v>
      </c>
      <c r="CX10" s="12">
        <v>100970</v>
      </c>
      <c r="CY10" s="12">
        <v>102290</v>
      </c>
      <c r="CZ10" s="12">
        <v>101800</v>
      </c>
      <c r="DA10" s="12">
        <v>101318</v>
      </c>
      <c r="DB10" s="12">
        <v>99190</v>
      </c>
      <c r="DC10" s="12">
        <v>100867</v>
      </c>
      <c r="DD10" s="12">
        <v>99724</v>
      </c>
      <c r="DE10" s="12">
        <v>102362</v>
      </c>
      <c r="DF10" s="12">
        <v>100104</v>
      </c>
      <c r="DG10" s="12">
        <v>102458</v>
      </c>
      <c r="DH10" s="12">
        <v>106034</v>
      </c>
      <c r="DI10" s="12">
        <v>110095</v>
      </c>
      <c r="DJ10" s="12">
        <v>112813</v>
      </c>
      <c r="DK10" s="12">
        <v>115619</v>
      </c>
      <c r="DL10" s="12">
        <v>116465</v>
      </c>
      <c r="DM10" s="12">
        <v>119920</v>
      </c>
      <c r="DN10" s="12">
        <v>119689</v>
      </c>
      <c r="DO10" s="12">
        <v>124623</v>
      </c>
      <c r="DP10" s="12">
        <v>127986</v>
      </c>
      <c r="DQ10" s="12">
        <v>131843</v>
      </c>
    </row>
    <row r="11" spans="1:121">
      <c r="A11" t="s">
        <v>18</v>
      </c>
      <c r="B11" s="12">
        <v>33615</v>
      </c>
      <c r="C11" s="12">
        <v>34025</v>
      </c>
      <c r="D11" s="12">
        <v>34718</v>
      </c>
      <c r="E11" s="12">
        <v>36405</v>
      </c>
      <c r="F11" s="12">
        <v>35265</v>
      </c>
      <c r="G11" s="12">
        <v>36733</v>
      </c>
      <c r="H11" s="12">
        <v>36725</v>
      </c>
      <c r="I11" s="12">
        <v>35405</v>
      </c>
      <c r="J11" s="12">
        <v>34417</v>
      </c>
      <c r="K11" s="12">
        <v>35802</v>
      </c>
      <c r="L11" s="12">
        <v>34994</v>
      </c>
      <c r="M11" s="12">
        <v>35225</v>
      </c>
      <c r="N11" s="12">
        <v>34470</v>
      </c>
      <c r="O11" s="12">
        <v>33360</v>
      </c>
      <c r="P11" s="12">
        <v>34195</v>
      </c>
      <c r="Q11" s="12">
        <v>34609</v>
      </c>
      <c r="R11" s="12">
        <v>34309</v>
      </c>
      <c r="S11" s="12">
        <v>34216</v>
      </c>
      <c r="T11" s="12">
        <v>33875</v>
      </c>
      <c r="U11" s="12">
        <v>34235</v>
      </c>
      <c r="V11" s="12">
        <v>33298</v>
      </c>
      <c r="W11" s="12">
        <v>32133</v>
      </c>
      <c r="X11" s="12">
        <v>32025</v>
      </c>
      <c r="Y11" s="12">
        <v>33592</v>
      </c>
      <c r="Z11" s="12">
        <v>32877</v>
      </c>
      <c r="AA11" s="12">
        <v>34106</v>
      </c>
      <c r="AB11" s="12">
        <v>32755</v>
      </c>
      <c r="AC11" s="12">
        <v>32262</v>
      </c>
      <c r="AD11" s="12">
        <v>32255</v>
      </c>
      <c r="AE11" s="12">
        <v>33159</v>
      </c>
      <c r="AF11" s="12">
        <v>32936</v>
      </c>
      <c r="AG11" s="12">
        <v>32458</v>
      </c>
      <c r="AH11" s="12">
        <v>31813</v>
      </c>
      <c r="AI11" s="12">
        <v>30802</v>
      </c>
      <c r="AJ11" s="12">
        <v>31182</v>
      </c>
      <c r="AK11" s="12">
        <v>31470</v>
      </c>
      <c r="AL11" s="12">
        <v>32714</v>
      </c>
      <c r="AM11" s="12">
        <v>32449</v>
      </c>
      <c r="AN11" s="12">
        <v>33742</v>
      </c>
      <c r="AO11" s="12">
        <v>34579</v>
      </c>
      <c r="AP11" s="12">
        <v>33298</v>
      </c>
      <c r="AQ11" s="12">
        <v>32061</v>
      </c>
      <c r="AR11" s="12">
        <v>33031</v>
      </c>
      <c r="AS11" s="12">
        <v>33667</v>
      </c>
      <c r="AT11" s="12">
        <v>33195</v>
      </c>
      <c r="AU11" s="12">
        <v>33953</v>
      </c>
      <c r="AV11" s="12">
        <v>35000</v>
      </c>
      <c r="AW11" s="12">
        <v>34105</v>
      </c>
      <c r="AX11" s="12">
        <v>35294</v>
      </c>
      <c r="AY11" s="12">
        <v>35205</v>
      </c>
      <c r="AZ11" s="12">
        <v>36367</v>
      </c>
      <c r="BA11" s="12">
        <v>35817</v>
      </c>
      <c r="BB11" s="12">
        <v>36948</v>
      </c>
      <c r="BC11" s="12">
        <v>35791</v>
      </c>
      <c r="BD11" s="12">
        <v>34818</v>
      </c>
      <c r="BE11" s="12">
        <v>34563</v>
      </c>
      <c r="BF11" s="12">
        <v>35646</v>
      </c>
      <c r="BG11" s="12">
        <v>35376</v>
      </c>
      <c r="BH11" s="12">
        <v>35987</v>
      </c>
      <c r="BI11" s="12">
        <v>36692</v>
      </c>
      <c r="BJ11" s="12">
        <v>36043</v>
      </c>
      <c r="BK11" s="12">
        <v>34931</v>
      </c>
      <c r="BL11" s="12">
        <v>34867</v>
      </c>
      <c r="BM11" s="12">
        <v>35333</v>
      </c>
      <c r="BN11" s="12">
        <v>34822</v>
      </c>
      <c r="BO11" s="12">
        <v>34019</v>
      </c>
      <c r="BP11" s="12">
        <v>33708</v>
      </c>
      <c r="BQ11" s="12">
        <v>33592</v>
      </c>
      <c r="BR11" s="12">
        <v>34354</v>
      </c>
      <c r="BS11" s="12">
        <v>34621</v>
      </c>
      <c r="BT11" s="12">
        <v>33442</v>
      </c>
      <c r="BU11" s="12">
        <v>33258</v>
      </c>
      <c r="BV11" s="12">
        <v>32528</v>
      </c>
      <c r="BW11" s="12">
        <v>31385</v>
      </c>
      <c r="BX11" s="12">
        <v>30696</v>
      </c>
      <c r="BY11" s="12">
        <v>32104</v>
      </c>
      <c r="BZ11" s="12">
        <v>32745</v>
      </c>
      <c r="CA11" s="12">
        <v>31654</v>
      </c>
      <c r="CB11" s="12">
        <v>32714</v>
      </c>
      <c r="CC11" s="12">
        <v>34309</v>
      </c>
      <c r="CD11" s="12">
        <v>35572</v>
      </c>
      <c r="CE11" s="12">
        <v>35720</v>
      </c>
      <c r="CF11" s="12">
        <v>35860</v>
      </c>
      <c r="CG11" s="12">
        <v>34515</v>
      </c>
      <c r="CH11" s="12">
        <v>34848</v>
      </c>
      <c r="CI11" s="12">
        <v>35848</v>
      </c>
      <c r="CJ11" s="12">
        <v>34594</v>
      </c>
      <c r="CK11" s="12">
        <v>34111</v>
      </c>
      <c r="CL11" s="12">
        <v>32892</v>
      </c>
      <c r="CM11" s="12">
        <v>34235</v>
      </c>
      <c r="CN11" s="12">
        <v>35745</v>
      </c>
      <c r="CO11" s="12">
        <v>35668</v>
      </c>
      <c r="CP11" s="12">
        <v>35786</v>
      </c>
      <c r="CQ11" s="12">
        <v>35540</v>
      </c>
      <c r="CR11" s="12">
        <v>36431</v>
      </c>
      <c r="CS11" s="12">
        <v>38026</v>
      </c>
      <c r="CT11" s="12">
        <v>39403</v>
      </c>
      <c r="CU11" s="12">
        <v>39481</v>
      </c>
      <c r="CV11" s="12">
        <v>39863</v>
      </c>
      <c r="CW11" s="12">
        <v>40947</v>
      </c>
      <c r="CX11" s="12">
        <v>40484</v>
      </c>
      <c r="CY11" s="12">
        <v>40046</v>
      </c>
      <c r="CZ11" s="12">
        <v>40397</v>
      </c>
      <c r="DA11" s="12">
        <v>40293</v>
      </c>
      <c r="DB11" s="12">
        <v>39380</v>
      </c>
      <c r="DC11" s="12">
        <v>38594</v>
      </c>
      <c r="DD11" s="12">
        <v>38417</v>
      </c>
      <c r="DE11" s="12">
        <v>37317</v>
      </c>
      <c r="DF11" s="12">
        <v>39130</v>
      </c>
      <c r="DG11" s="12">
        <v>38551</v>
      </c>
      <c r="DH11" s="12">
        <v>37713</v>
      </c>
      <c r="DI11" s="12">
        <v>38752</v>
      </c>
      <c r="DJ11" s="12">
        <v>38598</v>
      </c>
      <c r="DK11" s="12">
        <v>39075</v>
      </c>
      <c r="DL11" s="12">
        <v>40856</v>
      </c>
      <c r="DM11" s="12">
        <v>40867</v>
      </c>
      <c r="DN11" s="12">
        <v>41330</v>
      </c>
      <c r="DO11" s="12">
        <v>43221</v>
      </c>
      <c r="DP11" s="12">
        <v>41725</v>
      </c>
      <c r="DQ11" s="12">
        <v>42427</v>
      </c>
    </row>
    <row r="12" spans="1:121">
      <c r="A12" t="s">
        <v>19</v>
      </c>
      <c r="B12" s="12">
        <v>178623</v>
      </c>
      <c r="C12" s="12">
        <v>187023</v>
      </c>
      <c r="D12" s="12">
        <v>195055</v>
      </c>
      <c r="E12" s="12">
        <v>187517</v>
      </c>
      <c r="F12" s="12">
        <v>184923</v>
      </c>
      <c r="G12" s="12">
        <v>182034</v>
      </c>
      <c r="H12" s="12">
        <v>185936</v>
      </c>
      <c r="I12" s="12">
        <v>186584</v>
      </c>
      <c r="J12" s="12">
        <v>179752</v>
      </c>
      <c r="K12" s="12">
        <v>184340</v>
      </c>
      <c r="L12" s="12">
        <v>180385</v>
      </c>
      <c r="M12" s="12">
        <v>180162</v>
      </c>
      <c r="N12" s="12">
        <v>186308</v>
      </c>
      <c r="O12" s="12">
        <v>191175</v>
      </c>
      <c r="P12" s="12">
        <v>184223</v>
      </c>
      <c r="Q12" s="12">
        <v>187104</v>
      </c>
      <c r="R12" s="12">
        <v>182280</v>
      </c>
      <c r="S12" s="12">
        <v>176776</v>
      </c>
      <c r="T12" s="12">
        <v>171501</v>
      </c>
      <c r="U12" s="12">
        <v>174830</v>
      </c>
      <c r="V12" s="12">
        <v>170930</v>
      </c>
      <c r="W12" s="12">
        <v>169237</v>
      </c>
      <c r="X12" s="12">
        <v>177291</v>
      </c>
      <c r="Y12" s="12">
        <v>174096</v>
      </c>
      <c r="Z12" s="12">
        <v>174438</v>
      </c>
      <c r="AA12" s="12">
        <v>181285</v>
      </c>
      <c r="AB12" s="12">
        <v>178539</v>
      </c>
      <c r="AC12" s="12">
        <v>180643</v>
      </c>
      <c r="AD12" s="12">
        <v>174111</v>
      </c>
      <c r="AE12" s="12">
        <v>174194</v>
      </c>
      <c r="AF12" s="12">
        <v>178103</v>
      </c>
      <c r="AG12" s="12">
        <v>176733</v>
      </c>
      <c r="AH12" s="12">
        <v>173688</v>
      </c>
      <c r="AI12" s="12">
        <v>177225</v>
      </c>
      <c r="AJ12" s="12">
        <v>170950</v>
      </c>
      <c r="AK12" s="12">
        <v>169424</v>
      </c>
      <c r="AL12" s="12">
        <v>176723</v>
      </c>
      <c r="AM12" s="12">
        <v>174488</v>
      </c>
      <c r="AN12" s="12">
        <v>176234</v>
      </c>
      <c r="AO12" s="12">
        <v>181997</v>
      </c>
      <c r="AP12" s="12">
        <v>181971</v>
      </c>
      <c r="AQ12" s="12">
        <v>189323</v>
      </c>
      <c r="AR12" s="12">
        <v>190080</v>
      </c>
      <c r="AS12" s="12">
        <v>195381</v>
      </c>
      <c r="AT12" s="12">
        <v>204060</v>
      </c>
      <c r="AU12" s="12">
        <v>211132</v>
      </c>
      <c r="AV12" s="12">
        <v>212862</v>
      </c>
      <c r="AW12" s="12">
        <v>214231</v>
      </c>
      <c r="AX12" s="12">
        <v>220222</v>
      </c>
      <c r="AY12" s="12">
        <v>216123</v>
      </c>
      <c r="AZ12" s="12">
        <v>216935</v>
      </c>
      <c r="BA12" s="12">
        <v>215079</v>
      </c>
      <c r="BB12" s="12">
        <v>219290</v>
      </c>
      <c r="BC12" s="12">
        <v>223056</v>
      </c>
      <c r="BD12" s="12">
        <v>230040</v>
      </c>
      <c r="BE12" s="12">
        <v>237782</v>
      </c>
      <c r="BF12" s="12">
        <v>239378</v>
      </c>
      <c r="BG12" s="12">
        <v>241380</v>
      </c>
      <c r="BH12" s="12">
        <v>251898</v>
      </c>
      <c r="BI12" s="12">
        <v>246116</v>
      </c>
      <c r="BJ12" s="12">
        <v>255195</v>
      </c>
      <c r="BK12" s="12">
        <v>263637</v>
      </c>
      <c r="BL12" s="12">
        <v>258252</v>
      </c>
      <c r="BM12" s="12">
        <v>254010</v>
      </c>
      <c r="BN12" s="12">
        <v>264318</v>
      </c>
      <c r="BO12" s="12">
        <v>256053</v>
      </c>
      <c r="BP12" s="12">
        <v>256841</v>
      </c>
      <c r="BQ12" s="12">
        <v>263073</v>
      </c>
      <c r="BR12" s="12">
        <v>267516</v>
      </c>
      <c r="BS12" s="12">
        <v>257762</v>
      </c>
      <c r="BT12" s="12">
        <v>265337</v>
      </c>
      <c r="BU12" s="12">
        <v>256017</v>
      </c>
      <c r="BV12" s="12">
        <v>264144</v>
      </c>
      <c r="BW12" s="12">
        <v>268917</v>
      </c>
      <c r="BX12" s="12">
        <v>276483</v>
      </c>
      <c r="BY12" s="12">
        <v>289410</v>
      </c>
      <c r="BZ12" s="12">
        <v>298152</v>
      </c>
      <c r="CA12" s="12">
        <v>293473</v>
      </c>
      <c r="CB12" s="12">
        <v>300119</v>
      </c>
      <c r="CC12" s="12">
        <v>302848</v>
      </c>
      <c r="CD12" s="12">
        <v>300040</v>
      </c>
      <c r="CE12" s="12">
        <v>297612</v>
      </c>
      <c r="CF12" s="12">
        <v>290131</v>
      </c>
      <c r="CG12" s="12">
        <v>301447</v>
      </c>
      <c r="CH12" s="12">
        <v>304978</v>
      </c>
      <c r="CI12" s="12">
        <v>307845</v>
      </c>
      <c r="CJ12" s="12">
        <v>309468</v>
      </c>
      <c r="CK12" s="12">
        <v>298885</v>
      </c>
      <c r="CL12" s="12">
        <v>287567</v>
      </c>
      <c r="CM12" s="12">
        <v>294899</v>
      </c>
      <c r="CN12" s="12">
        <v>298456</v>
      </c>
      <c r="CO12" s="12">
        <v>300928</v>
      </c>
      <c r="CP12" s="12">
        <v>307339</v>
      </c>
      <c r="CQ12" s="12">
        <v>312989</v>
      </c>
      <c r="CR12" s="12">
        <v>324965</v>
      </c>
      <c r="CS12" s="12">
        <v>333910</v>
      </c>
      <c r="CT12" s="12">
        <v>336502</v>
      </c>
      <c r="CU12" s="12">
        <v>352401</v>
      </c>
      <c r="CV12" s="12">
        <v>368551</v>
      </c>
      <c r="CW12" s="12">
        <v>380721</v>
      </c>
      <c r="CX12" s="12">
        <v>381621</v>
      </c>
      <c r="CY12" s="12">
        <v>391385</v>
      </c>
      <c r="CZ12" s="12">
        <v>407394</v>
      </c>
      <c r="DA12" s="12">
        <v>425658</v>
      </c>
      <c r="DB12" s="12">
        <v>409048</v>
      </c>
      <c r="DC12" s="12">
        <v>412801</v>
      </c>
      <c r="DD12" s="12">
        <v>397650</v>
      </c>
      <c r="DE12" s="12">
        <v>392029</v>
      </c>
      <c r="DF12" s="12">
        <v>408514</v>
      </c>
      <c r="DG12" s="12">
        <v>396274</v>
      </c>
      <c r="DH12" s="12">
        <v>403665</v>
      </c>
      <c r="DI12" s="12">
        <v>391067</v>
      </c>
      <c r="DJ12" s="12">
        <v>400504</v>
      </c>
      <c r="DK12" s="12">
        <v>413532</v>
      </c>
      <c r="DL12" s="12">
        <v>406963</v>
      </c>
      <c r="DM12" s="12">
        <v>397287</v>
      </c>
      <c r="DN12" s="12">
        <v>411832</v>
      </c>
      <c r="DO12" s="12">
        <v>407708</v>
      </c>
      <c r="DP12" s="12">
        <v>422053</v>
      </c>
      <c r="DQ12" s="12">
        <v>421718</v>
      </c>
    </row>
    <row r="13" spans="1:121">
      <c r="A13" t="s">
        <v>20</v>
      </c>
      <c r="B13" s="12">
        <v>90467</v>
      </c>
      <c r="C13" s="12">
        <v>92580</v>
      </c>
      <c r="D13" s="12">
        <v>89980</v>
      </c>
      <c r="E13" s="12">
        <v>86572</v>
      </c>
      <c r="F13" s="12">
        <v>86525</v>
      </c>
      <c r="G13" s="12">
        <v>85717</v>
      </c>
      <c r="H13" s="12">
        <v>89519</v>
      </c>
      <c r="I13" s="12">
        <v>90900</v>
      </c>
      <c r="J13" s="12">
        <v>91106</v>
      </c>
      <c r="K13" s="12">
        <v>93810</v>
      </c>
      <c r="L13" s="12">
        <v>90503</v>
      </c>
      <c r="M13" s="12">
        <v>86941</v>
      </c>
      <c r="N13" s="12">
        <v>86342</v>
      </c>
      <c r="O13" s="12">
        <v>84735</v>
      </c>
      <c r="P13" s="12">
        <v>84598</v>
      </c>
      <c r="Q13" s="12">
        <v>88498</v>
      </c>
      <c r="R13" s="12">
        <v>91974</v>
      </c>
      <c r="S13" s="12">
        <v>92246</v>
      </c>
      <c r="T13" s="12">
        <v>92390</v>
      </c>
      <c r="U13" s="12">
        <v>95393</v>
      </c>
      <c r="V13" s="12">
        <v>96116</v>
      </c>
      <c r="W13" s="12">
        <v>96042</v>
      </c>
      <c r="X13" s="12">
        <v>92238</v>
      </c>
      <c r="Y13" s="12">
        <v>89412</v>
      </c>
      <c r="Z13" s="12">
        <v>89593</v>
      </c>
      <c r="AA13" s="12">
        <v>86628</v>
      </c>
      <c r="AB13" s="12">
        <v>88386</v>
      </c>
      <c r="AC13" s="12">
        <v>91049</v>
      </c>
      <c r="AD13" s="12">
        <v>91958</v>
      </c>
      <c r="AE13" s="12">
        <v>89916</v>
      </c>
      <c r="AF13" s="12">
        <v>88870</v>
      </c>
      <c r="AG13" s="12">
        <v>90587</v>
      </c>
      <c r="AH13" s="12">
        <v>88307</v>
      </c>
      <c r="AI13" s="12">
        <v>87585</v>
      </c>
      <c r="AJ13" s="12">
        <v>89365</v>
      </c>
      <c r="AK13" s="12">
        <v>91882</v>
      </c>
      <c r="AL13" s="12">
        <v>89043</v>
      </c>
      <c r="AM13" s="12">
        <v>85506</v>
      </c>
      <c r="AN13" s="12">
        <v>87119</v>
      </c>
      <c r="AO13" s="12">
        <v>86528</v>
      </c>
      <c r="AP13" s="12">
        <v>90320</v>
      </c>
      <c r="AQ13" s="12">
        <v>93491</v>
      </c>
      <c r="AR13" s="12">
        <v>91491</v>
      </c>
      <c r="AS13" s="12">
        <v>91857</v>
      </c>
      <c r="AT13" s="12">
        <v>93446</v>
      </c>
      <c r="AU13" s="12">
        <v>96867</v>
      </c>
      <c r="AV13" s="12">
        <v>98353</v>
      </c>
      <c r="AW13" s="12">
        <v>94436</v>
      </c>
      <c r="AX13" s="12">
        <v>93669</v>
      </c>
      <c r="AY13" s="12">
        <v>93748</v>
      </c>
      <c r="AZ13" s="12">
        <v>91540</v>
      </c>
      <c r="BA13" s="12">
        <v>94035</v>
      </c>
      <c r="BB13" s="12">
        <v>94223</v>
      </c>
      <c r="BC13" s="12">
        <v>91194</v>
      </c>
      <c r="BD13" s="12">
        <v>90587</v>
      </c>
      <c r="BE13" s="12">
        <v>90882</v>
      </c>
      <c r="BF13" s="12">
        <v>94537</v>
      </c>
      <c r="BG13" s="12">
        <v>91694</v>
      </c>
      <c r="BH13" s="12">
        <v>91973</v>
      </c>
      <c r="BI13" s="12">
        <v>94509</v>
      </c>
      <c r="BJ13" s="12">
        <v>99049</v>
      </c>
      <c r="BK13" s="12">
        <v>99552</v>
      </c>
      <c r="BL13" s="12">
        <v>103087</v>
      </c>
      <c r="BM13" s="12">
        <v>107520</v>
      </c>
      <c r="BN13" s="12">
        <v>108003</v>
      </c>
      <c r="BO13" s="12">
        <v>110817</v>
      </c>
      <c r="BP13" s="12">
        <v>115505</v>
      </c>
      <c r="BQ13" s="12">
        <v>120258</v>
      </c>
      <c r="BR13" s="12">
        <v>121692</v>
      </c>
      <c r="BS13" s="12">
        <v>118234</v>
      </c>
      <c r="BT13" s="12">
        <v>121845</v>
      </c>
      <c r="BU13" s="12">
        <v>121189</v>
      </c>
      <c r="BV13" s="12">
        <v>118561</v>
      </c>
      <c r="BW13" s="12">
        <v>121156</v>
      </c>
      <c r="BX13" s="12">
        <v>122298</v>
      </c>
      <c r="BY13" s="12">
        <v>128038</v>
      </c>
      <c r="BZ13" s="12">
        <v>132086</v>
      </c>
      <c r="CA13" s="12">
        <v>126925</v>
      </c>
      <c r="CB13" s="12">
        <v>127501</v>
      </c>
      <c r="CC13" s="12">
        <v>122706</v>
      </c>
      <c r="CD13" s="12">
        <v>121685</v>
      </c>
      <c r="CE13" s="12">
        <v>123129</v>
      </c>
      <c r="CF13" s="12">
        <v>126544</v>
      </c>
      <c r="CG13" s="12">
        <v>122478</v>
      </c>
      <c r="CH13" s="12">
        <v>123276</v>
      </c>
      <c r="CI13" s="12">
        <v>128144</v>
      </c>
      <c r="CJ13" s="12">
        <v>128739</v>
      </c>
      <c r="CK13" s="12">
        <v>129919</v>
      </c>
      <c r="CL13" s="12">
        <v>131480</v>
      </c>
      <c r="CM13" s="12">
        <v>134022</v>
      </c>
      <c r="CN13" s="12">
        <v>132731</v>
      </c>
      <c r="CO13" s="12">
        <v>136458</v>
      </c>
      <c r="CP13" s="12">
        <v>135607</v>
      </c>
      <c r="CQ13" s="12">
        <v>135753</v>
      </c>
      <c r="CR13" s="12">
        <v>132112</v>
      </c>
      <c r="CS13" s="12">
        <v>134392</v>
      </c>
      <c r="CT13" s="12">
        <v>131221</v>
      </c>
      <c r="CU13" s="12">
        <v>134155</v>
      </c>
      <c r="CV13" s="12">
        <v>129668</v>
      </c>
      <c r="CW13" s="12">
        <v>128699</v>
      </c>
      <c r="CX13" s="12">
        <v>129998</v>
      </c>
      <c r="CY13" s="12">
        <v>133505</v>
      </c>
      <c r="CZ13" s="12">
        <v>138032</v>
      </c>
      <c r="DA13" s="12">
        <v>132734</v>
      </c>
      <c r="DB13" s="12">
        <v>128482</v>
      </c>
      <c r="DC13" s="12">
        <v>130283</v>
      </c>
      <c r="DD13" s="12">
        <v>132990</v>
      </c>
      <c r="DE13" s="12">
        <v>130041</v>
      </c>
      <c r="DF13" s="12">
        <v>132177</v>
      </c>
      <c r="DG13" s="12">
        <v>135979</v>
      </c>
      <c r="DH13" s="12">
        <v>133253</v>
      </c>
      <c r="DI13" s="12">
        <v>133096</v>
      </c>
      <c r="DJ13" s="12">
        <v>129724</v>
      </c>
      <c r="DK13" s="12">
        <v>124857</v>
      </c>
      <c r="DL13" s="12">
        <v>130418</v>
      </c>
      <c r="DM13" s="12">
        <v>136263</v>
      </c>
      <c r="DN13" s="12">
        <v>140549</v>
      </c>
      <c r="DO13" s="12">
        <v>135317</v>
      </c>
      <c r="DP13" s="12">
        <v>140451</v>
      </c>
      <c r="DQ13" s="12">
        <v>138116</v>
      </c>
    </row>
    <row r="14" spans="1:121">
      <c r="A14" t="s">
        <v>21</v>
      </c>
      <c r="B14" s="12">
        <v>88614</v>
      </c>
      <c r="C14" s="12">
        <v>85845</v>
      </c>
      <c r="D14" s="12">
        <v>84259</v>
      </c>
      <c r="E14" s="12">
        <v>84672</v>
      </c>
      <c r="F14" s="12">
        <v>88498</v>
      </c>
      <c r="G14" s="12">
        <v>85760</v>
      </c>
      <c r="H14" s="12">
        <v>89940</v>
      </c>
      <c r="I14" s="12">
        <v>90031</v>
      </c>
      <c r="J14" s="12">
        <v>89942</v>
      </c>
      <c r="K14" s="12">
        <v>89855</v>
      </c>
      <c r="L14" s="12">
        <v>91111</v>
      </c>
      <c r="M14" s="12">
        <v>87496</v>
      </c>
      <c r="N14" s="12">
        <v>90932</v>
      </c>
      <c r="O14" s="12">
        <v>95176</v>
      </c>
      <c r="P14" s="12">
        <v>96212</v>
      </c>
      <c r="Q14" s="12">
        <v>101002</v>
      </c>
      <c r="R14" s="12">
        <v>103382</v>
      </c>
      <c r="S14" s="12">
        <v>99839</v>
      </c>
      <c r="T14" s="12">
        <v>98364</v>
      </c>
      <c r="U14" s="12">
        <v>97389</v>
      </c>
      <c r="V14" s="12">
        <v>98297</v>
      </c>
      <c r="W14" s="12">
        <v>95064</v>
      </c>
      <c r="X14" s="12">
        <v>96957</v>
      </c>
      <c r="Y14" s="12">
        <v>98390</v>
      </c>
      <c r="Z14" s="12">
        <v>97965</v>
      </c>
      <c r="AA14" s="12">
        <v>95394</v>
      </c>
      <c r="AB14" s="12">
        <v>93919</v>
      </c>
      <c r="AC14" s="12">
        <v>92245</v>
      </c>
      <c r="AD14" s="12">
        <v>90788</v>
      </c>
      <c r="AE14" s="12">
        <v>92806</v>
      </c>
      <c r="AF14" s="12">
        <v>96113</v>
      </c>
      <c r="AG14" s="12">
        <v>92991</v>
      </c>
      <c r="AH14" s="12">
        <v>93357</v>
      </c>
      <c r="AI14" s="12">
        <v>94133</v>
      </c>
      <c r="AJ14" s="12">
        <v>95799</v>
      </c>
      <c r="AK14" s="12">
        <v>96442</v>
      </c>
      <c r="AL14" s="12">
        <v>94587</v>
      </c>
      <c r="AM14" s="12">
        <v>97459</v>
      </c>
      <c r="AN14" s="12">
        <v>100812</v>
      </c>
      <c r="AO14" s="12">
        <v>100112</v>
      </c>
      <c r="AP14" s="12">
        <v>104691</v>
      </c>
      <c r="AQ14" s="12">
        <v>105756</v>
      </c>
      <c r="AR14" s="12">
        <v>108631</v>
      </c>
      <c r="AS14" s="12">
        <v>106066</v>
      </c>
      <c r="AT14" s="12">
        <v>102148</v>
      </c>
      <c r="AU14" s="12">
        <v>106702</v>
      </c>
      <c r="AV14" s="12">
        <v>109985</v>
      </c>
      <c r="AW14" s="12">
        <v>113559</v>
      </c>
      <c r="AX14" s="12">
        <v>111242</v>
      </c>
      <c r="AY14" s="12">
        <v>113946</v>
      </c>
      <c r="AZ14" s="12">
        <v>116897</v>
      </c>
      <c r="BA14" s="12">
        <v>120468</v>
      </c>
      <c r="BB14" s="12">
        <v>117804</v>
      </c>
      <c r="BC14" s="12">
        <v>116409</v>
      </c>
      <c r="BD14" s="12">
        <v>116612</v>
      </c>
      <c r="BE14" s="12">
        <v>114934</v>
      </c>
      <c r="BF14" s="12">
        <v>115989</v>
      </c>
      <c r="BG14" s="12">
        <v>120390</v>
      </c>
      <c r="BH14" s="12">
        <v>123627</v>
      </c>
      <c r="BI14" s="12">
        <v>125439</v>
      </c>
      <c r="BJ14" s="12">
        <v>130495</v>
      </c>
      <c r="BK14" s="12">
        <v>134542</v>
      </c>
      <c r="BL14" s="12">
        <v>137248</v>
      </c>
      <c r="BM14" s="12">
        <v>132377</v>
      </c>
      <c r="BN14" s="12">
        <v>138005</v>
      </c>
      <c r="BO14" s="12">
        <v>139024</v>
      </c>
      <c r="BP14" s="12">
        <v>142528</v>
      </c>
      <c r="BQ14" s="12">
        <v>142515</v>
      </c>
      <c r="BR14" s="12">
        <v>145807</v>
      </c>
      <c r="BS14" s="12">
        <v>140161</v>
      </c>
      <c r="BT14" s="12">
        <v>146850</v>
      </c>
      <c r="BU14" s="12">
        <v>151726</v>
      </c>
      <c r="BV14" s="12">
        <v>150347</v>
      </c>
      <c r="BW14" s="12">
        <v>151091</v>
      </c>
      <c r="BX14" s="12">
        <v>149827</v>
      </c>
      <c r="BY14" s="12">
        <v>152245</v>
      </c>
      <c r="BZ14" s="12">
        <v>149781</v>
      </c>
      <c r="CA14" s="12">
        <v>147206</v>
      </c>
      <c r="CB14" s="12">
        <v>141489</v>
      </c>
      <c r="CC14" s="12">
        <v>135867</v>
      </c>
      <c r="CD14" s="12">
        <v>140478</v>
      </c>
      <c r="CE14" s="12">
        <v>136533</v>
      </c>
      <c r="CF14" s="12">
        <v>132818</v>
      </c>
      <c r="CG14" s="12">
        <v>138700</v>
      </c>
      <c r="CH14" s="12">
        <v>136703</v>
      </c>
      <c r="CI14" s="12">
        <v>138877</v>
      </c>
      <c r="CJ14" s="12">
        <v>136821</v>
      </c>
      <c r="CK14" s="12">
        <v>136919</v>
      </c>
      <c r="CL14" s="12">
        <v>139808</v>
      </c>
      <c r="CM14" s="12">
        <v>135709</v>
      </c>
      <c r="CN14" s="12">
        <v>139884</v>
      </c>
      <c r="CO14" s="12">
        <v>144075</v>
      </c>
      <c r="CP14" s="12">
        <v>139768</v>
      </c>
      <c r="CQ14" s="12">
        <v>138311</v>
      </c>
      <c r="CR14" s="12">
        <v>133512</v>
      </c>
      <c r="CS14" s="12">
        <v>134694</v>
      </c>
      <c r="CT14" s="12">
        <v>137234</v>
      </c>
      <c r="CU14" s="12">
        <v>143336</v>
      </c>
      <c r="CV14" s="12">
        <v>149486</v>
      </c>
      <c r="CW14" s="12">
        <v>155696</v>
      </c>
      <c r="CX14" s="12">
        <v>159228</v>
      </c>
      <c r="CY14" s="12">
        <v>164486</v>
      </c>
      <c r="CZ14" s="12">
        <v>169856</v>
      </c>
      <c r="DA14" s="12">
        <v>169020</v>
      </c>
      <c r="DB14" s="12">
        <v>163947</v>
      </c>
      <c r="DC14" s="12">
        <v>164992</v>
      </c>
      <c r="DD14" s="12">
        <v>164126</v>
      </c>
      <c r="DE14" s="12">
        <v>163500</v>
      </c>
      <c r="DF14" s="12">
        <v>157931</v>
      </c>
      <c r="DG14" s="12">
        <v>165777</v>
      </c>
      <c r="DH14" s="12">
        <v>161912</v>
      </c>
      <c r="DI14" s="12">
        <v>159925</v>
      </c>
      <c r="DJ14" s="12">
        <v>163374</v>
      </c>
      <c r="DK14" s="12">
        <v>166697</v>
      </c>
      <c r="DL14" s="12">
        <v>173530</v>
      </c>
      <c r="DM14" s="12">
        <v>170706</v>
      </c>
      <c r="DN14" s="12">
        <v>166081</v>
      </c>
      <c r="DO14" s="12">
        <v>171409</v>
      </c>
      <c r="DP14" s="12">
        <v>172586</v>
      </c>
      <c r="DQ14" s="12">
        <v>175952</v>
      </c>
    </row>
    <row r="22" spans="2:121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C51"/>
  <sheetViews>
    <sheetView zoomScale="77" workbookViewId="0"/>
  </sheetViews>
  <sheetFormatPr defaultRowHeight="15.6"/>
  <cols>
    <col min="1" max="1" width="76.33203125" style="3" bestFit="1" customWidth="1"/>
    <col min="2" max="2" width="16.33203125" style="8" customWidth="1"/>
    <col min="3" max="16384" width="8.88671875" style="8"/>
  </cols>
  <sheetData>
    <row r="1" spans="1:3">
      <c r="A1" s="19" t="s">
        <v>3</v>
      </c>
      <c r="B1" s="7" t="s">
        <v>0</v>
      </c>
      <c r="C1" s="7" t="s">
        <v>4</v>
      </c>
    </row>
    <row r="2" spans="1:3">
      <c r="A2" s="3" t="s">
        <v>81</v>
      </c>
      <c r="B2" s="9"/>
      <c r="C2" s="13" t="s">
        <v>78</v>
      </c>
    </row>
    <row r="3" spans="1:3">
      <c r="A3" s="3" t="s">
        <v>82</v>
      </c>
      <c r="B3" s="9"/>
      <c r="C3" s="13" t="s">
        <v>78</v>
      </c>
    </row>
    <row r="4" spans="1:3">
      <c r="A4" s="3" t="s">
        <v>83</v>
      </c>
      <c r="B4" s="9"/>
      <c r="C4" s="13" t="s">
        <v>78</v>
      </c>
    </row>
    <row r="5" spans="1:3">
      <c r="A5" s="3" t="s">
        <v>84</v>
      </c>
      <c r="B5" s="9"/>
      <c r="C5" s="13" t="s">
        <v>78</v>
      </c>
    </row>
    <row r="6" spans="1:3">
      <c r="A6" s="3" t="s">
        <v>85</v>
      </c>
      <c r="B6" s="9"/>
      <c r="C6" s="13" t="s">
        <v>78</v>
      </c>
    </row>
    <row r="7" spans="1:3">
      <c r="A7" s="3" t="s">
        <v>86</v>
      </c>
      <c r="B7" s="9"/>
      <c r="C7" s="13" t="s">
        <v>78</v>
      </c>
    </row>
    <row r="8" spans="1:3">
      <c r="A8" s="3" t="s">
        <v>87</v>
      </c>
      <c r="B8" s="9"/>
      <c r="C8" s="13" t="s">
        <v>78</v>
      </c>
    </row>
    <row r="9" spans="1:3">
      <c r="A9" s="3" t="s">
        <v>88</v>
      </c>
      <c r="B9" s="9"/>
      <c r="C9" s="13" t="s">
        <v>78</v>
      </c>
    </row>
    <row r="10" spans="1:3">
      <c r="A10" s="3" t="s">
        <v>89</v>
      </c>
      <c r="B10" s="9"/>
      <c r="C10" s="13" t="s">
        <v>78</v>
      </c>
    </row>
    <row r="11" spans="1:3">
      <c r="A11" s="3" t="s">
        <v>90</v>
      </c>
      <c r="B11" s="9"/>
      <c r="C11" s="13" t="s">
        <v>78</v>
      </c>
    </row>
    <row r="12" spans="1:3">
      <c r="A12" s="3" t="s">
        <v>91</v>
      </c>
      <c r="B12" s="9"/>
      <c r="C12" s="13" t="s">
        <v>78</v>
      </c>
    </row>
    <row r="13" spans="1:3">
      <c r="A13" s="3" t="s">
        <v>92</v>
      </c>
      <c r="B13" s="9"/>
      <c r="C13" s="13" t="s">
        <v>78</v>
      </c>
    </row>
    <row r="14" spans="1:3">
      <c r="A14" s="3" t="s">
        <v>93</v>
      </c>
      <c r="B14" s="9"/>
      <c r="C14" s="13" t="s">
        <v>78</v>
      </c>
    </row>
    <row r="15" spans="1:3">
      <c r="A15" s="3" t="s">
        <v>94</v>
      </c>
      <c r="B15" s="9"/>
      <c r="C15" s="13" t="s">
        <v>78</v>
      </c>
    </row>
    <row r="16" spans="1:3">
      <c r="A16" s="3" t="s">
        <v>95</v>
      </c>
      <c r="B16" s="9"/>
      <c r="C16" s="13" t="s">
        <v>78</v>
      </c>
    </row>
    <row r="17" spans="1:3">
      <c r="A17" s="3" t="s">
        <v>96</v>
      </c>
      <c r="B17" s="9"/>
      <c r="C17" s="13" t="s">
        <v>80</v>
      </c>
    </row>
    <row r="18" spans="1:3">
      <c r="A18" s="3" t="s">
        <v>97</v>
      </c>
      <c r="B18" s="9"/>
      <c r="C18" s="13" t="s">
        <v>80</v>
      </c>
    </row>
    <row r="19" spans="1:3">
      <c r="A19" s="3" t="s">
        <v>98</v>
      </c>
      <c r="B19" s="9"/>
      <c r="C19" s="13" t="s">
        <v>80</v>
      </c>
    </row>
    <row r="20" spans="1:3">
      <c r="A20" s="3" t="s">
        <v>99</v>
      </c>
      <c r="B20" s="9"/>
      <c r="C20" s="13" t="s">
        <v>80</v>
      </c>
    </row>
    <row r="21" spans="1:3">
      <c r="A21" s="3" t="s">
        <v>100</v>
      </c>
      <c r="B21" s="9"/>
      <c r="C21" s="13" t="s">
        <v>80</v>
      </c>
    </row>
    <row r="22" spans="1:3">
      <c r="A22" s="3" t="s">
        <v>101</v>
      </c>
      <c r="B22" s="9"/>
      <c r="C22" s="13" t="s">
        <v>80</v>
      </c>
    </row>
    <row r="23" spans="1:3">
      <c r="A23" s="3" t="s">
        <v>102</v>
      </c>
      <c r="B23" s="9"/>
      <c r="C23" s="13" t="s">
        <v>80</v>
      </c>
    </row>
    <row r="24" spans="1:3">
      <c r="A24" s="3" t="s">
        <v>103</v>
      </c>
      <c r="B24" s="9"/>
      <c r="C24" s="13" t="s">
        <v>80</v>
      </c>
    </row>
    <row r="25" spans="1:3">
      <c r="A25" s="3" t="s">
        <v>104</v>
      </c>
      <c r="B25" s="9"/>
      <c r="C25" s="13" t="s">
        <v>80</v>
      </c>
    </row>
    <row r="26" spans="1:3">
      <c r="A26" s="3" t="s">
        <v>105</v>
      </c>
      <c r="B26" s="9"/>
      <c r="C26" s="13" t="s">
        <v>80</v>
      </c>
    </row>
    <row r="27" spans="1:3">
      <c r="A27" s="3" t="s">
        <v>106</v>
      </c>
      <c r="B27" s="9"/>
      <c r="C27" s="13" t="s">
        <v>80</v>
      </c>
    </row>
    <row r="28" spans="1:3">
      <c r="A28" s="3" t="s">
        <v>107</v>
      </c>
      <c r="B28" s="9"/>
      <c r="C28" s="13" t="s">
        <v>80</v>
      </c>
    </row>
    <row r="29" spans="1:3">
      <c r="A29" s="3" t="s">
        <v>108</v>
      </c>
      <c r="B29" s="9"/>
      <c r="C29" s="13" t="s">
        <v>80</v>
      </c>
    </row>
    <row r="30" spans="1:3">
      <c r="A30" s="3" t="s">
        <v>109</v>
      </c>
      <c r="B30" s="9"/>
      <c r="C30" s="13" t="s">
        <v>80</v>
      </c>
    </row>
    <row r="31" spans="1:3">
      <c r="A31" s="3" t="s">
        <v>110</v>
      </c>
      <c r="B31" s="9"/>
      <c r="C31" s="13" t="s">
        <v>80</v>
      </c>
    </row>
    <row r="32" spans="1:3">
      <c r="A32" s="3" t="s">
        <v>111</v>
      </c>
      <c r="B32" s="9"/>
      <c r="C32" s="13" t="s">
        <v>80</v>
      </c>
    </row>
    <row r="33" spans="1:3">
      <c r="A33" s="3" t="s">
        <v>112</v>
      </c>
      <c r="B33" s="9"/>
      <c r="C33" s="13" t="s">
        <v>80</v>
      </c>
    </row>
    <row r="34" spans="1:3">
      <c r="A34" s="3" t="s">
        <v>130</v>
      </c>
      <c r="B34" s="9"/>
      <c r="C34" s="13" t="s">
        <v>80</v>
      </c>
    </row>
    <row r="35" spans="1:3">
      <c r="A35" s="3" t="s">
        <v>113</v>
      </c>
      <c r="B35" s="9"/>
      <c r="C35" s="13" t="s">
        <v>80</v>
      </c>
    </row>
    <row r="36" spans="1:3">
      <c r="A36" s="3" t="s">
        <v>114</v>
      </c>
      <c r="B36" s="9"/>
      <c r="C36" s="13" t="s">
        <v>80</v>
      </c>
    </row>
    <row r="37" spans="1:3">
      <c r="A37" s="3" t="s">
        <v>115</v>
      </c>
      <c r="B37" s="9"/>
      <c r="C37" s="13" t="s">
        <v>80</v>
      </c>
    </row>
    <row r="38" spans="1:3">
      <c r="A38" s="3" t="s">
        <v>116</v>
      </c>
      <c r="B38" s="9"/>
      <c r="C38" s="13" t="s">
        <v>80</v>
      </c>
    </row>
    <row r="39" spans="1:3">
      <c r="A39" s="3" t="s">
        <v>117</v>
      </c>
      <c r="B39" s="9"/>
      <c r="C39" s="13" t="s">
        <v>80</v>
      </c>
    </row>
    <row r="40" spans="1:3">
      <c r="A40" s="3" t="s">
        <v>118</v>
      </c>
      <c r="B40" s="9"/>
      <c r="C40" s="13" t="s">
        <v>80</v>
      </c>
    </row>
    <row r="41" spans="1:3">
      <c r="A41" s="3" t="s">
        <v>119</v>
      </c>
      <c r="B41" s="9"/>
      <c r="C41" s="13" t="s">
        <v>80</v>
      </c>
    </row>
    <row r="42" spans="1:3">
      <c r="A42" s="3" t="s">
        <v>120</v>
      </c>
      <c r="B42" s="9"/>
      <c r="C42" s="13" t="s">
        <v>80</v>
      </c>
    </row>
    <row r="43" spans="1:3">
      <c r="A43" s="3" t="s">
        <v>121</v>
      </c>
      <c r="B43" s="9"/>
      <c r="C43" s="13" t="s">
        <v>80</v>
      </c>
    </row>
    <row r="44" spans="1:3">
      <c r="A44" s="3" t="s">
        <v>122</v>
      </c>
      <c r="B44" s="9"/>
      <c r="C44" s="13" t="s">
        <v>80</v>
      </c>
    </row>
    <row r="45" spans="1:3">
      <c r="A45" s="3" t="s">
        <v>123</v>
      </c>
      <c r="B45" s="9"/>
      <c r="C45" s="13" t="s">
        <v>80</v>
      </c>
    </row>
    <row r="46" spans="1:3">
      <c r="A46" s="3" t="s">
        <v>124</v>
      </c>
      <c r="B46" s="9"/>
      <c r="C46" s="13" t="s">
        <v>80</v>
      </c>
    </row>
    <row r="47" spans="1:3">
      <c r="A47" s="3" t="s">
        <v>125</v>
      </c>
      <c r="B47" s="9"/>
      <c r="C47" s="13" t="s">
        <v>80</v>
      </c>
    </row>
    <row r="48" spans="1:3">
      <c r="A48" s="3" t="s">
        <v>126</v>
      </c>
      <c r="B48" s="9"/>
      <c r="C48" s="13" t="s">
        <v>80</v>
      </c>
    </row>
    <row r="49" spans="1:3">
      <c r="A49" s="3" t="s">
        <v>127</v>
      </c>
      <c r="B49" s="9"/>
      <c r="C49" s="13" t="s">
        <v>80</v>
      </c>
    </row>
    <row r="50" spans="1:3">
      <c r="A50" s="3" t="s">
        <v>128</v>
      </c>
      <c r="B50" s="9"/>
      <c r="C50" s="13" t="s">
        <v>80</v>
      </c>
    </row>
    <row r="51" spans="1:3">
      <c r="A51" s="3" t="s">
        <v>129</v>
      </c>
      <c r="B51" s="9"/>
      <c r="C51" s="13" t="s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Assumption</vt:lpstr>
      <vt:lpstr>Baked goods</vt:lpstr>
      <vt:lpstr>Machines</vt:lpstr>
      <vt:lpstr>Production Plan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2026-04-20T01:45:47Z</dcterms:modified>
</cp:coreProperties>
</file>