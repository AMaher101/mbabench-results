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Working Capital Modeling\MonthlyLiquidity\starting_files\"/>
    </mc:Choice>
  </mc:AlternateContent>
  <xr:revisionPtr revIDLastSave="0" documentId="13_ncr:1_{363F71E9-8122-448B-96AE-4B132D9B52F7}"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 sheetId="9" r:id="rId2"/>
    <sheet name="Income Statement" sheetId="15" r:id="rId3"/>
    <sheet name="Balance Sheet" sheetId="14" r:id="rId4"/>
    <sheet name="Questions" sheetId="6" r:id="rId5"/>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<sst xmlns="http://schemas.openxmlformats.org/spreadsheetml/2006/main" count="340" uniqueCount="236">
  <si>
    <t>EBITDA</t>
  </si>
  <si>
    <t>Total Current Assets</t>
  </si>
  <si>
    <t>Accounts Payable</t>
  </si>
  <si>
    <t>Total Current Liabilities</t>
  </si>
  <si>
    <t>Total Liabilities</t>
  </si>
  <si>
    <t>Answers</t>
  </si>
  <si>
    <t>[years]</t>
  </si>
  <si>
    <t>DSO</t>
  </si>
  <si>
    <t>[days]</t>
  </si>
  <si>
    <t>DIO</t>
  </si>
  <si>
    <t>DPO</t>
  </si>
  <si>
    <t>Assumptions sheet may be also in the text on the Instructions tab - please use the assumptions on this sheet for your model</t>
  </si>
  <si>
    <t>End Sheet</t>
  </si>
  <si>
    <t>FP&amp;A Task</t>
  </si>
  <si>
    <t>Questions (please round your answers to two decimal places)</t>
  </si>
  <si>
    <t>Sales</t>
  </si>
  <si>
    <t>Research &amp; Development</t>
  </si>
  <si>
    <t>Interest Expense</t>
  </si>
  <si>
    <t>Inventories</t>
  </si>
  <si>
    <t>Goodwill</t>
  </si>
  <si>
    <t>Other Current Liabilities</t>
  </si>
  <si>
    <t>Growth rates</t>
  </si>
  <si>
    <t>Selling prices</t>
  </si>
  <si>
    <t>Volume growth</t>
  </si>
  <si>
    <t>General Inflation</t>
  </si>
  <si>
    <t>CCC</t>
  </si>
  <si>
    <t>Account links</t>
  </si>
  <si>
    <t>Forecast period</t>
  </si>
  <si>
    <t>Unit</t>
  </si>
  <si>
    <t>You have been provided with assumptions, as well as an income statement and a balance sheet.</t>
  </si>
  <si>
    <t>Answer the questions using your model.</t>
  </si>
  <si>
    <t>Other Current Assets</t>
  </si>
  <si>
    <t>Long-Term Debt</t>
  </si>
  <si>
    <t>Cash &amp; Short-Term Investments</t>
  </si>
  <si>
    <t>[% p.a.]</t>
  </si>
  <si>
    <t>Model basics</t>
  </si>
  <si>
    <t>Maschinenfabrik Berthold Hermle AG Pref (MBH3-DE)</t>
  </si>
  <si>
    <t>€157.50</t>
  </si>
  <si>
    <t>Maschinenfabrik Berthold Hermle AG Pref</t>
  </si>
  <si>
    <t>DEC '24</t>
  </si>
  <si>
    <t>DEC '23</t>
  </si>
  <si>
    <t>DEC '22</t>
  </si>
  <si>
    <t>DEC '21</t>
  </si>
  <si>
    <t>DEC '20</t>
  </si>
  <si>
    <t>DEC '19</t>
  </si>
  <si>
    <t>DEC '18</t>
  </si>
  <si>
    <t>DEC '17</t>
  </si>
  <si>
    <t>DEC '16</t>
  </si>
  <si>
    <t>DEC '15</t>
  </si>
  <si>
    <t>DEC '14</t>
  </si>
  <si>
    <t>DEC '13</t>
  </si>
  <si>
    <t>DEC '12</t>
  </si>
  <si>
    <t>DEC '11</t>
  </si>
  <si>
    <t>DEC '10</t>
  </si>
  <si>
    <t>DEC '09</t>
  </si>
  <si>
    <t>DEC '08</t>
  </si>
  <si>
    <t>DEC '07</t>
  </si>
  <si>
    <t>DEC '06</t>
  </si>
  <si>
    <t>DEC '05</t>
  </si>
  <si>
    <t>Assets</t>
  </si>
  <si>
    <t>Cash Only</t>
  </si>
  <si>
    <t>Total Short Term Investments</t>
  </si>
  <si>
    <t>Short-Term Receivables</t>
  </si>
  <si>
    <t>Accounts Receivables, Net</t>
  </si>
  <si>
    <t>Accounts Receivables, Gross</t>
  </si>
  <si>
    <t>Other Receivables</t>
  </si>
  <si>
    <t>Finished Goods</t>
  </si>
  <si>
    <t>Work in Progress</t>
  </si>
  <si>
    <t>Raw Materials</t>
  </si>
  <si>
    <t>Progress Payments &amp; Other</t>
  </si>
  <si>
    <t>Prepaid Expenses</t>
  </si>
  <si>
    <t>Miscellaneous Current Assets</t>
  </si>
  <si>
    <t>Net Property, Plant &amp; Equipment</t>
  </si>
  <si>
    <t>Property, Plant &amp; Equipment - Gross</t>
  </si>
  <si>
    <t>Buildings</t>
  </si>
  <si>
    <t>Machinery &amp; Equipment</t>
  </si>
  <si>
    <t>Construction in Progress</t>
  </si>
  <si>
    <t>Other Property, Plant &amp; Equipment</t>
  </si>
  <si>
    <t>Accumulated Depreciation</t>
  </si>
  <si>
    <t xml:space="preserve">Total Long-Term Investments </t>
  </si>
  <si>
    <t>LT Investment - Affiliate Companies</t>
  </si>
  <si>
    <t>Other Long-Term Investments</t>
  </si>
  <si>
    <t>Long-Term Note Receivable</t>
  </si>
  <si>
    <t>Intangible Assets</t>
  </si>
  <si>
    <t>Other Intangible Assets</t>
  </si>
  <si>
    <t>Deferred Tax Assets</t>
  </si>
  <si>
    <t>Other Assets</t>
  </si>
  <si>
    <t>Tangible Other Assets</t>
  </si>
  <si>
    <t>Total Assets</t>
  </si>
  <si>
    <t>Liabilities &amp; Shareholders' Equity</t>
  </si>
  <si>
    <t>Current</t>
  </si>
  <si>
    <t>ST Debt &amp; Curr. Portion LT Debt</t>
  </si>
  <si>
    <t>Income Tax Payable</t>
  </si>
  <si>
    <t>Miscellaneous Current Liabilities</t>
  </si>
  <si>
    <t>Long-Term</t>
  </si>
  <si>
    <t>Capital and Operating Lease Obligations</t>
  </si>
  <si>
    <t>Provision for Risks &amp; Charges</t>
  </si>
  <si>
    <t>Deferred Tax Liabilities</t>
  </si>
  <si>
    <t>Other Liabilities</t>
  </si>
  <si>
    <t>Other Liabilities (excl. Deferred Income)</t>
  </si>
  <si>
    <t>Deferred Income</t>
  </si>
  <si>
    <t>Equity</t>
  </si>
  <si>
    <t>Common Equity</t>
  </si>
  <si>
    <t>Common Stock Par/Carry Value</t>
  </si>
  <si>
    <t>Additional Paid-In Capital/Capital Surplus</t>
  </si>
  <si>
    <t>Retained Earnings</t>
  </si>
  <si>
    <t>Cumulative Translation Adjustment/Unrealized For. Exch. Gain</t>
  </si>
  <si>
    <t>Unrealized Gain/Loss Marketable Securities</t>
  </si>
  <si>
    <t>Other Appropriated Reserves</t>
  </si>
  <si>
    <t>Treasury Stock</t>
  </si>
  <si>
    <t>Total Shareholders' Equity</t>
  </si>
  <si>
    <t>Accumulated Minority Interest</t>
  </si>
  <si>
    <t>Total Equity</t>
  </si>
  <si>
    <t>Total Liabilities &amp; Shareholders' Equity</t>
  </si>
  <si>
    <t>Per Share</t>
  </si>
  <si>
    <t>Book Value per Share</t>
  </si>
  <si>
    <t>Tangible Book Value per Share</t>
  </si>
  <si>
    <t>All figures in millions of Euro except per share items.</t>
  </si>
  <si>
    <t>Cost of Goods Sold (COGS) incl. D&amp;A</t>
  </si>
  <si>
    <t>COGS excluding D&amp;A</t>
  </si>
  <si>
    <t>Depreciation &amp; Amortization Expense</t>
  </si>
  <si>
    <t>Depreciation</t>
  </si>
  <si>
    <t>Amortization of Intangibles</t>
  </si>
  <si>
    <t>Gross Income</t>
  </si>
  <si>
    <t>SG&amp;A Expense</t>
  </si>
  <si>
    <t>Other SG&amp;A</t>
  </si>
  <si>
    <t>Other Operating Expense</t>
  </si>
  <si>
    <t>EBIT (Operating Income)</t>
  </si>
  <si>
    <t>Nonoperating Income - Net</t>
  </si>
  <si>
    <t>Nonoperating Interest Income</t>
  </si>
  <si>
    <t>Other Income (Expense)</t>
  </si>
  <si>
    <t>Gross Interest Expense</t>
  </si>
  <si>
    <t>Unusual Expense - Net</t>
  </si>
  <si>
    <t>Impairments</t>
  </si>
  <si>
    <t>Property,Plant &amp; Equipment</t>
  </si>
  <si>
    <t>Financial Fixed Assets</t>
  </si>
  <si>
    <t>Unrealized Valuation Gain/Loss</t>
  </si>
  <si>
    <t>Investments</t>
  </si>
  <si>
    <t>Hedges/Derivatives</t>
  </si>
  <si>
    <t>Excpl Chrgs - Others</t>
  </si>
  <si>
    <t>Other Unusual Expense</t>
  </si>
  <si>
    <t>Pretax Income</t>
  </si>
  <si>
    <t>Income Taxes</t>
  </si>
  <si>
    <t>Income Taxes - Current Domestic</t>
  </si>
  <si>
    <t>Income Taxes - Deferred Domestic</t>
  </si>
  <si>
    <t>Equity in Earnings of Affiliates</t>
  </si>
  <si>
    <t>Consolidated Net Income</t>
  </si>
  <si>
    <t>Minority Interest</t>
  </si>
  <si>
    <t>Net Income</t>
  </si>
  <si>
    <t>Preferred Dividends</t>
  </si>
  <si>
    <t>Net Income available to Common</t>
  </si>
  <si>
    <t>EPS (recurring)</t>
  </si>
  <si>
    <t>EPS (basic)</t>
  </si>
  <si>
    <t>Basic Shares Outstanding</t>
  </si>
  <si>
    <t>Total Shares Outstanding</t>
  </si>
  <si>
    <t>EPS (diluted)</t>
  </si>
  <si>
    <t>Diluted Shares Outstanding</t>
  </si>
  <si>
    <t>Earnings Persistence</t>
  </si>
  <si>
    <t>Dividends per Share</t>
  </si>
  <si>
    <t>Payout Ratio</t>
  </si>
  <si>
    <t>EBIT</t>
  </si>
  <si>
    <t>Start date</t>
  </si>
  <si>
    <t>Months per year</t>
  </si>
  <si>
    <t>MBH3-DE</t>
  </si>
  <si>
    <t>[€m]</t>
  </si>
  <si>
    <t>Working Capital Model - Monthly Liquidity</t>
  </si>
  <si>
    <t>Weekend days</t>
  </si>
  <si>
    <t>Half weekend day</t>
  </si>
  <si>
    <t>Saturday,Sunday</t>
  </si>
  <si>
    <t>Friday</t>
  </si>
  <si>
    <t>Inventory</t>
  </si>
  <si>
    <t>[%]</t>
  </si>
  <si>
    <t>[months]</t>
  </si>
  <si>
    <t>Use the data from 2024 as a basis - break it down on a monthly basis, assuming an even distribution throughout 2024.</t>
  </si>
  <si>
    <t>Based on the information provided, you must prepare a 10-year forecast for the relevant items in the income statement and balance sheet (relevant to your model):</t>
  </si>
  <si>
    <t>- Calculate the amounts for the missing balance sheet items by using the CCC averages</t>
  </si>
  <si>
    <t>Other receivables are customer/sales related.</t>
  </si>
  <si>
    <t xml:space="preserve"> </t>
  </si>
  <si>
    <t>What is the amount for Accounts Receivables, Net in 10-2028?</t>
  </si>
  <si>
    <t>What is the amount for Accounts Receivables, Net in 5-2031?</t>
  </si>
  <si>
    <t>What is the amount for Cash Only in 11-2027?</t>
  </si>
  <si>
    <t>What is the amount for Cash Only in 1-2032?</t>
  </si>
  <si>
    <t>What is the amount for Cash Only in 3-2034?</t>
  </si>
  <si>
    <t>What is the amount for COGS excluding D&amp;A in 10-2031?</t>
  </si>
  <si>
    <t>What is the amount for Income Tax Payable in 10-2029?</t>
  </si>
  <si>
    <t>What is the amount for Net Working Capital in 12-2031?</t>
  </si>
  <si>
    <t>What is the amount for Net Working Capital in 6-2025?</t>
  </si>
  <si>
    <t>What is the amount for Net Working Capital in 7-2027?</t>
  </si>
  <si>
    <t>What is the amount for Net Working Capital in 7-2030?</t>
  </si>
  <si>
    <t>What is the amount for Operating Net Working Capital in 1-2032?</t>
  </si>
  <si>
    <t>What is the amount for Operating Net Working Capital in 9-2029?</t>
  </si>
  <si>
    <t>What is the amount for Other Receivables in 11-2030?</t>
  </si>
  <si>
    <t>What is the amount for Other Receivables in 5-2034?</t>
  </si>
  <si>
    <t>What is the amount for Progress Payments &amp; Other in 8-2033?</t>
  </si>
  <si>
    <t>What is the amount for Raw Materials in 12-2026?</t>
  </si>
  <si>
    <t>What is the amount for Sales in 12-2025?</t>
  </si>
  <si>
    <t>What is the amount for ST Debt &amp; Curr. Portion LT Debt in 4-2030?</t>
  </si>
  <si>
    <t>What is the amount for Total Current Assets in 3-2028?</t>
  </si>
  <si>
    <t>What is the amount for Total Current Assets in 4-2034?</t>
  </si>
  <si>
    <t>What is the amount for Total Current Assets in 9-2025?</t>
  </si>
  <si>
    <t>What is the amount for Total Current Assets in 9-2027?</t>
  </si>
  <si>
    <t>What is the amount for Total Current Liabilities in 10-2033?</t>
  </si>
  <si>
    <t>What is the amount for Total Current Liabilities in 11-2027?</t>
  </si>
  <si>
    <t>What is the amount for Total Current Liabilities in 3-2030?</t>
  </si>
  <si>
    <t>What is the amount for Total Short Term Investments in 11-2031?</t>
  </si>
  <si>
    <t>What is the amount for Total Short Term Investments in 8-2033?</t>
  </si>
  <si>
    <t>What is the amount for Work in Progress in 10-2029?</t>
  </si>
  <si>
    <t>What is the amount for Work in Progress in 11-2027?</t>
  </si>
  <si>
    <t>How many days is the metric: Days Inventory Outstanding (DIO) in 3-2025?</t>
  </si>
  <si>
    <t>How many days is the metric: Days Inventory Outstanding (DIO) in 3-2027?</t>
  </si>
  <si>
    <t>How many days is the metric: Days Inventory Outstanding (DIO) in 3-2029?</t>
  </si>
  <si>
    <t>How many days is the metric: Days Inventory Outstanding (DIO) in 6-2034?</t>
  </si>
  <si>
    <t>How many days is the metric: Days Payable Outstanding (DPO) in 10-2032?</t>
  </si>
  <si>
    <t>How many days is the metric: Days Payable Outstanding (DPO) in 1-2034?</t>
  </si>
  <si>
    <t>How many days is the metric: Days Payable Outstanding (DPO) in 4-2031?</t>
  </si>
  <si>
    <t>How many days is the metric: Days Payable Outstanding (DPO) in 9-2033?</t>
  </si>
  <si>
    <t>How many days is the metric: Days Sales Outstanding (DSO) in 6-2034?</t>
  </si>
  <si>
    <t>How many days is the metric: Days Sales Outstanding (DSO) in 7-2030?</t>
  </si>
  <si>
    <t>How many days is the metric: Days Sales Outstanding (DSO) in 9-2031?</t>
  </si>
  <si>
    <t>How many days is the metric: Total CCC in 11-2030?</t>
  </si>
  <si>
    <t>How many days is the metric: Total CCC in 12-2026?</t>
  </si>
  <si>
    <t>How many days is the metric: Total CCC in 2-2025?</t>
  </si>
  <si>
    <t>How many days is the metric: Total CCC in 6-2026?</t>
  </si>
  <si>
    <t>How many days is the metric: Total CCC in 8-2027?</t>
  </si>
  <si>
    <t>How many days is the metric: Total CCC in 8-2029?</t>
  </si>
  <si>
    <t>How many days is the metric: Total CCC in 9-2032?</t>
  </si>
  <si>
    <t>Inventory proportions remain the same as in the 2024 base period.</t>
  </si>
  <si>
    <t>Miscellaneous Current Liabilities are production related.</t>
  </si>
  <si>
    <t>DIO and DPO calculations use COGS excluding D&amp;A as the cost base.</t>
  </si>
  <si>
    <t>- Sales is driven by Selling prices and Volume growth (compounded multiplicatively). COGS excluding D&amp;A is driven by General Inflation and Volume growth (compounded multiplicatively) - growth is applied every January for the whole year - the income statement items are dependent on the workdays per month (there are 4.5 workdays in a full week, since Friday is only 50% workday - assume no holidays)</t>
  </si>
  <si>
    <t>Create a monthly model for all 10 years to calculate net working capital (broad definition), operating net working capital (Cash, Short Term Investments, ST Debt, and Income Tax Payable are excluded from Operating NWC), and the cash conversion cycle.</t>
  </si>
  <si>
    <t>- DSO, DIO, and DPO each decrease by the percentage specified in the Assumptions tab, applied at regular intervals. For a metric with frequency y months: the value stays at the base-period level for the first y months, then decreases by x% (relative to the current value) in month y+1. Subsequent decreases of x% occur every y months thereafter (i.e., at months y+1, 2y+1, 3y+1, …).</t>
  </si>
  <si>
    <t>For the base period, use the Dec 2024 balance sheet values as-is to calibrate DIO, DSO, and DPO - do not estimate or construct average balances for 2024.</t>
  </si>
  <si>
    <t>- For balance sheet items linked via the Account Links table, each forecast month's ending balance equals the 2024 base-period balance scaled by the ratio of that month's linked driver value to the 2024 base-period driver value. Where the linked driver is an IS item, use the monthly IS figure. Where the linked driver is a BS item (e.g. Inventory), use the ending balance of that item</t>
  </si>
  <si>
    <t>Use the broad standard NWC definition for regular NWC.</t>
  </si>
  <si>
    <t>If the classification of a current asset or liability as operating vs. financial is ambiguous, include it in both broad NWC and Operating NWC. The only items excluded from Operating NWC are those explicitly listed: Cash, Short Term Investments, ST Debt, and Income Tax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</si>
</sst>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sz val="10"/>
      <color theme="1"/>
      <name val="Arial"/>
      <family val="2"/>
    </font>
    <font>
      <b/>
      <sz val="10"/>
      <color rgb="FF003366"/>
      <name val="Arial"/>
      <family val="2"/>
    </font>
    <font>
      <sz val="10"/>
      <color rgb="FFFF0000"/>
      <name val="Arial"/>
      <family val="2"/>
    </font>
    <font>
      <sz val="10"/>
      <color rgb="FF646464"/>
      <name val="Arial"/>
      <family val="2"/>
    </font>
  </fonts>
  <fills count="9">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C8C8C8"/>
        <bgColor indexed="64"/>
      </patternFill>
    </fill>
    <fill>
      <patternFill patternType="solid">
        <fgColor rgb="FFF0F0F0"/>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s>
  <cellStyleXfs count="7">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xf numFmtId="0" fontId="15" fillId="0" borderId="0"/>
  </cellStyleXfs>
  <cellXfs count="51">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3" fillId="0" borderId="0" xfId="1" quotePrefix="1" applyFont="1" applyAlignment="1">
      <alignment horizontal="left"/>
    </xf>
    <xf numFmtId="0" fontId="14" fillId="0" borderId="0" xfId="0" applyFont="1"/>
    <xf numFmtId="0" fontId="10" fillId="0" borderId="0" xfId="6" applyFont="1"/>
    <xf numFmtId="0" fontId="15" fillId="0" borderId="0" xfId="6"/>
    <xf numFmtId="0" fontId="15" fillId="0" borderId="6" xfId="6" applyBorder="1"/>
    <xf numFmtId="0" fontId="15" fillId="0" borderId="7" xfId="6" applyBorder="1"/>
    <xf numFmtId="0" fontId="10" fillId="7" borderId="0" xfId="6" applyFont="1" applyFill="1" applyAlignment="1">
      <alignment horizontal="left"/>
    </xf>
    <xf numFmtId="0" fontId="16" fillId="0" borderId="0" xfId="6" applyFont="1" applyAlignment="1">
      <alignment horizontal="left"/>
    </xf>
    <xf numFmtId="0" fontId="16" fillId="8" borderId="0" xfId="6" applyFont="1" applyFill="1" applyAlignment="1">
      <alignment horizontal="left" indent="3"/>
    </xf>
    <xf numFmtId="4" fontId="16" fillId="8" borderId="0" xfId="6" applyNumberFormat="1" applyFont="1" applyFill="1" applyAlignment="1">
      <alignment horizontal="right"/>
    </xf>
    <xf numFmtId="0" fontId="15" fillId="0" borderId="0" xfId="6" applyAlignment="1">
      <alignment horizontal="left" indent="4"/>
    </xf>
    <xf numFmtId="4" fontId="15" fillId="0" borderId="0" xfId="6" applyNumberFormat="1" applyAlignment="1">
      <alignment horizontal="right"/>
    </xf>
    <xf numFmtId="0" fontId="15" fillId="8" borderId="0" xfId="6" applyFill="1" applyAlignment="1">
      <alignment horizontal="left" indent="4"/>
    </xf>
    <xf numFmtId="4" fontId="15" fillId="8" borderId="0" xfId="6" applyNumberFormat="1" applyFill="1" applyAlignment="1">
      <alignment horizontal="right"/>
    </xf>
    <xf numFmtId="0" fontId="15" fillId="8" borderId="0" xfId="6" applyFill="1" applyAlignment="1">
      <alignment horizontal="left"/>
    </xf>
    <xf numFmtId="0" fontId="16" fillId="0" borderId="0" xfId="6" applyFont="1" applyAlignment="1">
      <alignment horizontal="left" indent="3"/>
    </xf>
    <xf numFmtId="4" fontId="16" fillId="0" borderId="0" xfId="6" applyNumberFormat="1" applyFont="1" applyAlignment="1">
      <alignment horizontal="right"/>
    </xf>
    <xf numFmtId="0" fontId="16" fillId="8" borderId="0" xfId="6" applyFont="1" applyFill="1" applyAlignment="1">
      <alignment horizontal="left" indent="6"/>
    </xf>
    <xf numFmtId="0" fontId="15" fillId="0" borderId="0" xfId="6" applyAlignment="1">
      <alignment horizontal="left" indent="7"/>
    </xf>
    <xf numFmtId="4" fontId="17" fillId="8" borderId="0" xfId="6" applyNumberFormat="1" applyFont="1" applyFill="1" applyAlignment="1">
      <alignment horizontal="right"/>
    </xf>
    <xf numFmtId="0" fontId="15" fillId="0" borderId="0" xfId="6" applyAlignment="1">
      <alignment horizontal="left" indent="1"/>
    </xf>
    <xf numFmtId="0" fontId="16" fillId="0" borderId="0" xfId="6" applyFont="1" applyAlignment="1">
      <alignment horizontal="left" indent="6"/>
    </xf>
    <xf numFmtId="0" fontId="15" fillId="8" borderId="0" xfId="6" applyFill="1" applyAlignment="1">
      <alignment horizontal="left" indent="7"/>
    </xf>
    <xf numFmtId="4" fontId="17" fillId="0" borderId="0" xfId="6" applyNumberFormat="1" applyFont="1" applyAlignment="1">
      <alignment horizontal="right"/>
    </xf>
    <xf numFmtId="0" fontId="15" fillId="0" borderId="0" xfId="6" applyAlignment="1">
      <alignment horizontal="left"/>
    </xf>
    <xf numFmtId="0" fontId="15" fillId="8" borderId="0" xfId="6" applyFill="1" applyAlignment="1">
      <alignment horizontal="left" indent="1"/>
    </xf>
    <xf numFmtId="0" fontId="16" fillId="8" borderId="0" xfId="6" applyFont="1" applyFill="1" applyAlignment="1">
      <alignment horizontal="left"/>
    </xf>
    <xf numFmtId="0" fontId="18" fillId="0" borderId="0" xfId="6" applyFont="1" applyAlignment="1">
      <alignment horizontal="left"/>
    </xf>
    <xf numFmtId="14" fontId="9" fillId="4" borderId="5" xfId="3" applyNumberFormat="1" applyFont="1" applyFill="1" applyBorder="1"/>
    <xf numFmtId="9" fontId="9" fillId="4" borderId="5" xfId="3" applyFont="1" applyFill="1" applyBorder="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7">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Normal 5" xfId="6" xr:uid="{5DC31EF5-7761-4A4C-8B97-762EF728DB19}"/>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27"/>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46" t="s">
        <v>13</v>
      </c>
      <c r="C2" s="47"/>
      <c r="D2" s="47"/>
      <c r="E2" s="47"/>
      <c r="F2" s="47"/>
      <c r="G2" s="47"/>
      <c r="H2" s="47"/>
      <c r="I2" s="47"/>
      <c r="J2" s="47"/>
      <c r="K2" s="48"/>
    </row>
    <row r="3" spans="2:11" ht="15" customHeight="1">
      <c r="B3" s="1"/>
      <c r="C3" s="1"/>
      <c r="D3" s="1"/>
      <c r="E3" s="1"/>
      <c r="F3" s="1"/>
      <c r="G3" s="1"/>
      <c r="H3" s="1"/>
      <c r="I3" s="1"/>
      <c r="J3" s="1"/>
      <c r="K3" s="1"/>
    </row>
    <row r="4" spans="2:11" ht="33.75" customHeight="1">
      <c r="B4" s="49" t="s">
        <v>165</v>
      </c>
      <c r="C4" s="50"/>
      <c r="D4" s="50"/>
      <c r="E4" s="50"/>
      <c r="F4" s="50"/>
      <c r="G4" s="50"/>
      <c r="H4" s="50"/>
      <c r="I4" s="50"/>
      <c r="J4" s="1"/>
    </row>
    <row r="5" spans="2:11" ht="15" customHeight="1">
      <c r="B5" s="1"/>
      <c r="C5" s="1"/>
      <c r="D5" s="1"/>
      <c r="E5" s="1"/>
      <c r="F5" s="1"/>
      <c r="G5" s="1"/>
      <c r="H5" s="1"/>
      <c r="I5" s="1"/>
      <c r="J5" s="1"/>
      <c r="K5" s="1"/>
    </row>
    <row r="6" spans="2:11" ht="15" customHeight="1">
      <c r="B6" s="1" t="s">
        <v>29</v>
      </c>
      <c r="C6" s="1"/>
      <c r="D6" s="1"/>
      <c r="E6" s="1"/>
      <c r="F6" s="1"/>
      <c r="G6" s="1"/>
      <c r="H6" s="1"/>
      <c r="I6" s="1"/>
      <c r="J6" s="1"/>
      <c r="K6" s="1"/>
    </row>
    <row r="7" spans="2:11">
      <c r="B7" s="3" t="s">
        <v>173</v>
      </c>
    </row>
    <row r="8" spans="2:11">
      <c r="B8" s="3" t="s">
        <v>235</v>
      </c>
    </row>
    <row r="9" spans="2:11">
      <c r="B9" s="3" t="s">
        <v>176</v>
      </c>
    </row>
    <row r="10" spans="2:11">
      <c r="B10" s="3" t="s">
        <v>227</v>
      </c>
    </row>
    <row r="11" spans="2:11">
      <c r="B11" s="3" t="s">
        <v>226</v>
      </c>
    </row>
    <row r="12" spans="2:11">
      <c r="B12" s="3" t="s">
        <v>234</v>
      </c>
    </row>
    <row r="13" spans="2:11">
      <c r="B13" s="3"/>
    </row>
    <row r="14" spans="2:11">
      <c r="B14" s="3" t="s">
        <v>174</v>
      </c>
    </row>
    <row r="15" spans="2:11">
      <c r="B15" s="16" t="s">
        <v>229</v>
      </c>
    </row>
    <row r="16" spans="2:11">
      <c r="B16" s="16" t="s">
        <v>233</v>
      </c>
    </row>
    <row r="17" spans="2:2">
      <c r="B17" s="16" t="s">
        <v>231</v>
      </c>
    </row>
    <row r="18" spans="2:2">
      <c r="B18" s="16" t="s">
        <v>175</v>
      </c>
    </row>
    <row r="20" spans="2:2">
      <c r="B20" s="3" t="s">
        <v>228</v>
      </c>
    </row>
    <row r="21" spans="2:2">
      <c r="B21" s="3" t="s">
        <v>232</v>
      </c>
    </row>
    <row r="22" spans="2:2">
      <c r="B22" s="3" t="s">
        <v>230</v>
      </c>
    </row>
    <row r="23" spans="2:2">
      <c r="B23" s="3" t="s">
        <v>30</v>
      </c>
    </row>
    <row r="27" spans="2:2">
      <c r="B27"/>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36"/>
  <sheetViews>
    <sheetView showGridLines="0" zoomScale="84" workbookViewId="0"/>
  </sheetViews>
  <sheetFormatPr defaultRowHeight="14.4"/>
  <cols>
    <col min="1" max="1" width="4.77734375" style="6" customWidth="1"/>
    <col min="2" max="2" width="5.33203125" style="6" customWidth="1"/>
    <col min="3" max="3" width="17.33203125" bestFit="1" customWidth="1"/>
    <col min="5" max="5" width="13.6640625" customWidth="1"/>
    <col min="6" max="6" width="18.109375" bestFit="1" customWidth="1"/>
    <col min="7" max="7" width="19.5546875" bestFit="1" customWidth="1"/>
    <col min="11" max="110" width="10.109375" bestFit="1" customWidth="1"/>
  </cols>
  <sheetData>
    <row r="1" spans="1:40">
      <c r="A1" s="6" t="str">
        <f>Instructions!B2&amp;": "&amp;Instructions!B4</f>
        <v>FP&amp;A Task: Working Capital Model - Monthly Liquidity</v>
      </c>
    </row>
    <row r="2" spans="1:40">
      <c r="A2" s="6" t="s">
        <v>11</v>
      </c>
    </row>
    <row r="4" spans="1:40" s="13" customFormat="1" ht="14.4" customHeight="1">
      <c r="A4" s="11"/>
      <c r="B4" s="12" t="s">
        <v>35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27</v>
      </c>
      <c r="F6" s="15">
        <v>10</v>
      </c>
      <c r="G6" s="10" t="s">
        <v>6</v>
      </c>
    </row>
    <row r="7" spans="1:40">
      <c r="C7" t="s">
        <v>161</v>
      </c>
      <c r="F7" s="44">
        <v>45658</v>
      </c>
      <c r="G7" s="10"/>
    </row>
    <row r="8" spans="1:40">
      <c r="C8" t="s">
        <v>162</v>
      </c>
      <c r="F8" s="15">
        <v>12</v>
      </c>
      <c r="G8" s="10"/>
    </row>
    <row r="9" spans="1:40">
      <c r="C9" t="s">
        <v>166</v>
      </c>
      <c r="F9" s="15" t="s">
        <v>168</v>
      </c>
      <c r="G9" s="10"/>
    </row>
    <row r="10" spans="1:40">
      <c r="C10" t="s">
        <v>167</v>
      </c>
      <c r="F10" s="15" t="s">
        <v>169</v>
      </c>
      <c r="G10" s="45">
        <v>0.5</v>
      </c>
    </row>
    <row r="12" spans="1:40" s="13" customFormat="1" ht="14.4" customHeight="1">
      <c r="A12" s="11"/>
      <c r="B12" s="12" t="s">
        <v>21</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row>
    <row r="14" spans="1:40">
      <c r="C14" t="s">
        <v>22</v>
      </c>
      <c r="F14" s="14">
        <v>1.4999999999999999E-2</v>
      </c>
      <c r="G14" s="10" t="s">
        <v>34</v>
      </c>
    </row>
    <row r="15" spans="1:40">
      <c r="C15" t="s">
        <v>23</v>
      </c>
      <c r="F15" s="14">
        <v>0.03</v>
      </c>
      <c r="G15" s="10" t="s">
        <v>34</v>
      </c>
    </row>
    <row r="16" spans="1:40">
      <c r="C16" t="s">
        <v>24</v>
      </c>
      <c r="F16" s="14">
        <v>2.1999999999999999E-2</v>
      </c>
      <c r="G16" s="10" t="s">
        <v>34</v>
      </c>
    </row>
    <row r="18" spans="1:40" s="13" customFormat="1" ht="14.4" customHeight="1">
      <c r="A18" s="11"/>
      <c r="B18" s="12" t="s">
        <v>25</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20" spans="1:40">
      <c r="C20" t="s">
        <v>9</v>
      </c>
      <c r="F20" s="14">
        <v>1.4999999999999999E-2</v>
      </c>
      <c r="G20" s="10" t="s">
        <v>171</v>
      </c>
    </row>
    <row r="21" spans="1:40">
      <c r="C21" t="s">
        <v>9</v>
      </c>
      <c r="F21" s="15">
        <v>12</v>
      </c>
      <c r="G21" s="10" t="s">
        <v>172</v>
      </c>
    </row>
    <row r="22" spans="1:40">
      <c r="C22" t="s">
        <v>7</v>
      </c>
      <c r="F22" s="14">
        <v>1.4E-2</v>
      </c>
      <c r="G22" s="10" t="s">
        <v>171</v>
      </c>
    </row>
    <row r="23" spans="1:40">
      <c r="C23" t="s">
        <v>7</v>
      </c>
      <c r="F23" s="15">
        <v>8</v>
      </c>
      <c r="G23" s="10" t="s">
        <v>172</v>
      </c>
    </row>
    <row r="24" spans="1:40">
      <c r="C24" t="s">
        <v>10</v>
      </c>
      <c r="F24" s="14">
        <v>1.3333299999999999E-2</v>
      </c>
      <c r="G24" s="10" t="s">
        <v>171</v>
      </c>
    </row>
    <row r="25" spans="1:40">
      <c r="C25" t="s">
        <v>10</v>
      </c>
      <c r="F25" s="15">
        <v>5</v>
      </c>
      <c r="G25" s="10" t="s">
        <v>172</v>
      </c>
    </row>
    <row r="27" spans="1:40" s="13" customFormat="1" ht="14.4" customHeight="1">
      <c r="A27" s="11"/>
      <c r="B27" s="12" t="s">
        <v>26</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9" spans="1:40">
      <c r="C29" t="s">
        <v>60</v>
      </c>
      <c r="F29" s="14" t="s">
        <v>15</v>
      </c>
    </row>
    <row r="30" spans="1:40">
      <c r="C30" t="s">
        <v>61</v>
      </c>
      <c r="F30" s="14" t="s">
        <v>119</v>
      </c>
    </row>
    <row r="31" spans="1:40">
      <c r="C31" t="s">
        <v>70</v>
      </c>
      <c r="F31" s="14" t="s">
        <v>170</v>
      </c>
    </row>
    <row r="32" spans="1:40">
      <c r="C32" t="s">
        <v>91</v>
      </c>
      <c r="F32" s="14" t="s">
        <v>119</v>
      </c>
    </row>
    <row r="33" spans="1:40">
      <c r="C33" t="s">
        <v>92</v>
      </c>
      <c r="F33" s="14" t="s">
        <v>119</v>
      </c>
    </row>
    <row r="34" spans="1:40">
      <c r="C34" t="s">
        <v>93</v>
      </c>
      <c r="F34" s="14" t="s">
        <v>119</v>
      </c>
    </row>
    <row r="36" spans="1:40" s="13" customFormat="1" ht="14.4" customHeight="1">
      <c r="A36" s="11"/>
      <c r="B36" s="12" t="s">
        <v>12</v>
      </c>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11B86-79A4-41DA-AC91-537A1BF6BD84}">
  <sheetPr>
    <tabColor theme="8" tint="0.39997558519241921"/>
    <outlinePr summaryBelow="0" summaryRight="0"/>
  </sheetPr>
  <dimension ref="A1:U60"/>
  <sheetViews>
    <sheetView workbookViewId="0"/>
  </sheetViews>
  <sheetFormatPr defaultColWidth="9.109375" defaultRowHeight="15" customHeight="1" outlineLevelRow="3"/>
  <cols>
    <col min="1" max="1" width="46.33203125" style="19" customWidth="1"/>
    <col min="2" max="21" width="8" style="19" customWidth="1"/>
    <col min="22" max="16384" width="9.109375" style="19"/>
  </cols>
  <sheetData>
    <row r="1" spans="1:21" ht="15" customHeight="1">
      <c r="A1" s="18" t="s">
        <v>36</v>
      </c>
    </row>
    <row r="2" spans="1:21" ht="15" customHeight="1">
      <c r="A2" s="20" t="s">
        <v>37</v>
      </c>
    </row>
    <row r="3" spans="1:21" ht="15" customHeight="1">
      <c r="A3" s="21"/>
      <c r="B3" s="21"/>
      <c r="C3" s="21"/>
      <c r="D3" s="21"/>
      <c r="E3" s="21"/>
      <c r="F3" s="21"/>
      <c r="G3" s="21"/>
      <c r="H3" s="21"/>
      <c r="I3" s="21"/>
      <c r="J3" s="21"/>
      <c r="K3" s="21"/>
      <c r="L3" s="21"/>
      <c r="M3" s="21"/>
      <c r="N3" s="21"/>
      <c r="O3" s="21"/>
      <c r="P3" s="21"/>
      <c r="Q3" s="21"/>
      <c r="R3" s="21"/>
      <c r="S3" s="21"/>
      <c r="T3" s="21"/>
      <c r="U3" s="21"/>
    </row>
    <row r="5" spans="1:21" ht="15" customHeight="1">
      <c r="A5" s="22" t="s">
        <v>38</v>
      </c>
      <c r="B5" s="22"/>
      <c r="C5" s="22"/>
      <c r="D5" s="22"/>
      <c r="E5" s="22"/>
      <c r="F5" s="22"/>
      <c r="G5" s="22"/>
      <c r="H5" s="22"/>
      <c r="I5" s="22"/>
      <c r="J5" s="22"/>
      <c r="K5" s="22"/>
      <c r="L5" s="22"/>
      <c r="M5" s="22"/>
      <c r="N5" s="22"/>
      <c r="O5" s="22"/>
      <c r="P5" s="22"/>
      <c r="Q5" s="22"/>
      <c r="R5" s="22"/>
      <c r="S5" s="22"/>
      <c r="T5" s="22"/>
      <c r="U5" s="22"/>
    </row>
    <row r="6" spans="1:21" ht="15" customHeight="1">
      <c r="A6" s="22" t="s">
        <v>163</v>
      </c>
      <c r="B6" s="22"/>
      <c r="C6" s="22"/>
      <c r="D6" s="22"/>
      <c r="E6" s="22"/>
      <c r="F6" s="22"/>
      <c r="G6" s="22"/>
      <c r="H6" s="22"/>
      <c r="I6" s="22"/>
      <c r="J6" s="22"/>
      <c r="K6" s="22"/>
      <c r="L6" s="22"/>
      <c r="M6" s="22"/>
      <c r="N6" s="22"/>
      <c r="O6" s="22"/>
      <c r="P6" s="22"/>
      <c r="Q6" s="22"/>
      <c r="R6" s="22"/>
      <c r="S6" s="22"/>
      <c r="T6" s="22"/>
      <c r="U6" s="22"/>
    </row>
    <row r="7" spans="1:21" ht="15" customHeight="1">
      <c r="A7" s="22"/>
      <c r="B7" s="22" t="s">
        <v>39</v>
      </c>
      <c r="C7" s="22" t="s">
        <v>40</v>
      </c>
      <c r="D7" s="22" t="s">
        <v>41</v>
      </c>
      <c r="E7" s="22" t="s">
        <v>42</v>
      </c>
      <c r="F7" s="22" t="s">
        <v>43</v>
      </c>
      <c r="G7" s="22" t="s">
        <v>44</v>
      </c>
      <c r="H7" s="22" t="s">
        <v>45</v>
      </c>
      <c r="I7" s="22" t="s">
        <v>46</v>
      </c>
      <c r="J7" s="22" t="s">
        <v>47</v>
      </c>
      <c r="K7" s="22" t="s">
        <v>48</v>
      </c>
      <c r="L7" s="22" t="s">
        <v>49</v>
      </c>
      <c r="M7" s="22" t="s">
        <v>50</v>
      </c>
      <c r="N7" s="22" t="s">
        <v>51</v>
      </c>
      <c r="O7" s="22" t="s">
        <v>52</v>
      </c>
      <c r="P7" s="22" t="s">
        <v>53</v>
      </c>
      <c r="Q7" s="22" t="s">
        <v>54</v>
      </c>
      <c r="R7" s="22" t="s">
        <v>55</v>
      </c>
      <c r="S7" s="22" t="s">
        <v>56</v>
      </c>
      <c r="T7" s="22" t="s">
        <v>57</v>
      </c>
      <c r="U7" s="22" t="s">
        <v>58</v>
      </c>
    </row>
    <row r="8" spans="1:21" ht="15" customHeight="1">
      <c r="A8" s="22"/>
      <c r="B8" s="22"/>
      <c r="C8" s="22"/>
      <c r="D8" s="22"/>
      <c r="E8" s="22"/>
      <c r="F8" s="22"/>
      <c r="G8" s="22"/>
      <c r="H8" s="22"/>
      <c r="I8" s="22"/>
      <c r="J8" s="22"/>
      <c r="K8" s="22"/>
      <c r="L8" s="22"/>
      <c r="M8" s="22"/>
      <c r="N8" s="22"/>
      <c r="O8" s="22"/>
      <c r="P8" s="22"/>
      <c r="Q8" s="22"/>
      <c r="R8" s="22"/>
      <c r="S8" s="22"/>
      <c r="T8" s="22"/>
      <c r="U8" s="22"/>
    </row>
    <row r="9" spans="1:21" ht="15" customHeight="1">
      <c r="A9" s="42" t="s">
        <v>15</v>
      </c>
      <c r="B9" s="25">
        <v>487.92599999999999</v>
      </c>
      <c r="C9" s="25">
        <v>532.32399999999996</v>
      </c>
      <c r="D9" s="25">
        <v>474.065</v>
      </c>
      <c r="E9" s="25">
        <v>375.97699999999998</v>
      </c>
      <c r="F9" s="25">
        <v>296.94200000000001</v>
      </c>
      <c r="G9" s="25">
        <v>463.09899999999999</v>
      </c>
      <c r="H9" s="25">
        <v>452.92200000000003</v>
      </c>
      <c r="I9" s="25">
        <v>402.00900000000001</v>
      </c>
      <c r="J9" s="25">
        <v>393.95</v>
      </c>
      <c r="K9" s="25">
        <v>356.63299999999998</v>
      </c>
      <c r="L9" s="25">
        <v>346.83300000000003</v>
      </c>
      <c r="M9" s="25">
        <v>305.89100000000002</v>
      </c>
      <c r="N9" s="25">
        <v>302.69200000000001</v>
      </c>
      <c r="O9" s="25">
        <v>269.31299999999999</v>
      </c>
      <c r="P9" s="25">
        <v>187.59100000000001</v>
      </c>
      <c r="Q9" s="25">
        <v>126.98699999999999</v>
      </c>
      <c r="R9" s="25">
        <v>278.36799999999999</v>
      </c>
      <c r="S9" s="25">
        <v>243.029</v>
      </c>
      <c r="T9" s="25">
        <v>193.85400000000001</v>
      </c>
      <c r="U9" s="25">
        <v>156.09</v>
      </c>
    </row>
    <row r="10" spans="1:21" ht="15" customHeight="1" outlineLevel="1">
      <c r="A10" s="31" t="s">
        <v>118</v>
      </c>
      <c r="B10" s="32">
        <v>361.74400000000003</v>
      </c>
      <c r="C10" s="32">
        <v>370.45699999999999</v>
      </c>
      <c r="D10" s="32">
        <v>329.11</v>
      </c>
      <c r="E10" s="32">
        <v>270.25700000000001</v>
      </c>
      <c r="F10" s="32">
        <v>220.256</v>
      </c>
      <c r="G10" s="32">
        <v>310.69299999999998</v>
      </c>
      <c r="H10" s="32">
        <v>303.30399999999997</v>
      </c>
      <c r="I10" s="32">
        <v>269.50700000000001</v>
      </c>
      <c r="J10" s="32">
        <v>245.96299999999999</v>
      </c>
      <c r="K10" s="32">
        <v>232.28299999999999</v>
      </c>
      <c r="L10" s="32">
        <v>224.58099999999999</v>
      </c>
      <c r="M10" s="32">
        <v>205.96199999999999</v>
      </c>
      <c r="N10" s="32">
        <v>200.703</v>
      </c>
      <c r="O10" s="32">
        <v>178.238</v>
      </c>
      <c r="P10" s="32">
        <v>132.53700000000001</v>
      </c>
      <c r="Q10" s="32">
        <v>100.88</v>
      </c>
      <c r="R10" s="32">
        <v>181.17</v>
      </c>
      <c r="S10" s="32">
        <v>157.03700000000001</v>
      </c>
      <c r="T10" s="32">
        <v>139.803</v>
      </c>
      <c r="U10" s="32">
        <v>119.378</v>
      </c>
    </row>
    <row r="11" spans="1:21" ht="15" customHeight="1" outlineLevel="2">
      <c r="A11" s="28" t="s">
        <v>119</v>
      </c>
      <c r="B11" s="29">
        <v>347.26900000000001</v>
      </c>
      <c r="C11" s="29">
        <v>358.88600000000002</v>
      </c>
      <c r="D11" s="29">
        <v>317.887</v>
      </c>
      <c r="E11" s="29">
        <v>258.97300000000001</v>
      </c>
      <c r="F11" s="29">
        <v>209.84700000000001</v>
      </c>
      <c r="G11" s="29">
        <v>300.30200000000002</v>
      </c>
      <c r="H11" s="29">
        <v>293.291</v>
      </c>
      <c r="I11" s="29">
        <v>261.697</v>
      </c>
      <c r="J11" s="29">
        <v>238.989</v>
      </c>
      <c r="K11" s="29">
        <v>225.54499999999999</v>
      </c>
      <c r="L11" s="29">
        <v>218.35</v>
      </c>
      <c r="M11" s="29">
        <v>199.36799999999999</v>
      </c>
      <c r="N11" s="29">
        <v>193.24</v>
      </c>
      <c r="O11" s="29">
        <v>171.37799999999999</v>
      </c>
      <c r="P11" s="29">
        <v>126.238</v>
      </c>
      <c r="Q11" s="29">
        <v>94.534999999999997</v>
      </c>
      <c r="R11" s="29">
        <v>173.708</v>
      </c>
      <c r="S11" s="29">
        <v>150.779</v>
      </c>
      <c r="T11" s="29">
        <v>134.30699999999999</v>
      </c>
      <c r="U11" s="29">
        <v>114.30200000000001</v>
      </c>
    </row>
    <row r="12" spans="1:21" ht="15" customHeight="1" outlineLevel="2">
      <c r="A12" s="37" t="s">
        <v>120</v>
      </c>
      <c r="B12" s="32">
        <v>14.475</v>
      </c>
      <c r="C12" s="32">
        <v>11.571</v>
      </c>
      <c r="D12" s="32">
        <v>11.223000000000001</v>
      </c>
      <c r="E12" s="32">
        <v>11.284000000000001</v>
      </c>
      <c r="F12" s="32">
        <v>10.409000000000001</v>
      </c>
      <c r="G12" s="32">
        <v>10.391</v>
      </c>
      <c r="H12" s="32">
        <v>10.013</v>
      </c>
      <c r="I12" s="32">
        <v>7.81</v>
      </c>
      <c r="J12" s="32">
        <v>6.9740000000000002</v>
      </c>
      <c r="K12" s="32">
        <v>6.7380000000000004</v>
      </c>
      <c r="L12" s="32">
        <v>6.2309999999999999</v>
      </c>
      <c r="M12" s="32">
        <v>6.5940000000000003</v>
      </c>
      <c r="N12" s="32">
        <v>7.4630000000000001</v>
      </c>
      <c r="O12" s="32">
        <v>6.86</v>
      </c>
      <c r="P12" s="32">
        <v>6.2990000000000004</v>
      </c>
      <c r="Q12" s="32">
        <v>6.3449999999999998</v>
      </c>
      <c r="R12" s="32">
        <v>7.4619999999999997</v>
      </c>
      <c r="S12" s="32">
        <v>6.258</v>
      </c>
      <c r="T12" s="32">
        <v>5.4960000000000004</v>
      </c>
      <c r="U12" s="32">
        <v>5.0759999999999996</v>
      </c>
    </row>
    <row r="13" spans="1:21" ht="15" customHeight="1" outlineLevel="3">
      <c r="A13" s="38" t="s">
        <v>121</v>
      </c>
      <c r="B13" s="29">
        <v>13.590999999999999</v>
      </c>
      <c r="C13" s="29">
        <v>10.584</v>
      </c>
      <c r="D13" s="29">
        <v>10.047000000000001</v>
      </c>
      <c r="E13" s="29">
        <v>10.019</v>
      </c>
      <c r="F13" s="29">
        <v>9.1709999999999994</v>
      </c>
      <c r="G13" s="29">
        <v>9.0920000000000005</v>
      </c>
      <c r="H13" s="29">
        <v>8.49</v>
      </c>
      <c r="I13" s="29">
        <v>7.1420000000000003</v>
      </c>
      <c r="J13" s="29">
        <v>6.32</v>
      </c>
      <c r="K13" s="29">
        <v>6.0979999999999999</v>
      </c>
      <c r="L13" s="29">
        <v>5.7439999999999998</v>
      </c>
      <c r="M13" s="29">
        <v>6.109</v>
      </c>
      <c r="N13" s="29">
        <v>6.7290000000000001</v>
      </c>
      <c r="O13" s="29">
        <v>6.0890000000000004</v>
      </c>
      <c r="P13" s="29">
        <v>5.6970000000000001</v>
      </c>
      <c r="Q13" s="29">
        <v>5.7990000000000004</v>
      </c>
      <c r="R13" s="29">
        <v>6.53</v>
      </c>
      <c r="S13" s="29">
        <v>5.3360000000000003</v>
      </c>
      <c r="T13" s="29">
        <v>4.82</v>
      </c>
      <c r="U13" s="29">
        <v>4.835</v>
      </c>
    </row>
    <row r="14" spans="1:21" ht="15" customHeight="1" outlineLevel="3">
      <c r="A14" s="34" t="s">
        <v>122</v>
      </c>
      <c r="B14" s="27">
        <v>0.88400000000000001</v>
      </c>
      <c r="C14" s="27">
        <v>0.98699999999999999</v>
      </c>
      <c r="D14" s="27">
        <v>1.1759999999999999</v>
      </c>
      <c r="E14" s="27">
        <v>1.2649999999999999</v>
      </c>
      <c r="F14" s="27">
        <v>1.238</v>
      </c>
      <c r="G14" s="27">
        <v>1.2989999999999999</v>
      </c>
      <c r="H14" s="27">
        <v>1.5229999999999999</v>
      </c>
      <c r="I14" s="27">
        <v>0.66800000000000004</v>
      </c>
      <c r="J14" s="27">
        <v>0.65400000000000003</v>
      </c>
      <c r="K14" s="27">
        <v>0.64</v>
      </c>
      <c r="L14" s="27">
        <v>0.48699999999999999</v>
      </c>
      <c r="M14" s="27">
        <v>0.48499999999999999</v>
      </c>
      <c r="N14" s="27">
        <v>0.73399999999999999</v>
      </c>
      <c r="O14" s="27">
        <v>0.77100000000000002</v>
      </c>
      <c r="P14" s="27">
        <v>0.60199999999999998</v>
      </c>
      <c r="Q14" s="27">
        <v>0.54600000000000004</v>
      </c>
      <c r="R14" s="27">
        <v>0.93200000000000005</v>
      </c>
      <c r="S14" s="27">
        <v>0.92200000000000004</v>
      </c>
      <c r="T14" s="27">
        <v>0.67600000000000005</v>
      </c>
      <c r="U14" s="27">
        <v>0.24099999999999999</v>
      </c>
    </row>
    <row r="15" spans="1:21" ht="15" customHeight="1">
      <c r="A15" s="42" t="s">
        <v>123</v>
      </c>
      <c r="B15" s="25">
        <v>126.182</v>
      </c>
      <c r="C15" s="25">
        <v>161.86699999999999</v>
      </c>
      <c r="D15" s="25">
        <v>144.95500000000001</v>
      </c>
      <c r="E15" s="25">
        <v>105.72</v>
      </c>
      <c r="F15" s="25">
        <v>76.686000000000007</v>
      </c>
      <c r="G15" s="25">
        <v>152.40600000000001</v>
      </c>
      <c r="H15" s="25">
        <v>149.61799999999999</v>
      </c>
      <c r="I15" s="25">
        <v>132.50200000000001</v>
      </c>
      <c r="J15" s="25">
        <v>147.98699999999999</v>
      </c>
      <c r="K15" s="25">
        <v>124.35</v>
      </c>
      <c r="L15" s="25">
        <v>122.252</v>
      </c>
      <c r="M15" s="25">
        <v>99.929000000000002</v>
      </c>
      <c r="N15" s="25">
        <v>101.989</v>
      </c>
      <c r="O15" s="25">
        <v>91.075000000000003</v>
      </c>
      <c r="P15" s="25">
        <v>55.054000000000002</v>
      </c>
      <c r="Q15" s="25">
        <v>26.106999999999999</v>
      </c>
      <c r="R15" s="25">
        <v>97.197999999999993</v>
      </c>
      <c r="S15" s="25">
        <v>85.992000000000004</v>
      </c>
      <c r="T15" s="25">
        <v>54.051000000000002</v>
      </c>
      <c r="U15" s="25">
        <v>36.712000000000003</v>
      </c>
    </row>
    <row r="16" spans="1:21" ht="15" customHeight="1" outlineLevel="1">
      <c r="A16" s="31" t="s">
        <v>124</v>
      </c>
      <c r="B16" s="32">
        <v>49.939</v>
      </c>
      <c r="C16" s="32">
        <v>54.055999999999997</v>
      </c>
      <c r="D16" s="32">
        <v>47.933</v>
      </c>
      <c r="E16" s="32">
        <v>40.756</v>
      </c>
      <c r="F16" s="32">
        <v>33.720999999999997</v>
      </c>
      <c r="G16" s="32">
        <v>45.536000000000001</v>
      </c>
      <c r="H16" s="32">
        <v>44.418999999999997</v>
      </c>
      <c r="I16" s="32">
        <v>42.366</v>
      </c>
      <c r="J16" s="32">
        <v>57.314999999999998</v>
      </c>
      <c r="K16" s="32">
        <v>43.573999999999998</v>
      </c>
      <c r="L16" s="32">
        <v>47.814</v>
      </c>
      <c r="M16" s="32">
        <v>43.363</v>
      </c>
      <c r="N16" s="32">
        <v>41.99</v>
      </c>
      <c r="O16" s="32">
        <v>39.548000000000002</v>
      </c>
      <c r="P16" s="32">
        <v>32.125999999999998</v>
      </c>
      <c r="Q16" s="32">
        <v>20.076000000000001</v>
      </c>
      <c r="R16" s="32">
        <v>34.264000000000003</v>
      </c>
      <c r="S16" s="23"/>
      <c r="T16" s="23"/>
      <c r="U16" s="23"/>
    </row>
    <row r="17" spans="1:21" ht="15" customHeight="1" outlineLevel="2">
      <c r="A17" s="28" t="s">
        <v>16</v>
      </c>
      <c r="B17" s="29">
        <v>19.22</v>
      </c>
      <c r="C17" s="29">
        <v>18.157</v>
      </c>
      <c r="D17" s="29">
        <v>15.946999999999999</v>
      </c>
      <c r="E17" s="29">
        <v>13.815</v>
      </c>
      <c r="F17" s="29">
        <v>11.669</v>
      </c>
      <c r="G17" s="29">
        <v>14.904</v>
      </c>
      <c r="H17" s="29">
        <v>13.941000000000001</v>
      </c>
      <c r="I17" s="29">
        <v>12.677</v>
      </c>
      <c r="J17" s="29">
        <v>11.991</v>
      </c>
      <c r="K17" s="29">
        <v>11.815</v>
      </c>
      <c r="L17" s="29">
        <v>10.452</v>
      </c>
      <c r="M17" s="29">
        <v>10.641</v>
      </c>
      <c r="N17" s="29">
        <v>10.292999999999999</v>
      </c>
      <c r="O17" s="29">
        <v>9.2370000000000001</v>
      </c>
      <c r="P17" s="29">
        <v>8.0579999999999998</v>
      </c>
      <c r="Q17" s="29">
        <v>7.1689999999999996</v>
      </c>
      <c r="R17" s="29">
        <v>8.92</v>
      </c>
      <c r="S17" s="30"/>
      <c r="T17" s="30"/>
      <c r="U17" s="30"/>
    </row>
    <row r="18" spans="1:21" ht="15" customHeight="1" outlineLevel="2">
      <c r="A18" s="26" t="s">
        <v>125</v>
      </c>
      <c r="B18" s="27">
        <v>30.719000000000001</v>
      </c>
      <c r="C18" s="27">
        <v>35.899000000000001</v>
      </c>
      <c r="D18" s="27">
        <v>31.986000000000001</v>
      </c>
      <c r="E18" s="27">
        <v>26.940999999999999</v>
      </c>
      <c r="F18" s="27">
        <v>22.052</v>
      </c>
      <c r="G18" s="27">
        <v>30.632000000000001</v>
      </c>
      <c r="H18" s="27">
        <v>30.478000000000002</v>
      </c>
      <c r="I18" s="27">
        <v>29.689</v>
      </c>
      <c r="J18" s="27">
        <v>45.323999999999998</v>
      </c>
      <c r="K18" s="27">
        <v>31.759</v>
      </c>
      <c r="L18" s="27">
        <v>37.362000000000002</v>
      </c>
      <c r="M18" s="27">
        <v>32.722000000000001</v>
      </c>
      <c r="N18" s="27">
        <v>31.696999999999999</v>
      </c>
      <c r="O18" s="27">
        <v>30.311</v>
      </c>
      <c r="P18" s="27">
        <v>24.068000000000001</v>
      </c>
      <c r="Q18" s="27">
        <v>12.907</v>
      </c>
      <c r="R18" s="27">
        <v>25.344000000000001</v>
      </c>
      <c r="S18" s="40"/>
      <c r="T18" s="40"/>
      <c r="U18" s="40"/>
    </row>
    <row r="19" spans="1:21" ht="15" customHeight="1" outlineLevel="1">
      <c r="A19" s="41" t="s">
        <v>126</v>
      </c>
      <c r="B19" s="35">
        <v>-6.4109999999999996</v>
      </c>
      <c r="C19" s="35">
        <v>-5.4219999999999997</v>
      </c>
      <c r="D19" s="35">
        <v>-7.3929999999999998</v>
      </c>
      <c r="E19" s="35">
        <v>-5.7859999999999996</v>
      </c>
      <c r="F19" s="35">
        <v>-9.0500000000000007</v>
      </c>
      <c r="G19" s="35">
        <v>-6.758</v>
      </c>
      <c r="H19" s="35">
        <v>-6.3120000000000003</v>
      </c>
      <c r="I19" s="35">
        <v>-7.0570000000000004</v>
      </c>
      <c r="J19" s="35">
        <v>-9.141</v>
      </c>
      <c r="K19" s="29">
        <v>0</v>
      </c>
      <c r="L19" s="35">
        <v>-1.9970000000000001</v>
      </c>
      <c r="M19" s="35">
        <v>-1.839</v>
      </c>
      <c r="N19" s="35">
        <v>-2.6110000000000002</v>
      </c>
      <c r="O19" s="35">
        <v>-1.7889999999999999</v>
      </c>
      <c r="P19" s="35">
        <v>-2.44</v>
      </c>
      <c r="Q19" s="35">
        <v>-0.96399999999999997</v>
      </c>
      <c r="R19" s="35">
        <v>-2.419</v>
      </c>
      <c r="S19" s="29">
        <v>33.527000000000001</v>
      </c>
      <c r="T19" s="29">
        <v>19.422999999999998</v>
      </c>
      <c r="U19" s="29">
        <v>13.891</v>
      </c>
    </row>
    <row r="20" spans="1:21" ht="15" customHeight="1">
      <c r="A20" s="23" t="s">
        <v>127</v>
      </c>
      <c r="B20" s="32">
        <v>82.653999999999996</v>
      </c>
      <c r="C20" s="32">
        <v>113.233</v>
      </c>
      <c r="D20" s="32">
        <v>104.41500000000001</v>
      </c>
      <c r="E20" s="32">
        <v>70.75</v>
      </c>
      <c r="F20" s="32">
        <v>52.015000000000001</v>
      </c>
      <c r="G20" s="32">
        <v>113.628</v>
      </c>
      <c r="H20" s="32">
        <v>111.511</v>
      </c>
      <c r="I20" s="32">
        <v>97.192999999999998</v>
      </c>
      <c r="J20" s="32">
        <v>99.813000000000002</v>
      </c>
      <c r="K20" s="32">
        <v>80.775999999999996</v>
      </c>
      <c r="L20" s="32">
        <v>76.435000000000002</v>
      </c>
      <c r="M20" s="32">
        <v>58.405000000000001</v>
      </c>
      <c r="N20" s="32">
        <v>62.61</v>
      </c>
      <c r="O20" s="32">
        <v>53.316000000000003</v>
      </c>
      <c r="P20" s="32">
        <v>25.367999999999999</v>
      </c>
      <c r="Q20" s="32">
        <v>6.9950000000000001</v>
      </c>
      <c r="R20" s="32">
        <v>65.352999999999994</v>
      </c>
      <c r="S20" s="32">
        <v>52.465000000000003</v>
      </c>
      <c r="T20" s="32">
        <v>34.628</v>
      </c>
      <c r="U20" s="32">
        <v>22.821000000000002</v>
      </c>
    </row>
    <row r="21" spans="1:21" ht="15" customHeight="1" outlineLevel="1">
      <c r="A21" s="24" t="s">
        <v>128</v>
      </c>
      <c r="B21" s="25">
        <v>6.5090000000000003</v>
      </c>
      <c r="C21" s="25">
        <v>5.3179999999999996</v>
      </c>
      <c r="D21" s="25">
        <v>-4.5129999999999999</v>
      </c>
      <c r="E21" s="25">
        <v>2.883</v>
      </c>
      <c r="F21" s="25">
        <v>1.7789999999999999</v>
      </c>
      <c r="G21" s="25">
        <v>0.75800000000000001</v>
      </c>
      <c r="H21" s="25">
        <v>0.247</v>
      </c>
      <c r="I21" s="25">
        <v>1.9239999999999999</v>
      </c>
      <c r="J21" s="25">
        <v>0.16800000000000001</v>
      </c>
      <c r="K21" s="25">
        <v>-0.158</v>
      </c>
      <c r="L21" s="25">
        <v>2.9620000000000002</v>
      </c>
      <c r="M21" s="25">
        <v>3.9350000000000001</v>
      </c>
      <c r="N21" s="25">
        <v>1.3240000000000001</v>
      </c>
      <c r="O21" s="25">
        <v>2.754</v>
      </c>
      <c r="P21" s="25">
        <v>-6.9000000000000006E-2</v>
      </c>
      <c r="Q21" s="25">
        <v>2.802</v>
      </c>
      <c r="R21" s="25">
        <v>4.01</v>
      </c>
      <c r="S21" s="25">
        <v>5.7720000000000002</v>
      </c>
      <c r="T21" s="25">
        <v>5.8959999999999999</v>
      </c>
      <c r="U21" s="25">
        <v>4.1139999999999999</v>
      </c>
    </row>
    <row r="22" spans="1:21" ht="15" customHeight="1" outlineLevel="2">
      <c r="A22" s="26" t="s">
        <v>129</v>
      </c>
      <c r="B22" s="27">
        <v>3.8450000000000002</v>
      </c>
      <c r="C22" s="27">
        <v>2.7210000000000001</v>
      </c>
      <c r="D22" s="27">
        <v>0.27900000000000003</v>
      </c>
      <c r="E22" s="27">
        <v>9.2999999999999999E-2</v>
      </c>
      <c r="F22" s="27">
        <v>0.317</v>
      </c>
      <c r="G22" s="27">
        <v>0.189</v>
      </c>
      <c r="H22" s="27">
        <v>0.29799999999999999</v>
      </c>
      <c r="I22" s="27">
        <v>0.308</v>
      </c>
      <c r="J22" s="27">
        <v>0.33100000000000002</v>
      </c>
      <c r="K22" s="27">
        <v>0.6</v>
      </c>
      <c r="L22" s="27">
        <v>0.68</v>
      </c>
      <c r="M22" s="27">
        <v>0.45700000000000002</v>
      </c>
      <c r="N22" s="27">
        <v>0.83399999999999996</v>
      </c>
      <c r="O22" s="27">
        <v>0.90800000000000003</v>
      </c>
      <c r="P22" s="27">
        <v>0.60899999999999999</v>
      </c>
      <c r="Q22" s="27">
        <v>1.45</v>
      </c>
      <c r="R22" s="27">
        <v>2.7170000000000001</v>
      </c>
      <c r="S22" s="27">
        <v>2.5470000000000002</v>
      </c>
      <c r="T22" s="27">
        <v>4.4610000000000003</v>
      </c>
      <c r="U22" s="27">
        <v>1.6359999999999999</v>
      </c>
    </row>
    <row r="23" spans="1:21" ht="15" customHeight="1" outlineLevel="2">
      <c r="A23" s="28" t="s">
        <v>130</v>
      </c>
      <c r="B23" s="29">
        <v>2.6640000000000001</v>
      </c>
      <c r="C23" s="29">
        <v>2.597</v>
      </c>
      <c r="D23" s="35">
        <v>-4.7919999999999998</v>
      </c>
      <c r="E23" s="29">
        <v>2.79</v>
      </c>
      <c r="F23" s="29">
        <v>1.462</v>
      </c>
      <c r="G23" s="29">
        <v>0.56899999999999995</v>
      </c>
      <c r="H23" s="35">
        <v>-5.0999999999999997E-2</v>
      </c>
      <c r="I23" s="29">
        <v>1.6160000000000001</v>
      </c>
      <c r="J23" s="35">
        <v>-0.16300000000000001</v>
      </c>
      <c r="K23" s="35">
        <v>-0.75800000000000001</v>
      </c>
      <c r="L23" s="29">
        <v>2.282</v>
      </c>
      <c r="M23" s="29">
        <v>3.4780000000000002</v>
      </c>
      <c r="N23" s="29">
        <v>0.49</v>
      </c>
      <c r="O23" s="29">
        <v>1.8460000000000001</v>
      </c>
      <c r="P23" s="35">
        <v>-0.67800000000000005</v>
      </c>
      <c r="Q23" s="29">
        <v>1.3520000000000001</v>
      </c>
      <c r="R23" s="29">
        <v>1.2929999999999999</v>
      </c>
      <c r="S23" s="29">
        <v>3.2250000000000001</v>
      </c>
      <c r="T23" s="29">
        <v>1.4350000000000001</v>
      </c>
      <c r="U23" s="29">
        <v>2.4780000000000002</v>
      </c>
    </row>
    <row r="24" spans="1:21" ht="15" customHeight="1" outlineLevel="1">
      <c r="A24" s="31" t="s">
        <v>17</v>
      </c>
      <c r="B24" s="32">
        <v>0.189</v>
      </c>
      <c r="C24" s="32">
        <v>0.19400000000000001</v>
      </c>
      <c r="D24" s="32">
        <v>0.22900000000000001</v>
      </c>
      <c r="E24" s="32">
        <v>0.29799999999999999</v>
      </c>
      <c r="F24" s="32">
        <v>0.19600000000000001</v>
      </c>
      <c r="G24" s="32">
        <v>0.29399999999999998</v>
      </c>
      <c r="H24" s="32">
        <v>0</v>
      </c>
      <c r="I24" s="32">
        <v>0.14000000000000001</v>
      </c>
      <c r="J24" s="32">
        <v>0</v>
      </c>
      <c r="K24" s="32">
        <v>0</v>
      </c>
      <c r="L24" s="32">
        <v>0</v>
      </c>
      <c r="M24" s="32">
        <v>0</v>
      </c>
      <c r="N24" s="32">
        <v>0</v>
      </c>
      <c r="O24" s="32">
        <v>0</v>
      </c>
      <c r="P24" s="32">
        <v>0</v>
      </c>
      <c r="Q24" s="32">
        <v>0</v>
      </c>
      <c r="R24" s="32">
        <v>8.3000000000000004E-2</v>
      </c>
      <c r="S24" s="32">
        <v>0.63900000000000001</v>
      </c>
      <c r="T24" s="32">
        <v>3.75</v>
      </c>
      <c r="U24" s="32">
        <v>0.13900000000000001</v>
      </c>
    </row>
    <row r="25" spans="1:21" ht="15" customHeight="1" outlineLevel="2">
      <c r="A25" s="28" t="s">
        <v>131</v>
      </c>
      <c r="B25" s="29">
        <v>0.189</v>
      </c>
      <c r="C25" s="29">
        <v>0.19400000000000001</v>
      </c>
      <c r="D25" s="29">
        <v>0.22900000000000001</v>
      </c>
      <c r="E25" s="29">
        <v>0.29799999999999999</v>
      </c>
      <c r="F25" s="29">
        <v>0.19600000000000001</v>
      </c>
      <c r="G25" s="29">
        <v>0.29399999999999998</v>
      </c>
      <c r="H25" s="29">
        <v>0</v>
      </c>
      <c r="I25" s="29">
        <v>0.14000000000000001</v>
      </c>
      <c r="J25" s="29">
        <v>0</v>
      </c>
      <c r="K25" s="29">
        <v>0</v>
      </c>
      <c r="L25" s="29">
        <v>0</v>
      </c>
      <c r="M25" s="29">
        <v>0</v>
      </c>
      <c r="N25" s="29">
        <v>0</v>
      </c>
      <c r="O25" s="29">
        <v>0</v>
      </c>
      <c r="P25" s="29">
        <v>0</v>
      </c>
      <c r="Q25" s="29">
        <v>0</v>
      </c>
      <c r="R25" s="29">
        <v>8.3000000000000004E-2</v>
      </c>
      <c r="S25" s="29">
        <v>0.63900000000000001</v>
      </c>
      <c r="T25" s="29">
        <v>3.75</v>
      </c>
      <c r="U25" s="29">
        <v>0.13900000000000001</v>
      </c>
    </row>
    <row r="26" spans="1:21" ht="15" customHeight="1" outlineLevel="1">
      <c r="A26" s="31" t="s">
        <v>132</v>
      </c>
      <c r="B26" s="32">
        <v>0</v>
      </c>
      <c r="C26" s="32">
        <v>0</v>
      </c>
      <c r="D26" s="32">
        <v>0</v>
      </c>
      <c r="E26" s="32">
        <v>-1.0609999999999999</v>
      </c>
      <c r="F26" s="32">
        <v>-0.7</v>
      </c>
      <c r="G26" s="32">
        <v>0</v>
      </c>
      <c r="H26" s="32">
        <v>-4.7960000000000003</v>
      </c>
      <c r="I26" s="23"/>
      <c r="J26" s="32">
        <v>0</v>
      </c>
      <c r="K26" s="32">
        <v>0</v>
      </c>
      <c r="L26" s="32">
        <v>7.0000000000000001E-3</v>
      </c>
      <c r="M26" s="32">
        <v>1.4999999999999999E-2</v>
      </c>
      <c r="N26" s="32">
        <v>6.0000000000000001E-3</v>
      </c>
      <c r="O26" s="23"/>
      <c r="P26" s="23"/>
      <c r="Q26" s="23"/>
      <c r="R26" s="32">
        <v>0.20300000000000001</v>
      </c>
      <c r="S26" s="32">
        <v>0.71399999999999997</v>
      </c>
      <c r="T26" s="32">
        <v>-1.3979999999999999</v>
      </c>
      <c r="U26" s="32">
        <v>1.0089999999999999</v>
      </c>
    </row>
    <row r="27" spans="1:21" ht="15" customHeight="1" outlineLevel="2">
      <c r="A27" s="33" t="s">
        <v>133</v>
      </c>
      <c r="B27" s="42"/>
      <c r="C27" s="42"/>
      <c r="D27" s="42"/>
      <c r="E27" s="42"/>
      <c r="F27" s="25">
        <v>0</v>
      </c>
      <c r="G27" s="25">
        <v>0</v>
      </c>
      <c r="H27" s="42"/>
      <c r="I27" s="42"/>
      <c r="J27" s="42"/>
      <c r="K27" s="42"/>
      <c r="L27" s="42"/>
      <c r="M27" s="25">
        <v>1.4999999999999999E-2</v>
      </c>
      <c r="N27" s="25">
        <v>6.0000000000000001E-3</v>
      </c>
      <c r="O27" s="42"/>
      <c r="P27" s="42"/>
      <c r="Q27" s="25">
        <v>0</v>
      </c>
      <c r="R27" s="25">
        <v>0.20300000000000001</v>
      </c>
      <c r="S27" s="25">
        <v>0.71399999999999997</v>
      </c>
      <c r="T27" s="25">
        <v>0.2</v>
      </c>
      <c r="U27" s="25">
        <v>1.0089999999999999</v>
      </c>
    </row>
    <row r="28" spans="1:21" ht="15" customHeight="1" outlineLevel="3">
      <c r="A28" s="34" t="s">
        <v>134</v>
      </c>
      <c r="B28" s="40"/>
      <c r="C28" s="40"/>
      <c r="D28" s="40"/>
      <c r="E28" s="40"/>
      <c r="F28" s="40"/>
      <c r="G28" s="40"/>
      <c r="H28" s="40"/>
      <c r="I28" s="40"/>
      <c r="J28" s="40"/>
      <c r="K28" s="40"/>
      <c r="L28" s="40"/>
      <c r="M28" s="27">
        <v>1.4999999999999999E-2</v>
      </c>
      <c r="N28" s="27">
        <v>6.0000000000000001E-3</v>
      </c>
      <c r="O28" s="40"/>
      <c r="P28" s="40"/>
      <c r="Q28" s="27">
        <v>0</v>
      </c>
      <c r="R28" s="27">
        <v>1E-3</v>
      </c>
      <c r="S28" s="27">
        <v>1.7000000000000001E-2</v>
      </c>
      <c r="T28" s="40"/>
      <c r="U28" s="27">
        <v>2.5999999999999999E-2</v>
      </c>
    </row>
    <row r="29" spans="1:21" ht="15" customHeight="1" outlineLevel="3">
      <c r="A29" s="38" t="s">
        <v>135</v>
      </c>
      <c r="B29" s="30"/>
      <c r="C29" s="30"/>
      <c r="D29" s="30"/>
      <c r="E29" s="30"/>
      <c r="F29" s="29">
        <v>0</v>
      </c>
      <c r="G29" s="29">
        <v>0</v>
      </c>
      <c r="H29" s="30"/>
      <c r="I29" s="30"/>
      <c r="J29" s="30"/>
      <c r="K29" s="30"/>
      <c r="L29" s="30"/>
      <c r="M29" s="30"/>
      <c r="N29" s="30"/>
      <c r="O29" s="30"/>
      <c r="P29" s="30"/>
      <c r="Q29" s="29">
        <v>0</v>
      </c>
      <c r="R29" s="29">
        <v>0.20200000000000001</v>
      </c>
      <c r="S29" s="29">
        <v>0.69699999999999995</v>
      </c>
      <c r="T29" s="29">
        <v>0.2</v>
      </c>
      <c r="U29" s="29">
        <v>0.98299999999999998</v>
      </c>
    </row>
    <row r="30" spans="1:21" ht="15" customHeight="1" outlineLevel="2">
      <c r="A30" s="37" t="s">
        <v>136</v>
      </c>
      <c r="B30" s="23"/>
      <c r="C30" s="23"/>
      <c r="D30" s="32">
        <v>0</v>
      </c>
      <c r="E30" s="32">
        <v>1.0209999999999999</v>
      </c>
      <c r="F30" s="23"/>
      <c r="G30" s="32">
        <v>0</v>
      </c>
      <c r="H30" s="32">
        <v>4.7960000000000003</v>
      </c>
      <c r="I30" s="23"/>
      <c r="J30" s="23"/>
      <c r="K30" s="23"/>
      <c r="L30" s="23"/>
      <c r="M30" s="23"/>
      <c r="N30" s="23"/>
      <c r="O30" s="23"/>
      <c r="P30" s="23"/>
      <c r="Q30" s="23"/>
      <c r="R30" s="23"/>
      <c r="S30" s="23"/>
      <c r="T30" s="23"/>
      <c r="U30" s="23"/>
    </row>
    <row r="31" spans="1:21" ht="15" customHeight="1" outlineLevel="3">
      <c r="A31" s="38" t="s">
        <v>137</v>
      </c>
      <c r="B31" s="30"/>
      <c r="C31" s="30"/>
      <c r="D31" s="30"/>
      <c r="E31" s="30"/>
      <c r="F31" s="30"/>
      <c r="G31" s="29">
        <v>0</v>
      </c>
      <c r="H31" s="29">
        <v>4.7960000000000003</v>
      </c>
      <c r="I31" s="30"/>
      <c r="J31" s="30"/>
      <c r="K31" s="30"/>
      <c r="L31" s="30"/>
      <c r="M31" s="30"/>
      <c r="N31" s="30"/>
      <c r="O31" s="30"/>
      <c r="P31" s="30"/>
      <c r="Q31" s="30"/>
      <c r="R31" s="30"/>
      <c r="S31" s="30"/>
      <c r="T31" s="30"/>
      <c r="U31" s="30"/>
    </row>
    <row r="32" spans="1:21" ht="15" customHeight="1" outlineLevel="3">
      <c r="A32" s="34" t="s">
        <v>138</v>
      </c>
      <c r="B32" s="40"/>
      <c r="C32" s="40"/>
      <c r="D32" s="27">
        <v>0</v>
      </c>
      <c r="E32" s="27">
        <v>1.0209999999999999</v>
      </c>
      <c r="F32" s="40"/>
      <c r="G32" s="27">
        <v>0</v>
      </c>
      <c r="H32" s="40"/>
      <c r="I32" s="40"/>
      <c r="J32" s="40"/>
      <c r="K32" s="40"/>
      <c r="L32" s="40"/>
      <c r="M32" s="40"/>
      <c r="N32" s="40"/>
      <c r="O32" s="40"/>
      <c r="P32" s="40"/>
      <c r="Q32" s="40"/>
      <c r="R32" s="40"/>
      <c r="S32" s="40"/>
      <c r="T32" s="40"/>
      <c r="U32" s="40"/>
    </row>
    <row r="33" spans="1:21" ht="15" customHeight="1" outlineLevel="2">
      <c r="A33" s="33" t="s">
        <v>139</v>
      </c>
      <c r="B33" s="42"/>
      <c r="C33" s="42"/>
      <c r="D33" s="25">
        <v>0</v>
      </c>
      <c r="E33" s="25">
        <v>-0.04</v>
      </c>
      <c r="F33" s="25">
        <v>-0.7</v>
      </c>
      <c r="G33" s="42"/>
      <c r="H33" s="42"/>
      <c r="I33" s="42"/>
      <c r="J33" s="42"/>
      <c r="K33" s="42"/>
      <c r="L33" s="42"/>
      <c r="M33" s="42"/>
      <c r="N33" s="42"/>
      <c r="O33" s="42"/>
      <c r="P33" s="42"/>
      <c r="Q33" s="42"/>
      <c r="R33" s="42"/>
      <c r="S33" s="42"/>
      <c r="T33" s="25">
        <v>-1.5980000000000001</v>
      </c>
      <c r="U33" s="42"/>
    </row>
    <row r="34" spans="1:21" ht="15" customHeight="1" outlineLevel="3">
      <c r="A34" s="34" t="s">
        <v>140</v>
      </c>
      <c r="B34" s="40"/>
      <c r="C34" s="40"/>
      <c r="D34" s="27">
        <v>0</v>
      </c>
      <c r="E34" s="39">
        <v>-0.04</v>
      </c>
      <c r="F34" s="39">
        <v>-0.7</v>
      </c>
      <c r="G34" s="40"/>
      <c r="H34" s="40"/>
      <c r="I34" s="40"/>
      <c r="J34" s="40"/>
      <c r="K34" s="40"/>
      <c r="L34" s="40"/>
      <c r="M34" s="40"/>
      <c r="N34" s="40"/>
      <c r="O34" s="40"/>
      <c r="P34" s="40"/>
      <c r="Q34" s="40"/>
      <c r="R34" s="40"/>
      <c r="S34" s="40"/>
      <c r="T34" s="40"/>
      <c r="U34" s="40"/>
    </row>
    <row r="35" spans="1:21" ht="15" customHeight="1">
      <c r="A35" s="42" t="s">
        <v>141</v>
      </c>
      <c r="B35" s="25">
        <v>88.974000000000004</v>
      </c>
      <c r="C35" s="25">
        <v>118.357</v>
      </c>
      <c r="D35" s="25">
        <v>99.673000000000002</v>
      </c>
      <c r="E35" s="25">
        <v>74.396000000000001</v>
      </c>
      <c r="F35" s="25">
        <v>54.298000000000002</v>
      </c>
      <c r="G35" s="25">
        <v>114.092</v>
      </c>
      <c r="H35" s="25">
        <v>116.554</v>
      </c>
      <c r="I35" s="25">
        <v>98.977000000000004</v>
      </c>
      <c r="J35" s="25">
        <v>99.980999999999995</v>
      </c>
      <c r="K35" s="25">
        <v>80.617999999999995</v>
      </c>
      <c r="L35" s="25">
        <v>79.39</v>
      </c>
      <c r="M35" s="25">
        <v>62.325000000000003</v>
      </c>
      <c r="N35" s="25">
        <v>63.927999999999997</v>
      </c>
      <c r="O35" s="25">
        <v>56.07</v>
      </c>
      <c r="P35" s="25">
        <v>25.298999999999999</v>
      </c>
      <c r="Q35" s="25">
        <v>9.7970000000000006</v>
      </c>
      <c r="R35" s="25">
        <v>69.076999999999998</v>
      </c>
      <c r="S35" s="25">
        <v>56.884</v>
      </c>
      <c r="T35" s="25">
        <v>38.171999999999997</v>
      </c>
      <c r="U35" s="25">
        <v>25.786999999999999</v>
      </c>
    </row>
    <row r="36" spans="1:21" ht="15" customHeight="1" outlineLevel="1">
      <c r="A36" s="31" t="s">
        <v>142</v>
      </c>
      <c r="B36" s="32">
        <v>23.058</v>
      </c>
      <c r="C36" s="32">
        <v>30.783000000000001</v>
      </c>
      <c r="D36" s="32">
        <v>27.888000000000002</v>
      </c>
      <c r="E36" s="32">
        <v>19.486000000000001</v>
      </c>
      <c r="F36" s="32">
        <v>14.22</v>
      </c>
      <c r="G36" s="32">
        <v>29.882000000000001</v>
      </c>
      <c r="H36" s="32">
        <v>29.082999999999998</v>
      </c>
      <c r="I36" s="32">
        <v>26.079000000000001</v>
      </c>
      <c r="J36" s="32">
        <v>26.463000000000001</v>
      </c>
      <c r="K36" s="32">
        <v>21.437000000000001</v>
      </c>
      <c r="L36" s="32">
        <v>20.625</v>
      </c>
      <c r="M36" s="32">
        <v>16.788</v>
      </c>
      <c r="N36" s="32">
        <v>17.952000000000002</v>
      </c>
      <c r="O36" s="32">
        <v>15.053000000000001</v>
      </c>
      <c r="P36" s="32">
        <v>6.7759999999999998</v>
      </c>
      <c r="Q36" s="32">
        <v>3.1920000000000002</v>
      </c>
      <c r="R36" s="32">
        <v>18.707000000000001</v>
      </c>
      <c r="S36" s="32">
        <v>20.989000000000001</v>
      </c>
      <c r="T36" s="32">
        <v>11.864000000000001</v>
      </c>
      <c r="U36" s="32">
        <v>9.1579999999999995</v>
      </c>
    </row>
    <row r="37" spans="1:21" ht="15" customHeight="1" outlineLevel="2">
      <c r="A37" s="28" t="s">
        <v>143</v>
      </c>
      <c r="B37" s="29">
        <v>23.414000000000001</v>
      </c>
      <c r="C37" s="29">
        <v>32.031999999999996</v>
      </c>
      <c r="D37" s="29">
        <v>27.707000000000001</v>
      </c>
      <c r="E37" s="29">
        <v>20.138999999999999</v>
      </c>
      <c r="F37" s="29">
        <v>13.996</v>
      </c>
      <c r="G37" s="29">
        <v>29.751000000000001</v>
      </c>
      <c r="H37" s="29">
        <v>30.619</v>
      </c>
      <c r="I37" s="29">
        <v>25.867999999999999</v>
      </c>
      <c r="J37" s="29">
        <v>26.748999999999999</v>
      </c>
      <c r="K37" s="29">
        <v>21.457000000000001</v>
      </c>
      <c r="L37" s="29">
        <v>21.273</v>
      </c>
      <c r="M37" s="29">
        <v>16.954999999999998</v>
      </c>
      <c r="N37" s="29">
        <v>18.303999999999998</v>
      </c>
      <c r="O37" s="29">
        <v>15.259</v>
      </c>
      <c r="P37" s="29">
        <v>6.5949999999999998</v>
      </c>
      <c r="Q37" s="29">
        <v>2.9289999999999998</v>
      </c>
      <c r="R37" s="29">
        <v>18.792000000000002</v>
      </c>
      <c r="S37" s="29">
        <v>21.094999999999999</v>
      </c>
      <c r="T37" s="29">
        <v>12.093</v>
      </c>
      <c r="U37" s="29">
        <v>8.8160000000000007</v>
      </c>
    </row>
    <row r="38" spans="1:21" ht="15" customHeight="1" outlineLevel="2">
      <c r="A38" s="26" t="s">
        <v>144</v>
      </c>
      <c r="B38" s="39">
        <v>-0.35599999999999998</v>
      </c>
      <c r="C38" s="39">
        <v>-1.2490000000000001</v>
      </c>
      <c r="D38" s="27">
        <v>0.18099999999999999</v>
      </c>
      <c r="E38" s="39">
        <v>-0.65300000000000002</v>
      </c>
      <c r="F38" s="27">
        <v>0.224</v>
      </c>
      <c r="G38" s="27">
        <v>0.13100000000000001</v>
      </c>
      <c r="H38" s="39">
        <v>-1.536</v>
      </c>
      <c r="I38" s="27">
        <v>0.21099999999999999</v>
      </c>
      <c r="J38" s="39">
        <v>-0.28599999999999998</v>
      </c>
      <c r="K38" s="39">
        <v>-0.02</v>
      </c>
      <c r="L38" s="39">
        <v>-0.64800000000000002</v>
      </c>
      <c r="M38" s="39">
        <v>-0.16700000000000001</v>
      </c>
      <c r="N38" s="39">
        <v>-0.35199999999999998</v>
      </c>
      <c r="O38" s="39">
        <v>-0.20599999999999999</v>
      </c>
      <c r="P38" s="27">
        <v>0.18099999999999999</v>
      </c>
      <c r="Q38" s="27">
        <v>0.26300000000000001</v>
      </c>
      <c r="R38" s="39">
        <v>-8.5000000000000006E-2</v>
      </c>
      <c r="S38" s="39">
        <v>-0.106</v>
      </c>
      <c r="T38" s="39">
        <v>-0.22900000000000001</v>
      </c>
      <c r="U38" s="27">
        <v>0.34200000000000003</v>
      </c>
    </row>
    <row r="39" spans="1:21" ht="15" customHeight="1" outlineLevel="1">
      <c r="A39" s="41" t="s">
        <v>145</v>
      </c>
      <c r="B39" s="29">
        <v>0</v>
      </c>
      <c r="C39" s="29">
        <v>0</v>
      </c>
      <c r="D39" s="29">
        <v>0</v>
      </c>
      <c r="E39" s="29">
        <v>0</v>
      </c>
      <c r="F39" s="29">
        <v>0</v>
      </c>
      <c r="G39" s="29">
        <v>0</v>
      </c>
      <c r="H39" s="29">
        <v>0</v>
      </c>
      <c r="I39" s="29">
        <v>0.42799999999999999</v>
      </c>
      <c r="J39" s="29">
        <v>0.33100000000000002</v>
      </c>
      <c r="K39" s="29">
        <v>0</v>
      </c>
      <c r="L39" s="29">
        <v>0</v>
      </c>
      <c r="M39" s="29">
        <v>0</v>
      </c>
      <c r="N39" s="29">
        <v>0</v>
      </c>
      <c r="O39" s="29">
        <v>0</v>
      </c>
      <c r="P39" s="29">
        <v>0</v>
      </c>
      <c r="Q39" s="29">
        <v>0</v>
      </c>
      <c r="R39" s="29">
        <v>0</v>
      </c>
      <c r="S39" s="29">
        <v>0</v>
      </c>
      <c r="T39" s="29">
        <v>0</v>
      </c>
      <c r="U39" s="29">
        <v>0</v>
      </c>
    </row>
    <row r="40" spans="1:21" ht="15" customHeight="1">
      <c r="A40" s="23" t="s">
        <v>146</v>
      </c>
      <c r="B40" s="32">
        <v>65.915999999999997</v>
      </c>
      <c r="C40" s="32">
        <v>87.573999999999998</v>
      </c>
      <c r="D40" s="32">
        <v>71.784999999999997</v>
      </c>
      <c r="E40" s="32">
        <v>54.91</v>
      </c>
      <c r="F40" s="32">
        <v>40.078000000000003</v>
      </c>
      <c r="G40" s="32">
        <v>84.21</v>
      </c>
      <c r="H40" s="32">
        <v>87.471000000000004</v>
      </c>
      <c r="I40" s="32">
        <v>73.325999999999993</v>
      </c>
      <c r="J40" s="32">
        <v>73.849000000000004</v>
      </c>
      <c r="K40" s="32">
        <v>59.180999999999997</v>
      </c>
      <c r="L40" s="32">
        <v>58.765000000000001</v>
      </c>
      <c r="M40" s="32">
        <v>45.536999999999999</v>
      </c>
      <c r="N40" s="32">
        <v>45.975999999999999</v>
      </c>
      <c r="O40" s="32">
        <v>41.017000000000003</v>
      </c>
      <c r="P40" s="32">
        <v>18.523</v>
      </c>
      <c r="Q40" s="32">
        <v>6.6050000000000004</v>
      </c>
      <c r="R40" s="32">
        <v>50.37</v>
      </c>
      <c r="S40" s="32">
        <v>35.895000000000003</v>
      </c>
      <c r="T40" s="32">
        <v>26.308</v>
      </c>
      <c r="U40" s="32">
        <v>16.629000000000001</v>
      </c>
    </row>
    <row r="41" spans="1:21" ht="15" customHeight="1" outlineLevel="1">
      <c r="A41" s="41" t="s">
        <v>147</v>
      </c>
      <c r="B41" s="29">
        <v>0</v>
      </c>
      <c r="C41" s="29">
        <v>0</v>
      </c>
      <c r="D41" s="29">
        <v>0</v>
      </c>
      <c r="E41" s="29">
        <v>3.0000000000000001E-3</v>
      </c>
      <c r="F41" s="29">
        <v>1E-3</v>
      </c>
      <c r="G41" s="29">
        <v>5.0000000000000001E-3</v>
      </c>
      <c r="H41" s="29">
        <v>3.0000000000000001E-3</v>
      </c>
      <c r="I41" s="29">
        <v>2E-3</v>
      </c>
      <c r="J41" s="29">
        <v>4.0000000000000001E-3</v>
      </c>
      <c r="K41" s="29">
        <v>2E-3</v>
      </c>
      <c r="L41" s="29">
        <v>3.0000000000000001E-3</v>
      </c>
      <c r="M41" s="29">
        <v>5.0000000000000001E-3</v>
      </c>
      <c r="N41" s="29">
        <v>2E-3</v>
      </c>
      <c r="O41" s="29">
        <v>2E-3</v>
      </c>
      <c r="P41" s="29">
        <v>0</v>
      </c>
      <c r="Q41" s="29">
        <v>1E-3</v>
      </c>
      <c r="R41" s="29">
        <v>0.2</v>
      </c>
      <c r="S41" s="29">
        <v>0.14099999999999999</v>
      </c>
      <c r="T41" s="29">
        <v>7.8E-2</v>
      </c>
      <c r="U41" s="29">
        <v>4.3999999999999997E-2</v>
      </c>
    </row>
    <row r="42" spans="1:21" ht="15" customHeight="1">
      <c r="A42" s="23" t="s">
        <v>148</v>
      </c>
      <c r="B42" s="32">
        <v>65.915999999999997</v>
      </c>
      <c r="C42" s="32">
        <v>87.573999999999998</v>
      </c>
      <c r="D42" s="32">
        <v>71.784999999999997</v>
      </c>
      <c r="E42" s="32">
        <v>54.906999999999996</v>
      </c>
      <c r="F42" s="32">
        <v>40.076999999999998</v>
      </c>
      <c r="G42" s="32">
        <v>84.204999999999998</v>
      </c>
      <c r="H42" s="32">
        <v>87.468000000000004</v>
      </c>
      <c r="I42" s="32">
        <v>73.323999999999998</v>
      </c>
      <c r="J42" s="32">
        <v>73.844999999999999</v>
      </c>
      <c r="K42" s="32">
        <v>59.179000000000002</v>
      </c>
      <c r="L42" s="32">
        <v>58.762</v>
      </c>
      <c r="M42" s="32">
        <v>45.531999999999996</v>
      </c>
      <c r="N42" s="32">
        <v>45.973999999999997</v>
      </c>
      <c r="O42" s="32">
        <v>41.015000000000001</v>
      </c>
      <c r="P42" s="32">
        <v>18.523</v>
      </c>
      <c r="Q42" s="32">
        <v>6.6040000000000001</v>
      </c>
      <c r="R42" s="32">
        <v>50.17</v>
      </c>
      <c r="S42" s="32">
        <v>35.753999999999998</v>
      </c>
      <c r="T42" s="32">
        <v>26.23</v>
      </c>
      <c r="U42" s="32">
        <v>16.585000000000001</v>
      </c>
    </row>
    <row r="43" spans="1:21" ht="15" customHeight="1" outlineLevel="1">
      <c r="A43" s="41" t="s">
        <v>149</v>
      </c>
      <c r="B43" s="29">
        <v>0.05</v>
      </c>
      <c r="C43" s="29">
        <v>0.05</v>
      </c>
      <c r="D43" s="29">
        <v>0.05</v>
      </c>
      <c r="E43" s="29">
        <v>0.05</v>
      </c>
      <c r="F43" s="29">
        <v>0.05</v>
      </c>
      <c r="G43" s="29">
        <v>0.05</v>
      </c>
      <c r="H43" s="29">
        <v>0.05</v>
      </c>
      <c r="I43" s="29">
        <v>0.05</v>
      </c>
      <c r="J43" s="29">
        <v>0</v>
      </c>
      <c r="K43" s="29">
        <v>0</v>
      </c>
      <c r="L43" s="29">
        <v>0</v>
      </c>
      <c r="M43" s="29">
        <v>0</v>
      </c>
      <c r="N43" s="29">
        <v>0</v>
      </c>
      <c r="O43" s="29">
        <v>0</v>
      </c>
      <c r="P43" s="29">
        <v>0</v>
      </c>
      <c r="Q43" s="29">
        <v>0</v>
      </c>
      <c r="R43" s="29">
        <v>0</v>
      </c>
      <c r="S43" s="29">
        <v>0</v>
      </c>
      <c r="T43" s="29">
        <v>0</v>
      </c>
      <c r="U43" s="29">
        <v>0</v>
      </c>
    </row>
    <row r="44" spans="1:21" ht="15" customHeight="1" outlineLevel="1">
      <c r="A44" s="36" t="s">
        <v>150</v>
      </c>
      <c r="B44" s="27">
        <v>65.866</v>
      </c>
      <c r="C44" s="27">
        <v>87.524000000000001</v>
      </c>
      <c r="D44" s="27">
        <v>71.734999999999999</v>
      </c>
      <c r="E44" s="27">
        <v>54.856999999999999</v>
      </c>
      <c r="F44" s="27">
        <v>40.027000000000001</v>
      </c>
      <c r="G44" s="27">
        <v>84.155000000000001</v>
      </c>
      <c r="H44" s="27">
        <v>87.418000000000006</v>
      </c>
      <c r="I44" s="27">
        <v>73.274000000000001</v>
      </c>
      <c r="J44" s="27">
        <v>73.844999999999999</v>
      </c>
      <c r="K44" s="27">
        <v>59.179000000000002</v>
      </c>
      <c r="L44" s="27">
        <v>58.762</v>
      </c>
      <c r="M44" s="27">
        <v>45.531999999999996</v>
      </c>
      <c r="N44" s="27">
        <v>45.973999999999997</v>
      </c>
      <c r="O44" s="27">
        <v>41.015000000000001</v>
      </c>
      <c r="P44" s="27">
        <v>18.523</v>
      </c>
      <c r="Q44" s="27">
        <v>6.6040000000000001</v>
      </c>
      <c r="R44" s="27">
        <v>50.17</v>
      </c>
      <c r="S44" s="27">
        <v>35.753999999999998</v>
      </c>
      <c r="T44" s="27">
        <v>26.23</v>
      </c>
      <c r="U44" s="27">
        <v>16.585000000000001</v>
      </c>
    </row>
    <row r="45" spans="1:21" ht="15" customHeight="1">
      <c r="A45" s="42" t="s">
        <v>114</v>
      </c>
      <c r="B45" s="42"/>
      <c r="C45" s="42"/>
      <c r="D45" s="42"/>
      <c r="E45" s="42"/>
      <c r="F45" s="42"/>
      <c r="G45" s="42"/>
      <c r="H45" s="42"/>
      <c r="I45" s="42"/>
      <c r="J45" s="42"/>
      <c r="K45" s="42"/>
      <c r="L45" s="42"/>
      <c r="M45" s="42"/>
      <c r="N45" s="42"/>
      <c r="O45" s="42"/>
      <c r="P45" s="42"/>
      <c r="Q45" s="42"/>
      <c r="R45" s="42"/>
      <c r="S45" s="42"/>
      <c r="T45" s="42"/>
      <c r="U45" s="42"/>
    </row>
    <row r="46" spans="1:21" ht="15" customHeight="1" outlineLevel="1">
      <c r="A46" s="36" t="s">
        <v>151</v>
      </c>
      <c r="B46" s="27">
        <v>13.1732</v>
      </c>
      <c r="C46" s="27">
        <v>17.504799999999999</v>
      </c>
      <c r="D46" s="27">
        <v>14.347</v>
      </c>
      <c r="E46" s="27">
        <v>10.82286</v>
      </c>
      <c r="F46" s="27">
        <v>7.9074</v>
      </c>
      <c r="G46" s="27">
        <v>16.831</v>
      </c>
      <c r="H46" s="27">
        <v>16.812159999999999</v>
      </c>
      <c r="I46" s="27">
        <v>14.6548</v>
      </c>
      <c r="J46" s="27">
        <v>14.769</v>
      </c>
      <c r="K46" s="27">
        <v>11.835800000000001</v>
      </c>
      <c r="L46" s="27">
        <v>11.75338</v>
      </c>
      <c r="M46" s="27">
        <v>9.1378009999999996</v>
      </c>
      <c r="N46" s="27">
        <v>9.2378549999999997</v>
      </c>
      <c r="O46" s="27">
        <v>8.2401909999999994</v>
      </c>
      <c r="P46" s="27">
        <v>3.7258469999999999</v>
      </c>
      <c r="Q46" s="27">
        <v>1.3283750000000001</v>
      </c>
      <c r="R46" s="27">
        <v>10.106271</v>
      </c>
      <c r="S46" s="27">
        <v>7.2507599999999996</v>
      </c>
      <c r="T46" s="40"/>
      <c r="U46" s="40"/>
    </row>
    <row r="47" spans="1:21" ht="15" customHeight="1" outlineLevel="1">
      <c r="A47" s="24" t="s">
        <v>152</v>
      </c>
      <c r="B47" s="25">
        <v>13.1732</v>
      </c>
      <c r="C47" s="25">
        <v>17.504799999999999</v>
      </c>
      <c r="D47" s="25">
        <v>14.347</v>
      </c>
      <c r="E47" s="25">
        <v>10.971399999999999</v>
      </c>
      <c r="F47" s="25">
        <v>8.0153999999999996</v>
      </c>
      <c r="G47" s="25">
        <v>16.831</v>
      </c>
      <c r="H47" s="25">
        <v>17.483599999999999</v>
      </c>
      <c r="I47" s="25">
        <v>14.6548</v>
      </c>
      <c r="J47" s="25">
        <v>14.77</v>
      </c>
      <c r="K47" s="25">
        <v>11.84</v>
      </c>
      <c r="L47" s="25">
        <v>11.75</v>
      </c>
      <c r="M47" s="25">
        <v>9.14</v>
      </c>
      <c r="N47" s="25">
        <v>9.25</v>
      </c>
      <c r="O47" s="25">
        <v>8.25</v>
      </c>
      <c r="P47" s="25">
        <v>3.73</v>
      </c>
      <c r="Q47" s="25">
        <v>1.33</v>
      </c>
      <c r="R47" s="25">
        <v>10.0679</v>
      </c>
      <c r="S47" s="25">
        <v>7.1508000000000003</v>
      </c>
      <c r="T47" s="25">
        <v>5.29</v>
      </c>
      <c r="U47" s="25">
        <v>3.3170000000000002</v>
      </c>
    </row>
    <row r="48" spans="1:21" ht="15" customHeight="1" outlineLevel="2">
      <c r="A48" s="26" t="s">
        <v>153</v>
      </c>
      <c r="B48" s="27">
        <v>5</v>
      </c>
      <c r="C48" s="27">
        <v>5</v>
      </c>
      <c r="D48" s="27">
        <v>5</v>
      </c>
      <c r="E48" s="27">
        <v>5</v>
      </c>
      <c r="F48" s="27">
        <v>5</v>
      </c>
      <c r="G48" s="27">
        <v>5</v>
      </c>
      <c r="H48" s="27">
        <v>5</v>
      </c>
      <c r="I48" s="27">
        <v>5</v>
      </c>
      <c r="J48" s="27">
        <v>5</v>
      </c>
      <c r="K48" s="27">
        <v>5</v>
      </c>
      <c r="L48" s="27">
        <v>5</v>
      </c>
      <c r="M48" s="27">
        <v>4.9839669999999998</v>
      </c>
      <c r="N48" s="27">
        <v>4.9718470000000003</v>
      </c>
      <c r="O48" s="27">
        <v>4.9714869999999998</v>
      </c>
      <c r="P48" s="27">
        <v>4.9714869999999998</v>
      </c>
      <c r="Q48" s="27">
        <v>4.9714869999999998</v>
      </c>
      <c r="R48" s="27">
        <v>4.9783049999999998</v>
      </c>
      <c r="S48" s="27">
        <v>5</v>
      </c>
      <c r="T48" s="27">
        <v>5</v>
      </c>
      <c r="U48" s="27">
        <v>5</v>
      </c>
    </row>
    <row r="49" spans="1:21" ht="15" customHeight="1" outlineLevel="2">
      <c r="A49" s="28" t="s">
        <v>154</v>
      </c>
      <c r="B49" s="29">
        <v>5</v>
      </c>
      <c r="C49" s="29">
        <v>5</v>
      </c>
      <c r="D49" s="29">
        <v>5</v>
      </c>
      <c r="E49" s="29">
        <v>5</v>
      </c>
      <c r="F49" s="29">
        <v>5</v>
      </c>
      <c r="G49" s="29">
        <v>5</v>
      </c>
      <c r="H49" s="29">
        <v>5</v>
      </c>
      <c r="I49" s="29">
        <v>5</v>
      </c>
      <c r="J49" s="29">
        <v>5</v>
      </c>
      <c r="K49" s="29">
        <v>5</v>
      </c>
      <c r="L49" s="29">
        <v>5</v>
      </c>
      <c r="M49" s="29">
        <v>5</v>
      </c>
      <c r="N49" s="29">
        <v>4.9718470000000003</v>
      </c>
      <c r="O49" s="29">
        <v>4.9718470000000003</v>
      </c>
      <c r="P49" s="29">
        <v>4.9718470000000003</v>
      </c>
      <c r="Q49" s="29">
        <v>4.9935419999999997</v>
      </c>
      <c r="R49" s="29">
        <v>4.9783049999999998</v>
      </c>
      <c r="S49" s="29">
        <v>5</v>
      </c>
      <c r="T49" s="29">
        <v>5</v>
      </c>
      <c r="U49" s="29">
        <v>5</v>
      </c>
    </row>
    <row r="50" spans="1:21" ht="15" customHeight="1" outlineLevel="1">
      <c r="A50" s="31" t="s">
        <v>155</v>
      </c>
      <c r="B50" s="32">
        <v>13.1732</v>
      </c>
      <c r="C50" s="32">
        <v>17.504799999999999</v>
      </c>
      <c r="D50" s="32">
        <v>14.347</v>
      </c>
      <c r="E50" s="32">
        <v>10.971399999999999</v>
      </c>
      <c r="F50" s="32">
        <v>8.0153999999999996</v>
      </c>
      <c r="G50" s="32">
        <v>16.831</v>
      </c>
      <c r="H50" s="32">
        <v>17.483599999999999</v>
      </c>
      <c r="I50" s="32">
        <v>14.6548</v>
      </c>
      <c r="J50" s="32">
        <v>14.77</v>
      </c>
      <c r="K50" s="32">
        <v>11.84</v>
      </c>
      <c r="L50" s="32">
        <v>11.75</v>
      </c>
      <c r="M50" s="32">
        <v>9.14</v>
      </c>
      <c r="N50" s="32">
        <v>9.25</v>
      </c>
      <c r="O50" s="32">
        <v>8.25</v>
      </c>
      <c r="P50" s="32">
        <v>3.73</v>
      </c>
      <c r="Q50" s="32">
        <v>1.33</v>
      </c>
      <c r="R50" s="32">
        <v>10.0777</v>
      </c>
      <c r="S50" s="32">
        <v>7.1508000000000003</v>
      </c>
      <c r="T50" s="23"/>
      <c r="U50" s="23"/>
    </row>
    <row r="51" spans="1:21" ht="15" customHeight="1" outlineLevel="2">
      <c r="A51" s="28" t="s">
        <v>156</v>
      </c>
      <c r="B51" s="29">
        <v>5</v>
      </c>
      <c r="C51" s="29">
        <v>5</v>
      </c>
      <c r="D51" s="29">
        <v>5</v>
      </c>
      <c r="E51" s="29">
        <v>5</v>
      </c>
      <c r="F51" s="29">
        <v>5</v>
      </c>
      <c r="G51" s="29">
        <v>5</v>
      </c>
      <c r="H51" s="29">
        <v>5</v>
      </c>
      <c r="I51" s="29">
        <v>5</v>
      </c>
      <c r="J51" s="29">
        <v>5</v>
      </c>
      <c r="K51" s="29">
        <v>5</v>
      </c>
      <c r="L51" s="29">
        <v>5</v>
      </c>
      <c r="M51" s="29">
        <v>4.9839669999999998</v>
      </c>
      <c r="N51" s="29">
        <v>4.9718470000000003</v>
      </c>
      <c r="O51" s="29">
        <v>4.9714869999999998</v>
      </c>
      <c r="P51" s="29">
        <v>4.9714869999999998</v>
      </c>
      <c r="Q51" s="29">
        <v>4.9714869999999998</v>
      </c>
      <c r="R51" s="30"/>
      <c r="S51" s="30"/>
      <c r="T51" s="30"/>
      <c r="U51" s="30"/>
    </row>
    <row r="52" spans="1:21" ht="15" customHeight="1" outlineLevel="2">
      <c r="A52" s="26" t="s">
        <v>154</v>
      </c>
      <c r="B52" s="27">
        <v>5</v>
      </c>
      <c r="C52" s="27">
        <v>5</v>
      </c>
      <c r="D52" s="27">
        <v>5</v>
      </c>
      <c r="E52" s="27">
        <v>5</v>
      </c>
      <c r="F52" s="27">
        <v>5</v>
      </c>
      <c r="G52" s="27">
        <v>5</v>
      </c>
      <c r="H52" s="27">
        <v>5</v>
      </c>
      <c r="I52" s="27">
        <v>5</v>
      </c>
      <c r="J52" s="27">
        <v>5</v>
      </c>
      <c r="K52" s="27">
        <v>5</v>
      </c>
      <c r="L52" s="27">
        <v>5</v>
      </c>
      <c r="M52" s="27">
        <v>5</v>
      </c>
      <c r="N52" s="27">
        <v>4.9718470000000003</v>
      </c>
      <c r="O52" s="27">
        <v>4.9718470000000003</v>
      </c>
      <c r="P52" s="27">
        <v>4.9718470000000003</v>
      </c>
      <c r="Q52" s="27">
        <v>4.9935419999999997</v>
      </c>
      <c r="R52" s="27">
        <v>4.9783049999999998</v>
      </c>
      <c r="S52" s="27">
        <v>5</v>
      </c>
      <c r="T52" s="27">
        <v>5</v>
      </c>
      <c r="U52" s="27">
        <v>5</v>
      </c>
    </row>
    <row r="53" spans="1:21" ht="15" customHeight="1" outlineLevel="1">
      <c r="A53" s="41" t="s">
        <v>157</v>
      </c>
      <c r="B53" s="29">
        <v>90.38</v>
      </c>
      <c r="C53" s="29">
        <v>79.481999999999999</v>
      </c>
      <c r="D53" s="29">
        <v>85.468000000000004</v>
      </c>
      <c r="E53" s="29">
        <v>81.144000000000005</v>
      </c>
      <c r="F53" s="29">
        <v>83.325999999999993</v>
      </c>
      <c r="G53" s="29">
        <v>76.132000000000005</v>
      </c>
      <c r="H53" s="29">
        <v>86.38</v>
      </c>
      <c r="I53" s="29">
        <v>78.617999999999995</v>
      </c>
      <c r="J53" s="29">
        <v>85.224000000000004</v>
      </c>
      <c r="K53" s="29">
        <v>86.322000000000003</v>
      </c>
      <c r="L53" s="29">
        <v>79.912999999999997</v>
      </c>
      <c r="M53" s="29">
        <v>91.352000000000004</v>
      </c>
      <c r="N53" s="29">
        <v>89.052000000000007</v>
      </c>
      <c r="O53" s="29">
        <v>82.436999999999998</v>
      </c>
      <c r="P53" s="29">
        <v>74.873000000000005</v>
      </c>
      <c r="Q53" s="29">
        <v>78.584999999999994</v>
      </c>
      <c r="R53" s="29">
        <v>75.614999999999995</v>
      </c>
      <c r="S53" s="30"/>
      <c r="T53" s="30"/>
      <c r="U53" s="30"/>
    </row>
    <row r="54" spans="1:21" ht="15" customHeight="1" outlineLevel="1">
      <c r="A54" s="31" t="s">
        <v>158</v>
      </c>
      <c r="B54" s="32">
        <v>11.05</v>
      </c>
      <c r="C54" s="32">
        <v>15.05</v>
      </c>
      <c r="D54" s="32">
        <v>11.05</v>
      </c>
      <c r="E54" s="32">
        <v>9.0500000000000007</v>
      </c>
      <c r="F54" s="32">
        <v>5.05</v>
      </c>
      <c r="G54" s="32">
        <v>5.05</v>
      </c>
      <c r="H54" s="32">
        <v>15.05</v>
      </c>
      <c r="I54" s="32">
        <v>12.85</v>
      </c>
      <c r="J54" s="32">
        <v>12.85</v>
      </c>
      <c r="K54" s="32">
        <v>10.85</v>
      </c>
      <c r="L54" s="32">
        <v>10.85</v>
      </c>
      <c r="M54" s="32">
        <v>8.0500000000000007</v>
      </c>
      <c r="N54" s="32">
        <v>8.0500000000000007</v>
      </c>
      <c r="O54" s="32">
        <v>6.05</v>
      </c>
      <c r="P54" s="32">
        <v>3.05</v>
      </c>
      <c r="Q54" s="32">
        <v>0.85</v>
      </c>
      <c r="R54" s="32">
        <v>0.85</v>
      </c>
      <c r="S54" s="32">
        <v>0.85</v>
      </c>
      <c r="T54" s="32">
        <v>0.85</v>
      </c>
      <c r="U54" s="32">
        <v>3.05</v>
      </c>
    </row>
    <row r="55" spans="1:21" ht="15" customHeight="1" outlineLevel="2">
      <c r="A55" s="28" t="s">
        <v>159</v>
      </c>
      <c r="B55" s="29">
        <v>83.882428000000004</v>
      </c>
      <c r="C55" s="29">
        <v>85.976417999999995</v>
      </c>
      <c r="D55" s="29">
        <v>77.019586000000004</v>
      </c>
      <c r="E55" s="29">
        <v>82.487194000000002</v>
      </c>
      <c r="F55" s="29">
        <v>63.003717999999999</v>
      </c>
      <c r="G55" s="29">
        <v>30.004159000000001</v>
      </c>
      <c r="H55" s="29">
        <v>86.080669999999998</v>
      </c>
      <c r="I55" s="29">
        <v>87.684580999999994</v>
      </c>
      <c r="J55" s="29">
        <v>87.000676999999996</v>
      </c>
      <c r="K55" s="29">
        <v>91.638514000000001</v>
      </c>
      <c r="L55" s="29">
        <v>92.340425999999994</v>
      </c>
      <c r="M55" s="29">
        <v>88.074398000000002</v>
      </c>
      <c r="N55" s="29">
        <v>87.027027000000004</v>
      </c>
      <c r="O55" s="29">
        <v>73.333332999999996</v>
      </c>
      <c r="P55" s="29">
        <v>81.769436999999996</v>
      </c>
      <c r="Q55" s="29">
        <v>63.909773999999999</v>
      </c>
      <c r="R55" s="29">
        <v>8.4426740000000002</v>
      </c>
      <c r="S55" s="29">
        <v>11.886782</v>
      </c>
      <c r="T55" s="29">
        <v>16.068052999999999</v>
      </c>
      <c r="U55" s="29">
        <v>91.950558000000001</v>
      </c>
    </row>
    <row r="56" spans="1:21" ht="15" customHeight="1">
      <c r="A56" s="23" t="s">
        <v>0</v>
      </c>
      <c r="B56" s="23"/>
      <c r="C56" s="23"/>
      <c r="D56" s="23"/>
      <c r="E56" s="23"/>
      <c r="F56" s="23"/>
      <c r="G56" s="23"/>
      <c r="H56" s="23"/>
      <c r="I56" s="23"/>
      <c r="J56" s="23"/>
      <c r="K56" s="23"/>
      <c r="L56" s="23"/>
      <c r="M56" s="23"/>
      <c r="N56" s="23"/>
      <c r="O56" s="23"/>
      <c r="P56" s="23"/>
      <c r="Q56" s="23"/>
      <c r="R56" s="23"/>
      <c r="S56" s="23"/>
      <c r="T56" s="23"/>
      <c r="U56" s="23"/>
    </row>
    <row r="57" spans="1:21" ht="15" customHeight="1" outlineLevel="1">
      <c r="A57" s="24" t="s">
        <v>0</v>
      </c>
      <c r="B57" s="25">
        <v>97.129000000000005</v>
      </c>
      <c r="C57" s="25">
        <v>124.804</v>
      </c>
      <c r="D57" s="25">
        <v>115.63800000000001</v>
      </c>
      <c r="E57" s="25">
        <v>82.034000000000006</v>
      </c>
      <c r="F57" s="25">
        <v>62.423999999999999</v>
      </c>
      <c r="G57" s="25">
        <v>124.01900000000001</v>
      </c>
      <c r="H57" s="25">
        <v>121.524</v>
      </c>
      <c r="I57" s="25">
        <v>105.003</v>
      </c>
      <c r="J57" s="25">
        <v>106.78700000000001</v>
      </c>
      <c r="K57" s="25">
        <v>87.513999999999996</v>
      </c>
      <c r="L57" s="25">
        <v>82.665999999999997</v>
      </c>
      <c r="M57" s="25">
        <v>64.998999999999995</v>
      </c>
      <c r="N57" s="25">
        <v>70.072999999999993</v>
      </c>
      <c r="O57" s="25">
        <v>60.176000000000002</v>
      </c>
      <c r="P57" s="25">
        <v>31.667000000000002</v>
      </c>
      <c r="Q57" s="25">
        <v>13.34</v>
      </c>
      <c r="R57" s="25">
        <v>72.814999999999998</v>
      </c>
      <c r="S57" s="25">
        <v>58.722999999999999</v>
      </c>
      <c r="T57" s="25">
        <v>40.124000000000002</v>
      </c>
      <c r="U57" s="25">
        <v>27.896999999999998</v>
      </c>
    </row>
    <row r="58" spans="1:21" ht="15" customHeight="1" outlineLevel="2">
      <c r="A58" s="26" t="s">
        <v>160</v>
      </c>
      <c r="B58" s="27">
        <v>82.653999999999996</v>
      </c>
      <c r="C58" s="27">
        <v>113.233</v>
      </c>
      <c r="D58" s="27">
        <v>104.41500000000001</v>
      </c>
      <c r="E58" s="27">
        <v>70.75</v>
      </c>
      <c r="F58" s="27">
        <v>52.015000000000001</v>
      </c>
      <c r="G58" s="27">
        <v>113.628</v>
      </c>
      <c r="H58" s="27">
        <v>111.511</v>
      </c>
      <c r="I58" s="27">
        <v>97.192999999999998</v>
      </c>
      <c r="J58" s="27">
        <v>99.813000000000002</v>
      </c>
      <c r="K58" s="27">
        <v>80.775999999999996</v>
      </c>
      <c r="L58" s="27">
        <v>76.435000000000002</v>
      </c>
      <c r="M58" s="27">
        <v>58.405000000000001</v>
      </c>
      <c r="N58" s="27">
        <v>62.61</v>
      </c>
      <c r="O58" s="27">
        <v>53.316000000000003</v>
      </c>
      <c r="P58" s="27">
        <v>25.367999999999999</v>
      </c>
      <c r="Q58" s="27">
        <v>6.9950000000000001</v>
      </c>
      <c r="R58" s="27">
        <v>65.352999999999994</v>
      </c>
      <c r="S58" s="27">
        <v>52.465000000000003</v>
      </c>
      <c r="T58" s="27">
        <v>34.628</v>
      </c>
      <c r="U58" s="27">
        <v>22.821000000000002</v>
      </c>
    </row>
    <row r="59" spans="1:21" ht="15" customHeight="1" outlineLevel="2">
      <c r="A59" s="28" t="s">
        <v>120</v>
      </c>
      <c r="B59" s="29">
        <v>14.475</v>
      </c>
      <c r="C59" s="29">
        <v>11.571</v>
      </c>
      <c r="D59" s="29">
        <v>11.223000000000001</v>
      </c>
      <c r="E59" s="29">
        <v>11.284000000000001</v>
      </c>
      <c r="F59" s="29">
        <v>10.409000000000001</v>
      </c>
      <c r="G59" s="29">
        <v>10.391</v>
      </c>
      <c r="H59" s="29">
        <v>10.013</v>
      </c>
      <c r="I59" s="29">
        <v>7.81</v>
      </c>
      <c r="J59" s="29">
        <v>6.9740000000000002</v>
      </c>
      <c r="K59" s="29">
        <v>6.7380000000000004</v>
      </c>
      <c r="L59" s="29">
        <v>6.2309999999999999</v>
      </c>
      <c r="M59" s="29">
        <v>6.5940000000000003</v>
      </c>
      <c r="N59" s="29">
        <v>7.4630000000000001</v>
      </c>
      <c r="O59" s="29">
        <v>6.86</v>
      </c>
      <c r="P59" s="29">
        <v>6.2990000000000004</v>
      </c>
      <c r="Q59" s="29">
        <v>6.3449999999999998</v>
      </c>
      <c r="R59" s="29">
        <v>7.4619999999999997</v>
      </c>
      <c r="S59" s="29">
        <v>6.258</v>
      </c>
      <c r="T59" s="29">
        <v>5.4960000000000004</v>
      </c>
      <c r="U59" s="29">
        <v>5.0759999999999996</v>
      </c>
    </row>
    <row r="60" spans="1:21" ht="15" customHeight="1">
      <c r="A60" s="43" t="s">
        <v>117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827DB-91C6-4F31-A3C7-42F27B88A203}">
  <sheetPr>
    <tabColor theme="8" tint="0.39997558519241921"/>
    <outlinePr summaryBelow="0" summaryRight="0"/>
  </sheetPr>
  <dimension ref="A1:U80"/>
  <sheetViews>
    <sheetView workbookViewId="0"/>
  </sheetViews>
  <sheetFormatPr defaultColWidth="9.109375" defaultRowHeight="15" customHeight="1" outlineLevelRow="3"/>
  <cols>
    <col min="1" max="1" width="65.88671875" style="19" customWidth="1"/>
    <col min="2" max="21" width="8" style="19" customWidth="1"/>
    <col min="22" max="16384" width="9.109375" style="19"/>
  </cols>
  <sheetData>
    <row r="1" spans="1:21" ht="15" customHeight="1">
      <c r="A1" s="18" t="s">
        <v>36</v>
      </c>
    </row>
    <row r="2" spans="1:21" ht="15" customHeight="1">
      <c r="A2" s="20" t="s">
        <v>37</v>
      </c>
    </row>
    <row r="3" spans="1:21" ht="15" customHeight="1">
      <c r="A3" s="21"/>
      <c r="B3" s="21"/>
      <c r="C3" s="21"/>
      <c r="D3" s="21"/>
      <c r="E3" s="21"/>
      <c r="F3" s="21"/>
      <c r="G3" s="21"/>
      <c r="H3" s="21"/>
      <c r="I3" s="21"/>
      <c r="J3" s="21"/>
      <c r="K3" s="21"/>
      <c r="L3" s="21"/>
      <c r="M3" s="21"/>
      <c r="N3" s="21"/>
      <c r="O3" s="21"/>
      <c r="P3" s="21"/>
      <c r="Q3" s="21"/>
      <c r="R3" s="21"/>
      <c r="S3" s="21"/>
      <c r="T3" s="21"/>
      <c r="U3" s="21"/>
    </row>
    <row r="5" spans="1:21" ht="15" customHeight="1">
      <c r="A5" s="22" t="s">
        <v>38</v>
      </c>
      <c r="B5" s="22"/>
      <c r="C5" s="22"/>
      <c r="D5" s="22"/>
      <c r="E5" s="22"/>
      <c r="F5" s="22"/>
      <c r="G5" s="22"/>
      <c r="H5" s="22"/>
      <c r="I5" s="22"/>
      <c r="J5" s="22"/>
      <c r="K5" s="22"/>
      <c r="L5" s="22"/>
      <c r="M5" s="22"/>
      <c r="N5" s="22"/>
      <c r="O5" s="22"/>
      <c r="P5" s="22"/>
      <c r="Q5" s="22"/>
      <c r="R5" s="22"/>
      <c r="S5" s="22"/>
      <c r="T5" s="22"/>
      <c r="U5" s="22"/>
    </row>
    <row r="6" spans="1:21" ht="15" customHeight="1">
      <c r="A6" s="22" t="s">
        <v>163</v>
      </c>
      <c r="B6" s="22"/>
      <c r="C6" s="22"/>
      <c r="D6" s="22"/>
      <c r="E6" s="22"/>
      <c r="F6" s="22"/>
      <c r="G6" s="22"/>
      <c r="H6" s="22"/>
      <c r="I6" s="22"/>
      <c r="J6" s="22"/>
      <c r="K6" s="22"/>
      <c r="L6" s="22"/>
      <c r="M6" s="22"/>
      <c r="N6" s="22"/>
      <c r="O6" s="22"/>
      <c r="P6" s="22"/>
      <c r="Q6" s="22"/>
      <c r="R6" s="22"/>
      <c r="S6" s="22"/>
      <c r="T6" s="22"/>
      <c r="U6" s="22"/>
    </row>
    <row r="7" spans="1:21" ht="15" customHeight="1">
      <c r="A7" s="22"/>
      <c r="B7" s="22" t="s">
        <v>39</v>
      </c>
      <c r="C7" s="22" t="s">
        <v>40</v>
      </c>
      <c r="D7" s="22" t="s">
        <v>41</v>
      </c>
      <c r="E7" s="22" t="s">
        <v>42</v>
      </c>
      <c r="F7" s="22" t="s">
        <v>43</v>
      </c>
      <c r="G7" s="22" t="s">
        <v>44</v>
      </c>
      <c r="H7" s="22" t="s">
        <v>45</v>
      </c>
      <c r="I7" s="22" t="s">
        <v>46</v>
      </c>
      <c r="J7" s="22" t="s">
        <v>47</v>
      </c>
      <c r="K7" s="22" t="s">
        <v>48</v>
      </c>
      <c r="L7" s="22" t="s">
        <v>49</v>
      </c>
      <c r="M7" s="22" t="s">
        <v>50</v>
      </c>
      <c r="N7" s="22" t="s">
        <v>51</v>
      </c>
      <c r="O7" s="22" t="s">
        <v>52</v>
      </c>
      <c r="P7" s="22" t="s">
        <v>53</v>
      </c>
      <c r="Q7" s="22" t="s">
        <v>54</v>
      </c>
      <c r="R7" s="22" t="s">
        <v>55</v>
      </c>
      <c r="S7" s="22" t="s">
        <v>56</v>
      </c>
      <c r="T7" s="22" t="s">
        <v>57</v>
      </c>
      <c r="U7" s="22" t="s">
        <v>58</v>
      </c>
    </row>
    <row r="8" spans="1:21" ht="15" customHeight="1">
      <c r="A8" s="23" t="s">
        <v>59</v>
      </c>
      <c r="B8" s="23"/>
      <c r="C8" s="23"/>
      <c r="D8" s="23"/>
      <c r="E8" s="23"/>
      <c r="F8" s="23"/>
      <c r="G8" s="23"/>
      <c r="H8" s="23"/>
      <c r="I8" s="23"/>
      <c r="J8" s="23"/>
      <c r="K8" s="23"/>
      <c r="L8" s="23"/>
      <c r="M8" s="23"/>
      <c r="N8" s="23"/>
      <c r="O8" s="23"/>
      <c r="P8" s="23"/>
      <c r="Q8" s="23"/>
      <c r="R8" s="23"/>
      <c r="S8" s="23"/>
      <c r="T8" s="23"/>
      <c r="U8" s="23"/>
    </row>
    <row r="9" spans="1:21" ht="15" customHeight="1" outlineLevel="1">
      <c r="A9" s="24" t="s">
        <v>33</v>
      </c>
      <c r="B9" s="25">
        <v>141.37</v>
      </c>
      <c r="C9" s="25">
        <v>160.03399999999999</v>
      </c>
      <c r="D9" s="25">
        <v>157.90100000000001</v>
      </c>
      <c r="E9" s="25">
        <v>120.452</v>
      </c>
      <c r="F9" s="25">
        <v>113.86</v>
      </c>
      <c r="G9" s="25">
        <v>117.54</v>
      </c>
      <c r="H9" s="25">
        <v>135.101</v>
      </c>
      <c r="I9" s="25">
        <v>126.238</v>
      </c>
      <c r="J9" s="25">
        <v>131.602</v>
      </c>
      <c r="K9" s="25">
        <v>127.081</v>
      </c>
      <c r="L9" s="25">
        <v>108.816</v>
      </c>
      <c r="M9" s="25">
        <v>101.614</v>
      </c>
      <c r="N9" s="25">
        <v>94.335999999999999</v>
      </c>
      <c r="O9" s="25">
        <v>84.182000000000002</v>
      </c>
      <c r="P9" s="25">
        <v>69.903999999999996</v>
      </c>
      <c r="Q9" s="25">
        <v>60.417000000000002</v>
      </c>
      <c r="R9" s="25">
        <v>75.823999999999998</v>
      </c>
      <c r="S9" s="25">
        <v>76.251999999999995</v>
      </c>
      <c r="T9" s="25">
        <v>44.850999999999999</v>
      </c>
      <c r="U9" s="25">
        <v>45.188000000000002</v>
      </c>
    </row>
    <row r="10" spans="1:21" ht="15" customHeight="1" outlineLevel="2">
      <c r="A10" s="26" t="s">
        <v>60</v>
      </c>
      <c r="B10" s="27">
        <v>107.37</v>
      </c>
      <c r="C10" s="27">
        <v>111.03400000000001</v>
      </c>
      <c r="D10" s="27">
        <v>113.901</v>
      </c>
      <c r="E10" s="27">
        <v>109.452</v>
      </c>
      <c r="F10" s="27">
        <v>104.86</v>
      </c>
      <c r="G10" s="27">
        <v>107.54</v>
      </c>
      <c r="H10" s="27">
        <v>128.596</v>
      </c>
      <c r="I10" s="27">
        <v>103.39</v>
      </c>
      <c r="J10" s="27">
        <v>120.992</v>
      </c>
      <c r="K10" s="27">
        <v>101.074</v>
      </c>
      <c r="L10" s="27">
        <v>96.674000000000007</v>
      </c>
      <c r="M10" s="27">
        <v>97.614000000000004</v>
      </c>
      <c r="N10" s="27">
        <v>85.335999999999999</v>
      </c>
      <c r="O10" s="27">
        <v>69.182000000000002</v>
      </c>
      <c r="P10" s="27">
        <v>48.395000000000003</v>
      </c>
      <c r="Q10" s="27">
        <v>57.414999999999999</v>
      </c>
      <c r="R10" s="27">
        <v>75.823999999999998</v>
      </c>
      <c r="S10" s="27">
        <v>76.251999999999995</v>
      </c>
      <c r="T10" s="27">
        <v>39.828000000000003</v>
      </c>
      <c r="U10" s="27">
        <v>38.658000000000001</v>
      </c>
    </row>
    <row r="11" spans="1:21" ht="15" customHeight="1" outlineLevel="2">
      <c r="A11" s="28" t="s">
        <v>61</v>
      </c>
      <c r="B11" s="29">
        <v>34</v>
      </c>
      <c r="C11" s="29">
        <v>49</v>
      </c>
      <c r="D11" s="29">
        <v>44</v>
      </c>
      <c r="E11" s="29">
        <v>11</v>
      </c>
      <c r="F11" s="29">
        <v>9</v>
      </c>
      <c r="G11" s="29">
        <v>10</v>
      </c>
      <c r="H11" s="29">
        <v>6.5049999999999999</v>
      </c>
      <c r="I11" s="29">
        <v>22.847999999999999</v>
      </c>
      <c r="J11" s="29">
        <v>10.61</v>
      </c>
      <c r="K11" s="29">
        <v>26.007000000000001</v>
      </c>
      <c r="L11" s="29">
        <v>12.141999999999999</v>
      </c>
      <c r="M11" s="29">
        <v>4</v>
      </c>
      <c r="N11" s="29">
        <v>9</v>
      </c>
      <c r="O11" s="29">
        <v>15</v>
      </c>
      <c r="P11" s="29">
        <v>21.509</v>
      </c>
      <c r="Q11" s="29">
        <v>3.0019999999999998</v>
      </c>
      <c r="R11" s="30"/>
      <c r="S11" s="30"/>
      <c r="T11" s="29">
        <v>5.0229999999999997</v>
      </c>
      <c r="U11" s="29">
        <v>6.53</v>
      </c>
    </row>
    <row r="12" spans="1:21" ht="15" customHeight="1" outlineLevel="1">
      <c r="A12" s="31" t="s">
        <v>62</v>
      </c>
      <c r="B12" s="32">
        <v>72.524000000000001</v>
      </c>
      <c r="C12" s="32">
        <v>93.486999999999995</v>
      </c>
      <c r="D12" s="32">
        <v>93.341999999999999</v>
      </c>
      <c r="E12" s="32">
        <v>102.93300000000001</v>
      </c>
      <c r="F12" s="32">
        <v>59.865000000000002</v>
      </c>
      <c r="G12" s="32">
        <v>68.820999999999998</v>
      </c>
      <c r="H12" s="32">
        <v>70.912999999999997</v>
      </c>
      <c r="I12" s="32">
        <v>62.534999999999997</v>
      </c>
      <c r="J12" s="32">
        <v>59.591999999999999</v>
      </c>
      <c r="K12" s="32">
        <v>49.095999999999997</v>
      </c>
      <c r="L12" s="32">
        <v>67.260000000000005</v>
      </c>
      <c r="M12" s="32">
        <v>63.167000000000002</v>
      </c>
      <c r="N12" s="32">
        <v>57.034999999999997</v>
      </c>
      <c r="O12" s="32">
        <v>48.988</v>
      </c>
      <c r="P12" s="32">
        <v>37.392000000000003</v>
      </c>
      <c r="Q12" s="32">
        <v>23.687999999999999</v>
      </c>
      <c r="R12" s="32">
        <v>40.087000000000003</v>
      </c>
      <c r="S12" s="32">
        <v>39.965000000000003</v>
      </c>
      <c r="T12" s="32">
        <v>42.241999999999997</v>
      </c>
      <c r="U12" s="32">
        <v>35.116999999999997</v>
      </c>
    </row>
    <row r="13" spans="1:21" ht="15" customHeight="1" outlineLevel="2">
      <c r="A13" s="33" t="s">
        <v>63</v>
      </c>
      <c r="B13" s="25">
        <v>64.584999999999994</v>
      </c>
      <c r="C13" s="25">
        <v>93.21</v>
      </c>
      <c r="D13" s="25">
        <v>94.578999999999994</v>
      </c>
      <c r="E13" s="25">
        <v>81.191000000000003</v>
      </c>
      <c r="F13" s="25">
        <v>43.234999999999999</v>
      </c>
      <c r="G13" s="25">
        <v>64.224000000000004</v>
      </c>
      <c r="H13" s="25">
        <v>71.718999999999994</v>
      </c>
      <c r="I13" s="25">
        <v>61.161999999999999</v>
      </c>
      <c r="J13" s="25">
        <v>58.64</v>
      </c>
      <c r="K13" s="25">
        <v>49.914999999999999</v>
      </c>
      <c r="L13" s="25">
        <v>66.688999999999993</v>
      </c>
      <c r="M13" s="25">
        <v>60.753999999999998</v>
      </c>
      <c r="N13" s="25">
        <v>56.582000000000001</v>
      </c>
      <c r="O13" s="25">
        <v>49.942</v>
      </c>
      <c r="P13" s="25">
        <v>37.674999999999997</v>
      </c>
      <c r="Q13" s="25">
        <v>22.948</v>
      </c>
      <c r="R13" s="25">
        <v>40.192999999999998</v>
      </c>
      <c r="S13" s="25">
        <v>39.454999999999998</v>
      </c>
      <c r="T13" s="25">
        <v>40.61</v>
      </c>
      <c r="U13" s="25">
        <v>34.840000000000003</v>
      </c>
    </row>
    <row r="14" spans="1:21" ht="15" customHeight="1" outlineLevel="3">
      <c r="A14" s="34" t="s">
        <v>64</v>
      </c>
      <c r="B14" s="27">
        <v>64.584999999999994</v>
      </c>
      <c r="C14" s="27">
        <v>93.21</v>
      </c>
      <c r="D14" s="27">
        <v>94.578999999999994</v>
      </c>
      <c r="E14" s="27">
        <v>81.191000000000003</v>
      </c>
      <c r="F14" s="27">
        <v>43.234999999999999</v>
      </c>
      <c r="G14" s="27">
        <v>64.224000000000004</v>
      </c>
      <c r="H14" s="27">
        <v>71.718999999999994</v>
      </c>
      <c r="I14" s="27">
        <v>61.161999999999999</v>
      </c>
      <c r="J14" s="27">
        <v>58.64</v>
      </c>
      <c r="K14" s="27">
        <v>49.914999999999999</v>
      </c>
      <c r="L14" s="27">
        <v>66.688999999999993</v>
      </c>
      <c r="M14" s="27">
        <v>60.753999999999998</v>
      </c>
      <c r="N14" s="27">
        <v>56.582000000000001</v>
      </c>
      <c r="O14" s="27">
        <v>49.942</v>
      </c>
      <c r="P14" s="27">
        <v>37.674999999999997</v>
      </c>
      <c r="Q14" s="27">
        <v>22.948</v>
      </c>
      <c r="R14" s="27">
        <v>40.192999999999998</v>
      </c>
      <c r="S14" s="27">
        <v>39.454999999999998</v>
      </c>
      <c r="T14" s="27">
        <v>40.61</v>
      </c>
      <c r="U14" s="27">
        <v>34.840000000000003</v>
      </c>
    </row>
    <row r="15" spans="1:21" ht="15" customHeight="1" outlineLevel="2">
      <c r="A15" s="28" t="s">
        <v>65</v>
      </c>
      <c r="B15" s="29">
        <v>7.9390000000000001</v>
      </c>
      <c r="C15" s="29">
        <v>0.27700000000000002</v>
      </c>
      <c r="D15" s="35">
        <v>-1.2370000000000001</v>
      </c>
      <c r="E15" s="29">
        <v>21.742000000000001</v>
      </c>
      <c r="F15" s="29">
        <v>16.63</v>
      </c>
      <c r="G15" s="29">
        <v>4.5970000000000004</v>
      </c>
      <c r="H15" s="35">
        <v>-0.80600000000000005</v>
      </c>
      <c r="I15" s="29">
        <v>1.373</v>
      </c>
      <c r="J15" s="29">
        <v>0.95199999999999996</v>
      </c>
      <c r="K15" s="35">
        <v>-0.81899999999999995</v>
      </c>
      <c r="L15" s="29">
        <v>0.57099999999999995</v>
      </c>
      <c r="M15" s="29">
        <v>2.4129999999999998</v>
      </c>
      <c r="N15" s="29">
        <v>0.45300000000000001</v>
      </c>
      <c r="O15" s="35">
        <v>-0.95399999999999996</v>
      </c>
      <c r="P15" s="35">
        <v>-0.28299999999999997</v>
      </c>
      <c r="Q15" s="29">
        <v>0.74</v>
      </c>
      <c r="R15" s="35">
        <v>-0.106</v>
      </c>
      <c r="S15" s="29">
        <v>0.51</v>
      </c>
      <c r="T15" s="29">
        <v>1.6319999999999999</v>
      </c>
      <c r="U15" s="29">
        <v>0.27700000000000002</v>
      </c>
    </row>
    <row r="16" spans="1:21" ht="15" customHeight="1" outlineLevel="1">
      <c r="A16" s="31" t="s">
        <v>18</v>
      </c>
      <c r="B16" s="32">
        <v>112.14700000000001</v>
      </c>
      <c r="C16" s="32">
        <v>127.61799999999999</v>
      </c>
      <c r="D16" s="32">
        <v>115.679</v>
      </c>
      <c r="E16" s="32">
        <v>89.22</v>
      </c>
      <c r="F16" s="32">
        <v>67.707999999999998</v>
      </c>
      <c r="G16" s="32">
        <v>79.561999999999998</v>
      </c>
      <c r="H16" s="32">
        <v>67.605000000000004</v>
      </c>
      <c r="I16" s="32">
        <v>62.082999999999998</v>
      </c>
      <c r="J16" s="32">
        <v>53.546999999999997</v>
      </c>
      <c r="K16" s="32">
        <v>55.749000000000002</v>
      </c>
      <c r="L16" s="32">
        <v>50.433</v>
      </c>
      <c r="M16" s="32">
        <v>49.155000000000001</v>
      </c>
      <c r="N16" s="32">
        <v>47.426000000000002</v>
      </c>
      <c r="O16" s="32">
        <v>49.155999999999999</v>
      </c>
      <c r="P16" s="32">
        <v>39.268000000000001</v>
      </c>
      <c r="Q16" s="32">
        <v>31.067</v>
      </c>
      <c r="R16" s="32">
        <v>39.926000000000002</v>
      </c>
      <c r="S16" s="32">
        <v>35.229999999999997</v>
      </c>
      <c r="T16" s="32">
        <v>30.95</v>
      </c>
      <c r="U16" s="32">
        <v>26.306000000000001</v>
      </c>
    </row>
    <row r="17" spans="1:21" ht="15" customHeight="1" outlineLevel="2">
      <c r="A17" s="28" t="s">
        <v>66</v>
      </c>
      <c r="B17" s="29">
        <v>27.498000000000001</v>
      </c>
      <c r="C17" s="29">
        <v>24.132000000000001</v>
      </c>
      <c r="D17" s="29">
        <v>22.527999999999999</v>
      </c>
      <c r="E17" s="29">
        <v>16.925000000000001</v>
      </c>
      <c r="F17" s="29">
        <v>15.132999999999999</v>
      </c>
      <c r="G17" s="29">
        <v>16.95</v>
      </c>
      <c r="H17" s="29">
        <v>15.497999999999999</v>
      </c>
      <c r="I17" s="29">
        <v>15.879</v>
      </c>
      <c r="J17" s="29">
        <v>13.1</v>
      </c>
      <c r="K17" s="29">
        <v>13.148</v>
      </c>
      <c r="L17" s="29">
        <v>11.071999999999999</v>
      </c>
      <c r="M17" s="29">
        <v>10.438000000000001</v>
      </c>
      <c r="N17" s="29">
        <v>12.23</v>
      </c>
      <c r="O17" s="29">
        <v>12.010999999999999</v>
      </c>
      <c r="P17" s="29">
        <v>9.7430000000000003</v>
      </c>
      <c r="Q17" s="29">
        <v>9.8559999999999999</v>
      </c>
      <c r="R17" s="29">
        <v>13.599</v>
      </c>
      <c r="S17" s="29">
        <v>10.891999999999999</v>
      </c>
      <c r="T17" s="29">
        <v>8.077</v>
      </c>
      <c r="U17" s="29">
        <v>10.298999999999999</v>
      </c>
    </row>
    <row r="18" spans="1:21" ht="15" customHeight="1" outlineLevel="2">
      <c r="A18" s="26" t="s">
        <v>67</v>
      </c>
      <c r="B18" s="27">
        <v>22.321999999999999</v>
      </c>
      <c r="C18" s="27">
        <v>21.776</v>
      </c>
      <c r="D18" s="27">
        <v>22.041</v>
      </c>
      <c r="E18" s="27">
        <v>20.538</v>
      </c>
      <c r="F18" s="27">
        <v>14.157999999999999</v>
      </c>
      <c r="G18" s="27">
        <v>19.097000000000001</v>
      </c>
      <c r="H18" s="27">
        <v>19.512</v>
      </c>
      <c r="I18" s="27">
        <v>18.3</v>
      </c>
      <c r="J18" s="27">
        <v>16.925999999999998</v>
      </c>
      <c r="K18" s="27">
        <v>16.684000000000001</v>
      </c>
      <c r="L18" s="27">
        <v>14.955</v>
      </c>
      <c r="M18" s="27">
        <v>14.849</v>
      </c>
      <c r="N18" s="27">
        <v>13.327999999999999</v>
      </c>
      <c r="O18" s="27">
        <v>12.863</v>
      </c>
      <c r="P18" s="27">
        <v>8.8740000000000006</v>
      </c>
      <c r="Q18" s="27">
        <v>6.3760000000000003</v>
      </c>
      <c r="R18" s="27">
        <v>10.256</v>
      </c>
      <c r="S18" s="27">
        <v>10.637</v>
      </c>
      <c r="T18" s="27">
        <v>9.3550000000000004</v>
      </c>
      <c r="U18" s="27">
        <v>5.7869999999999999</v>
      </c>
    </row>
    <row r="19" spans="1:21" ht="15" customHeight="1" outlineLevel="2">
      <c r="A19" s="28" t="s">
        <v>68</v>
      </c>
      <c r="B19" s="29">
        <v>57.499000000000002</v>
      </c>
      <c r="C19" s="29">
        <v>74.156000000000006</v>
      </c>
      <c r="D19" s="29">
        <v>61.613</v>
      </c>
      <c r="E19" s="29">
        <v>43.856000000000002</v>
      </c>
      <c r="F19" s="29">
        <v>37.033000000000001</v>
      </c>
      <c r="G19" s="29">
        <v>36.838000000000001</v>
      </c>
      <c r="H19" s="29">
        <v>31.33</v>
      </c>
      <c r="I19" s="29">
        <v>26.120999999999999</v>
      </c>
      <c r="J19" s="29">
        <v>22.888000000000002</v>
      </c>
      <c r="K19" s="29">
        <v>25.111000000000001</v>
      </c>
      <c r="L19" s="29">
        <v>23.460999999999999</v>
      </c>
      <c r="M19" s="29">
        <v>23.355</v>
      </c>
      <c r="N19" s="29">
        <v>21.675999999999998</v>
      </c>
      <c r="O19" s="29">
        <v>23.242999999999999</v>
      </c>
      <c r="P19" s="29">
        <v>20.018000000000001</v>
      </c>
      <c r="Q19" s="29">
        <v>14.798</v>
      </c>
      <c r="R19" s="29">
        <v>15.818</v>
      </c>
      <c r="S19" s="29">
        <v>13.286</v>
      </c>
      <c r="T19" s="29">
        <v>13.378</v>
      </c>
      <c r="U19" s="29">
        <v>10.220000000000001</v>
      </c>
    </row>
    <row r="20" spans="1:21" ht="15" customHeight="1" outlineLevel="2">
      <c r="A20" s="26" t="s">
        <v>69</v>
      </c>
      <c r="B20" s="27">
        <v>4.8280000000000003</v>
      </c>
      <c r="C20" s="27">
        <v>7.5540000000000003</v>
      </c>
      <c r="D20" s="27">
        <v>9.4969999999999999</v>
      </c>
      <c r="E20" s="27">
        <v>7.9009999999999998</v>
      </c>
      <c r="F20" s="27">
        <v>1.3839999999999999</v>
      </c>
      <c r="G20" s="27">
        <v>6.6769999999999996</v>
      </c>
      <c r="H20" s="27">
        <v>1.2649999999999999</v>
      </c>
      <c r="I20" s="27">
        <v>1.7829999999999999</v>
      </c>
      <c r="J20" s="27">
        <v>0.63300000000000001</v>
      </c>
      <c r="K20" s="27">
        <v>0.80600000000000005</v>
      </c>
      <c r="L20" s="27">
        <v>0.94499999999999995</v>
      </c>
      <c r="M20" s="27">
        <v>0.51300000000000001</v>
      </c>
      <c r="N20" s="27">
        <v>0.192</v>
      </c>
      <c r="O20" s="27">
        <v>1.0389999999999999</v>
      </c>
      <c r="P20" s="27">
        <v>0.63300000000000001</v>
      </c>
      <c r="Q20" s="27">
        <v>3.6999999999999998E-2</v>
      </c>
      <c r="R20" s="27">
        <v>0.253</v>
      </c>
      <c r="S20" s="27">
        <v>0.41499999999999998</v>
      </c>
      <c r="T20" s="27">
        <v>0.14000000000000001</v>
      </c>
      <c r="U20" s="27">
        <v>0</v>
      </c>
    </row>
    <row r="21" spans="1:21" ht="15" customHeight="1" outlineLevel="1">
      <c r="A21" s="24" t="s">
        <v>31</v>
      </c>
      <c r="B21" s="25">
        <v>1.929</v>
      </c>
      <c r="C21" s="25">
        <v>1.5309999999999999</v>
      </c>
      <c r="D21" s="25">
        <v>1.0649999999999999</v>
      </c>
      <c r="E21" s="25">
        <v>1.194</v>
      </c>
      <c r="F21" s="25">
        <v>0.76600000000000001</v>
      </c>
      <c r="G21" s="25">
        <v>0.83499999999999996</v>
      </c>
      <c r="H21" s="25">
        <v>5.516</v>
      </c>
      <c r="I21" s="25">
        <v>1.833</v>
      </c>
      <c r="J21" s="25">
        <v>2.298</v>
      </c>
      <c r="K21" s="25">
        <v>2.2810000000000001</v>
      </c>
      <c r="L21" s="25">
        <v>1.915</v>
      </c>
      <c r="M21" s="25">
        <v>0.72899999999999998</v>
      </c>
      <c r="N21" s="25">
        <v>0.66300000000000003</v>
      </c>
      <c r="O21" s="25">
        <v>0.77600000000000002</v>
      </c>
      <c r="P21" s="25">
        <v>0.65</v>
      </c>
      <c r="Q21" s="25">
        <v>2.2250000000000001</v>
      </c>
      <c r="R21" s="25">
        <v>1.585</v>
      </c>
      <c r="S21" s="25">
        <v>1.643</v>
      </c>
      <c r="T21" s="25">
        <v>0.2</v>
      </c>
      <c r="U21" s="25">
        <v>0.28999999999999998</v>
      </c>
    </row>
    <row r="22" spans="1:21" ht="15" customHeight="1" outlineLevel="2">
      <c r="A22" s="26" t="s">
        <v>70</v>
      </c>
      <c r="B22" s="27">
        <v>1.929</v>
      </c>
      <c r="C22" s="27">
        <v>1.5309999999999999</v>
      </c>
      <c r="D22" s="27">
        <v>1.0649999999999999</v>
      </c>
      <c r="E22" s="27">
        <v>1.194</v>
      </c>
      <c r="F22" s="27">
        <v>0.76600000000000001</v>
      </c>
      <c r="G22" s="27">
        <v>0.83499999999999996</v>
      </c>
      <c r="H22" s="27">
        <v>4.3460000000000001</v>
      </c>
      <c r="I22" s="27">
        <v>0.81799999999999995</v>
      </c>
      <c r="J22" s="27">
        <v>0.80200000000000005</v>
      </c>
      <c r="K22" s="27">
        <v>0.92800000000000005</v>
      </c>
      <c r="L22" s="27">
        <v>0.871</v>
      </c>
      <c r="M22" s="27">
        <v>0.72899999999999998</v>
      </c>
      <c r="N22" s="27">
        <v>0.66300000000000003</v>
      </c>
      <c r="O22" s="27">
        <v>0.77600000000000002</v>
      </c>
      <c r="P22" s="27">
        <v>0.65</v>
      </c>
      <c r="Q22" s="27">
        <v>0.50800000000000001</v>
      </c>
      <c r="R22" s="27">
        <v>0.47</v>
      </c>
      <c r="S22" s="27">
        <v>0.27</v>
      </c>
      <c r="T22" s="27">
        <v>0.2</v>
      </c>
      <c r="U22" s="27">
        <v>0.28999999999999998</v>
      </c>
    </row>
    <row r="23" spans="1:21" ht="15" customHeight="1" outlineLevel="2">
      <c r="A23" s="28" t="s">
        <v>71</v>
      </c>
      <c r="B23" s="30"/>
      <c r="C23" s="30"/>
      <c r="D23" s="30"/>
      <c r="E23" s="30"/>
      <c r="F23" s="30"/>
      <c r="G23" s="30"/>
      <c r="H23" s="29">
        <v>1.17</v>
      </c>
      <c r="I23" s="29">
        <v>1.0149999999999999</v>
      </c>
      <c r="J23" s="29">
        <v>1.496</v>
      </c>
      <c r="K23" s="29">
        <v>1.353</v>
      </c>
      <c r="L23" s="29">
        <v>1.044</v>
      </c>
      <c r="M23" s="29">
        <v>0</v>
      </c>
      <c r="N23" s="29">
        <v>0</v>
      </c>
      <c r="O23" s="29">
        <v>0</v>
      </c>
      <c r="P23" s="29">
        <v>0</v>
      </c>
      <c r="Q23" s="29">
        <v>1.7170000000000001</v>
      </c>
      <c r="R23" s="29">
        <v>1.115</v>
      </c>
      <c r="S23" s="29">
        <v>1.373</v>
      </c>
      <c r="T23" s="29">
        <v>0</v>
      </c>
      <c r="U23" s="29">
        <v>0</v>
      </c>
    </row>
    <row r="24" spans="1:21" ht="15" customHeight="1" outlineLevel="1">
      <c r="A24" s="36" t="s">
        <v>1</v>
      </c>
      <c r="B24" s="27">
        <v>327.97</v>
      </c>
      <c r="C24" s="27">
        <v>382.67</v>
      </c>
      <c r="D24" s="27">
        <v>367.98700000000002</v>
      </c>
      <c r="E24" s="27">
        <v>313.79899999999998</v>
      </c>
      <c r="F24" s="27">
        <v>242.19900000000001</v>
      </c>
      <c r="G24" s="27">
        <v>266.75799999999998</v>
      </c>
      <c r="H24" s="27">
        <v>279.13499999999999</v>
      </c>
      <c r="I24" s="27">
        <v>252.68899999999999</v>
      </c>
      <c r="J24" s="27">
        <v>247.03899999999999</v>
      </c>
      <c r="K24" s="27">
        <v>234.20699999999999</v>
      </c>
      <c r="L24" s="27">
        <v>228.42400000000001</v>
      </c>
      <c r="M24" s="27">
        <v>214.66499999999999</v>
      </c>
      <c r="N24" s="27">
        <v>199.46</v>
      </c>
      <c r="O24" s="27">
        <v>183.102</v>
      </c>
      <c r="P24" s="27">
        <v>147.214</v>
      </c>
      <c r="Q24" s="27">
        <v>117.39700000000001</v>
      </c>
      <c r="R24" s="27">
        <v>157.422</v>
      </c>
      <c r="S24" s="27">
        <v>153.09</v>
      </c>
      <c r="T24" s="27">
        <v>118.24299999999999</v>
      </c>
      <c r="U24" s="27">
        <v>106.901</v>
      </c>
    </row>
    <row r="25" spans="1:21" ht="15" customHeight="1" outlineLevel="1">
      <c r="A25" s="24" t="s">
        <v>72</v>
      </c>
      <c r="B25" s="25">
        <v>139.77000000000001</v>
      </c>
      <c r="C25" s="25">
        <v>102.657</v>
      </c>
      <c r="D25" s="25">
        <v>81.06</v>
      </c>
      <c r="E25" s="25">
        <v>81.114999999999995</v>
      </c>
      <c r="F25" s="25">
        <v>83.974999999999994</v>
      </c>
      <c r="G25" s="25">
        <v>73.497</v>
      </c>
      <c r="H25" s="25">
        <v>69.129000000000005</v>
      </c>
      <c r="I25" s="25">
        <v>66.736999999999995</v>
      </c>
      <c r="J25" s="25">
        <v>56.948999999999998</v>
      </c>
      <c r="K25" s="25">
        <v>47.938000000000002</v>
      </c>
      <c r="L25" s="25">
        <v>47.927</v>
      </c>
      <c r="M25" s="25">
        <v>39.485999999999997</v>
      </c>
      <c r="N25" s="25">
        <v>38.838999999999999</v>
      </c>
      <c r="O25" s="25">
        <v>41.686999999999998</v>
      </c>
      <c r="P25" s="25">
        <v>31.657</v>
      </c>
      <c r="Q25" s="25">
        <v>32.405000000000001</v>
      </c>
      <c r="R25" s="25">
        <v>36.463999999999999</v>
      </c>
      <c r="S25" s="25">
        <v>35.243000000000002</v>
      </c>
      <c r="T25" s="25">
        <v>29.608000000000001</v>
      </c>
      <c r="U25" s="25">
        <v>30.73</v>
      </c>
    </row>
    <row r="26" spans="1:21" ht="15" customHeight="1" outlineLevel="2">
      <c r="A26" s="37" t="s">
        <v>73</v>
      </c>
      <c r="B26" s="32">
        <v>261.02800000000002</v>
      </c>
      <c r="C26" s="32">
        <v>216.648</v>
      </c>
      <c r="D26" s="32">
        <v>188.53299999999999</v>
      </c>
      <c r="E26" s="32">
        <v>182.91499999999999</v>
      </c>
      <c r="F26" s="32">
        <v>178.24199999999999</v>
      </c>
      <c r="G26" s="32">
        <v>162.07300000000001</v>
      </c>
      <c r="H26" s="32">
        <v>151.75200000000001</v>
      </c>
      <c r="I26" s="32">
        <v>146.15299999999999</v>
      </c>
      <c r="J26" s="32">
        <v>131.99</v>
      </c>
      <c r="K26" s="32">
        <v>118.666</v>
      </c>
      <c r="L26" s="32">
        <v>115.825</v>
      </c>
      <c r="M26" s="32">
        <v>104.139</v>
      </c>
      <c r="N26" s="32">
        <v>100.31</v>
      </c>
      <c r="O26" s="32">
        <v>98.561000000000007</v>
      </c>
      <c r="P26" s="32">
        <v>83.659000000000006</v>
      </c>
      <c r="Q26" s="32">
        <v>81.129000000000005</v>
      </c>
      <c r="R26" s="32">
        <v>80.900999999999996</v>
      </c>
      <c r="S26" s="32">
        <v>76.831000000000003</v>
      </c>
      <c r="T26" s="32">
        <v>68.747</v>
      </c>
      <c r="U26" s="32">
        <v>66.796999999999997</v>
      </c>
    </row>
    <row r="27" spans="1:21" ht="15" customHeight="1" outlineLevel="3">
      <c r="A27" s="38" t="s">
        <v>74</v>
      </c>
      <c r="B27" s="29">
        <v>120.899</v>
      </c>
      <c r="C27" s="29">
        <v>90.159000000000006</v>
      </c>
      <c r="D27" s="29">
        <v>88.305999999999997</v>
      </c>
      <c r="E27" s="29">
        <v>86.945999999999998</v>
      </c>
      <c r="F27" s="29">
        <v>85.438000000000002</v>
      </c>
      <c r="G27" s="29">
        <v>70.346999999999994</v>
      </c>
      <c r="H27" s="29">
        <v>69.061000000000007</v>
      </c>
      <c r="I27" s="29">
        <v>68.290000000000006</v>
      </c>
      <c r="J27" s="29">
        <v>55.253</v>
      </c>
      <c r="K27" s="29">
        <v>52.645000000000003</v>
      </c>
      <c r="L27" s="29">
        <v>52.529000000000003</v>
      </c>
      <c r="M27" s="29">
        <v>43.594000000000001</v>
      </c>
      <c r="N27" s="29">
        <v>43.655999999999999</v>
      </c>
      <c r="O27" s="29">
        <v>43.741999999999997</v>
      </c>
      <c r="P27" s="29">
        <v>32.448999999999998</v>
      </c>
      <c r="Q27" s="29">
        <v>32.121000000000002</v>
      </c>
      <c r="R27" s="29">
        <v>32.097999999999999</v>
      </c>
      <c r="S27" s="29">
        <v>30.195</v>
      </c>
      <c r="T27" s="29">
        <v>30.001999999999999</v>
      </c>
      <c r="U27" s="29">
        <v>29.170999999999999</v>
      </c>
    </row>
    <row r="28" spans="1:21" ht="15" customHeight="1" outlineLevel="3">
      <c r="A28" s="34" t="s">
        <v>75</v>
      </c>
      <c r="B28" s="27">
        <v>68.266999999999996</v>
      </c>
      <c r="C28" s="27">
        <v>59.564999999999998</v>
      </c>
      <c r="D28" s="27">
        <v>57.097000000000001</v>
      </c>
      <c r="E28" s="27">
        <v>56.341000000000001</v>
      </c>
      <c r="F28" s="27">
        <v>53.545000000000002</v>
      </c>
      <c r="G28" s="27">
        <v>51.332999999999998</v>
      </c>
      <c r="H28" s="27">
        <v>51.564</v>
      </c>
      <c r="I28" s="27">
        <v>47.432000000000002</v>
      </c>
      <c r="J28" s="27">
        <v>41.085999999999999</v>
      </c>
      <c r="K28" s="27">
        <v>40.057000000000002</v>
      </c>
      <c r="L28" s="27">
        <v>39.103999999999999</v>
      </c>
      <c r="M28" s="27">
        <v>36.984999999999999</v>
      </c>
      <c r="N28" s="27">
        <v>33.671999999999997</v>
      </c>
      <c r="O28" s="27">
        <v>32.319000000000003</v>
      </c>
      <c r="P28" s="27">
        <v>31.100999999999999</v>
      </c>
      <c r="Q28" s="27">
        <v>30.562000000000001</v>
      </c>
      <c r="R28" s="27">
        <v>29.594999999999999</v>
      </c>
      <c r="S28" s="27">
        <v>23.343</v>
      </c>
      <c r="T28" s="27">
        <v>21.504999999999999</v>
      </c>
      <c r="U28" s="27">
        <v>20.937000000000001</v>
      </c>
    </row>
    <row r="29" spans="1:21" ht="15" customHeight="1" outlineLevel="3">
      <c r="A29" s="38" t="s">
        <v>76</v>
      </c>
      <c r="B29" s="29">
        <v>16.917000000000002</v>
      </c>
      <c r="C29" s="29">
        <v>20.024999999999999</v>
      </c>
      <c r="D29" s="29">
        <v>1.726</v>
      </c>
      <c r="E29" s="29">
        <v>0.65400000000000003</v>
      </c>
      <c r="F29" s="29">
        <v>1.5029999999999999</v>
      </c>
      <c r="G29" s="29">
        <v>5.1470000000000002</v>
      </c>
      <c r="H29" s="30"/>
      <c r="I29" s="30"/>
      <c r="J29" s="29">
        <v>8.8450000000000006</v>
      </c>
      <c r="K29" s="29">
        <v>0.41899999999999998</v>
      </c>
      <c r="L29" s="29">
        <v>1.2999999999999999E-2</v>
      </c>
      <c r="M29" s="29">
        <v>0.26800000000000002</v>
      </c>
      <c r="N29" s="29">
        <v>2.7E-2</v>
      </c>
      <c r="O29" s="29">
        <v>8.0000000000000002E-3</v>
      </c>
      <c r="P29" s="29">
        <v>0</v>
      </c>
      <c r="Q29" s="29">
        <v>0</v>
      </c>
      <c r="R29" s="29">
        <v>0.255</v>
      </c>
      <c r="S29" s="29">
        <v>4.843</v>
      </c>
      <c r="T29" s="29">
        <v>0.14099999999999999</v>
      </c>
      <c r="U29" s="29">
        <v>0.15</v>
      </c>
    </row>
    <row r="30" spans="1:21" ht="15" customHeight="1" outlineLevel="3">
      <c r="A30" s="34" t="s">
        <v>77</v>
      </c>
      <c r="B30" s="27">
        <v>54.945</v>
      </c>
      <c r="C30" s="27">
        <v>46.899000000000001</v>
      </c>
      <c r="D30" s="27">
        <v>41.404000000000003</v>
      </c>
      <c r="E30" s="27">
        <v>38.973999999999997</v>
      </c>
      <c r="F30" s="27">
        <v>37.756</v>
      </c>
      <c r="G30" s="27">
        <v>35.246000000000002</v>
      </c>
      <c r="H30" s="27">
        <v>31.126999999999999</v>
      </c>
      <c r="I30" s="27">
        <v>30.431000000000001</v>
      </c>
      <c r="J30" s="27">
        <v>26.806000000000001</v>
      </c>
      <c r="K30" s="27">
        <v>25.545000000000002</v>
      </c>
      <c r="L30" s="27">
        <v>24.178999999999998</v>
      </c>
      <c r="M30" s="27">
        <v>23.292000000000002</v>
      </c>
      <c r="N30" s="27">
        <v>22.954999999999998</v>
      </c>
      <c r="O30" s="27">
        <v>22.492000000000001</v>
      </c>
      <c r="P30" s="27">
        <v>20.109000000000002</v>
      </c>
      <c r="Q30" s="27">
        <v>18.446000000000002</v>
      </c>
      <c r="R30" s="27">
        <v>18.952999999999999</v>
      </c>
      <c r="S30" s="27">
        <v>18.45</v>
      </c>
      <c r="T30" s="27">
        <v>17.099</v>
      </c>
      <c r="U30" s="27">
        <v>16.539000000000001</v>
      </c>
    </row>
    <row r="31" spans="1:21" ht="15" customHeight="1" outlineLevel="2">
      <c r="A31" s="33" t="s">
        <v>78</v>
      </c>
      <c r="B31" s="25">
        <v>121.258</v>
      </c>
      <c r="C31" s="25">
        <v>113.991</v>
      </c>
      <c r="D31" s="25">
        <v>107.473</v>
      </c>
      <c r="E31" s="25">
        <v>101.8</v>
      </c>
      <c r="F31" s="25">
        <v>94.266999999999996</v>
      </c>
      <c r="G31" s="25">
        <v>88.575999999999993</v>
      </c>
      <c r="H31" s="25">
        <v>82.623000000000005</v>
      </c>
      <c r="I31" s="25">
        <v>79.415999999999997</v>
      </c>
      <c r="J31" s="25">
        <v>75.040999999999997</v>
      </c>
      <c r="K31" s="25">
        <v>70.727999999999994</v>
      </c>
      <c r="L31" s="25">
        <v>67.897999999999996</v>
      </c>
      <c r="M31" s="25">
        <v>64.653000000000006</v>
      </c>
      <c r="N31" s="25">
        <v>61.470999999999997</v>
      </c>
      <c r="O31" s="25">
        <v>56.874000000000002</v>
      </c>
      <c r="P31" s="25">
        <v>52.002000000000002</v>
      </c>
      <c r="Q31" s="25">
        <v>48.723999999999997</v>
      </c>
      <c r="R31" s="25">
        <v>44.436999999999998</v>
      </c>
      <c r="S31" s="25">
        <v>41.588000000000001</v>
      </c>
      <c r="T31" s="25">
        <v>39.139000000000003</v>
      </c>
      <c r="U31" s="25">
        <v>36.067</v>
      </c>
    </row>
    <row r="32" spans="1:21" ht="15" customHeight="1" outlineLevel="3">
      <c r="A32" s="34" t="s">
        <v>74</v>
      </c>
      <c r="B32" s="27">
        <v>39.201999999999998</v>
      </c>
      <c r="C32" s="27">
        <v>37.305</v>
      </c>
      <c r="D32" s="27">
        <v>35.902000000000001</v>
      </c>
      <c r="E32" s="27">
        <v>33.57</v>
      </c>
      <c r="F32" s="27">
        <v>30.861999999999998</v>
      </c>
      <c r="G32" s="27">
        <v>28.984000000000002</v>
      </c>
      <c r="H32" s="27">
        <v>26.992000000000001</v>
      </c>
      <c r="I32" s="27">
        <v>24.96</v>
      </c>
      <c r="J32" s="27">
        <v>23.696000000000002</v>
      </c>
      <c r="K32" s="27">
        <v>22.167000000000002</v>
      </c>
      <c r="L32" s="27">
        <v>20.321999999999999</v>
      </c>
      <c r="M32" s="27">
        <v>18.702000000000002</v>
      </c>
      <c r="N32" s="27">
        <v>17.186</v>
      </c>
      <c r="O32" s="27">
        <v>15.656000000000001</v>
      </c>
      <c r="P32" s="27">
        <v>14.351000000000001</v>
      </c>
      <c r="Q32" s="27">
        <v>13.125999999999999</v>
      </c>
      <c r="R32" s="27">
        <v>11.868</v>
      </c>
      <c r="S32" s="27">
        <v>10.608000000000001</v>
      </c>
      <c r="T32" s="27">
        <v>9.4149999999999991</v>
      </c>
      <c r="U32" s="27">
        <v>8.2439999999999998</v>
      </c>
    </row>
    <row r="33" spans="1:21" ht="15" customHeight="1" outlineLevel="3">
      <c r="A33" s="38" t="s">
        <v>75</v>
      </c>
      <c r="B33" s="29">
        <v>49.154000000000003</v>
      </c>
      <c r="C33" s="29">
        <v>45.762999999999998</v>
      </c>
      <c r="D33" s="29">
        <v>42.997999999999998</v>
      </c>
      <c r="E33" s="29">
        <v>41.146999999999998</v>
      </c>
      <c r="F33" s="29">
        <v>38.639000000000003</v>
      </c>
      <c r="G33" s="29">
        <v>37.231000000000002</v>
      </c>
      <c r="H33" s="29">
        <v>35.645000000000003</v>
      </c>
      <c r="I33" s="29">
        <v>34.302</v>
      </c>
      <c r="J33" s="29">
        <v>32.412999999999997</v>
      </c>
      <c r="K33" s="29">
        <v>30.628</v>
      </c>
      <c r="L33" s="29">
        <v>30.773</v>
      </c>
      <c r="M33" s="29">
        <v>29.420999999999999</v>
      </c>
      <c r="N33" s="29">
        <v>27.844999999999999</v>
      </c>
      <c r="O33" s="29">
        <v>25.44</v>
      </c>
      <c r="P33" s="29">
        <v>22.959</v>
      </c>
      <c r="Q33" s="29">
        <v>20.923999999999999</v>
      </c>
      <c r="R33" s="29">
        <v>18.526</v>
      </c>
      <c r="S33" s="29">
        <v>17.16</v>
      </c>
      <c r="T33" s="29">
        <v>16.352</v>
      </c>
      <c r="U33" s="29">
        <v>14.923999999999999</v>
      </c>
    </row>
    <row r="34" spans="1:21" ht="15" customHeight="1" outlineLevel="3">
      <c r="A34" s="34" t="s">
        <v>76</v>
      </c>
      <c r="B34" s="27">
        <v>0</v>
      </c>
      <c r="C34" s="39">
        <v>-1E-3</v>
      </c>
      <c r="D34" s="27">
        <v>0</v>
      </c>
      <c r="E34" s="40"/>
      <c r="F34" s="40"/>
      <c r="G34" s="27">
        <v>0</v>
      </c>
      <c r="H34" s="40"/>
      <c r="I34" s="40"/>
      <c r="J34" s="27">
        <v>0</v>
      </c>
      <c r="K34" s="40"/>
      <c r="L34" s="40"/>
      <c r="M34" s="40"/>
      <c r="N34" s="40"/>
      <c r="O34" s="40"/>
      <c r="P34" s="40"/>
      <c r="Q34" s="40"/>
      <c r="R34" s="40"/>
      <c r="S34" s="40"/>
      <c r="T34" s="40"/>
      <c r="U34" s="40"/>
    </row>
    <row r="35" spans="1:21" ht="15" customHeight="1" outlineLevel="3">
      <c r="A35" s="38" t="s">
        <v>77</v>
      </c>
      <c r="B35" s="29">
        <v>32.902000000000001</v>
      </c>
      <c r="C35" s="29">
        <v>30.923999999999999</v>
      </c>
      <c r="D35" s="29">
        <v>28.573</v>
      </c>
      <c r="E35" s="29">
        <v>27.082999999999998</v>
      </c>
      <c r="F35" s="29">
        <v>24.765999999999998</v>
      </c>
      <c r="G35" s="29">
        <v>22.361000000000001</v>
      </c>
      <c r="H35" s="29">
        <v>19.986000000000001</v>
      </c>
      <c r="I35" s="29">
        <v>20.154</v>
      </c>
      <c r="J35" s="29">
        <v>18.931999999999999</v>
      </c>
      <c r="K35" s="29">
        <v>17.933</v>
      </c>
      <c r="L35" s="29">
        <v>16.803000000000001</v>
      </c>
      <c r="M35" s="29">
        <v>16.53</v>
      </c>
      <c r="N35" s="29">
        <v>16.440000000000001</v>
      </c>
      <c r="O35" s="29">
        <v>15.778</v>
      </c>
      <c r="P35" s="29">
        <v>14.692</v>
      </c>
      <c r="Q35" s="29">
        <v>14.673999999999999</v>
      </c>
      <c r="R35" s="29">
        <v>14.042999999999999</v>
      </c>
      <c r="S35" s="29">
        <v>13.82</v>
      </c>
      <c r="T35" s="29">
        <v>13.372</v>
      </c>
      <c r="U35" s="29">
        <v>12.898999999999999</v>
      </c>
    </row>
    <row r="36" spans="1:21" ht="15" customHeight="1" outlineLevel="1">
      <c r="A36" s="31" t="s">
        <v>79</v>
      </c>
      <c r="B36" s="32">
        <v>3.101</v>
      </c>
      <c r="C36" s="32">
        <v>7.2649999999999997</v>
      </c>
      <c r="D36" s="32">
        <v>5.6390000000000002</v>
      </c>
      <c r="E36" s="32">
        <v>6.2850000000000001</v>
      </c>
      <c r="F36" s="32">
        <v>6.8630000000000004</v>
      </c>
      <c r="G36" s="32">
        <v>4.9880000000000004</v>
      </c>
      <c r="H36" s="32">
        <v>2.1349999999999998</v>
      </c>
      <c r="I36" s="32">
        <v>7.5469999999999997</v>
      </c>
      <c r="J36" s="32">
        <v>1.897</v>
      </c>
      <c r="K36" s="32">
        <v>2.4740000000000002</v>
      </c>
      <c r="L36" s="32">
        <v>2.0099999999999998</v>
      </c>
      <c r="M36" s="32">
        <v>1.0329999999999999</v>
      </c>
      <c r="N36" s="32">
        <v>1.544</v>
      </c>
      <c r="O36" s="32">
        <v>2.11</v>
      </c>
      <c r="P36" s="32">
        <v>1.879</v>
      </c>
      <c r="Q36" s="32">
        <v>0.44500000000000001</v>
      </c>
      <c r="R36" s="32">
        <v>0.79800000000000004</v>
      </c>
      <c r="S36" s="32">
        <v>0.90600000000000003</v>
      </c>
      <c r="T36" s="32">
        <v>2.27</v>
      </c>
      <c r="U36" s="32">
        <v>0.73699999999999999</v>
      </c>
    </row>
    <row r="37" spans="1:21" ht="15" customHeight="1" outlineLevel="2">
      <c r="A37" s="28" t="s">
        <v>80</v>
      </c>
      <c r="B37" s="29">
        <v>0</v>
      </c>
      <c r="C37" s="29">
        <v>0</v>
      </c>
      <c r="D37" s="29">
        <v>0</v>
      </c>
      <c r="E37" s="29">
        <v>0</v>
      </c>
      <c r="F37" s="29">
        <v>0</v>
      </c>
      <c r="G37" s="29">
        <v>0</v>
      </c>
      <c r="H37" s="29">
        <v>0</v>
      </c>
      <c r="I37" s="29">
        <v>1.073</v>
      </c>
      <c r="J37" s="29">
        <v>1.012</v>
      </c>
      <c r="K37" s="29">
        <v>0.999</v>
      </c>
      <c r="L37" s="29">
        <v>0.92700000000000005</v>
      </c>
      <c r="M37" s="29">
        <v>0</v>
      </c>
      <c r="N37" s="29">
        <v>0</v>
      </c>
      <c r="O37" s="29">
        <v>0</v>
      </c>
      <c r="P37" s="29">
        <v>0</v>
      </c>
      <c r="Q37" s="29">
        <v>0</v>
      </c>
      <c r="R37" s="29">
        <v>0</v>
      </c>
      <c r="S37" s="29">
        <v>0</v>
      </c>
      <c r="T37" s="29">
        <v>0</v>
      </c>
      <c r="U37" s="29">
        <v>0</v>
      </c>
    </row>
    <row r="38" spans="1:21" ht="15" customHeight="1" outlineLevel="2">
      <c r="A38" s="26" t="s">
        <v>81</v>
      </c>
      <c r="B38" s="27">
        <v>7.0000000000000001E-3</v>
      </c>
      <c r="C38" s="27">
        <v>3.0049999999999999</v>
      </c>
      <c r="D38" s="27">
        <v>5.0000000000000001E-3</v>
      </c>
      <c r="E38" s="27">
        <v>1.0049999999999999</v>
      </c>
      <c r="F38" s="27">
        <v>3.0049999999999999</v>
      </c>
      <c r="G38" s="27">
        <v>3.0049999999999999</v>
      </c>
      <c r="H38" s="27">
        <v>5.0000000000000001E-3</v>
      </c>
      <c r="I38" s="27">
        <v>5.0060000000000002</v>
      </c>
      <c r="J38" s="27">
        <v>5.0000000000000001E-3</v>
      </c>
      <c r="K38" s="27">
        <v>5.0000000000000001E-3</v>
      </c>
      <c r="L38" s="27">
        <v>5.0000000000000001E-3</v>
      </c>
      <c r="M38" s="27">
        <v>0</v>
      </c>
      <c r="N38" s="27">
        <v>0</v>
      </c>
      <c r="O38" s="27">
        <v>0</v>
      </c>
      <c r="P38" s="27">
        <v>0</v>
      </c>
      <c r="Q38" s="27">
        <v>0</v>
      </c>
      <c r="R38" s="27">
        <v>0.106</v>
      </c>
      <c r="S38" s="27">
        <v>0.308</v>
      </c>
      <c r="T38" s="27">
        <v>1.006</v>
      </c>
      <c r="U38" s="27">
        <v>0.106</v>
      </c>
    </row>
    <row r="39" spans="1:21" ht="15" customHeight="1" outlineLevel="2">
      <c r="A39" s="28" t="s">
        <v>82</v>
      </c>
      <c r="B39" s="29">
        <v>3.0939999999999999</v>
      </c>
      <c r="C39" s="29">
        <v>4.26</v>
      </c>
      <c r="D39" s="29">
        <v>5.6340000000000003</v>
      </c>
      <c r="E39" s="29">
        <v>5.28</v>
      </c>
      <c r="F39" s="29">
        <v>3.8580000000000001</v>
      </c>
      <c r="G39" s="29">
        <v>1.9830000000000001</v>
      </c>
      <c r="H39" s="29">
        <v>2.13</v>
      </c>
      <c r="I39" s="29">
        <v>1.468</v>
      </c>
      <c r="J39" s="29">
        <v>0.88</v>
      </c>
      <c r="K39" s="29">
        <v>1.47</v>
      </c>
      <c r="L39" s="29">
        <v>1.0780000000000001</v>
      </c>
      <c r="M39" s="29">
        <v>1.0329999999999999</v>
      </c>
      <c r="N39" s="29">
        <v>1.544</v>
      </c>
      <c r="O39" s="29">
        <v>2.11</v>
      </c>
      <c r="P39" s="29">
        <v>1.879</v>
      </c>
      <c r="Q39" s="29">
        <v>0.44500000000000001</v>
      </c>
      <c r="R39" s="29">
        <v>0.69199999999999995</v>
      </c>
      <c r="S39" s="29">
        <v>0.59799999999999998</v>
      </c>
      <c r="T39" s="29">
        <v>1.264</v>
      </c>
      <c r="U39" s="29">
        <v>0.63100000000000001</v>
      </c>
    </row>
    <row r="40" spans="1:21" ht="15" customHeight="1" outlineLevel="1">
      <c r="A40" s="31" t="s">
        <v>83</v>
      </c>
      <c r="B40" s="32">
        <v>8.7140000000000004</v>
      </c>
      <c r="C40" s="32">
        <v>8.9990000000000006</v>
      </c>
      <c r="D40" s="32">
        <v>9.6010000000000009</v>
      </c>
      <c r="E40" s="32">
        <v>10.297000000000001</v>
      </c>
      <c r="F40" s="32">
        <v>11.223000000000001</v>
      </c>
      <c r="G40" s="32">
        <v>11.664999999999999</v>
      </c>
      <c r="H40" s="32">
        <v>12.327</v>
      </c>
      <c r="I40" s="32">
        <v>1.754</v>
      </c>
      <c r="J40" s="32">
        <v>1.462</v>
      </c>
      <c r="K40" s="32">
        <v>1.1870000000000001</v>
      </c>
      <c r="L40" s="32">
        <v>1.4570000000000001</v>
      </c>
      <c r="M40" s="32">
        <v>0.92200000000000004</v>
      </c>
      <c r="N40" s="32">
        <v>0.77400000000000002</v>
      </c>
      <c r="O40" s="32">
        <v>1.296</v>
      </c>
      <c r="P40" s="32">
        <v>1.446</v>
      </c>
      <c r="Q40" s="32">
        <v>1.038</v>
      </c>
      <c r="R40" s="32">
        <v>1.345</v>
      </c>
      <c r="S40" s="32">
        <v>1.7589999999999999</v>
      </c>
      <c r="T40" s="32">
        <v>2.0259999999999998</v>
      </c>
      <c r="U40" s="32">
        <v>1.165</v>
      </c>
    </row>
    <row r="41" spans="1:21" ht="15" customHeight="1" outlineLevel="2">
      <c r="A41" s="28" t="s">
        <v>19</v>
      </c>
      <c r="B41" s="29">
        <v>6.0960000000000001</v>
      </c>
      <c r="C41" s="29">
        <v>6.0960000000000001</v>
      </c>
      <c r="D41" s="29">
        <v>6.0960000000000001</v>
      </c>
      <c r="E41" s="29">
        <v>6.0960000000000001</v>
      </c>
      <c r="F41" s="29">
        <v>6.0960000000000001</v>
      </c>
      <c r="G41" s="29">
        <v>6.0960000000000001</v>
      </c>
      <c r="H41" s="29">
        <v>6.0960000000000001</v>
      </c>
      <c r="I41" s="29">
        <v>0</v>
      </c>
      <c r="J41" s="29">
        <v>0</v>
      </c>
      <c r="K41" s="29">
        <v>0</v>
      </c>
      <c r="L41" s="29">
        <v>0</v>
      </c>
      <c r="M41" s="29">
        <v>0</v>
      </c>
      <c r="N41" s="29">
        <v>0</v>
      </c>
      <c r="O41" s="29">
        <v>0</v>
      </c>
      <c r="P41" s="29">
        <v>0</v>
      </c>
      <c r="Q41" s="29">
        <v>0</v>
      </c>
      <c r="R41" s="29">
        <v>0</v>
      </c>
      <c r="S41" s="29">
        <v>0</v>
      </c>
      <c r="T41" s="29">
        <v>0</v>
      </c>
      <c r="U41" s="29">
        <v>0</v>
      </c>
    </row>
    <row r="42" spans="1:21" ht="15" customHeight="1" outlineLevel="2">
      <c r="A42" s="26" t="s">
        <v>84</v>
      </c>
      <c r="B42" s="27">
        <v>2.6179999999999999</v>
      </c>
      <c r="C42" s="27">
        <v>2.903</v>
      </c>
      <c r="D42" s="27">
        <v>3.5049999999999999</v>
      </c>
      <c r="E42" s="27">
        <v>4.2009999999999996</v>
      </c>
      <c r="F42" s="27">
        <v>5.1269999999999998</v>
      </c>
      <c r="G42" s="27">
        <v>5.569</v>
      </c>
      <c r="H42" s="27">
        <v>6.2309999999999999</v>
      </c>
      <c r="I42" s="27">
        <v>1.754</v>
      </c>
      <c r="J42" s="27">
        <v>1.462</v>
      </c>
      <c r="K42" s="27">
        <v>1.1870000000000001</v>
      </c>
      <c r="L42" s="27">
        <v>1.4570000000000001</v>
      </c>
      <c r="M42" s="27">
        <v>0.92200000000000004</v>
      </c>
      <c r="N42" s="27">
        <v>0.77400000000000002</v>
      </c>
      <c r="O42" s="27">
        <v>1.296</v>
      </c>
      <c r="P42" s="27">
        <v>1.446</v>
      </c>
      <c r="Q42" s="27">
        <v>1.038</v>
      </c>
      <c r="R42" s="27">
        <v>1.345</v>
      </c>
      <c r="S42" s="27">
        <v>1.7589999999999999</v>
      </c>
      <c r="T42" s="27">
        <v>2.0259999999999998</v>
      </c>
      <c r="U42" s="27">
        <v>1.165</v>
      </c>
    </row>
    <row r="43" spans="1:21" ht="15" customHeight="1" outlineLevel="1">
      <c r="A43" s="41" t="s">
        <v>85</v>
      </c>
      <c r="B43" s="29">
        <v>5.0129999999999999</v>
      </c>
      <c r="C43" s="29">
        <v>4.8070000000000004</v>
      </c>
      <c r="D43" s="29">
        <v>3.464</v>
      </c>
      <c r="E43" s="29">
        <v>3.5339999999999998</v>
      </c>
      <c r="F43" s="29">
        <v>2.7669999999999999</v>
      </c>
      <c r="G43" s="29">
        <v>3.2309999999999999</v>
      </c>
      <c r="H43" s="29">
        <v>3.5710000000000002</v>
      </c>
      <c r="I43" s="29">
        <v>1.911</v>
      </c>
      <c r="J43" s="29">
        <v>2.1549999999999998</v>
      </c>
      <c r="K43" s="29">
        <v>1.919</v>
      </c>
      <c r="L43" s="29">
        <v>1.9410000000000001</v>
      </c>
      <c r="M43" s="29">
        <v>1.085</v>
      </c>
      <c r="N43" s="29">
        <v>0.97599999999999998</v>
      </c>
      <c r="O43" s="29">
        <v>0.90400000000000003</v>
      </c>
      <c r="P43" s="29">
        <v>0.55200000000000005</v>
      </c>
      <c r="Q43" s="29">
        <v>0.46700000000000003</v>
      </c>
      <c r="R43" s="29">
        <v>0.85799999999999998</v>
      </c>
      <c r="S43" s="29">
        <v>0.94099999999999995</v>
      </c>
      <c r="T43" s="29">
        <v>0.67</v>
      </c>
      <c r="U43" s="29">
        <v>0.72299999999999998</v>
      </c>
    </row>
    <row r="44" spans="1:21" ht="15" customHeight="1" outlineLevel="1">
      <c r="A44" s="31" t="s">
        <v>86</v>
      </c>
      <c r="B44" s="32">
        <v>0</v>
      </c>
      <c r="C44" s="32">
        <v>0</v>
      </c>
      <c r="D44" s="32">
        <v>0</v>
      </c>
      <c r="E44" s="32">
        <v>3.0000000000000001E-3</v>
      </c>
      <c r="F44" s="32">
        <v>7.0000000000000001E-3</v>
      </c>
      <c r="G44" s="32">
        <v>7.0000000000000001E-3</v>
      </c>
      <c r="H44" s="32">
        <v>2.9000000000000001E-2</v>
      </c>
      <c r="I44" s="32">
        <v>4.9000000000000002E-2</v>
      </c>
      <c r="J44" s="32">
        <v>6.0999999999999999E-2</v>
      </c>
      <c r="K44" s="32">
        <v>0.621</v>
      </c>
      <c r="L44" s="32">
        <v>0.96499999999999997</v>
      </c>
      <c r="M44" s="32">
        <v>1.6020000000000001</v>
      </c>
      <c r="N44" s="32">
        <v>2.351</v>
      </c>
      <c r="O44" s="32">
        <v>2.0139999999999998</v>
      </c>
      <c r="P44" s="32">
        <v>2.2759999999999998</v>
      </c>
      <c r="Q44" s="32">
        <v>2.383</v>
      </c>
      <c r="R44" s="32">
        <v>2.972</v>
      </c>
      <c r="S44" s="32">
        <v>3.093</v>
      </c>
      <c r="T44" s="32">
        <v>2.2530000000000001</v>
      </c>
      <c r="U44" s="32">
        <v>-0.58199999999999996</v>
      </c>
    </row>
    <row r="45" spans="1:21" ht="15" customHeight="1" outlineLevel="2">
      <c r="A45" s="28" t="s">
        <v>87</v>
      </c>
      <c r="B45" s="29">
        <v>0</v>
      </c>
      <c r="C45" s="29">
        <v>0</v>
      </c>
      <c r="D45" s="29">
        <v>0</v>
      </c>
      <c r="E45" s="29">
        <v>3.0000000000000001E-3</v>
      </c>
      <c r="F45" s="29">
        <v>7.0000000000000001E-3</v>
      </c>
      <c r="G45" s="29">
        <v>7.0000000000000001E-3</v>
      </c>
      <c r="H45" s="29">
        <v>2.9000000000000001E-2</v>
      </c>
      <c r="I45" s="29">
        <v>4.9000000000000002E-2</v>
      </c>
      <c r="J45" s="29">
        <v>6.0999999999999999E-2</v>
      </c>
      <c r="K45" s="29">
        <v>0.621</v>
      </c>
      <c r="L45" s="29">
        <v>0.96499999999999997</v>
      </c>
      <c r="M45" s="29">
        <v>1.6020000000000001</v>
      </c>
      <c r="N45" s="29">
        <v>2.351</v>
      </c>
      <c r="O45" s="29">
        <v>2.0139999999999998</v>
      </c>
      <c r="P45" s="29">
        <v>2.2759999999999998</v>
      </c>
      <c r="Q45" s="29">
        <v>2.383</v>
      </c>
      <c r="R45" s="29">
        <v>2.972</v>
      </c>
      <c r="S45" s="29">
        <v>3.093</v>
      </c>
      <c r="T45" s="29">
        <v>2.923</v>
      </c>
      <c r="U45" s="29">
        <v>0.14099999999999999</v>
      </c>
    </row>
    <row r="46" spans="1:21" ht="15" customHeight="1" outlineLevel="1">
      <c r="A46" s="36" t="s">
        <v>88</v>
      </c>
      <c r="B46" s="27">
        <v>484.56799999999998</v>
      </c>
      <c r="C46" s="27">
        <v>506.39800000000002</v>
      </c>
      <c r="D46" s="27">
        <v>467.75099999999998</v>
      </c>
      <c r="E46" s="27">
        <v>415.03300000000002</v>
      </c>
      <c r="F46" s="27">
        <v>347.03399999999999</v>
      </c>
      <c r="G46" s="27">
        <v>360.14600000000002</v>
      </c>
      <c r="H46" s="27">
        <v>366.32600000000002</v>
      </c>
      <c r="I46" s="27">
        <v>330.68700000000001</v>
      </c>
      <c r="J46" s="27">
        <v>309.56299999999999</v>
      </c>
      <c r="K46" s="27">
        <v>288.346</v>
      </c>
      <c r="L46" s="27">
        <v>282.72399999999999</v>
      </c>
      <c r="M46" s="27">
        <v>258.79300000000001</v>
      </c>
      <c r="N46" s="27">
        <v>243.94399999999999</v>
      </c>
      <c r="O46" s="27">
        <v>231.113</v>
      </c>
      <c r="P46" s="27">
        <v>185.024</v>
      </c>
      <c r="Q46" s="27">
        <v>154.13499999999999</v>
      </c>
      <c r="R46" s="27">
        <v>199.85900000000001</v>
      </c>
      <c r="S46" s="27">
        <v>195.03200000000001</v>
      </c>
      <c r="T46" s="27">
        <v>155.07</v>
      </c>
      <c r="U46" s="27">
        <v>139.67400000000001</v>
      </c>
    </row>
    <row r="47" spans="1:21" ht="15" customHeight="1">
      <c r="A47" s="42" t="s">
        <v>89</v>
      </c>
      <c r="B47" s="42"/>
      <c r="C47" s="42"/>
      <c r="D47" s="42"/>
      <c r="E47" s="42"/>
      <c r="F47" s="42"/>
      <c r="G47" s="42"/>
      <c r="H47" s="42"/>
      <c r="I47" s="42"/>
      <c r="J47" s="42"/>
      <c r="K47" s="42"/>
      <c r="L47" s="42"/>
      <c r="M47" s="42"/>
      <c r="N47" s="42"/>
      <c r="O47" s="42"/>
      <c r="P47" s="42"/>
      <c r="Q47" s="42"/>
      <c r="R47" s="42"/>
      <c r="S47" s="42"/>
      <c r="T47" s="42"/>
      <c r="U47" s="42"/>
    </row>
    <row r="48" spans="1:21" ht="15" customHeight="1" outlineLevel="1">
      <c r="A48" s="31" t="s">
        <v>90</v>
      </c>
      <c r="B48" s="23"/>
      <c r="C48" s="23"/>
      <c r="D48" s="23"/>
      <c r="E48" s="23"/>
      <c r="F48" s="23"/>
      <c r="G48" s="23"/>
      <c r="H48" s="23"/>
      <c r="I48" s="23"/>
      <c r="J48" s="23"/>
      <c r="K48" s="23"/>
      <c r="L48" s="23"/>
      <c r="M48" s="23"/>
      <c r="N48" s="23"/>
      <c r="O48" s="23"/>
      <c r="P48" s="23"/>
      <c r="Q48" s="23"/>
      <c r="R48" s="23"/>
      <c r="S48" s="23"/>
      <c r="T48" s="23"/>
      <c r="U48" s="23"/>
    </row>
    <row r="49" spans="1:21" ht="15" customHeight="1" outlineLevel="2">
      <c r="A49" s="28" t="s">
        <v>91</v>
      </c>
      <c r="B49" s="29">
        <v>0.53</v>
      </c>
      <c r="C49" s="29">
        <v>0.52800000000000002</v>
      </c>
      <c r="D49" s="29">
        <v>0.38700000000000001</v>
      </c>
      <c r="E49" s="29">
        <v>0.374</v>
      </c>
      <c r="F49" s="29">
        <v>0</v>
      </c>
      <c r="G49" s="29">
        <v>0</v>
      </c>
      <c r="H49" s="29">
        <v>0</v>
      </c>
      <c r="I49" s="29">
        <v>0</v>
      </c>
      <c r="J49" s="29">
        <v>0</v>
      </c>
      <c r="K49" s="29">
        <v>0</v>
      </c>
      <c r="L49" s="29">
        <v>0</v>
      </c>
      <c r="M49" s="29">
        <v>0</v>
      </c>
      <c r="N49" s="29">
        <v>0</v>
      </c>
      <c r="O49" s="29">
        <v>0</v>
      </c>
      <c r="P49" s="29">
        <v>0</v>
      </c>
      <c r="Q49" s="29">
        <v>0</v>
      </c>
      <c r="R49" s="29">
        <v>0</v>
      </c>
      <c r="S49" s="29">
        <v>0</v>
      </c>
      <c r="T49" s="29">
        <v>0.55400000000000005</v>
      </c>
      <c r="U49" s="29">
        <v>0.57599999999999996</v>
      </c>
    </row>
    <row r="50" spans="1:21" ht="15" customHeight="1" outlineLevel="2">
      <c r="A50" s="26" t="s">
        <v>2</v>
      </c>
      <c r="B50" s="27">
        <v>14.32</v>
      </c>
      <c r="C50" s="27">
        <v>8.7949999999999999</v>
      </c>
      <c r="D50" s="27">
        <v>9.6050000000000004</v>
      </c>
      <c r="E50" s="27">
        <v>6.5190000000000001</v>
      </c>
      <c r="F50" s="27">
        <v>6.0380000000000003</v>
      </c>
      <c r="G50" s="27">
        <v>8.5939999999999994</v>
      </c>
      <c r="H50" s="27">
        <v>9.5380000000000003</v>
      </c>
      <c r="I50" s="27">
        <v>11.417999999999999</v>
      </c>
      <c r="J50" s="27">
        <v>8.4659999999999993</v>
      </c>
      <c r="K50" s="27">
        <v>8.6709999999999994</v>
      </c>
      <c r="L50" s="27">
        <v>9.0259999999999998</v>
      </c>
      <c r="M50" s="27">
        <v>9.6950000000000003</v>
      </c>
      <c r="N50" s="27">
        <v>8.01</v>
      </c>
      <c r="O50" s="27">
        <v>8.8480000000000008</v>
      </c>
      <c r="P50" s="27">
        <v>6.8630000000000004</v>
      </c>
      <c r="Q50" s="27">
        <v>4.8220000000000001</v>
      </c>
      <c r="R50" s="27">
        <v>8.343</v>
      </c>
      <c r="S50" s="27">
        <v>9.0489999999999995</v>
      </c>
      <c r="T50" s="27">
        <v>5.0960000000000001</v>
      </c>
      <c r="U50" s="27">
        <v>5.6929999999999996</v>
      </c>
    </row>
    <row r="51" spans="1:21" ht="15" customHeight="1" outlineLevel="2">
      <c r="A51" s="28" t="s">
        <v>92</v>
      </c>
      <c r="B51" s="29">
        <v>13.223000000000001</v>
      </c>
      <c r="C51" s="29">
        <v>21.693999999999999</v>
      </c>
      <c r="D51" s="29">
        <v>14.582000000000001</v>
      </c>
      <c r="E51" s="29">
        <v>9.5389999999999997</v>
      </c>
      <c r="F51" s="29">
        <v>3.4969999999999999</v>
      </c>
      <c r="G51" s="29">
        <v>6.5330000000000004</v>
      </c>
      <c r="H51" s="29">
        <v>13.042</v>
      </c>
      <c r="I51" s="29">
        <v>10.281000000000001</v>
      </c>
      <c r="J51" s="29">
        <v>2.8420000000000001</v>
      </c>
      <c r="K51" s="29">
        <v>4.0579999999999998</v>
      </c>
      <c r="L51" s="29">
        <v>6.0090000000000003</v>
      </c>
      <c r="M51" s="29">
        <v>5.6239999999999997</v>
      </c>
      <c r="N51" s="29">
        <v>5.2290000000000001</v>
      </c>
      <c r="O51" s="29">
        <v>7.5629999999999997</v>
      </c>
      <c r="P51" s="29">
        <v>5.2640000000000002</v>
      </c>
      <c r="Q51" s="29">
        <v>2.7440000000000002</v>
      </c>
      <c r="R51" s="29">
        <v>4.2169999999999996</v>
      </c>
      <c r="S51" s="29">
        <v>3.117</v>
      </c>
      <c r="T51" s="29">
        <v>2.996</v>
      </c>
      <c r="U51" s="29">
        <v>2.5350000000000001</v>
      </c>
    </row>
    <row r="52" spans="1:21" ht="15" customHeight="1" outlineLevel="2">
      <c r="A52" s="37" t="s">
        <v>20</v>
      </c>
      <c r="B52" s="32">
        <v>93.561000000000007</v>
      </c>
      <c r="C52" s="32">
        <v>104.315</v>
      </c>
      <c r="D52" s="32">
        <v>104.533</v>
      </c>
      <c r="E52" s="32">
        <v>89.847999999999999</v>
      </c>
      <c r="F52" s="32">
        <v>58.991</v>
      </c>
      <c r="G52" s="32">
        <v>80.284999999999997</v>
      </c>
      <c r="H52" s="32">
        <v>89.8</v>
      </c>
      <c r="I52" s="32">
        <v>69.522999999999996</v>
      </c>
      <c r="J52" s="32">
        <v>66.759</v>
      </c>
      <c r="K52" s="32">
        <v>64.462000000000003</v>
      </c>
      <c r="L52" s="32">
        <v>63.290999999999997</v>
      </c>
      <c r="M52" s="32">
        <v>56.064</v>
      </c>
      <c r="N52" s="32">
        <v>52.27</v>
      </c>
      <c r="O52" s="32">
        <v>53.908000000000001</v>
      </c>
      <c r="P52" s="32">
        <v>37.713999999999999</v>
      </c>
      <c r="Q52" s="32">
        <v>27.048999999999999</v>
      </c>
      <c r="R52" s="32">
        <v>39.993000000000002</v>
      </c>
      <c r="S52" s="32">
        <v>49.732999999999997</v>
      </c>
      <c r="T52" s="32">
        <v>29.65</v>
      </c>
      <c r="U52" s="32">
        <v>26.526</v>
      </c>
    </row>
    <row r="53" spans="1:21" ht="15" customHeight="1" outlineLevel="3">
      <c r="A53" s="38" t="s">
        <v>93</v>
      </c>
      <c r="B53" s="29">
        <v>93.561000000000007</v>
      </c>
      <c r="C53" s="29">
        <v>104.315</v>
      </c>
      <c r="D53" s="29">
        <v>104.533</v>
      </c>
      <c r="E53" s="29">
        <v>89.847999999999999</v>
      </c>
      <c r="F53" s="29">
        <v>58.991</v>
      </c>
      <c r="G53" s="29">
        <v>80.284999999999997</v>
      </c>
      <c r="H53" s="29">
        <v>89.8</v>
      </c>
      <c r="I53" s="29">
        <v>69.522999999999996</v>
      </c>
      <c r="J53" s="29">
        <v>66.759</v>
      </c>
      <c r="K53" s="29">
        <v>64.462000000000003</v>
      </c>
      <c r="L53" s="29">
        <v>63.290999999999997</v>
      </c>
      <c r="M53" s="29">
        <v>56.064</v>
      </c>
      <c r="N53" s="29">
        <v>52.27</v>
      </c>
      <c r="O53" s="29">
        <v>53.908000000000001</v>
      </c>
      <c r="P53" s="29">
        <v>37.713999999999999</v>
      </c>
      <c r="Q53" s="29">
        <v>27.048999999999999</v>
      </c>
      <c r="R53" s="29">
        <v>39.993000000000002</v>
      </c>
      <c r="S53" s="29">
        <v>49.732999999999997</v>
      </c>
      <c r="T53" s="29">
        <v>29.65</v>
      </c>
      <c r="U53" s="29">
        <v>26.526</v>
      </c>
    </row>
    <row r="54" spans="1:21" ht="15" customHeight="1" outlineLevel="2">
      <c r="A54" s="26" t="s">
        <v>3</v>
      </c>
      <c r="B54" s="27">
        <v>121.634</v>
      </c>
      <c r="C54" s="27">
        <v>135.33199999999999</v>
      </c>
      <c r="D54" s="27">
        <v>129.107</v>
      </c>
      <c r="E54" s="27">
        <v>106.28</v>
      </c>
      <c r="F54" s="27">
        <v>68.525999999999996</v>
      </c>
      <c r="G54" s="27">
        <v>95.412000000000006</v>
      </c>
      <c r="H54" s="27">
        <v>112.38</v>
      </c>
      <c r="I54" s="27">
        <v>91.221999999999994</v>
      </c>
      <c r="J54" s="27">
        <v>78.066999999999993</v>
      </c>
      <c r="K54" s="27">
        <v>77.191000000000003</v>
      </c>
      <c r="L54" s="27">
        <v>78.325999999999993</v>
      </c>
      <c r="M54" s="27">
        <v>71.382999999999996</v>
      </c>
      <c r="N54" s="27">
        <v>65.509</v>
      </c>
      <c r="O54" s="27">
        <v>70.319000000000003</v>
      </c>
      <c r="P54" s="27">
        <v>49.841000000000001</v>
      </c>
      <c r="Q54" s="27">
        <v>34.615000000000002</v>
      </c>
      <c r="R54" s="27">
        <v>52.552999999999997</v>
      </c>
      <c r="S54" s="27">
        <v>61.899000000000001</v>
      </c>
      <c r="T54" s="27">
        <v>38.295999999999999</v>
      </c>
      <c r="U54" s="27">
        <v>35.33</v>
      </c>
    </row>
    <row r="55" spans="1:21" ht="15" customHeight="1" outlineLevel="1">
      <c r="A55" s="24" t="s">
        <v>94</v>
      </c>
      <c r="B55" s="42"/>
      <c r="C55" s="42"/>
      <c r="D55" s="42"/>
      <c r="E55" s="42"/>
      <c r="F55" s="42"/>
      <c r="G55" s="42"/>
      <c r="H55" s="42"/>
      <c r="I55" s="42"/>
      <c r="J55" s="42"/>
      <c r="K55" s="42"/>
      <c r="L55" s="42"/>
      <c r="M55" s="42"/>
      <c r="N55" s="42"/>
      <c r="O55" s="42"/>
      <c r="P55" s="42"/>
      <c r="Q55" s="42"/>
      <c r="R55" s="42"/>
      <c r="S55" s="42"/>
      <c r="T55" s="42"/>
      <c r="U55" s="42"/>
    </row>
    <row r="56" spans="1:21" ht="15" customHeight="1" outlineLevel="2">
      <c r="A56" s="37" t="s">
        <v>32</v>
      </c>
      <c r="B56" s="32">
        <v>0.45200000000000001</v>
      </c>
      <c r="C56" s="32">
        <v>0.53200000000000003</v>
      </c>
      <c r="D56" s="32">
        <v>0.186</v>
      </c>
      <c r="E56" s="32">
        <v>0.32200000000000001</v>
      </c>
      <c r="F56" s="32">
        <v>0.71499999999999997</v>
      </c>
      <c r="G56" s="32">
        <v>0.92100000000000004</v>
      </c>
      <c r="H56" s="32">
        <v>0</v>
      </c>
      <c r="I56" s="32">
        <v>0</v>
      </c>
      <c r="J56" s="32">
        <v>0</v>
      </c>
      <c r="K56" s="32">
        <v>0</v>
      </c>
      <c r="L56" s="32">
        <v>0</v>
      </c>
      <c r="M56" s="32">
        <v>0</v>
      </c>
      <c r="N56" s="32">
        <v>0</v>
      </c>
      <c r="O56" s="32">
        <v>0</v>
      </c>
      <c r="P56" s="32">
        <v>0</v>
      </c>
      <c r="Q56" s="32">
        <v>0</v>
      </c>
      <c r="R56" s="32">
        <v>0</v>
      </c>
      <c r="S56" s="32">
        <v>0</v>
      </c>
      <c r="T56" s="32">
        <v>0</v>
      </c>
      <c r="U56" s="32">
        <v>0.501</v>
      </c>
    </row>
    <row r="57" spans="1:21" ht="15" customHeight="1" outlineLevel="3">
      <c r="A57" s="38" t="s">
        <v>95</v>
      </c>
      <c r="B57" s="29">
        <v>0.45200000000000001</v>
      </c>
      <c r="C57" s="29">
        <v>0.53200000000000003</v>
      </c>
      <c r="D57" s="29">
        <v>0.186</v>
      </c>
      <c r="E57" s="29">
        <v>0.32200000000000001</v>
      </c>
      <c r="F57" s="29">
        <v>0.71499999999999997</v>
      </c>
      <c r="G57" s="29">
        <v>0.92100000000000004</v>
      </c>
      <c r="H57" s="29">
        <v>0</v>
      </c>
      <c r="I57" s="29">
        <v>0</v>
      </c>
      <c r="J57" s="29">
        <v>0</v>
      </c>
      <c r="K57" s="29">
        <v>0</v>
      </c>
      <c r="L57" s="29">
        <v>0</v>
      </c>
      <c r="M57" s="29">
        <v>0</v>
      </c>
      <c r="N57" s="29">
        <v>0</v>
      </c>
      <c r="O57" s="29">
        <v>0</v>
      </c>
      <c r="P57" s="29">
        <v>0</v>
      </c>
      <c r="Q57" s="29">
        <v>0</v>
      </c>
      <c r="R57" s="29">
        <v>0</v>
      </c>
      <c r="S57" s="29">
        <v>0</v>
      </c>
      <c r="T57" s="29">
        <v>0</v>
      </c>
      <c r="U57" s="29">
        <v>0.501</v>
      </c>
    </row>
    <row r="58" spans="1:21" ht="15" customHeight="1" outlineLevel="2">
      <c r="A58" s="26" t="s">
        <v>96</v>
      </c>
      <c r="B58" s="27">
        <v>2.262</v>
      </c>
      <c r="C58" s="27">
        <v>1.97</v>
      </c>
      <c r="D58" s="27">
        <v>2.0230000000000001</v>
      </c>
      <c r="E58" s="27">
        <v>1.8939999999999999</v>
      </c>
      <c r="F58" s="27">
        <v>1.754</v>
      </c>
      <c r="G58" s="27">
        <v>1.768</v>
      </c>
      <c r="H58" s="27">
        <v>1.8149999999999999</v>
      </c>
      <c r="I58" s="27">
        <v>1.5229999999999999</v>
      </c>
      <c r="J58" s="27">
        <v>1.351</v>
      </c>
      <c r="K58" s="27">
        <v>1.087</v>
      </c>
      <c r="L58" s="27">
        <v>1.2490000000000001</v>
      </c>
      <c r="M58" s="27">
        <v>1.6539999999999999</v>
      </c>
      <c r="N58" s="27">
        <v>2.2759999999999998</v>
      </c>
      <c r="O58" s="27">
        <v>2.464</v>
      </c>
      <c r="P58" s="27">
        <v>2.5720000000000001</v>
      </c>
      <c r="Q58" s="27">
        <v>2.3959999999999999</v>
      </c>
      <c r="R58" s="27">
        <v>1.798</v>
      </c>
      <c r="S58" s="27">
        <v>1.5980000000000001</v>
      </c>
      <c r="T58" s="27">
        <v>1.35</v>
      </c>
      <c r="U58" s="27">
        <v>0.23400000000000001</v>
      </c>
    </row>
    <row r="59" spans="1:21" ht="15" customHeight="1" outlineLevel="2">
      <c r="A59" s="28" t="s">
        <v>97</v>
      </c>
      <c r="B59" s="29">
        <v>1.3620000000000001</v>
      </c>
      <c r="C59" s="29">
        <v>1.677</v>
      </c>
      <c r="D59" s="29">
        <v>1.677</v>
      </c>
      <c r="E59" s="29">
        <v>1.327</v>
      </c>
      <c r="F59" s="29">
        <v>1.5980000000000001</v>
      </c>
      <c r="G59" s="29">
        <v>1.641</v>
      </c>
      <c r="H59" s="29">
        <v>1.8180000000000001</v>
      </c>
      <c r="I59" s="29">
        <v>0.43099999999999999</v>
      </c>
      <c r="J59" s="29">
        <v>0.14000000000000001</v>
      </c>
      <c r="K59" s="29">
        <v>0.27200000000000002</v>
      </c>
      <c r="L59" s="29">
        <v>0.29199999999999998</v>
      </c>
      <c r="M59" s="29">
        <v>0.58899999999999997</v>
      </c>
      <c r="N59" s="29">
        <v>0.64200000000000002</v>
      </c>
      <c r="O59" s="29">
        <v>0.36299999999999999</v>
      </c>
      <c r="P59" s="29">
        <v>0.373</v>
      </c>
      <c r="Q59" s="29">
        <v>0.187</v>
      </c>
      <c r="R59" s="29">
        <v>0.22700000000000001</v>
      </c>
      <c r="S59" s="29">
        <v>0.57099999999999995</v>
      </c>
      <c r="T59" s="29">
        <v>0.83399999999999996</v>
      </c>
      <c r="U59" s="29">
        <v>0.44700000000000001</v>
      </c>
    </row>
    <row r="60" spans="1:21" ht="15" customHeight="1" outlineLevel="2">
      <c r="A60" s="37" t="s">
        <v>98</v>
      </c>
      <c r="B60" s="32">
        <v>0</v>
      </c>
      <c r="C60" s="32">
        <v>0</v>
      </c>
      <c r="D60" s="32">
        <v>0</v>
      </c>
      <c r="E60" s="32">
        <v>0</v>
      </c>
      <c r="F60" s="32">
        <v>0</v>
      </c>
      <c r="G60" s="32">
        <v>0</v>
      </c>
      <c r="H60" s="32">
        <v>0</v>
      </c>
      <c r="I60" s="32">
        <v>0</v>
      </c>
      <c r="J60" s="32">
        <v>6.5000000000000002E-2</v>
      </c>
      <c r="K60" s="32">
        <v>0</v>
      </c>
      <c r="L60" s="32">
        <v>1.7000000000000001E-2</v>
      </c>
      <c r="M60" s="32">
        <v>0</v>
      </c>
      <c r="N60" s="32">
        <v>0</v>
      </c>
      <c r="O60" s="32">
        <v>0</v>
      </c>
      <c r="P60" s="32">
        <v>5.5E-2</v>
      </c>
      <c r="Q60" s="32">
        <v>8.7999999999999995E-2</v>
      </c>
      <c r="R60" s="32">
        <v>0</v>
      </c>
      <c r="S60" s="32">
        <v>0</v>
      </c>
      <c r="T60" s="32">
        <v>-0.67</v>
      </c>
      <c r="U60" s="32">
        <v>-0.72299999999999998</v>
      </c>
    </row>
    <row r="61" spans="1:21" ht="15" customHeight="1" outlineLevel="3">
      <c r="A61" s="38" t="s">
        <v>99</v>
      </c>
      <c r="B61" s="29">
        <v>0</v>
      </c>
      <c r="C61" s="29">
        <v>0</v>
      </c>
      <c r="D61" s="29">
        <v>0</v>
      </c>
      <c r="E61" s="29">
        <v>0</v>
      </c>
      <c r="F61" s="29">
        <v>0</v>
      </c>
      <c r="G61" s="29">
        <v>0</v>
      </c>
      <c r="H61" s="29">
        <v>0</v>
      </c>
      <c r="I61" s="29">
        <v>0</v>
      </c>
      <c r="J61" s="29">
        <v>6.5000000000000002E-2</v>
      </c>
      <c r="K61" s="29">
        <v>0</v>
      </c>
      <c r="L61" s="29">
        <v>1.7000000000000001E-2</v>
      </c>
      <c r="M61" s="29">
        <v>0</v>
      </c>
      <c r="N61" s="29">
        <v>0</v>
      </c>
      <c r="O61" s="29">
        <v>0</v>
      </c>
      <c r="P61" s="29">
        <v>0</v>
      </c>
      <c r="Q61" s="29">
        <v>0</v>
      </c>
      <c r="R61" s="29">
        <v>0</v>
      </c>
      <c r="S61" s="29">
        <v>0</v>
      </c>
      <c r="T61" s="35">
        <v>-0.67</v>
      </c>
      <c r="U61" s="35">
        <v>-0.72299999999999998</v>
      </c>
    </row>
    <row r="62" spans="1:21" ht="15" customHeight="1" outlineLevel="3">
      <c r="A62" s="34" t="s">
        <v>100</v>
      </c>
      <c r="B62" s="40"/>
      <c r="C62" s="40"/>
      <c r="D62" s="40"/>
      <c r="E62" s="40"/>
      <c r="F62" s="40"/>
      <c r="G62" s="40"/>
      <c r="H62" s="40"/>
      <c r="I62" s="40"/>
      <c r="J62" s="27">
        <v>0</v>
      </c>
      <c r="K62" s="27">
        <v>0</v>
      </c>
      <c r="L62" s="27">
        <v>0</v>
      </c>
      <c r="M62" s="27">
        <v>0</v>
      </c>
      <c r="N62" s="27">
        <v>0</v>
      </c>
      <c r="O62" s="27">
        <v>0</v>
      </c>
      <c r="P62" s="27">
        <v>5.5E-2</v>
      </c>
      <c r="Q62" s="27">
        <v>8.7999999999999995E-2</v>
      </c>
      <c r="R62" s="40"/>
      <c r="S62" s="40"/>
      <c r="T62" s="40"/>
      <c r="U62" s="40"/>
    </row>
    <row r="63" spans="1:21" ht="15" customHeight="1" outlineLevel="2">
      <c r="A63" s="28" t="s">
        <v>4</v>
      </c>
      <c r="B63" s="29">
        <v>125.71</v>
      </c>
      <c r="C63" s="29">
        <v>139.511</v>
      </c>
      <c r="D63" s="29">
        <v>132.99299999999999</v>
      </c>
      <c r="E63" s="29">
        <v>109.82299999999999</v>
      </c>
      <c r="F63" s="29">
        <v>72.593000000000004</v>
      </c>
      <c r="G63" s="29">
        <v>99.742000000000004</v>
      </c>
      <c r="H63" s="29">
        <v>116.01300000000001</v>
      </c>
      <c r="I63" s="29">
        <v>93.176000000000002</v>
      </c>
      <c r="J63" s="29">
        <v>79.623000000000005</v>
      </c>
      <c r="K63" s="29">
        <v>78.55</v>
      </c>
      <c r="L63" s="29">
        <v>79.884</v>
      </c>
      <c r="M63" s="29">
        <v>73.626000000000005</v>
      </c>
      <c r="N63" s="29">
        <v>68.427000000000007</v>
      </c>
      <c r="O63" s="29">
        <v>73.146000000000001</v>
      </c>
      <c r="P63" s="29">
        <v>52.841000000000001</v>
      </c>
      <c r="Q63" s="29">
        <v>37.286000000000001</v>
      </c>
      <c r="R63" s="29">
        <v>54.578000000000003</v>
      </c>
      <c r="S63" s="29">
        <v>64.067999999999998</v>
      </c>
      <c r="T63" s="29">
        <v>39.81</v>
      </c>
      <c r="U63" s="29">
        <v>35.789000000000001</v>
      </c>
    </row>
    <row r="64" spans="1:21" ht="15" customHeight="1" outlineLevel="1">
      <c r="A64" s="31" t="s">
        <v>101</v>
      </c>
      <c r="B64" s="23"/>
      <c r="C64" s="23"/>
      <c r="D64" s="23"/>
      <c r="E64" s="23"/>
      <c r="F64" s="23"/>
      <c r="G64" s="23"/>
      <c r="H64" s="23"/>
      <c r="I64" s="23"/>
      <c r="J64" s="23"/>
      <c r="K64" s="23"/>
      <c r="L64" s="23"/>
      <c r="M64" s="23"/>
      <c r="N64" s="23"/>
      <c r="O64" s="23"/>
      <c r="P64" s="23"/>
      <c r="Q64" s="23"/>
      <c r="R64" s="23"/>
      <c r="S64" s="23"/>
      <c r="T64" s="23"/>
      <c r="U64" s="23"/>
    </row>
    <row r="65" spans="1:21" ht="15" customHeight="1" outlineLevel="2">
      <c r="A65" s="33" t="s">
        <v>102</v>
      </c>
      <c r="B65" s="25">
        <v>358.85399999999998</v>
      </c>
      <c r="C65" s="25">
        <v>366.88400000000001</v>
      </c>
      <c r="D65" s="25">
        <v>334.755</v>
      </c>
      <c r="E65" s="25">
        <v>305.19900000000001</v>
      </c>
      <c r="F65" s="25">
        <v>274.42899999999997</v>
      </c>
      <c r="G65" s="25">
        <v>260.38900000000001</v>
      </c>
      <c r="H65" s="25">
        <v>250.30199999999999</v>
      </c>
      <c r="I65" s="25">
        <v>237.494</v>
      </c>
      <c r="J65" s="25">
        <v>229.92400000000001</v>
      </c>
      <c r="K65" s="25">
        <v>209.78399999999999</v>
      </c>
      <c r="L65" s="25">
        <v>202.83099999999999</v>
      </c>
      <c r="M65" s="25">
        <v>185.15700000000001</v>
      </c>
      <c r="N65" s="25">
        <v>175.512</v>
      </c>
      <c r="O65" s="25">
        <v>157.964</v>
      </c>
      <c r="P65" s="25">
        <v>132.18199999999999</v>
      </c>
      <c r="Q65" s="25">
        <v>116.848</v>
      </c>
      <c r="R65" s="25">
        <v>145.18600000000001</v>
      </c>
      <c r="S65" s="25">
        <v>130.68600000000001</v>
      </c>
      <c r="T65" s="25">
        <v>115.053</v>
      </c>
      <c r="U65" s="25">
        <v>103.714</v>
      </c>
    </row>
    <row r="66" spans="1:21" ht="15" customHeight="1" outlineLevel="3">
      <c r="A66" s="34" t="s">
        <v>103</v>
      </c>
      <c r="B66" s="27">
        <v>15</v>
      </c>
      <c r="C66" s="27">
        <v>15</v>
      </c>
      <c r="D66" s="27">
        <v>15</v>
      </c>
      <c r="E66" s="27">
        <v>15</v>
      </c>
      <c r="F66" s="27">
        <v>15</v>
      </c>
      <c r="G66" s="27">
        <v>15</v>
      </c>
      <c r="H66" s="27">
        <v>15</v>
      </c>
      <c r="I66" s="27">
        <v>15</v>
      </c>
      <c r="J66" s="27">
        <v>15</v>
      </c>
      <c r="K66" s="27">
        <v>15</v>
      </c>
      <c r="L66" s="27">
        <v>15</v>
      </c>
      <c r="M66" s="27">
        <v>15</v>
      </c>
      <c r="N66" s="27">
        <v>15</v>
      </c>
      <c r="O66" s="27">
        <v>15</v>
      </c>
      <c r="P66" s="27">
        <v>15</v>
      </c>
      <c r="Q66" s="27">
        <v>15</v>
      </c>
      <c r="R66" s="27">
        <v>15</v>
      </c>
      <c r="S66" s="27">
        <v>15</v>
      </c>
      <c r="T66" s="27">
        <v>15</v>
      </c>
      <c r="U66" s="27">
        <v>15</v>
      </c>
    </row>
    <row r="67" spans="1:21" ht="15" customHeight="1" outlineLevel="3">
      <c r="A67" s="38" t="s">
        <v>104</v>
      </c>
      <c r="B67" s="29">
        <v>3.286</v>
      </c>
      <c r="C67" s="29">
        <v>3.286</v>
      </c>
      <c r="D67" s="29">
        <v>3.286</v>
      </c>
      <c r="E67" s="29">
        <v>3.286</v>
      </c>
      <c r="F67" s="29">
        <v>3.286</v>
      </c>
      <c r="G67" s="29">
        <v>3.286</v>
      </c>
      <c r="H67" s="29">
        <v>3.286</v>
      </c>
      <c r="I67" s="29">
        <v>3.286</v>
      </c>
      <c r="J67" s="29">
        <v>3.286</v>
      </c>
      <c r="K67" s="29">
        <v>3.286</v>
      </c>
      <c r="L67" s="29">
        <v>3.286</v>
      </c>
      <c r="M67" s="29">
        <v>3.286</v>
      </c>
      <c r="N67" s="29">
        <v>0.42199999999999999</v>
      </c>
      <c r="O67" s="29">
        <v>0.42199999999999999</v>
      </c>
      <c r="P67" s="29">
        <v>0.42199999999999999</v>
      </c>
      <c r="Q67" s="29">
        <v>0.42199999999999999</v>
      </c>
      <c r="R67" s="29">
        <v>0.42199999999999999</v>
      </c>
      <c r="S67" s="29">
        <v>0.42199999999999999</v>
      </c>
      <c r="T67" s="29">
        <v>0.42199999999999999</v>
      </c>
      <c r="U67" s="29">
        <v>0.42199999999999999</v>
      </c>
    </row>
    <row r="68" spans="1:21" ht="15" customHeight="1" outlineLevel="3">
      <c r="A68" s="34" t="s">
        <v>105</v>
      </c>
      <c r="B68" s="27">
        <v>333.721</v>
      </c>
      <c r="C68" s="27">
        <v>342.84899999999999</v>
      </c>
      <c r="D68" s="27">
        <v>310.32100000000003</v>
      </c>
      <c r="E68" s="27">
        <v>283.42399999999998</v>
      </c>
      <c r="F68" s="27">
        <v>253.55199999999999</v>
      </c>
      <c r="G68" s="27">
        <v>238.54</v>
      </c>
      <c r="H68" s="27">
        <v>229.44800000000001</v>
      </c>
      <c r="I68" s="27">
        <v>216.601</v>
      </c>
      <c r="J68" s="27">
        <v>207.327</v>
      </c>
      <c r="K68" s="27">
        <v>187.53200000000001</v>
      </c>
      <c r="L68" s="27">
        <v>182.41300000000001</v>
      </c>
      <c r="M68" s="27">
        <v>163.696</v>
      </c>
      <c r="N68" s="27">
        <v>158.24299999999999</v>
      </c>
      <c r="O68" s="27">
        <v>142.148</v>
      </c>
      <c r="P68" s="27">
        <v>116.17</v>
      </c>
      <c r="Q68" s="27">
        <v>101.676</v>
      </c>
      <c r="R68" s="27">
        <v>129.863</v>
      </c>
      <c r="S68" s="27">
        <v>114.24299999999999</v>
      </c>
      <c r="T68" s="27">
        <v>98.599000000000004</v>
      </c>
      <c r="U68" s="27">
        <v>87.412000000000006</v>
      </c>
    </row>
    <row r="69" spans="1:21" ht="15" customHeight="1" outlineLevel="3">
      <c r="A69" s="38" t="s">
        <v>106</v>
      </c>
      <c r="B69" s="29">
        <v>5.6059999999999999</v>
      </c>
      <c r="C69" s="29">
        <v>4.242</v>
      </c>
      <c r="D69" s="29">
        <v>4.3390000000000004</v>
      </c>
      <c r="E69" s="29">
        <v>2.0880000000000001</v>
      </c>
      <c r="F69" s="29">
        <v>0.30299999999999999</v>
      </c>
      <c r="G69" s="29">
        <v>1.698</v>
      </c>
      <c r="H69" s="29">
        <v>0.90100000000000002</v>
      </c>
      <c r="I69" s="29">
        <v>0.52500000000000002</v>
      </c>
      <c r="J69" s="29">
        <v>2.839</v>
      </c>
      <c r="K69" s="29">
        <v>2.367</v>
      </c>
      <c r="L69" s="29">
        <v>0.82599999999999996</v>
      </c>
      <c r="M69" s="29">
        <v>0.51600000000000001</v>
      </c>
      <c r="N69" s="29">
        <v>0.82</v>
      </c>
      <c r="O69" s="29">
        <v>0.81399999999999995</v>
      </c>
      <c r="P69" s="29">
        <v>0.67300000000000004</v>
      </c>
      <c r="Q69" s="35">
        <v>-0.40600000000000003</v>
      </c>
      <c r="R69" s="35">
        <v>-0.38400000000000001</v>
      </c>
      <c r="S69" s="35">
        <v>-0.8</v>
      </c>
      <c r="T69" s="35">
        <v>-0.58599999999999997</v>
      </c>
      <c r="U69" s="35">
        <v>-0.374</v>
      </c>
    </row>
    <row r="70" spans="1:21" ht="15" customHeight="1" outlineLevel="3">
      <c r="A70" s="34" t="s">
        <v>107</v>
      </c>
      <c r="B70" s="27">
        <v>0</v>
      </c>
      <c r="C70" s="27">
        <v>0</v>
      </c>
      <c r="D70" s="27">
        <v>0</v>
      </c>
      <c r="E70" s="27">
        <v>0</v>
      </c>
      <c r="F70" s="27">
        <v>0</v>
      </c>
      <c r="G70" s="27">
        <v>0</v>
      </c>
      <c r="H70" s="27">
        <v>0</v>
      </c>
      <c r="I70" s="27">
        <v>0</v>
      </c>
      <c r="J70" s="40"/>
      <c r="K70" s="40"/>
      <c r="L70" s="27">
        <v>0</v>
      </c>
      <c r="M70" s="27">
        <v>0</v>
      </c>
      <c r="N70" s="27">
        <v>0</v>
      </c>
      <c r="O70" s="27">
        <v>0</v>
      </c>
      <c r="P70" s="27">
        <v>7.0000000000000001E-3</v>
      </c>
      <c r="Q70" s="27">
        <v>1E-3</v>
      </c>
      <c r="R70" s="27">
        <v>0</v>
      </c>
      <c r="S70" s="27">
        <v>0</v>
      </c>
      <c r="T70" s="27">
        <v>0</v>
      </c>
      <c r="U70" s="27">
        <v>0</v>
      </c>
    </row>
    <row r="71" spans="1:21" ht="15" customHeight="1" outlineLevel="3">
      <c r="A71" s="38" t="s">
        <v>108</v>
      </c>
      <c r="B71" s="29">
        <v>1.2410000000000001</v>
      </c>
      <c r="C71" s="29">
        <v>1.5069999999999999</v>
      </c>
      <c r="D71" s="29">
        <v>1.8089999999999999</v>
      </c>
      <c r="E71" s="29">
        <v>1.401</v>
      </c>
      <c r="F71" s="29">
        <v>2.2879999999999998</v>
      </c>
      <c r="G71" s="29">
        <v>1.865</v>
      </c>
      <c r="H71" s="29">
        <v>1.667</v>
      </c>
      <c r="I71" s="29">
        <v>2.0819999999999999</v>
      </c>
      <c r="J71" s="29">
        <v>1.472</v>
      </c>
      <c r="K71" s="29">
        <v>1.599</v>
      </c>
      <c r="L71" s="29">
        <v>1.306</v>
      </c>
      <c r="M71" s="29">
        <v>2.6589999999999998</v>
      </c>
      <c r="N71" s="29">
        <v>2.496</v>
      </c>
      <c r="O71" s="29">
        <v>1.0489999999999999</v>
      </c>
      <c r="P71" s="29">
        <v>1.379</v>
      </c>
      <c r="Q71" s="29">
        <v>1.6259999999999999</v>
      </c>
      <c r="R71" s="29">
        <v>1.476</v>
      </c>
      <c r="S71" s="29">
        <v>1.821</v>
      </c>
      <c r="T71" s="29">
        <v>1.6180000000000001</v>
      </c>
      <c r="U71" s="29">
        <v>1.254</v>
      </c>
    </row>
    <row r="72" spans="1:21" ht="15" customHeight="1" outlineLevel="3">
      <c r="A72" s="34" t="s">
        <v>109</v>
      </c>
      <c r="B72" s="27">
        <v>0</v>
      </c>
      <c r="C72" s="27">
        <v>0</v>
      </c>
      <c r="D72" s="27">
        <v>0</v>
      </c>
      <c r="E72" s="27">
        <v>0</v>
      </c>
      <c r="F72" s="27">
        <v>0</v>
      </c>
      <c r="G72" s="27">
        <v>0</v>
      </c>
      <c r="H72" s="27">
        <v>0</v>
      </c>
      <c r="I72" s="27">
        <v>0</v>
      </c>
      <c r="J72" s="27">
        <v>0</v>
      </c>
      <c r="K72" s="27">
        <v>0</v>
      </c>
      <c r="L72" s="27">
        <v>0</v>
      </c>
      <c r="M72" s="27">
        <v>0</v>
      </c>
      <c r="N72" s="39">
        <v>-1.4690000000000001</v>
      </c>
      <c r="O72" s="39">
        <v>-1.4690000000000001</v>
      </c>
      <c r="P72" s="39">
        <v>-1.4690000000000001</v>
      </c>
      <c r="Q72" s="39">
        <v>-1.4710000000000001</v>
      </c>
      <c r="R72" s="39">
        <v>-1.1910000000000001</v>
      </c>
      <c r="S72" s="27">
        <v>0</v>
      </c>
      <c r="T72" s="27">
        <v>0</v>
      </c>
      <c r="U72" s="40"/>
    </row>
    <row r="73" spans="1:21" ht="15" customHeight="1" outlineLevel="2">
      <c r="A73" s="28" t="s">
        <v>110</v>
      </c>
      <c r="B73" s="29">
        <v>358.85399999999998</v>
      </c>
      <c r="C73" s="29">
        <v>366.88400000000001</v>
      </c>
      <c r="D73" s="29">
        <v>334.755</v>
      </c>
      <c r="E73" s="29">
        <v>305.19900000000001</v>
      </c>
      <c r="F73" s="29">
        <v>274.42899999999997</v>
      </c>
      <c r="G73" s="29">
        <v>260.38900000000001</v>
      </c>
      <c r="H73" s="29">
        <v>250.30199999999999</v>
      </c>
      <c r="I73" s="29">
        <v>237.494</v>
      </c>
      <c r="J73" s="29">
        <v>229.92400000000001</v>
      </c>
      <c r="K73" s="29">
        <v>209.78399999999999</v>
      </c>
      <c r="L73" s="29">
        <v>202.83099999999999</v>
      </c>
      <c r="M73" s="29">
        <v>185.15700000000001</v>
      </c>
      <c r="N73" s="29">
        <v>175.512</v>
      </c>
      <c r="O73" s="29">
        <v>157.964</v>
      </c>
      <c r="P73" s="29">
        <v>132.18199999999999</v>
      </c>
      <c r="Q73" s="29">
        <v>116.848</v>
      </c>
      <c r="R73" s="29">
        <v>145.18600000000001</v>
      </c>
      <c r="S73" s="29">
        <v>130.68600000000001</v>
      </c>
      <c r="T73" s="29">
        <v>115.053</v>
      </c>
      <c r="U73" s="29">
        <v>103.714</v>
      </c>
    </row>
    <row r="74" spans="1:21" ht="15" customHeight="1" outlineLevel="2">
      <c r="A74" s="26" t="s">
        <v>111</v>
      </c>
      <c r="B74" s="27">
        <v>4.0000000000000001E-3</v>
      </c>
      <c r="C74" s="27">
        <v>3.0000000000000001E-3</v>
      </c>
      <c r="D74" s="27">
        <v>3.0000000000000001E-3</v>
      </c>
      <c r="E74" s="27">
        <v>1.0999999999999999E-2</v>
      </c>
      <c r="F74" s="27">
        <v>1.2E-2</v>
      </c>
      <c r="G74" s="27">
        <v>1.4999999999999999E-2</v>
      </c>
      <c r="H74" s="27">
        <v>1.0999999999999999E-2</v>
      </c>
      <c r="I74" s="27">
        <v>1.7000000000000001E-2</v>
      </c>
      <c r="J74" s="27">
        <v>1.6E-2</v>
      </c>
      <c r="K74" s="27">
        <v>1.2E-2</v>
      </c>
      <c r="L74" s="27">
        <v>8.9999999999999993E-3</v>
      </c>
      <c r="M74" s="27">
        <v>0.01</v>
      </c>
      <c r="N74" s="27">
        <v>5.0000000000000001E-3</v>
      </c>
      <c r="O74" s="27">
        <v>3.0000000000000001E-3</v>
      </c>
      <c r="P74" s="27">
        <v>1E-3</v>
      </c>
      <c r="Q74" s="27">
        <v>1E-3</v>
      </c>
      <c r="R74" s="27">
        <v>9.5000000000000001E-2</v>
      </c>
      <c r="S74" s="27">
        <v>0.27800000000000002</v>
      </c>
      <c r="T74" s="27">
        <v>0.20699999999999999</v>
      </c>
      <c r="U74" s="27">
        <v>0.17100000000000001</v>
      </c>
    </row>
    <row r="75" spans="1:21" ht="15" customHeight="1" outlineLevel="2">
      <c r="A75" s="28" t="s">
        <v>112</v>
      </c>
      <c r="B75" s="29">
        <v>358.858</v>
      </c>
      <c r="C75" s="29">
        <v>366.887</v>
      </c>
      <c r="D75" s="29">
        <v>334.75799999999998</v>
      </c>
      <c r="E75" s="29">
        <v>305.20999999999998</v>
      </c>
      <c r="F75" s="29">
        <v>274.44099999999997</v>
      </c>
      <c r="G75" s="29">
        <v>260.404</v>
      </c>
      <c r="H75" s="29">
        <v>250.31299999999999</v>
      </c>
      <c r="I75" s="29">
        <v>237.511</v>
      </c>
      <c r="J75" s="29">
        <v>229.94</v>
      </c>
      <c r="K75" s="29">
        <v>209.79599999999999</v>
      </c>
      <c r="L75" s="29">
        <v>202.84</v>
      </c>
      <c r="M75" s="29">
        <v>185.167</v>
      </c>
      <c r="N75" s="29">
        <v>175.517</v>
      </c>
      <c r="O75" s="29">
        <v>157.96700000000001</v>
      </c>
      <c r="P75" s="29">
        <v>132.18299999999999</v>
      </c>
      <c r="Q75" s="29">
        <v>116.849</v>
      </c>
      <c r="R75" s="29">
        <v>145.28100000000001</v>
      </c>
      <c r="S75" s="29">
        <v>130.964</v>
      </c>
      <c r="T75" s="29">
        <v>115.26</v>
      </c>
      <c r="U75" s="29">
        <v>103.88500000000001</v>
      </c>
    </row>
    <row r="76" spans="1:21" ht="15" customHeight="1" outlineLevel="1">
      <c r="A76" s="36" t="s">
        <v>113</v>
      </c>
      <c r="B76" s="27">
        <v>484.56799999999998</v>
      </c>
      <c r="C76" s="27">
        <v>506.39800000000002</v>
      </c>
      <c r="D76" s="27">
        <v>467.75099999999998</v>
      </c>
      <c r="E76" s="27">
        <v>415.03300000000002</v>
      </c>
      <c r="F76" s="27">
        <v>347.03399999999999</v>
      </c>
      <c r="G76" s="27">
        <v>360.14600000000002</v>
      </c>
      <c r="H76" s="27">
        <v>366.32600000000002</v>
      </c>
      <c r="I76" s="27">
        <v>330.68700000000001</v>
      </c>
      <c r="J76" s="27">
        <v>309.56299999999999</v>
      </c>
      <c r="K76" s="27">
        <v>288.346</v>
      </c>
      <c r="L76" s="27">
        <v>282.72399999999999</v>
      </c>
      <c r="M76" s="27">
        <v>258.79300000000001</v>
      </c>
      <c r="N76" s="27">
        <v>243.94399999999999</v>
      </c>
      <c r="O76" s="27">
        <v>231.113</v>
      </c>
      <c r="P76" s="27">
        <v>185.024</v>
      </c>
      <c r="Q76" s="27">
        <v>154.13499999999999</v>
      </c>
      <c r="R76" s="27">
        <v>199.85900000000001</v>
      </c>
      <c r="S76" s="27">
        <v>195.03200000000001</v>
      </c>
      <c r="T76" s="27">
        <v>155.07</v>
      </c>
      <c r="U76" s="27">
        <v>139.67400000000001</v>
      </c>
    </row>
    <row r="77" spans="1:21" ht="15" customHeight="1">
      <c r="A77" s="42" t="s">
        <v>114</v>
      </c>
      <c r="B77" s="42"/>
      <c r="C77" s="42"/>
      <c r="D77" s="42"/>
      <c r="E77" s="42"/>
      <c r="F77" s="42"/>
      <c r="G77" s="42"/>
      <c r="H77" s="42"/>
      <c r="I77" s="42"/>
      <c r="J77" s="42"/>
      <c r="K77" s="42"/>
      <c r="L77" s="42"/>
      <c r="M77" s="42"/>
      <c r="N77" s="42"/>
      <c r="O77" s="42"/>
      <c r="P77" s="42"/>
      <c r="Q77" s="42"/>
      <c r="R77" s="42"/>
      <c r="S77" s="42"/>
      <c r="T77" s="42"/>
      <c r="U77" s="42"/>
    </row>
    <row r="78" spans="1:21" ht="15" customHeight="1" outlineLevel="1">
      <c r="A78" s="36" t="s">
        <v>115</v>
      </c>
      <c r="B78" s="27">
        <v>71.770799999999994</v>
      </c>
      <c r="C78" s="27">
        <v>73.376800000000003</v>
      </c>
      <c r="D78" s="27">
        <v>66.950999999999993</v>
      </c>
      <c r="E78" s="27">
        <v>61.0398</v>
      </c>
      <c r="F78" s="27">
        <v>54.885800000000003</v>
      </c>
      <c r="G78" s="27">
        <v>52.077800000000003</v>
      </c>
      <c r="H78" s="27">
        <v>50.060400000000001</v>
      </c>
      <c r="I78" s="27">
        <v>47.498800000000003</v>
      </c>
      <c r="J78" s="27">
        <v>45.9848</v>
      </c>
      <c r="K78" s="27">
        <v>41.956800000000001</v>
      </c>
      <c r="L78" s="27">
        <v>40.566200000000002</v>
      </c>
      <c r="M78" s="27">
        <v>37.031399999999998</v>
      </c>
      <c r="N78" s="27">
        <v>35.301169999999999</v>
      </c>
      <c r="O78" s="27">
        <v>31.77169</v>
      </c>
      <c r="P78" s="27">
        <v>26.586099999999998</v>
      </c>
      <c r="Q78" s="27">
        <v>23.399819999999998</v>
      </c>
      <c r="R78" s="27">
        <v>29.163740000000001</v>
      </c>
      <c r="S78" s="27">
        <v>26.1372</v>
      </c>
      <c r="T78" s="27">
        <v>23.0106</v>
      </c>
      <c r="U78" s="27">
        <v>20.742799999999999</v>
      </c>
    </row>
    <row r="79" spans="1:21" ht="15" customHeight="1" outlineLevel="1">
      <c r="A79" s="41" t="s">
        <v>116</v>
      </c>
      <c r="B79" s="29">
        <v>70.028000000000006</v>
      </c>
      <c r="C79" s="29">
        <v>71.576999999999998</v>
      </c>
      <c r="D79" s="29">
        <v>65.030799999999999</v>
      </c>
      <c r="E79" s="29">
        <v>58.980400000000003</v>
      </c>
      <c r="F79" s="29">
        <v>52.641199999999998</v>
      </c>
      <c r="G79" s="29">
        <v>49.744799999999998</v>
      </c>
      <c r="H79" s="29">
        <v>47.594999999999999</v>
      </c>
      <c r="I79" s="29">
        <v>47.148000000000003</v>
      </c>
      <c r="J79" s="29">
        <v>45.692399999999999</v>
      </c>
      <c r="K79" s="29">
        <v>41.7194</v>
      </c>
      <c r="L79" s="29">
        <v>40.274799999999999</v>
      </c>
      <c r="M79" s="29">
        <v>36.847000000000001</v>
      </c>
      <c r="N79" s="29">
        <v>35.145490000000002</v>
      </c>
      <c r="O79" s="29">
        <v>31.511026000000001</v>
      </c>
      <c r="P79" s="29">
        <v>26.295258</v>
      </c>
      <c r="Q79" s="29">
        <v>23.191955</v>
      </c>
      <c r="R79" s="29">
        <v>28.893568999999999</v>
      </c>
      <c r="S79" s="29">
        <v>25.785399999999999</v>
      </c>
      <c r="T79" s="29">
        <v>22.605399999999999</v>
      </c>
      <c r="U79" s="29">
        <v>20.509799999999998</v>
      </c>
    </row>
    <row r="80" spans="1:21" ht="15" customHeight="1">
      <c r="A80" s="43" t="s">
        <v>117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E51"/>
  <sheetViews>
    <sheetView zoomScale="77" workbookViewId="0"/>
  </sheetViews>
  <sheetFormatPr defaultRowHeight="15.6"/>
  <cols>
    <col min="1" max="1" width="76.33203125" style="8" bestFit="1" customWidth="1"/>
    <col min="2" max="2" width="16.33203125" style="8" customWidth="1"/>
    <col min="3" max="16384" width="8.88671875" style="8"/>
  </cols>
  <sheetData>
    <row r="1" spans="1:4">
      <c r="A1" s="7" t="s">
        <v>14</v>
      </c>
      <c r="B1" s="7" t="s">
        <v>5</v>
      </c>
      <c r="C1" s="7" t="s">
        <v>28</v>
      </c>
    </row>
    <row r="2" spans="1:4">
      <c r="A2" s="3" t="s">
        <v>178</v>
      </c>
      <c r="B2" s="9"/>
      <c r="C2" s="17" t="s">
        <v>164</v>
      </c>
    </row>
    <row r="3" spans="1:4">
      <c r="A3" s="3" t="s">
        <v>179</v>
      </c>
      <c r="B3" s="9"/>
      <c r="C3" s="17" t="s">
        <v>164</v>
      </c>
    </row>
    <row r="4" spans="1:4">
      <c r="A4" s="3" t="s">
        <v>180</v>
      </c>
      <c r="B4" s="9"/>
      <c r="C4" s="17" t="s">
        <v>164</v>
      </c>
    </row>
    <row r="5" spans="1:4">
      <c r="A5" s="3" t="s">
        <v>181</v>
      </c>
      <c r="B5" s="9"/>
      <c r="C5" s="17" t="s">
        <v>164</v>
      </c>
    </row>
    <row r="6" spans="1:4">
      <c r="A6" s="3" t="s">
        <v>182</v>
      </c>
      <c r="B6" s="9"/>
      <c r="C6" s="17" t="s">
        <v>164</v>
      </c>
    </row>
    <row r="7" spans="1:4">
      <c r="A7" s="3" t="s">
        <v>183</v>
      </c>
      <c r="B7" s="9"/>
      <c r="C7" s="17" t="s">
        <v>164</v>
      </c>
    </row>
    <row r="8" spans="1:4">
      <c r="A8" s="3" t="s">
        <v>184</v>
      </c>
      <c r="B8" s="9"/>
      <c r="C8" s="17" t="s">
        <v>164</v>
      </c>
    </row>
    <row r="9" spans="1:4">
      <c r="A9" s="3" t="s">
        <v>185</v>
      </c>
      <c r="B9" s="9"/>
      <c r="C9" s="17" t="s">
        <v>164</v>
      </c>
    </row>
    <row r="10" spans="1:4">
      <c r="A10" s="3" t="s">
        <v>186</v>
      </c>
      <c r="B10" s="9"/>
      <c r="C10" s="17" t="s">
        <v>164</v>
      </c>
    </row>
    <row r="11" spans="1:4">
      <c r="A11" s="3" t="s">
        <v>187</v>
      </c>
      <c r="B11" s="9"/>
      <c r="C11" s="17" t="s">
        <v>164</v>
      </c>
    </row>
    <row r="12" spans="1:4">
      <c r="A12" s="3" t="s">
        <v>188</v>
      </c>
      <c r="B12" s="9"/>
      <c r="C12" s="17" t="s">
        <v>164</v>
      </c>
    </row>
    <row r="13" spans="1:4">
      <c r="A13" s="3" t="s">
        <v>189</v>
      </c>
      <c r="B13" s="9"/>
      <c r="C13" s="17" t="s">
        <v>164</v>
      </c>
    </row>
    <row r="14" spans="1:4">
      <c r="A14" s="3" t="s">
        <v>190</v>
      </c>
      <c r="B14" s="9"/>
      <c r="C14" s="17" t="s">
        <v>164</v>
      </c>
      <c r="D14" s="8" t="s">
        <v>177</v>
      </c>
    </row>
    <row r="15" spans="1:4">
      <c r="A15" s="3" t="s">
        <v>191</v>
      </c>
      <c r="B15" s="9"/>
      <c r="C15" s="17" t="s">
        <v>164</v>
      </c>
    </row>
    <row r="16" spans="1:4">
      <c r="A16" s="3" t="s">
        <v>192</v>
      </c>
      <c r="B16" s="9"/>
      <c r="C16" s="17" t="s">
        <v>164</v>
      </c>
    </row>
    <row r="17" spans="1:3">
      <c r="A17" s="3" t="s">
        <v>193</v>
      </c>
      <c r="B17" s="9"/>
      <c r="C17" s="17" t="s">
        <v>164</v>
      </c>
    </row>
    <row r="18" spans="1:3">
      <c r="A18" s="3" t="s">
        <v>194</v>
      </c>
      <c r="B18" s="9"/>
      <c r="C18" s="17" t="s">
        <v>164</v>
      </c>
    </row>
    <row r="19" spans="1:3">
      <c r="A19" s="3" t="s">
        <v>195</v>
      </c>
      <c r="B19" s="9"/>
      <c r="C19" s="17" t="s">
        <v>164</v>
      </c>
    </row>
    <row r="20" spans="1:3">
      <c r="A20" s="3" t="s">
        <v>196</v>
      </c>
      <c r="B20" s="9"/>
      <c r="C20" s="17" t="s">
        <v>164</v>
      </c>
    </row>
    <row r="21" spans="1:3">
      <c r="A21" s="3" t="s">
        <v>197</v>
      </c>
      <c r="B21" s="9"/>
      <c r="C21" s="17" t="s">
        <v>164</v>
      </c>
    </row>
    <row r="22" spans="1:3">
      <c r="A22" s="3" t="s">
        <v>198</v>
      </c>
      <c r="B22" s="9"/>
      <c r="C22" s="17" t="s">
        <v>164</v>
      </c>
    </row>
    <row r="23" spans="1:3">
      <c r="A23" s="3" t="s">
        <v>199</v>
      </c>
      <c r="B23" s="9"/>
      <c r="C23" s="17" t="s">
        <v>164</v>
      </c>
    </row>
    <row r="24" spans="1:3">
      <c r="A24" s="3" t="s">
        <v>200</v>
      </c>
      <c r="B24" s="9"/>
      <c r="C24" s="17" t="s">
        <v>164</v>
      </c>
    </row>
    <row r="25" spans="1:3">
      <c r="A25" s="3" t="s">
        <v>201</v>
      </c>
      <c r="B25" s="9"/>
      <c r="C25" s="17" t="s">
        <v>164</v>
      </c>
    </row>
    <row r="26" spans="1:3">
      <c r="A26" s="3" t="s">
        <v>202</v>
      </c>
      <c r="B26" s="9"/>
      <c r="C26" s="17" t="s">
        <v>164</v>
      </c>
    </row>
    <row r="27" spans="1:3">
      <c r="A27" s="3" t="s">
        <v>203</v>
      </c>
      <c r="B27" s="9"/>
      <c r="C27" s="17" t="s">
        <v>164</v>
      </c>
    </row>
    <row r="28" spans="1:3">
      <c r="A28" s="3" t="s">
        <v>204</v>
      </c>
      <c r="B28" s="9"/>
      <c r="C28" s="17" t="s">
        <v>164</v>
      </c>
    </row>
    <row r="29" spans="1:3">
      <c r="A29" s="3" t="s">
        <v>205</v>
      </c>
      <c r="B29" s="9"/>
      <c r="C29" s="17" t="s">
        <v>164</v>
      </c>
    </row>
    <row r="30" spans="1:3">
      <c r="A30" s="3" t="s">
        <v>206</v>
      </c>
      <c r="B30" s="9"/>
      <c r="C30" s="17" t="s">
        <v>164</v>
      </c>
    </row>
    <row r="31" spans="1:3">
      <c r="A31" s="3" t="s">
        <v>207</v>
      </c>
      <c r="B31" s="9"/>
      <c r="C31" s="17" t="s">
        <v>164</v>
      </c>
    </row>
    <row r="32" spans="1:3">
      <c r="A32" s="3" t="s">
        <v>208</v>
      </c>
      <c r="B32" s="9"/>
      <c r="C32" s="17" t="s">
        <v>8</v>
      </c>
    </row>
    <row r="33" spans="1:5">
      <c r="A33" s="3" t="s">
        <v>209</v>
      </c>
      <c r="B33" s="9"/>
      <c r="C33" s="17" t="s">
        <v>8</v>
      </c>
    </row>
    <row r="34" spans="1:5">
      <c r="A34" s="3" t="s">
        <v>210</v>
      </c>
      <c r="B34" s="9"/>
      <c r="C34" s="17" t="s">
        <v>8</v>
      </c>
    </row>
    <row r="35" spans="1:5">
      <c r="A35" s="3" t="s">
        <v>211</v>
      </c>
      <c r="B35" s="9"/>
      <c r="C35" s="17" t="s">
        <v>8</v>
      </c>
    </row>
    <row r="36" spans="1:5">
      <c r="A36" s="3" t="s">
        <v>212</v>
      </c>
      <c r="B36" s="9"/>
      <c r="C36" s="17" t="s">
        <v>8</v>
      </c>
    </row>
    <row r="37" spans="1:5">
      <c r="A37" s="3" t="s">
        <v>213</v>
      </c>
      <c r="B37" s="9"/>
      <c r="C37" s="17" t="s">
        <v>8</v>
      </c>
    </row>
    <row r="38" spans="1:5">
      <c r="A38" s="3" t="s">
        <v>214</v>
      </c>
      <c r="B38" s="9"/>
      <c r="C38" s="17" t="s">
        <v>8</v>
      </c>
      <c r="E38" s="8" t="s">
        <v>177</v>
      </c>
    </row>
    <row r="39" spans="1:5">
      <c r="A39" s="3" t="s">
        <v>215</v>
      </c>
      <c r="B39" s="9"/>
      <c r="C39" s="17" t="s">
        <v>8</v>
      </c>
    </row>
    <row r="40" spans="1:5">
      <c r="A40" s="3" t="s">
        <v>216</v>
      </c>
      <c r="B40" s="9"/>
      <c r="C40" s="17" t="s">
        <v>8</v>
      </c>
    </row>
    <row r="41" spans="1:5">
      <c r="A41" s="3" t="s">
        <v>216</v>
      </c>
      <c r="B41" s="9"/>
      <c r="C41" s="17" t="s">
        <v>8</v>
      </c>
    </row>
    <row r="42" spans="1:5">
      <c r="A42" s="3" t="s">
        <v>217</v>
      </c>
      <c r="B42" s="9"/>
      <c r="C42" s="17" t="s">
        <v>8</v>
      </c>
    </row>
    <row r="43" spans="1:5">
      <c r="A43" s="3" t="s">
        <v>217</v>
      </c>
      <c r="B43" s="9"/>
      <c r="C43" s="17" t="s">
        <v>8</v>
      </c>
    </row>
    <row r="44" spans="1:5">
      <c r="A44" s="3" t="s">
        <v>218</v>
      </c>
      <c r="B44" s="9"/>
      <c r="C44" s="17" t="s">
        <v>8</v>
      </c>
    </row>
    <row r="45" spans="1:5">
      <c r="A45" s="3" t="s">
        <v>219</v>
      </c>
      <c r="B45" s="9"/>
      <c r="C45" s="17" t="s">
        <v>8</v>
      </c>
    </row>
    <row r="46" spans="1:5">
      <c r="A46" s="3" t="s">
        <v>220</v>
      </c>
      <c r="B46" s="9"/>
      <c r="C46" s="17" t="s">
        <v>8</v>
      </c>
    </row>
    <row r="47" spans="1:5">
      <c r="A47" s="3" t="s">
        <v>221</v>
      </c>
      <c r="B47" s="9"/>
      <c r="C47" s="17" t="s">
        <v>8</v>
      </c>
    </row>
    <row r="48" spans="1:5">
      <c r="A48" s="3" t="s">
        <v>222</v>
      </c>
      <c r="B48" s="9"/>
      <c r="C48" s="17" t="s">
        <v>8</v>
      </c>
    </row>
    <row r="49" spans="1:3">
      <c r="A49" s="3" t="s">
        <v>223</v>
      </c>
      <c r="B49" s="9"/>
      <c r="C49" s="17" t="s">
        <v>8</v>
      </c>
    </row>
    <row r="50" spans="1:3">
      <c r="A50" s="3" t="s">
        <v>224</v>
      </c>
      <c r="B50" s="9"/>
      <c r="C50" s="17" t="s">
        <v>8</v>
      </c>
    </row>
    <row r="51" spans="1:3">
      <c r="A51" s="3" t="s">
        <v>225</v>
      </c>
      <c r="B51" s="9"/>
      <c r="C51" s="17"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Assumption</vt:lpstr>
      <vt:lpstr>Income Statement</vt:lpstr>
      <vt:lpstr>Balance Sheet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2026-05-02T00:39:17Z</dcterms:modified>
</cp:coreProperties>
</file>