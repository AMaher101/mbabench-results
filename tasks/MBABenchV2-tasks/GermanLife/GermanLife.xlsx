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tirement _ Savings Calculators\GermanLife\starting_files\"/>
    </mc:Choice>
  </mc:AlternateContent>
  <xr:revisionPtr revIDLastSave="0" documentId="13_ncr:1_{892F9D86-4E05-4DBF-82FE-F7E10394915D}" xr6:coauthVersionLast="47" xr6:coauthVersionMax="47" xr10:uidLastSave="{00000000-0000-0000-0000-000000000000}"/>
  <bookViews>
    <workbookView xWindow="-108" yWindow="-108" windowWidth="23256" windowHeight="12456" tabRatio="709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9" l="1"/>
  <c r="A1" i="9" l="1"/>
</calcChain>
</file>

<file path=xl/sharedStrings.xml><?xml version="1.0" encoding="utf-8"?>
<sst xmlns="http://schemas.openxmlformats.org/spreadsheetml/2006/main" count="321" uniqueCount="216">
  <si>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</si>
  <si>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</si>
  <si>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</si>
  <si>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</si>
  <si>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</si>
  <si>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</si>
  <si>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[% p.a.]</t>
  </si>
  <si>
    <t>Wealth Management Task</t>
  </si>
  <si>
    <t>Model information</t>
  </si>
  <si>
    <t>Start date</t>
  </si>
  <si>
    <t>Age at start date</t>
  </si>
  <si>
    <t>Salary information</t>
  </si>
  <si>
    <t>Retirement age</t>
  </si>
  <si>
    <t>Maximum age</t>
  </si>
  <si>
    <t>Initial salary</t>
  </si>
  <si>
    <r>
      <t>[</t>
    </r>
    <r>
      <rPr>
        <sz val="10"/>
        <color rgb="FF0000FF"/>
        <rFont val="Aptos Narrow"/>
        <family val="2"/>
      </rPr>
      <t>€</t>
    </r>
    <r>
      <rPr>
        <sz val="10"/>
        <color rgb="FF0000FF"/>
        <rFont val="Aptos Narrow"/>
        <family val="2"/>
        <scheme val="minor"/>
      </rPr>
      <t>]</t>
    </r>
  </si>
  <si>
    <t>[€]</t>
  </si>
  <si>
    <t>Annual regular salary increase</t>
  </si>
  <si>
    <t>Promotion salary increase</t>
  </si>
  <si>
    <t>[%]</t>
  </si>
  <si>
    <t>Promotion every:</t>
  </si>
  <si>
    <t>Income Range (€)</t>
  </si>
  <si>
    <t>Tax Rate</t>
  </si>
  <si>
    <t>Income Tax</t>
  </si>
  <si>
    <t>Category</t>
  </si>
  <si>
    <t>Investments</t>
  </si>
  <si>
    <t>Investment interest (before retirement)</t>
  </si>
  <si>
    <t>Build an annual financial life plan (model) based on the instructions and the assumptions given.</t>
  </si>
  <si>
    <t>Expenses (monthly)</t>
  </si>
  <si>
    <t>Months per year</t>
  </si>
  <si>
    <t>Retirement / Savings Calculators - German Life</t>
  </si>
  <si>
    <t>Answer the questions with the results from your model.</t>
  </si>
  <si>
    <t>This person is living in Germany, but no worries, everything you need to know will be provided to you as information.</t>
  </si>
  <si>
    <t>0 – 12,348</t>
  </si>
  <si>
    <t>277,825.01 and above</t>
  </si>
  <si>
    <t>69,879.01 – 277,825</t>
  </si>
  <si>
    <t>12,348.01 – 14,000</t>
  </si>
  <si>
    <t>14,000.01 – 16,000</t>
  </si>
  <si>
    <t>16,000.01 – 17,799</t>
  </si>
  <si>
    <t>17,799.01 – 20,000</t>
  </si>
  <si>
    <t>20,000.01 – 23,000</t>
  </si>
  <si>
    <t>23,000.01 – 26,000</t>
  </si>
  <si>
    <t>26,000.01 – 30,000</t>
  </si>
  <si>
    <t>30,000.01 – 35,000</t>
  </si>
  <si>
    <t>35,000.01 – 40,000</t>
  </si>
  <si>
    <t>40,000.01 – 45,000</t>
  </si>
  <si>
    <t>45,000.01 – 50,000</t>
  </si>
  <si>
    <t>50,000.01 – 55,000</t>
  </si>
  <si>
    <t>55,000.01 – 60,000</t>
  </si>
  <si>
    <t>60,000.01 – 65,000</t>
  </si>
  <si>
    <t>65,000.01 – 69,879</t>
  </si>
  <si>
    <t>Solidarity - surcharge Tax-free allowance (single)</t>
  </si>
  <si>
    <t>Solidarity - surcharge Tax-free allowance (married)</t>
  </si>
  <si>
    <t>Income Tax-based</t>
  </si>
  <si>
    <t>Solidarity - surcharge rate</t>
  </si>
  <si>
    <t>of Income tax</t>
  </si>
  <si>
    <t>Brackets if both are married</t>
  </si>
  <si>
    <t>Factor</t>
  </si>
  <si>
    <t>Social Security</t>
  </si>
  <si>
    <t>Pension insurance - employee rate</t>
  </si>
  <si>
    <t>Health insurance - employee rate</t>
  </si>
  <si>
    <t>Unemployment insurance - employee rate</t>
  </si>
  <si>
    <t>Long-Term care insurance - employee rate</t>
  </si>
  <si>
    <t>Investment tax (realized gains)</t>
  </si>
  <si>
    <t>Tax rate</t>
  </si>
  <si>
    <t>Assumption (how much of investment value are unrealized gains)</t>
  </si>
  <si>
    <t>Single person</t>
  </si>
  <si>
    <t>Child 0-6</t>
  </si>
  <si>
    <t>Child 7-10</t>
  </si>
  <si>
    <t>Child 11-14</t>
  </si>
  <si>
    <t>Child 14-18</t>
  </si>
  <si>
    <t>Child 18-25</t>
  </si>
  <si>
    <t>Monthly expenses (2027 values)</t>
  </si>
  <si>
    <t>Two persons living together</t>
  </si>
  <si>
    <t>Pension</t>
  </si>
  <si>
    <t>Percentage of average income over the last 5 years before retirement</t>
  </si>
  <si>
    <t>Task:</t>
  </si>
  <si>
    <t>Although the model is starting for a single person, it will merge into a family model, since the starting person will marry and have kids.</t>
  </si>
  <si>
    <t>Life plan</t>
  </si>
  <si>
    <t>Marriage date</t>
  </si>
  <si>
    <t>Living together since</t>
  </si>
  <si>
    <t>Percentage of expenses spend for housing/rent</t>
  </si>
  <si>
    <t>Spouse age at marriage</t>
  </si>
  <si>
    <t>First kid</t>
  </si>
  <si>
    <t>Second kid</t>
  </si>
  <si>
    <t>Third kid</t>
  </si>
  <si>
    <t>You are given assumptions about the life of a male person - you have to build his annual financial life plan.</t>
  </si>
  <si>
    <t>Stay at home after each birth</t>
  </si>
  <si>
    <t>[year]</t>
  </si>
  <si>
    <t>General inflation</t>
  </si>
  <si>
    <t>[€/month]</t>
  </si>
  <si>
    <t>(2027 figure)</t>
  </si>
  <si>
    <t>House</t>
  </si>
  <si>
    <t>Price</t>
  </si>
  <si>
    <t>Net worth of spouse at marriage</t>
  </si>
  <si>
    <t>(all in cash)</t>
  </si>
  <si>
    <t>(of home price)</t>
  </si>
  <si>
    <t>Loan for house</t>
  </si>
  <si>
    <t>Remaining Amount in the end</t>
  </si>
  <si>
    <t>Interest rate</t>
  </si>
  <si>
    <t>Loan Duration</t>
  </si>
  <si>
    <t>Loan Type</t>
  </si>
  <si>
    <t>Payment Frequency</t>
  </si>
  <si>
    <t>Compound Period</t>
  </si>
  <si>
    <t>Annual</t>
  </si>
  <si>
    <t>Payment Type</t>
  </si>
  <si>
    <t>End of the period</t>
  </si>
  <si>
    <t>Annuity Loan</t>
  </si>
  <si>
    <t>Wife income information</t>
  </si>
  <si>
    <t>Net worth at model start</t>
  </si>
  <si>
    <t>Salary is brt.:</t>
  </si>
  <si>
    <t>2. After that you calculate the tax on the amount -social security payments</t>
  </si>
  <si>
    <t>If your income tax is over certain tresholds, you have to pay additional solidarity surcharge (based on the whole income tax payable).</t>
  </si>
  <si>
    <t>In retirement you will get a pension.</t>
  </si>
  <si>
    <t>Pension is brt.:</t>
  </si>
  <si>
    <t>1. You have to substract all social security payments from the income (you have to pay this, but it's substracted for taxable income calculation)</t>
  </si>
  <si>
    <t>of brt. Income/ Pension</t>
  </si>
  <si>
    <t>1. You have to substract social security payment Health insurance and Long-Term care insurance from the income (you have to pay this, but it's substracted for taxable income calculation)</t>
  </si>
  <si>
    <t>Overdraft interest (cash)</t>
  </si>
  <si>
    <t>The person will marry and have 3 kids. They will:</t>
  </si>
  <si>
    <t>1. Live together</t>
  </si>
  <si>
    <t>2. Marry</t>
  </si>
  <si>
    <t>3. Have kid 1</t>
  </si>
  <si>
    <t>4. Buy a house</t>
  </si>
  <si>
    <t>5. Have kid 2</t>
  </si>
  <si>
    <t>6. Have kid 3</t>
  </si>
  <si>
    <t>House value appreciation</t>
  </si>
  <si>
    <t>(shared 50/50 when not married)</t>
  </si>
  <si>
    <t>The wife is earning more initially, but does not get promoted (not possible in her government [administration] role).</t>
  </si>
  <si>
    <t>After giving birth, the wife stays at home for a given period.</t>
  </si>
  <si>
    <t>She gets social security transfer during that time - capped.</t>
  </si>
  <si>
    <t xml:space="preserve">Although parental leave benefits are tax-free, they are subject to what is known as the “progression clause.” </t>
  </si>
  <si>
    <t>They buy a house together.</t>
  </si>
  <si>
    <t>Additional buying costs</t>
  </si>
  <si>
    <t>When buying a house they have to pay for the house as well as pay the additional buying costs.</t>
  </si>
  <si>
    <t>For buying a house they take a loan.</t>
  </si>
  <si>
    <t>The loan amount is the home price + additional buying costs - accumulated invesments by both partners (results rounded up to full ten thousand).</t>
  </si>
  <si>
    <t>There are no extraordinary repayments made.</t>
  </si>
  <si>
    <t>Before buying a house both invest conservative (since the money has to be available for home purchase).</t>
  </si>
  <si>
    <t>Payment during that time (parental leave benefits)</t>
  </si>
  <si>
    <t>Payment cap (parental leave benefits)</t>
  </si>
  <si>
    <t>Any money left over at the end of the year is invested.</t>
  </si>
  <si>
    <t>In retirement the person is using his savings for covering expenses, if pension payment is insufficient.</t>
  </si>
  <si>
    <t>There is no other information to factor in.</t>
  </si>
  <si>
    <t>Expenses are based on the number of people part of the family.</t>
  </si>
  <si>
    <t>Inflation will be applied to:</t>
  </si>
  <si>
    <r>
      <t xml:space="preserve">If not specified, then </t>
    </r>
    <r>
      <rPr>
        <sz val="12"/>
        <color theme="1"/>
        <rFont val="Aptos Narrow"/>
        <family val="2"/>
      </rPr>
      <t>€</t>
    </r>
    <r>
      <rPr>
        <sz val="12"/>
        <color theme="1"/>
        <rFont val="Aptos"/>
        <family val="2"/>
      </rPr>
      <t>-amounts are 2027 figures.</t>
    </r>
  </si>
  <si>
    <t>- Expenses</t>
  </si>
  <si>
    <t>- House price (before buying)</t>
  </si>
  <si>
    <t>No tax on appreciated house worth.</t>
  </si>
  <si>
    <r>
      <t xml:space="preserve">The person is working from 26 until 67 (excluding) in a job where he either gets the annual salary increase </t>
    </r>
    <r>
      <rPr>
        <u/>
        <sz val="12"/>
        <color theme="1"/>
        <rFont val="Aptos"/>
        <family val="2"/>
      </rPr>
      <t>or</t>
    </r>
    <r>
      <rPr>
        <sz val="12"/>
        <color theme="1"/>
        <rFont val="Aptos"/>
        <family val="2"/>
      </rPr>
      <t xml:space="preserve"> is promoted (at YE) with a one-time (higher) salary increase (no annual increase in that year).</t>
    </r>
  </si>
  <si>
    <t>If you are married you will file taxes together - you income will be added together (after separate social security payment substractions) and it is calculated based on doubled tax brackets.</t>
  </si>
  <si>
    <t>No social security contributions to pay for the partner in parental leave.</t>
  </si>
  <si>
    <t>This means that they are not taxed directly, but are added to your other (joint) income for the tax rate calculation, resulting in a higher tax rate (tax income with benefits/ income with benefits * income without benefits).</t>
  </si>
  <si>
    <t>Pension calculation: Average brt. income over the last 5 years before retirement (average of salary) * Percentage</t>
  </si>
  <si>
    <t>(continious increase, even when in parental leave)</t>
  </si>
  <si>
    <t>When married, the model will include both partners with their net worth, salaries, expenses, … from thereone.</t>
  </si>
  <si>
    <t>Move-in/ Payment date</t>
  </si>
  <si>
    <t>Assume that all payments are made/received at the end of a year (ie. % are calculated on the opening balances) (31.12. = 01.01. regarding that assumption).</t>
  </si>
  <si>
    <t>Investments are compounded and only realized when necessary.</t>
  </si>
  <si>
    <t>After buying a home, the regular expenses will be lower (% given) since funds that were used to pay rent are now used to pay down the home.</t>
  </si>
  <si>
    <t>- Parental leave benefits payment cap</t>
  </si>
  <si>
    <t>Net worth figure is after tax on unrealized gains (net = all assets - all liabilities).</t>
  </si>
  <si>
    <t>Promotions are applying after x years working since the previous promotion or the work life start.</t>
  </si>
  <si>
    <t>Kids expenses are added on top (there will be no partial-year in several brackets…all kids were born 01/01).</t>
  </si>
  <si>
    <t>- Income brackets and Solidarity Surcharge tresholds</t>
  </si>
  <si>
    <t>Pension is not inflation indexed.</t>
  </si>
  <si>
    <t>of brt. income before birth</t>
  </si>
  <si>
    <t>Social security contributions are capped.</t>
  </si>
  <si>
    <t>Pension insurance - cap (annual)</t>
  </si>
  <si>
    <t>Health insurance - cap (annual)</t>
  </si>
  <si>
    <t>Unemployment insurance - cap (annual)</t>
  </si>
  <si>
    <t>Long-Term care insurance - cap (annual)</t>
  </si>
  <si>
    <t>- Social security caps</t>
  </si>
  <si>
    <t>You do not have to pay contributions on brt. income above.</t>
  </si>
  <si>
    <t>(starting from value at move-in date)</t>
  </si>
  <si>
    <t>Liquid Investment interest (before buying a house)</t>
  </si>
  <si>
    <t>After that they invest more aggressive until retirement of the first person.</t>
  </si>
  <si>
    <t>of Investment tax (no allowance)</t>
  </si>
  <si>
    <t>Investment returns are substitute to tax - for simplification it is assumed, that 80% of investment amount is return [since otherwise FIFO would need to be applied]).</t>
  </si>
  <si>
    <t>In case of insufficient funds, the regular account (cash) is used (also in retirement) - unlimited, modelled as if it would be a negative investment (instead of separate cash account model).</t>
  </si>
  <si>
    <t xml:space="preserve"> </t>
  </si>
  <si>
    <t>What will the YE amount for Expenses be in the year 2037?</t>
  </si>
  <si>
    <t>What will the YE amount for Expenses be in the year 2039?</t>
  </si>
  <si>
    <t>What will the YE amount for Expenses be in the year 2041?</t>
  </si>
  <si>
    <t>What will the YE amount for Expenses be in the year 2048?</t>
  </si>
  <si>
    <t>What will the YE amount for Expenses be in the year 2060?</t>
  </si>
  <si>
    <t>What will the YE amount for Expenses be in the year 2066?</t>
  </si>
  <si>
    <t>What will the YE amount for Expenses be in the year 2080?</t>
  </si>
  <si>
    <t>What will the YE amount for Expenses be in the year 2086?</t>
  </si>
  <si>
    <t>What will the YE amount for Expenses be in the year 2092?</t>
  </si>
  <si>
    <t>What will the YE amount for Expenses be in the year 2100?</t>
  </si>
  <si>
    <t>What will the YE amount for Expenses be in the year 2101?</t>
  </si>
  <si>
    <t>What will the YE amount for Investment ending balance be in the year 2031?</t>
  </si>
  <si>
    <t>What will the YE amount for Investment ending balance be in the year 2063?</t>
  </si>
  <si>
    <t>What will the YE amount for Net Worth be in the year 2028?</t>
  </si>
  <si>
    <t>What will the YE amount for Net Worth be in the year 2051?</t>
  </si>
  <si>
    <t>What will the YE amount for Net Worth be in the year 2060?</t>
  </si>
  <si>
    <t>What will the YE amount for Net Worth be in the year 2063?</t>
  </si>
  <si>
    <t>What will the YE amount for Net Worth be in the year 2080?</t>
  </si>
  <si>
    <t>What will the YE amount for Net Worth be in the year 2087?</t>
  </si>
  <si>
    <t>What will the YE amount for Net Worth be in the year 2094?</t>
  </si>
  <si>
    <t>What will the YE amount for Net Worth be in the year 2095?</t>
  </si>
  <si>
    <t>What will the YE amount for Take home pay be in the year 2028?</t>
  </si>
  <si>
    <t>What will the YE amount for Take home pay be in the year 2043?</t>
  </si>
  <si>
    <t>What will the YE amount for Take home pay be in the year 2052?</t>
  </si>
  <si>
    <t>What will the YE amount for Take home pay be in the year 2063?</t>
  </si>
  <si>
    <t>What will the YE amount for Take home pay be in the year 2071?</t>
  </si>
  <si>
    <t>What will the YE amount for Take home pay be in the year 2077?</t>
  </si>
  <si>
    <t>What will the YE amount for Take home pay be in the year 2079?</t>
  </si>
  <si>
    <t>What will the YE amount for Take home pay be in the year 2094?</t>
  </si>
  <si>
    <t>What will the YE amount for Take home pay be in the year 2098?</t>
  </si>
  <si>
    <t>Take home pay is including pension payments.</t>
  </si>
  <si>
    <t>Investment interest (in retirement)</t>
  </si>
  <si>
    <t>(one of the partners in retirement)</t>
  </si>
  <si>
    <t>If you are married you will file taxes together - your income will be added together (after separate social security payment subtractions) and it is calculated based on doubled tax brackets.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</si>
</sst>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0"/>
      <color rgb="FF0000FF"/>
      <name val="Aptos Narrow"/>
      <family val="2"/>
    </font>
    <font>
      <u/>
      <sz val="12"/>
      <color theme="1"/>
      <name val="Aptos"/>
      <family val="2"/>
    </font>
    <font>
      <sz val="12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7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3" fontId="5" fillId="2" borderId="2" xfId="0" applyNumberFormat="1" applyFont="1" applyFill="1" applyBorder="1"/>
    <xf numFmtId="4" fontId="0" fillId="0" borderId="0" xfId="0" applyNumberFormat="1"/>
    <xf numFmtId="165" fontId="9" fillId="0" borderId="0" xfId="6" applyNumberFormat="1">
      <alignment horizontal="right"/>
    </xf>
    <xf numFmtId="0" fontId="15" fillId="0" borderId="0" xfId="0" quotePrefix="1" applyFont="1" applyAlignment="1">
      <alignment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85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7" customWidth="1"/>
    <col min="2" max="2" width="32.109375" style="9" customWidth="1"/>
    <col min="3" max="3" width="17.109375" style="9" bestFit="1" customWidth="1"/>
    <col min="4" max="4" width="20.88671875" style="9" bestFit="1" customWidth="1"/>
    <col min="5" max="5" width="24.109375" style="9" customWidth="1"/>
    <col min="6" max="6" width="21.5546875" style="9" customWidth="1"/>
    <col min="7" max="7" width="26.33203125" style="9" bestFit="1" customWidth="1"/>
    <col min="8" max="8" width="40.109375" style="9" customWidth="1"/>
    <col min="9" max="9" width="23.5546875" style="10" customWidth="1"/>
    <col min="10" max="10" width="23.5546875" style="8" customWidth="1"/>
    <col min="11" max="11" width="27.77734375" style="8" customWidth="1"/>
    <col min="12" max="12" width="20.5546875" style="8" customWidth="1"/>
    <col min="13" max="376" width="11.109375" style="8" bestFit="1" customWidth="1"/>
    <col min="377" max="377" width="5.21875" style="8"/>
    <col min="378" max="383" width="9.6640625" style="8" customWidth="1"/>
    <col min="384" max="384" width="5.21875" style="8"/>
    <col min="385" max="393" width="9.6640625" style="8" customWidth="1"/>
    <col min="394" max="16384" width="5.21875" style="8"/>
  </cols>
  <sheetData>
    <row r="1" spans="2:11" ht="15" customHeight="1">
      <c r="B1" s="7"/>
      <c r="C1" s="7"/>
      <c r="D1" s="7"/>
      <c r="E1" s="7"/>
      <c r="F1" s="7"/>
      <c r="G1" s="7"/>
      <c r="H1" s="7"/>
      <c r="I1" s="7"/>
      <c r="J1" s="7"/>
      <c r="K1" s="7"/>
    </row>
    <row r="2" spans="2:11" ht="60.75" customHeight="1">
      <c r="B2" s="22" t="s">
        <v>7</v>
      </c>
      <c r="C2" s="23"/>
      <c r="D2" s="23"/>
      <c r="E2" s="23"/>
      <c r="F2" s="23"/>
      <c r="G2" s="23"/>
      <c r="H2" s="23"/>
      <c r="I2" s="23"/>
      <c r="J2" s="23"/>
      <c r="K2" s="24"/>
    </row>
    <row r="3" spans="2:11" ht="15" customHeight="1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3.75" customHeight="1">
      <c r="B4" s="25" t="s">
        <v>30</v>
      </c>
      <c r="C4" s="26"/>
      <c r="D4" s="26"/>
      <c r="E4" s="26"/>
      <c r="F4" s="26"/>
      <c r="G4" s="26"/>
      <c r="H4" s="26"/>
      <c r="I4" s="26"/>
      <c r="J4" s="7"/>
    </row>
    <row r="5" spans="2:11" ht="15" customHeight="1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15.6">
      <c r="B6" s="11" t="s">
        <v>86</v>
      </c>
    </row>
    <row r="7" spans="2:11" ht="15.6">
      <c r="B7" s="11" t="s">
        <v>32</v>
      </c>
    </row>
    <row r="8" spans="2:11" ht="15.6">
      <c r="B8" s="11" t="s">
        <v>77</v>
      </c>
    </row>
    <row r="9" spans="2:11" ht="15.6">
      <c r="B9" s="11"/>
    </row>
    <row r="10" spans="2:11" ht="15.6">
      <c r="B10" s="11" t="s">
        <v>150</v>
      </c>
    </row>
    <row r="11" spans="2:11" ht="15.6">
      <c r="B11" s="11" t="s">
        <v>163</v>
      </c>
    </row>
    <row r="12" spans="2:11" ht="15.6">
      <c r="B12" s="11" t="s">
        <v>110</v>
      </c>
    </row>
    <row r="13" spans="2:11" ht="15.6">
      <c r="B13" s="11" t="s">
        <v>115</v>
      </c>
    </row>
    <row r="14" spans="2:11" ht="15.6">
      <c r="B14" s="11" t="s">
        <v>111</v>
      </c>
    </row>
    <row r="15" spans="2:11" ht="15.6">
      <c r="B15" s="11" t="s">
        <v>215</v>
      </c>
    </row>
    <row r="16" spans="2:11" ht="15.6">
      <c r="B16" s="11" t="s">
        <v>112</v>
      </c>
    </row>
    <row r="17" spans="2:2" ht="15.6">
      <c r="B17" s="11"/>
    </row>
    <row r="18" spans="2:2" ht="15.6">
      <c r="B18" s="11" t="s">
        <v>113</v>
      </c>
    </row>
    <row r="19" spans="2:2" ht="15.6">
      <c r="B19" s="11" t="s">
        <v>114</v>
      </c>
    </row>
    <row r="20" spans="2:2" ht="15.6">
      <c r="B20" s="11" t="s">
        <v>117</v>
      </c>
    </row>
    <row r="21" spans="2:2" ht="15.6">
      <c r="B21" s="11" t="s">
        <v>111</v>
      </c>
    </row>
    <row r="22" spans="2:2" ht="15.6">
      <c r="B22" s="11" t="s">
        <v>151</v>
      </c>
    </row>
    <row r="23" spans="2:2" ht="15.6">
      <c r="B23" s="11" t="s">
        <v>112</v>
      </c>
    </row>
    <row r="24" spans="2:2" ht="15.6">
      <c r="B24" s="11" t="s">
        <v>154</v>
      </c>
    </row>
    <row r="25" spans="2:2" ht="15.6">
      <c r="B25" s="11" t="s">
        <v>166</v>
      </c>
    </row>
    <row r="26" spans="2:2" ht="15.6">
      <c r="B26" s="11"/>
    </row>
    <row r="27" spans="2:2" ht="15.6">
      <c r="B27" s="11" t="s">
        <v>168</v>
      </c>
    </row>
    <row r="28" spans="2:2" ht="15.6">
      <c r="B28" s="11" t="s">
        <v>174</v>
      </c>
    </row>
    <row r="29" spans="2:2" ht="15.6">
      <c r="B29" s="11"/>
    </row>
    <row r="30" spans="2:2" ht="15.6">
      <c r="B30" s="11" t="s">
        <v>119</v>
      </c>
    </row>
    <row r="31" spans="2:2" ht="15.6">
      <c r="B31" s="11" t="s">
        <v>120</v>
      </c>
    </row>
    <row r="32" spans="2:2" ht="15.6">
      <c r="B32" s="11" t="s">
        <v>121</v>
      </c>
    </row>
    <row r="33" spans="2:2" ht="15.6">
      <c r="B33" s="11" t="s">
        <v>122</v>
      </c>
    </row>
    <row r="34" spans="2:2" ht="15.6">
      <c r="B34" s="11" t="s">
        <v>123</v>
      </c>
    </row>
    <row r="35" spans="2:2" ht="15.6">
      <c r="B35" s="11" t="s">
        <v>124</v>
      </c>
    </row>
    <row r="36" spans="2:2" ht="15.6">
      <c r="B36" s="11" t="s">
        <v>125</v>
      </c>
    </row>
    <row r="37" spans="2:2" ht="15.6">
      <c r="B37" s="11"/>
    </row>
    <row r="38" spans="2:2" ht="15.6">
      <c r="B38" s="11" t="s">
        <v>156</v>
      </c>
    </row>
    <row r="39" spans="2:2" ht="15.6">
      <c r="B39" s="11" t="s">
        <v>128</v>
      </c>
    </row>
    <row r="40" spans="2:2" ht="15.6">
      <c r="B40" s="11" t="s">
        <v>129</v>
      </c>
    </row>
    <row r="41" spans="2:2" ht="15.6">
      <c r="B41" s="11" t="s">
        <v>130</v>
      </c>
    </row>
    <row r="42" spans="2:2" ht="15.6">
      <c r="B42" s="11" t="s">
        <v>131</v>
      </c>
    </row>
    <row r="43" spans="2:2" ht="15.6">
      <c r="B43" s="11" t="s">
        <v>153</v>
      </c>
    </row>
    <row r="44" spans="2:2" ht="15.6">
      <c r="B44" s="11" t="s">
        <v>152</v>
      </c>
    </row>
    <row r="45" spans="2:2" ht="15.6">
      <c r="B45" s="11"/>
    </row>
    <row r="46" spans="2:2" ht="15.6">
      <c r="B46" s="11" t="s">
        <v>132</v>
      </c>
    </row>
    <row r="47" spans="2:2" ht="15.6">
      <c r="B47" s="11" t="s">
        <v>134</v>
      </c>
    </row>
    <row r="48" spans="2:2" ht="15.6">
      <c r="B48" s="11" t="s">
        <v>135</v>
      </c>
    </row>
    <row r="49" spans="2:2" ht="15.6">
      <c r="B49" s="11" t="s">
        <v>136</v>
      </c>
    </row>
    <row r="50" spans="2:2" ht="15.6">
      <c r="B50" s="11" t="s">
        <v>137</v>
      </c>
    </row>
    <row r="51" spans="2:2" ht="15.6">
      <c r="B51" s="11" t="s">
        <v>149</v>
      </c>
    </row>
    <row r="52" spans="2:2" ht="15.6">
      <c r="B52" s="11"/>
    </row>
    <row r="53" spans="2:2" ht="15.6">
      <c r="B53" s="11" t="s">
        <v>138</v>
      </c>
    </row>
    <row r="54" spans="2:2" ht="15.6">
      <c r="B54" s="11" t="s">
        <v>177</v>
      </c>
    </row>
    <row r="55" spans="2:2" ht="15.6">
      <c r="B55" s="11" t="s">
        <v>141</v>
      </c>
    </row>
    <row r="56" spans="2:2" ht="15.6">
      <c r="B56" s="11" t="s">
        <v>159</v>
      </c>
    </row>
    <row r="57" spans="2:2" ht="15.6">
      <c r="B57" s="11" t="s">
        <v>179</v>
      </c>
    </row>
    <row r="58" spans="2:2" ht="15.6">
      <c r="B58" s="11"/>
    </row>
    <row r="59" spans="2:2" ht="15.6">
      <c r="B59" s="11" t="s">
        <v>144</v>
      </c>
    </row>
    <row r="60" spans="2:2" ht="15.6">
      <c r="B60" s="11" t="s">
        <v>164</v>
      </c>
    </row>
    <row r="61" spans="2:2" ht="15.6">
      <c r="B61" s="11" t="s">
        <v>160</v>
      </c>
    </row>
    <row r="62" spans="2:2" ht="15.6">
      <c r="B62" s="11"/>
    </row>
    <row r="63" spans="2:2" ht="15.6">
      <c r="B63" s="11" t="s">
        <v>145</v>
      </c>
    </row>
    <row r="64" spans="2:2" ht="15.6">
      <c r="B64" s="21" t="s">
        <v>165</v>
      </c>
    </row>
    <row r="65" spans="2:2" ht="15.6">
      <c r="B65" s="21" t="s">
        <v>173</v>
      </c>
    </row>
    <row r="66" spans="2:2" ht="15.6">
      <c r="B66" s="21" t="s">
        <v>147</v>
      </c>
    </row>
    <row r="67" spans="2:2" ht="15.6">
      <c r="B67" s="21" t="s">
        <v>148</v>
      </c>
    </row>
    <row r="68" spans="2:2" ht="15.6">
      <c r="B68" s="21" t="s">
        <v>161</v>
      </c>
    </row>
    <row r="69" spans="2:2" ht="15.6">
      <c r="B69" s="11"/>
    </row>
    <row r="70" spans="2:2" ht="15.6">
      <c r="B70" s="11" t="s">
        <v>180</v>
      </c>
    </row>
    <row r="71" spans="2:2" ht="15.6">
      <c r="B71" s="11" t="s">
        <v>158</v>
      </c>
    </row>
    <row r="72" spans="2:2" ht="15.6">
      <c r="B72" s="11" t="s">
        <v>142</v>
      </c>
    </row>
    <row r="73" spans="2:2" ht="15.6">
      <c r="B73" s="11"/>
    </row>
    <row r="74" spans="2:2" ht="15.6">
      <c r="B74" s="11" t="s">
        <v>143</v>
      </c>
    </row>
    <row r="75" spans="2:2" ht="15.6">
      <c r="B75" s="11" t="s">
        <v>146</v>
      </c>
    </row>
    <row r="76" spans="2:2" ht="15.6">
      <c r="B76" s="11" t="s">
        <v>162</v>
      </c>
    </row>
    <row r="77" spans="2:2" ht="15.6">
      <c r="B77" s="11" t="s">
        <v>212</v>
      </c>
    </row>
    <row r="78" spans="2:2" ht="15.6">
      <c r="B78" s="11"/>
    </row>
    <row r="79" spans="2:2" ht="15.6">
      <c r="B79" s="11" t="s">
        <v>76</v>
      </c>
    </row>
    <row r="80" spans="2:2" ht="15.6">
      <c r="B80" s="11" t="s">
        <v>27</v>
      </c>
    </row>
    <row r="81" spans="2:2" ht="15.6">
      <c r="B81" s="11" t="s">
        <v>31</v>
      </c>
    </row>
    <row r="82" spans="2:2" ht="15.6">
      <c r="B82" s="11"/>
    </row>
    <row r="83" spans="2:2" ht="15.6">
      <c r="B83" s="11"/>
    </row>
    <row r="84" spans="2:2" ht="15.6">
      <c r="B84" s="11"/>
    </row>
    <row r="85" spans="2:2" ht="15.6">
      <c r="B85" s="11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K129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6" width="10.44140625" customWidth="1"/>
    <col min="7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5">
      <c r="A1" s="1" t="str">
        <f>Instructions!B2&amp;": "&amp;Instructions!B4</f>
        <v>Wealth Management Task: Retirement / Savings Calculators - German Life</v>
      </c>
    </row>
    <row r="2" spans="1:5">
      <c r="A2" s="1" t="s">
        <v>2</v>
      </c>
    </row>
    <row r="4" spans="1:5" s="3" customFormat="1" ht="14.4" customHeight="1">
      <c r="B4" s="4" t="s">
        <v>8</v>
      </c>
    </row>
    <row r="6" spans="1:5">
      <c r="C6" t="s">
        <v>9</v>
      </c>
      <c r="D6" s="6">
        <v>46388</v>
      </c>
      <c r="E6" s="15"/>
    </row>
    <row r="7" spans="1:5">
      <c r="C7" t="s">
        <v>10</v>
      </c>
      <c r="D7" s="18">
        <v>26</v>
      </c>
      <c r="E7" s="15" t="s">
        <v>0</v>
      </c>
    </row>
    <row r="8" spans="1:5">
      <c r="C8" t="s">
        <v>12</v>
      </c>
      <c r="D8" s="18">
        <v>67</v>
      </c>
      <c r="E8" s="15" t="s">
        <v>0</v>
      </c>
    </row>
    <row r="9" spans="1:5">
      <c r="C9" t="s">
        <v>13</v>
      </c>
      <c r="D9" s="18">
        <v>100</v>
      </c>
      <c r="E9" s="15" t="s">
        <v>0</v>
      </c>
    </row>
    <row r="10" spans="1:5">
      <c r="C10" t="s">
        <v>29</v>
      </c>
      <c r="D10" s="18">
        <v>12</v>
      </c>
      <c r="E10" s="15"/>
    </row>
    <row r="11" spans="1:5">
      <c r="E11" s="15"/>
    </row>
    <row r="12" spans="1:5">
      <c r="C12" t="s">
        <v>89</v>
      </c>
      <c r="D12" s="16">
        <v>0.02</v>
      </c>
      <c r="E12" s="15" t="s">
        <v>6</v>
      </c>
    </row>
    <row r="13" spans="1:5">
      <c r="E13" s="15"/>
    </row>
    <row r="14" spans="1:5">
      <c r="C14" t="s">
        <v>109</v>
      </c>
      <c r="D14" s="2">
        <v>55000</v>
      </c>
      <c r="E14" s="15" t="s">
        <v>16</v>
      </c>
    </row>
    <row r="15" spans="1:5">
      <c r="E15" s="15"/>
    </row>
    <row r="16" spans="1:5" s="3" customFormat="1" ht="14.4" customHeight="1">
      <c r="B16" s="4" t="s">
        <v>11</v>
      </c>
    </row>
    <row r="17" spans="2:7">
      <c r="E17" s="15"/>
    </row>
    <row r="18" spans="2:7">
      <c r="C18" t="s">
        <v>14</v>
      </c>
      <c r="D18" s="2">
        <v>50000</v>
      </c>
      <c r="E18" s="15" t="s">
        <v>16</v>
      </c>
    </row>
    <row r="19" spans="2:7">
      <c r="C19" t="s">
        <v>17</v>
      </c>
      <c r="D19" s="16">
        <v>0.03</v>
      </c>
      <c r="E19" s="15" t="s">
        <v>19</v>
      </c>
    </row>
    <row r="20" spans="2:7">
      <c r="C20" t="s">
        <v>18</v>
      </c>
      <c r="D20" s="16">
        <v>0.12</v>
      </c>
      <c r="E20" s="15" t="s">
        <v>19</v>
      </c>
    </row>
    <row r="21" spans="2:7">
      <c r="C21" t="s">
        <v>20</v>
      </c>
      <c r="D21" s="18">
        <v>4</v>
      </c>
      <c r="E21" s="15" t="s">
        <v>0</v>
      </c>
    </row>
    <row r="22" spans="2:7">
      <c r="E22" s="15"/>
    </row>
    <row r="23" spans="2:7" s="3" customFormat="1" ht="14.4" customHeight="1">
      <c r="B23" s="4" t="s">
        <v>23</v>
      </c>
    </row>
    <row r="24" spans="2:7">
      <c r="E24" s="15"/>
    </row>
    <row r="25" spans="2:7">
      <c r="C25" s="1" t="s">
        <v>21</v>
      </c>
      <c r="D25" s="1" t="s">
        <v>22</v>
      </c>
      <c r="E25" s="15"/>
    </row>
    <row r="26" spans="2:7">
      <c r="C26" t="s">
        <v>33</v>
      </c>
      <c r="D26" s="16">
        <v>0</v>
      </c>
      <c r="E26" s="15" t="s">
        <v>19</v>
      </c>
      <c r="F26" s="19">
        <v>0</v>
      </c>
    </row>
    <row r="27" spans="2:7">
      <c r="C27" t="s">
        <v>36</v>
      </c>
      <c r="D27" s="16">
        <v>0.14000000000000001</v>
      </c>
      <c r="E27" s="15" t="s">
        <v>19</v>
      </c>
      <c r="F27" s="19">
        <v>12348.01</v>
      </c>
    </row>
    <row r="28" spans="2:7">
      <c r="C28" t="s">
        <v>37</v>
      </c>
      <c r="D28" s="16">
        <v>0.16</v>
      </c>
      <c r="E28" s="15" t="s">
        <v>19</v>
      </c>
      <c r="F28" s="19">
        <v>14000.01</v>
      </c>
      <c r="G28" s="19"/>
    </row>
    <row r="29" spans="2:7">
      <c r="C29" t="s">
        <v>38</v>
      </c>
      <c r="D29" s="16">
        <v>0.18</v>
      </c>
      <c r="E29" s="15" t="s">
        <v>19</v>
      </c>
      <c r="F29" s="19">
        <v>16000.01</v>
      </c>
    </row>
    <row r="30" spans="2:7">
      <c r="C30" t="s">
        <v>39</v>
      </c>
      <c r="D30" s="16">
        <v>0.2</v>
      </c>
      <c r="E30" s="15" t="s">
        <v>19</v>
      </c>
      <c r="F30" s="19">
        <v>17799.009999999998</v>
      </c>
    </row>
    <row r="31" spans="2:7">
      <c r="C31" t="s">
        <v>40</v>
      </c>
      <c r="D31" s="16">
        <v>0.22</v>
      </c>
      <c r="E31" s="15" t="s">
        <v>19</v>
      </c>
      <c r="F31" s="19">
        <v>20000.009999999998</v>
      </c>
    </row>
    <row r="32" spans="2:7">
      <c r="C32" t="s">
        <v>41</v>
      </c>
      <c r="D32" s="16">
        <v>0.24</v>
      </c>
      <c r="E32" s="15" t="s">
        <v>19</v>
      </c>
      <c r="F32" s="19">
        <v>23000.01</v>
      </c>
    </row>
    <row r="33" spans="3:6">
      <c r="C33" t="s">
        <v>42</v>
      </c>
      <c r="D33" s="16">
        <v>0.26</v>
      </c>
      <c r="E33" s="15" t="s">
        <v>19</v>
      </c>
      <c r="F33" s="19">
        <v>26000.01</v>
      </c>
    </row>
    <row r="34" spans="3:6">
      <c r="C34" t="s">
        <v>43</v>
      </c>
      <c r="D34" s="16">
        <v>0.28000000000000003</v>
      </c>
      <c r="E34" s="15" t="s">
        <v>19</v>
      </c>
      <c r="F34" s="19">
        <v>30000.01</v>
      </c>
    </row>
    <row r="35" spans="3:6">
      <c r="C35" t="s">
        <v>44</v>
      </c>
      <c r="D35" s="16">
        <v>0.3</v>
      </c>
      <c r="E35" s="15" t="s">
        <v>19</v>
      </c>
      <c r="F35" s="19">
        <v>35000.01</v>
      </c>
    </row>
    <row r="36" spans="3:6">
      <c r="C36" t="s">
        <v>45</v>
      </c>
      <c r="D36" s="16">
        <v>0.32</v>
      </c>
      <c r="E36" s="15" t="s">
        <v>19</v>
      </c>
      <c r="F36" s="19">
        <v>40000.01</v>
      </c>
    </row>
    <row r="37" spans="3:6">
      <c r="C37" t="s">
        <v>46</v>
      </c>
      <c r="D37" s="16">
        <v>0.34</v>
      </c>
      <c r="E37" s="15" t="s">
        <v>19</v>
      </c>
      <c r="F37" s="19">
        <v>45000.01</v>
      </c>
    </row>
    <row r="38" spans="3:6">
      <c r="C38" t="s">
        <v>47</v>
      </c>
      <c r="D38" s="16">
        <v>0.36</v>
      </c>
      <c r="E38" s="15" t="s">
        <v>19</v>
      </c>
      <c r="F38" s="19">
        <v>50000.01</v>
      </c>
    </row>
    <row r="39" spans="3:6">
      <c r="C39" t="s">
        <v>48</v>
      </c>
      <c r="D39" s="16">
        <v>0.38</v>
      </c>
      <c r="E39" s="15" t="s">
        <v>19</v>
      </c>
      <c r="F39" s="19">
        <v>55000.01</v>
      </c>
    </row>
    <row r="40" spans="3:6">
      <c r="C40" t="s">
        <v>49</v>
      </c>
      <c r="D40" s="16">
        <v>0.4</v>
      </c>
      <c r="E40" s="15" t="s">
        <v>19</v>
      </c>
      <c r="F40" s="19">
        <v>60000.01</v>
      </c>
    </row>
    <row r="41" spans="3:6">
      <c r="C41" t="s">
        <v>50</v>
      </c>
      <c r="D41" s="16">
        <v>0.42</v>
      </c>
      <c r="E41" s="15" t="s">
        <v>19</v>
      </c>
      <c r="F41" s="19">
        <v>65000.01</v>
      </c>
    </row>
    <row r="42" spans="3:6">
      <c r="C42" t="s">
        <v>35</v>
      </c>
      <c r="D42" s="16">
        <v>0.42</v>
      </c>
      <c r="E42" s="15" t="s">
        <v>19</v>
      </c>
      <c r="F42" s="19">
        <v>69879.009999999995</v>
      </c>
    </row>
    <row r="43" spans="3:6">
      <c r="C43" t="s">
        <v>34</v>
      </c>
      <c r="D43" s="16">
        <v>0.45</v>
      </c>
      <c r="E43" s="15" t="s">
        <v>19</v>
      </c>
      <c r="F43" s="19">
        <v>277825.01</v>
      </c>
    </row>
    <row r="44" spans="3:6">
      <c r="E44" s="15"/>
    </row>
    <row r="45" spans="3:6">
      <c r="C45" t="s">
        <v>51</v>
      </c>
      <c r="D45" s="2">
        <v>19950</v>
      </c>
      <c r="E45" s="15"/>
      <c r="F45" s="19" t="s">
        <v>53</v>
      </c>
    </row>
    <row r="46" spans="3:6">
      <c r="C46" t="s">
        <v>52</v>
      </c>
      <c r="D46" s="2">
        <f>D45*2</f>
        <v>39900</v>
      </c>
      <c r="E46" s="15"/>
      <c r="F46" s="19" t="s">
        <v>53</v>
      </c>
    </row>
    <row r="47" spans="3:6">
      <c r="C47" t="s">
        <v>54</v>
      </c>
      <c r="D47" s="16">
        <v>5.5E-2</v>
      </c>
      <c r="E47" s="15" t="s">
        <v>19</v>
      </c>
      <c r="F47" t="s">
        <v>55</v>
      </c>
    </row>
    <row r="48" spans="3:6">
      <c r="E48" s="15"/>
    </row>
    <row r="49" spans="2:11">
      <c r="C49" t="s">
        <v>56</v>
      </c>
      <c r="D49" s="2">
        <v>2</v>
      </c>
      <c r="E49" s="15"/>
      <c r="F49" t="s">
        <v>57</v>
      </c>
    </row>
    <row r="50" spans="2:11">
      <c r="E50" s="15"/>
    </row>
    <row r="51" spans="2:11" s="3" customFormat="1" ht="14.4" customHeight="1">
      <c r="B51" s="4" t="s">
        <v>63</v>
      </c>
    </row>
    <row r="52" spans="2:11">
      <c r="E52" s="15"/>
    </row>
    <row r="53" spans="2:11">
      <c r="C53" t="s">
        <v>64</v>
      </c>
      <c r="D53" s="16">
        <v>0.25</v>
      </c>
      <c r="E53" s="15" t="s">
        <v>19</v>
      </c>
    </row>
    <row r="54" spans="2:11">
      <c r="C54" t="s">
        <v>54</v>
      </c>
      <c r="D54" s="16">
        <v>5.5E-2</v>
      </c>
      <c r="E54" s="15" t="s">
        <v>19</v>
      </c>
      <c r="F54" t="s">
        <v>178</v>
      </c>
    </row>
    <row r="55" spans="2:11">
      <c r="C55" t="s">
        <v>65</v>
      </c>
      <c r="D55" s="16">
        <v>0.8</v>
      </c>
      <c r="E55" s="15" t="s">
        <v>19</v>
      </c>
    </row>
    <row r="56" spans="2:11">
      <c r="E56" s="15"/>
    </row>
    <row r="57" spans="2:11" s="3" customFormat="1" ht="14.4" customHeight="1">
      <c r="B57" s="4" t="s">
        <v>58</v>
      </c>
    </row>
    <row r="58" spans="2:11">
      <c r="E58" s="15"/>
    </row>
    <row r="59" spans="2:11">
      <c r="C59" t="s">
        <v>59</v>
      </c>
      <c r="D59" s="16">
        <v>9.2999999999999999E-2</v>
      </c>
      <c r="E59" s="15" t="s">
        <v>19</v>
      </c>
      <c r="F59" t="s">
        <v>116</v>
      </c>
    </row>
    <row r="60" spans="2:11">
      <c r="C60" t="s">
        <v>60</v>
      </c>
      <c r="D60" s="16">
        <v>8.8999999999999996E-2</v>
      </c>
      <c r="E60" s="15" t="s">
        <v>19</v>
      </c>
      <c r="F60" t="s">
        <v>116</v>
      </c>
    </row>
    <row r="61" spans="2:11">
      <c r="C61" t="s">
        <v>61</v>
      </c>
      <c r="D61" s="16">
        <v>1.2E-2</v>
      </c>
      <c r="E61" s="15" t="s">
        <v>19</v>
      </c>
      <c r="F61" t="s">
        <v>116</v>
      </c>
    </row>
    <row r="62" spans="2:11">
      <c r="C62" t="s">
        <v>62</v>
      </c>
      <c r="D62" s="16">
        <v>1.7749999999999998E-2</v>
      </c>
      <c r="E62" s="15" t="s">
        <v>19</v>
      </c>
      <c r="F62" t="s">
        <v>116</v>
      </c>
    </row>
    <row r="63" spans="2:11">
      <c r="C63" t="s">
        <v>169</v>
      </c>
      <c r="D63" s="2">
        <v>101400</v>
      </c>
      <c r="E63" s="15" t="s">
        <v>16</v>
      </c>
      <c r="F63" t="s">
        <v>91</v>
      </c>
      <c r="K63" s="19"/>
    </row>
    <row r="64" spans="2:11">
      <c r="C64" t="s">
        <v>170</v>
      </c>
      <c r="D64" s="2">
        <v>69750</v>
      </c>
      <c r="E64" s="15" t="s">
        <v>16</v>
      </c>
      <c r="F64" t="s">
        <v>91</v>
      </c>
    </row>
    <row r="65" spans="2:6">
      <c r="C65" t="s">
        <v>171</v>
      </c>
      <c r="D65" s="2">
        <v>101400</v>
      </c>
      <c r="E65" s="15" t="s">
        <v>16</v>
      </c>
      <c r="F65" t="s">
        <v>91</v>
      </c>
    </row>
    <row r="66" spans="2:6">
      <c r="C66" t="s">
        <v>172</v>
      </c>
      <c r="D66" s="2">
        <v>69750</v>
      </c>
      <c r="E66" s="15" t="s">
        <v>16</v>
      </c>
      <c r="F66" t="s">
        <v>91</v>
      </c>
    </row>
    <row r="67" spans="2:6">
      <c r="E67" s="15"/>
    </row>
    <row r="68" spans="2:6" s="3" customFormat="1" ht="14.4" customHeight="1">
      <c r="B68" s="4" t="s">
        <v>28</v>
      </c>
    </row>
    <row r="69" spans="2:6">
      <c r="E69" s="15"/>
    </row>
    <row r="70" spans="2:6">
      <c r="C70" s="1" t="s">
        <v>24</v>
      </c>
      <c r="D70" s="1" t="s">
        <v>72</v>
      </c>
    </row>
    <row r="71" spans="2:6">
      <c r="C71" t="s">
        <v>66</v>
      </c>
      <c r="D71" s="2">
        <v>2100</v>
      </c>
      <c r="E71" s="15" t="s">
        <v>16</v>
      </c>
    </row>
    <row r="72" spans="2:6">
      <c r="C72" t="s">
        <v>73</v>
      </c>
      <c r="D72" s="2">
        <v>3900</v>
      </c>
      <c r="E72" s="15" t="s">
        <v>16</v>
      </c>
      <c r="F72" t="s">
        <v>127</v>
      </c>
    </row>
    <row r="73" spans="2:6">
      <c r="C73" t="s">
        <v>67</v>
      </c>
      <c r="D73" s="2">
        <v>450</v>
      </c>
      <c r="E73" s="15" t="s">
        <v>16</v>
      </c>
      <c r="F73">
        <v>0</v>
      </c>
    </row>
    <row r="74" spans="2:6">
      <c r="C74" t="s">
        <v>68</v>
      </c>
      <c r="D74" s="2">
        <v>750</v>
      </c>
      <c r="E74" s="15" t="s">
        <v>16</v>
      </c>
      <c r="F74">
        <v>7</v>
      </c>
    </row>
    <row r="75" spans="2:6">
      <c r="C75" t="s">
        <v>69</v>
      </c>
      <c r="D75" s="2">
        <v>900</v>
      </c>
      <c r="E75" s="15" t="s">
        <v>16</v>
      </c>
      <c r="F75">
        <v>11</v>
      </c>
    </row>
    <row r="76" spans="2:6">
      <c r="C76" t="s">
        <v>70</v>
      </c>
      <c r="D76" s="2">
        <v>950</v>
      </c>
      <c r="E76" s="15" t="s">
        <v>16</v>
      </c>
      <c r="F76">
        <v>14</v>
      </c>
    </row>
    <row r="77" spans="2:6">
      <c r="C77" t="s">
        <v>71</v>
      </c>
      <c r="D77" s="2">
        <v>1200</v>
      </c>
      <c r="E77" s="15" t="s">
        <v>16</v>
      </c>
      <c r="F77">
        <v>18</v>
      </c>
    </row>
    <row r="78" spans="2:6">
      <c r="E78" s="15"/>
    </row>
    <row r="79" spans="2:6">
      <c r="C79" t="s">
        <v>81</v>
      </c>
      <c r="D79" s="16">
        <v>0.4</v>
      </c>
      <c r="E79" s="15" t="s">
        <v>19</v>
      </c>
    </row>
    <row r="80" spans="2:6">
      <c r="E80" s="15"/>
    </row>
    <row r="81" spans="2:6" s="3" customFormat="1" ht="14.4" customHeight="1">
      <c r="B81" s="4" t="s">
        <v>74</v>
      </c>
    </row>
    <row r="82" spans="2:6">
      <c r="E82" s="15"/>
    </row>
    <row r="83" spans="2:6">
      <c r="C83" t="s">
        <v>75</v>
      </c>
      <c r="D83" s="16">
        <v>0.45</v>
      </c>
      <c r="E83" s="15" t="s">
        <v>19</v>
      </c>
    </row>
    <row r="84" spans="2:6">
      <c r="D84" s="18">
        <v>5</v>
      </c>
      <c r="E84" s="15" t="s">
        <v>0</v>
      </c>
    </row>
    <row r="85" spans="2:6">
      <c r="E85" s="15"/>
    </row>
    <row r="86" spans="2:6" s="3" customFormat="1" ht="14.4" customHeight="1">
      <c r="B86" s="4" t="s">
        <v>25</v>
      </c>
    </row>
    <row r="88" spans="2:6">
      <c r="C88" t="s">
        <v>176</v>
      </c>
      <c r="D88" s="16">
        <v>1.4999999999999999E-2</v>
      </c>
      <c r="E88" s="15" t="s">
        <v>6</v>
      </c>
    </row>
    <row r="89" spans="2:6">
      <c r="C89" t="s">
        <v>26</v>
      </c>
      <c r="D89" s="16">
        <v>7.0000000000000007E-2</v>
      </c>
      <c r="E89" s="15" t="s">
        <v>6</v>
      </c>
    </row>
    <row r="90" spans="2:6">
      <c r="C90" t="s">
        <v>213</v>
      </c>
      <c r="D90" s="16">
        <v>0.03</v>
      </c>
      <c r="E90" s="15" t="s">
        <v>6</v>
      </c>
      <c r="F90" t="s">
        <v>214</v>
      </c>
    </row>
    <row r="91" spans="2:6">
      <c r="C91" t="s">
        <v>118</v>
      </c>
      <c r="D91" s="16">
        <v>0.15</v>
      </c>
      <c r="E91" s="15" t="s">
        <v>6</v>
      </c>
    </row>
    <row r="93" spans="2:6" s="3" customFormat="1" ht="14.4" customHeight="1">
      <c r="B93" s="4" t="s">
        <v>78</v>
      </c>
    </row>
    <row r="95" spans="2:6">
      <c r="C95" t="s">
        <v>79</v>
      </c>
      <c r="D95" s="6">
        <v>48945</v>
      </c>
      <c r="E95" s="15"/>
    </row>
    <row r="96" spans="2:6">
      <c r="C96" t="s">
        <v>80</v>
      </c>
      <c r="D96" s="6">
        <v>47484</v>
      </c>
    </row>
    <row r="97" spans="2:6">
      <c r="C97" t="s">
        <v>82</v>
      </c>
      <c r="D97" s="18">
        <v>30</v>
      </c>
      <c r="E97" s="15" t="s">
        <v>0</v>
      </c>
    </row>
    <row r="98" spans="2:6">
      <c r="C98" t="s">
        <v>94</v>
      </c>
      <c r="D98" s="2">
        <v>50000</v>
      </c>
      <c r="E98" s="15" t="s">
        <v>16</v>
      </c>
      <c r="F98" t="s">
        <v>95</v>
      </c>
    </row>
    <row r="99" spans="2:6">
      <c r="C99" t="s">
        <v>83</v>
      </c>
      <c r="D99" s="6">
        <v>49310</v>
      </c>
      <c r="E99" s="15"/>
    </row>
    <row r="100" spans="2:6">
      <c r="C100" t="s">
        <v>84</v>
      </c>
      <c r="D100" s="6">
        <v>50406</v>
      </c>
      <c r="E100" s="15"/>
    </row>
    <row r="101" spans="2:6">
      <c r="C101" t="s">
        <v>85</v>
      </c>
      <c r="D101" s="6">
        <v>51502</v>
      </c>
      <c r="E101" s="15"/>
    </row>
    <row r="102" spans="2:6">
      <c r="C102" t="s">
        <v>87</v>
      </c>
      <c r="D102" s="18">
        <v>1</v>
      </c>
      <c r="E102" s="15" t="s">
        <v>88</v>
      </c>
    </row>
    <row r="103" spans="2:6">
      <c r="C103" t="s">
        <v>139</v>
      </c>
      <c r="D103" s="16">
        <v>0.66</v>
      </c>
      <c r="E103" s="15" t="s">
        <v>19</v>
      </c>
      <c r="F103" t="s">
        <v>167</v>
      </c>
    </row>
    <row r="104" spans="2:6">
      <c r="C104" t="s">
        <v>140</v>
      </c>
      <c r="D104" s="2">
        <v>1800</v>
      </c>
      <c r="E104" s="15" t="s">
        <v>90</v>
      </c>
      <c r="F104" t="s">
        <v>91</v>
      </c>
    </row>
    <row r="106" spans="2:6" s="3" customFormat="1" ht="14.4" customHeight="1">
      <c r="B106" s="4" t="s">
        <v>108</v>
      </c>
    </row>
    <row r="108" spans="2:6">
      <c r="C108" t="s">
        <v>14</v>
      </c>
      <c r="D108" s="2">
        <v>80000</v>
      </c>
      <c r="E108" s="15" t="s">
        <v>16</v>
      </c>
      <c r="F108" t="s">
        <v>91</v>
      </c>
    </row>
    <row r="109" spans="2:6">
      <c r="C109" t="s">
        <v>17</v>
      </c>
      <c r="D109" s="16">
        <v>2.5000000000000001E-2</v>
      </c>
      <c r="E109" s="15" t="s">
        <v>19</v>
      </c>
      <c r="F109" t="s">
        <v>155</v>
      </c>
    </row>
    <row r="111" spans="2:6" s="3" customFormat="1" ht="14.4" customHeight="1">
      <c r="B111" s="4" t="s">
        <v>92</v>
      </c>
    </row>
    <row r="113" spans="2:6">
      <c r="C113" t="s">
        <v>157</v>
      </c>
      <c r="D113" s="6">
        <v>49675</v>
      </c>
    </row>
    <row r="114" spans="2:6">
      <c r="C114" t="s">
        <v>93</v>
      </c>
      <c r="D114" s="2">
        <v>450000</v>
      </c>
      <c r="E114" s="15" t="s">
        <v>16</v>
      </c>
      <c r="F114" t="s">
        <v>91</v>
      </c>
    </row>
    <row r="115" spans="2:6">
      <c r="C115" t="s">
        <v>133</v>
      </c>
      <c r="D115" s="16">
        <v>0.11</v>
      </c>
      <c r="E115" s="15" t="s">
        <v>19</v>
      </c>
      <c r="F115" t="s">
        <v>96</v>
      </c>
    </row>
    <row r="117" spans="2:6">
      <c r="C117" t="s">
        <v>126</v>
      </c>
      <c r="D117" s="16">
        <v>0.01</v>
      </c>
      <c r="E117" s="15" t="s">
        <v>6</v>
      </c>
      <c r="F117" t="s">
        <v>175</v>
      </c>
    </row>
    <row r="119" spans="2:6" s="3" customFormat="1" ht="14.4" customHeight="1">
      <c r="B119" s="4" t="s">
        <v>97</v>
      </c>
    </row>
    <row r="121" spans="2:6">
      <c r="C121" t="s">
        <v>98</v>
      </c>
      <c r="D121" s="2">
        <v>0</v>
      </c>
      <c r="E121" s="15" t="s">
        <v>16</v>
      </c>
    </row>
    <row r="122" spans="2:6">
      <c r="C122" t="s">
        <v>99</v>
      </c>
      <c r="D122" s="16">
        <v>4.4999999999999998E-2</v>
      </c>
      <c r="E122" s="15" t="s">
        <v>6</v>
      </c>
    </row>
    <row r="123" spans="2:6">
      <c r="C123" t="s">
        <v>100</v>
      </c>
      <c r="D123" s="2">
        <v>25</v>
      </c>
      <c r="E123" s="15" t="s">
        <v>0</v>
      </c>
    </row>
    <row r="124" spans="2:6">
      <c r="C124" t="s">
        <v>101</v>
      </c>
      <c r="D124" s="2" t="s">
        <v>107</v>
      </c>
      <c r="E124" s="15"/>
    </row>
    <row r="125" spans="2:6">
      <c r="C125" t="s">
        <v>102</v>
      </c>
      <c r="D125" s="2" t="s">
        <v>104</v>
      </c>
      <c r="E125" s="20"/>
    </row>
    <row r="126" spans="2:6">
      <c r="C126" t="s">
        <v>103</v>
      </c>
      <c r="D126" s="2" t="s">
        <v>104</v>
      </c>
      <c r="E126" s="20"/>
    </row>
    <row r="127" spans="2:6">
      <c r="C127" t="s">
        <v>105</v>
      </c>
      <c r="D127" s="2" t="s">
        <v>106</v>
      </c>
      <c r="E127" s="20"/>
    </row>
    <row r="129" spans="2:2" s="3" customFormat="1" ht="14.4" customHeight="1">
      <c r="B129" s="4" t="s">
        <v>1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E35"/>
  <sheetViews>
    <sheetView zoomScale="77" workbookViewId="0"/>
  </sheetViews>
  <sheetFormatPr defaultRowHeight="15.6"/>
  <cols>
    <col min="1" max="1" width="74.109375" style="13" bestFit="1" customWidth="1"/>
    <col min="2" max="2" width="16.33203125" style="13" customWidth="1"/>
    <col min="3" max="16384" width="8.88671875" style="13"/>
  </cols>
  <sheetData>
    <row r="1" spans="1:3">
      <c r="A1" s="12" t="s">
        <v>3</v>
      </c>
      <c r="B1" s="12" t="s">
        <v>4</v>
      </c>
      <c r="C1" s="12" t="s">
        <v>5</v>
      </c>
    </row>
    <row r="2" spans="1:3">
      <c r="A2" s="14" t="s">
        <v>182</v>
      </c>
      <c r="B2" s="17"/>
      <c r="C2" s="5" t="s">
        <v>15</v>
      </c>
    </row>
    <row r="3" spans="1:3">
      <c r="A3" s="14" t="s">
        <v>183</v>
      </c>
      <c r="B3" s="17"/>
      <c r="C3" s="5" t="s">
        <v>15</v>
      </c>
    </row>
    <row r="4" spans="1:3">
      <c r="A4" s="14" t="s">
        <v>184</v>
      </c>
      <c r="B4" s="17"/>
      <c r="C4" s="5" t="s">
        <v>15</v>
      </c>
    </row>
    <row r="5" spans="1:3">
      <c r="A5" s="14" t="s">
        <v>185</v>
      </c>
      <c r="B5" s="17"/>
      <c r="C5" s="5" t="s">
        <v>15</v>
      </c>
    </row>
    <row r="6" spans="1:3">
      <c r="A6" s="14" t="s">
        <v>186</v>
      </c>
      <c r="B6" s="17"/>
      <c r="C6" s="5" t="s">
        <v>15</v>
      </c>
    </row>
    <row r="7" spans="1:3">
      <c r="A7" s="14" t="s">
        <v>187</v>
      </c>
      <c r="B7" s="17"/>
      <c r="C7" s="5" t="s">
        <v>15</v>
      </c>
    </row>
    <row r="8" spans="1:3">
      <c r="A8" s="14" t="s">
        <v>188</v>
      </c>
      <c r="B8" s="17"/>
      <c r="C8" s="5" t="s">
        <v>15</v>
      </c>
    </row>
    <row r="9" spans="1:3">
      <c r="A9" s="14" t="s">
        <v>189</v>
      </c>
      <c r="B9" s="17"/>
      <c r="C9" s="5" t="s">
        <v>15</v>
      </c>
    </row>
    <row r="10" spans="1:3">
      <c r="A10" s="14" t="s">
        <v>190</v>
      </c>
      <c r="B10" s="17"/>
      <c r="C10" s="5" t="s">
        <v>15</v>
      </c>
    </row>
    <row r="11" spans="1:3">
      <c r="A11" s="14" t="s">
        <v>191</v>
      </c>
      <c r="B11" s="17"/>
      <c r="C11" s="5" t="s">
        <v>15</v>
      </c>
    </row>
    <row r="12" spans="1:3">
      <c r="A12" s="14" t="s">
        <v>192</v>
      </c>
      <c r="B12" s="17"/>
      <c r="C12" s="5" t="s">
        <v>15</v>
      </c>
    </row>
    <row r="13" spans="1:3">
      <c r="A13" s="14" t="s">
        <v>193</v>
      </c>
      <c r="B13" s="17"/>
      <c r="C13" s="5" t="s">
        <v>15</v>
      </c>
    </row>
    <row r="14" spans="1:3">
      <c r="A14" s="14" t="s">
        <v>194</v>
      </c>
      <c r="B14" s="17"/>
      <c r="C14" s="5" t="s">
        <v>15</v>
      </c>
    </row>
    <row r="15" spans="1:3">
      <c r="A15" s="14" t="s">
        <v>195</v>
      </c>
      <c r="B15" s="17"/>
      <c r="C15" s="5" t="s">
        <v>15</v>
      </c>
    </row>
    <row r="16" spans="1:3">
      <c r="A16" s="14" t="s">
        <v>196</v>
      </c>
      <c r="B16" s="17"/>
      <c r="C16" s="5" t="s">
        <v>15</v>
      </c>
    </row>
    <row r="17" spans="1:5">
      <c r="A17" s="14" t="s">
        <v>197</v>
      </c>
      <c r="B17" s="17"/>
      <c r="C17" s="5" t="s">
        <v>15</v>
      </c>
    </row>
    <row r="18" spans="1:5">
      <c r="A18" s="14" t="s">
        <v>198</v>
      </c>
      <c r="B18" s="17"/>
      <c r="C18" s="5" t="s">
        <v>15</v>
      </c>
    </row>
    <row r="19" spans="1:5">
      <c r="A19" s="14" t="s">
        <v>199</v>
      </c>
      <c r="B19" s="17"/>
      <c r="C19" s="5" t="s">
        <v>15</v>
      </c>
    </row>
    <row r="20" spans="1:5">
      <c r="A20" s="14" t="s">
        <v>200</v>
      </c>
      <c r="B20" s="17"/>
      <c r="C20" s="5" t="s">
        <v>15</v>
      </c>
    </row>
    <row r="21" spans="1:5">
      <c r="A21" s="14" t="s">
        <v>201</v>
      </c>
      <c r="B21" s="17"/>
      <c r="C21" s="5" t="s">
        <v>15</v>
      </c>
    </row>
    <row r="22" spans="1:5">
      <c r="A22" s="14" t="s">
        <v>202</v>
      </c>
      <c r="B22" s="17"/>
      <c r="C22" s="5" t="s">
        <v>15</v>
      </c>
    </row>
    <row r="23" spans="1:5">
      <c r="A23" s="14" t="s">
        <v>203</v>
      </c>
      <c r="B23" s="17"/>
      <c r="C23" s="5" t="s">
        <v>15</v>
      </c>
      <c r="E23" s="13" t="s">
        <v>181</v>
      </c>
    </row>
    <row r="24" spans="1:5">
      <c r="A24" s="14" t="s">
        <v>204</v>
      </c>
      <c r="B24" s="17"/>
      <c r="C24" s="5" t="s">
        <v>15</v>
      </c>
    </row>
    <row r="25" spans="1:5">
      <c r="A25" s="14" t="s">
        <v>205</v>
      </c>
      <c r="B25" s="17"/>
      <c r="C25" s="5" t="s">
        <v>15</v>
      </c>
    </row>
    <row r="26" spans="1:5">
      <c r="A26" s="14" t="s">
        <v>206</v>
      </c>
      <c r="B26" s="17"/>
      <c r="C26" s="5" t="s">
        <v>15</v>
      </c>
    </row>
    <row r="27" spans="1:5">
      <c r="A27" s="14" t="s">
        <v>207</v>
      </c>
      <c r="B27" s="17"/>
      <c r="C27" s="5" t="s">
        <v>15</v>
      </c>
    </row>
    <row r="28" spans="1:5">
      <c r="A28" s="14" t="s">
        <v>208</v>
      </c>
      <c r="B28" s="17"/>
      <c r="C28" s="5" t="s">
        <v>15</v>
      </c>
    </row>
    <row r="29" spans="1:5">
      <c r="A29" s="14" t="s">
        <v>209</v>
      </c>
      <c r="B29" s="17"/>
      <c r="C29" s="5" t="s">
        <v>15</v>
      </c>
    </row>
    <row r="30" spans="1:5">
      <c r="A30" s="14" t="s">
        <v>210</v>
      </c>
      <c r="B30" s="17"/>
      <c r="C30" s="5" t="s">
        <v>15</v>
      </c>
    </row>
    <row r="31" spans="1:5">
      <c r="A31" s="14" t="s">
        <v>211</v>
      </c>
      <c r="B31" s="17"/>
      <c r="C31" s="5" t="s">
        <v>15</v>
      </c>
    </row>
    <row r="32" spans="1:5">
      <c r="A32" s="14"/>
    </row>
    <row r="33" spans="1:1">
      <c r="A33" s="14"/>
    </row>
    <row r="34" spans="1:1">
      <c r="A34" s="14"/>
    </row>
    <row r="35" spans="1:1">
      <c r="A3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2026-04-28T02:43:27Z</dcterms:modified>
</cp:coreProperties>
</file>