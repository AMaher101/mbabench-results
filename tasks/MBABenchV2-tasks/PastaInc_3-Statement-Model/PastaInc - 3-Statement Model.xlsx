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3-Statement Model\PastaInc_3-Statement-Model\starting_files\"/>
    </mc:Choice>
  </mc:AlternateContent>
  <xr:revisionPtr revIDLastSave="0" documentId="13_ncr:1_{724E2ED1-3B89-47FE-B1FD-72B333A5F31C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2" r:id="rId1"/>
    <sheet name="Assumptions" sheetId="9" r:id="rId2"/>
    <sheet name="Sales" sheetId="5" r:id="rId3"/>
    <sheet name="Questions" sheetId="6" r:id="rId4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9" l="1"/>
</calcChain>
</file>

<file path=xl/sharedStrings.xml><?xml version="1.0" encoding="utf-8"?>
<sst xmlns="http://schemas.openxmlformats.org/spreadsheetml/2006/main" count="609" uniqueCount="277">
  <si>
    <t>Machines:</t>
  </si>
  <si>
    <t>Other production input:</t>
  </si>
  <si>
    <t>Energy:</t>
  </si>
  <si>
    <t>Production Staff:</t>
  </si>
  <si>
    <t>Machine hall and office building:</t>
  </si>
  <si>
    <t>Tax:</t>
  </si>
  <si>
    <t>Equity:</t>
  </si>
  <si>
    <t>Time:</t>
  </si>
  <si>
    <t>CCC:</t>
  </si>
  <si>
    <t>Assume complete equal distribution for everything not specifically determined.</t>
  </si>
  <si>
    <t>Inflation:</t>
  </si>
  <si>
    <t>Equity Capital</t>
  </si>
  <si>
    <t>Answers</t>
  </si>
  <si>
    <t>Financing:</t>
  </si>
  <si>
    <t>Non-current Financial Liabilities</t>
  </si>
  <si>
    <t>Interest</t>
  </si>
  <si>
    <t>Useful life</t>
  </si>
  <si>
    <t>The company is producing in 360/7/24 in 3 shifts.</t>
  </si>
  <si>
    <t>Packaging:</t>
  </si>
  <si>
    <t>Monthly model</t>
  </si>
  <si>
    <t>annually</t>
  </si>
  <si>
    <t>Price</t>
  </si>
  <si>
    <t>Tax payment</t>
  </si>
  <si>
    <t>Cash and Cash Equivalents</t>
  </si>
  <si>
    <t>Month</t>
  </si>
  <si>
    <t>Water</t>
  </si>
  <si>
    <t>Machine name</t>
  </si>
  <si>
    <t>Capacity</t>
  </si>
  <si>
    <t>Capacity unit</t>
  </si>
  <si>
    <t>Raw materials:</t>
  </si>
  <si>
    <t>Sales: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</si>
  <si>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</si>
  <si>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</si>
  <si>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</si>
  <si>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</si>
  <si>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</si>
  <si>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</si>
  <si>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</si>
  <si>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</si>
  <si>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</si>
  <si>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</si>
  <si>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</si>
  <si>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</si>
  <si>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Price </t>
    </r>
    <r>
      <rPr>
        <sz val="11"/>
        <color rgb="FF0000FF"/>
        <rFont val="Roboto"/>
      </rPr>
      <t>[$ 2026]</t>
    </r>
  </si>
  <si>
    <r>
      <t xml:space="preserve">Useful life </t>
    </r>
    <r>
      <rPr>
        <sz val="11"/>
        <color rgb="FF0000FF"/>
        <rFont val="Roboto"/>
      </rPr>
      <t>[years]</t>
    </r>
  </si>
  <si>
    <t>[$]</t>
  </si>
  <si>
    <t>2026 price</t>
  </si>
  <si>
    <t>[years]</t>
  </si>
  <si>
    <t>[%]</t>
  </si>
  <si>
    <t>All machines</t>
  </si>
  <si>
    <t>Other production input</t>
  </si>
  <si>
    <t>[$/kWh]</t>
  </si>
  <si>
    <t>Payment</t>
  </si>
  <si>
    <t>Work hours</t>
  </si>
  <si>
    <t>Production days</t>
  </si>
  <si>
    <t>Production hours</t>
  </si>
  <si>
    <t>[per week]</t>
  </si>
  <si>
    <t>[per day]</t>
  </si>
  <si>
    <t>Production Employee costs</t>
  </si>
  <si>
    <t>You are allowed to calculate with fractions - except for machines and production employees.</t>
  </si>
  <si>
    <t>Machine handling</t>
  </si>
  <si>
    <t>Machines are replaced or purchased only as needed.</t>
  </si>
  <si>
    <t xml:space="preserve">Once purchased, the machines remain with the company. </t>
  </si>
  <si>
    <t>You cannot purchase fractions of machines.</t>
  </si>
  <si>
    <t>Buildings</t>
  </si>
  <si>
    <t>Initial costs</t>
  </si>
  <si>
    <t>The useful life of buildings is 50 years.</t>
  </si>
  <si>
    <t>Move in date</t>
  </si>
  <si>
    <t>Of net revenue</t>
  </si>
  <si>
    <t>Tax rate</t>
  </si>
  <si>
    <t>Model Information:</t>
  </si>
  <si>
    <t>Task:</t>
  </si>
  <si>
    <t>Profit distribution part</t>
  </si>
  <si>
    <t>Amount</t>
  </si>
  <si>
    <t>Annuity Loan</t>
  </si>
  <si>
    <t>Term</t>
  </si>
  <si>
    <t>DSO</t>
  </si>
  <si>
    <t>[days]</t>
  </si>
  <si>
    <t>DPO</t>
  </si>
  <si>
    <t>Model:</t>
  </si>
  <si>
    <t>Model Start</t>
  </si>
  <si>
    <t>Closing Balance 2025:</t>
  </si>
  <si>
    <t>End Sheet</t>
  </si>
  <si>
    <t>SG&amp;A (Selling, General &amp; Administrative Expenses):</t>
  </si>
  <si>
    <t>FP&amp;A Task</t>
  </si>
  <si>
    <t>Days per Month</t>
  </si>
  <si>
    <t>Months per Year</t>
  </si>
  <si>
    <t>Month number</t>
  </si>
  <si>
    <t>Model Length</t>
  </si>
  <si>
    <t>New machines are purchased at the first of a month and are immediatelly ready to use.</t>
  </si>
  <si>
    <t>Machinery</t>
  </si>
  <si>
    <t>Starting date</t>
  </si>
  <si>
    <t>for the previous year</t>
  </si>
  <si>
    <t>Payments</t>
  </si>
  <si>
    <t>monthly</t>
  </si>
  <si>
    <t>yearly, linear, nominal rate</t>
  </si>
  <si>
    <t>Profit distribution momth</t>
  </si>
  <si>
    <t>March following year</t>
  </si>
  <si>
    <t>Payouts of dividends are done in March (following year).</t>
  </si>
  <si>
    <t>Cash:</t>
  </si>
  <si>
    <t>Questions (please round your answers to two decimal places)</t>
  </si>
  <si>
    <t>Usage for production</t>
  </si>
  <si>
    <t>Usage for administration</t>
  </si>
  <si>
    <t>3-Statement Model - Pasta Inc.</t>
  </si>
  <si>
    <t>Pasta Inc. is a company producing different type of noodles.</t>
  </si>
  <si>
    <t>A company is producing pasta in several forms.</t>
  </si>
  <si>
    <t>The dough for all types is the same:</t>
  </si>
  <si>
    <t>Ingridient</t>
  </si>
  <si>
    <t>Part/ratio</t>
  </si>
  <si>
    <t>Semolina</t>
  </si>
  <si>
    <t>Salt</t>
  </si>
  <si>
    <t>Pasta:</t>
  </si>
  <si>
    <t>Long noodles and short noodles require different machines.</t>
  </si>
  <si>
    <t>Long noodles - production</t>
  </si>
  <si>
    <t>Short noodles - production</t>
  </si>
  <si>
    <t>Drying chamber</t>
  </si>
  <si>
    <t>Long noodles - packaging</t>
  </si>
  <si>
    <t>Short noodles - packaging</t>
  </si>
  <si>
    <t>per type</t>
  </si>
  <si>
    <t>∞</t>
  </si>
  <si>
    <t>The machines can be utilized up to 75% capacity - otherwise, new machines will need to be purchased (at the beginning of a month).</t>
  </si>
  <si>
    <t>The 75% are also accounting for cleaning, noodle type changes, ….</t>
  </si>
  <si>
    <t>It is calculated with 0.05$ per kg finished product as other production input - like maintainance of the machines or other material consumption.</t>
  </si>
  <si>
    <t>Type</t>
  </si>
  <si>
    <t>Inner-Packaging</t>
  </si>
  <si>
    <t>Outer-Packaging</t>
  </si>
  <si>
    <t>$/unit.</t>
  </si>
  <si>
    <t>Unit</t>
  </si>
  <si>
    <t xml:space="preserve">The energy consumption calculation is based on the dough used - each kg used is equal to 0.28 kWh energy consumption (whole process).  </t>
  </si>
  <si>
    <t>Paid at the 5.th of the following month.</t>
  </si>
  <si>
    <t>Each production employee is calculated with $80k costs per year for 42 hours of work a week.</t>
  </si>
  <si>
    <t>There are two employees needed per machine.</t>
  </si>
  <si>
    <t>The building costs were $10m.</t>
  </si>
  <si>
    <t>SG&amp;A is assumed to be 12% of net revenue.</t>
  </si>
  <si>
    <t>Initially, the founder contributed $10m as equity capital.</t>
  </si>
  <si>
    <t>The loan is an annuity loan paid monthly.</t>
  </si>
  <si>
    <t>Assume a year with 12 months and 30 days per months (don't use the actual number of days per month).</t>
  </si>
  <si>
    <t>Sell prices, wages, packaging costs, raw material prices, the machine purchase prices and the other production input are assumed to be inflation dependent.</t>
  </si>
  <si>
    <t>Production:</t>
  </si>
  <si>
    <t>The products are drying 48h (WIP).</t>
  </si>
  <si>
    <t>The resulting product has no water in it/ is completely dry.</t>
  </si>
  <si>
    <t>The production related part of SG&amp;A is 30%.</t>
  </si>
  <si>
    <t>Inflation is assumed to be 2.1% annually.</t>
  </si>
  <si>
    <t>Apply inflation on a yearly basis.</t>
  </si>
  <si>
    <t>Energy is $0.37 per kWh (2026).</t>
  </si>
  <si>
    <t>DSO: 14 days</t>
  </si>
  <si>
    <t>DIO (finished and packaged products): 6 days</t>
  </si>
  <si>
    <t>DPO (based on all payment obligations excl. energy and wages): 20 days</t>
  </si>
  <si>
    <t>WIP (think of production time) is recognized with only the raw materials value.</t>
  </si>
  <si>
    <t>Assumed sales number are given - see tab Sales.</t>
  </si>
  <si>
    <t>long/short</t>
  </si>
  <si>
    <t>Production speed per production machine (kg end product/ h)</t>
  </si>
  <si>
    <t>Spaghetti</t>
  </si>
  <si>
    <t>long</t>
  </si>
  <si>
    <t>Penne</t>
  </si>
  <si>
    <t>short</t>
  </si>
  <si>
    <t>Fusilli</t>
  </si>
  <si>
    <t>Rigatoni</t>
  </si>
  <si>
    <t>Farfalle</t>
  </si>
  <si>
    <t>Linguine</t>
  </si>
  <si>
    <t>Conchiglie</t>
  </si>
  <si>
    <t>Maccheroni</t>
  </si>
  <si>
    <t>Types/ Prices:</t>
  </si>
  <si>
    <t>Start Date is 1/1/2026 - model from scratch.</t>
  </si>
  <si>
    <t>Next 12 years</t>
  </si>
  <si>
    <t>The term started 1/1/2025.</t>
  </si>
  <si>
    <t>The buildings were build in 2026 (ready to move in 01/01/2026).</t>
  </si>
  <si>
    <t>There are machines given at the beginning of the model - see Assumptions tab.</t>
  </si>
  <si>
    <t>Depreciation period for tax: 39 years</t>
  </si>
  <si>
    <r>
      <t xml:space="preserve">Depreciation period for tax </t>
    </r>
    <r>
      <rPr>
        <sz val="11"/>
        <color rgb="FF0000FF"/>
        <rFont val="Roboto"/>
      </rPr>
      <t>[years]</t>
    </r>
  </si>
  <si>
    <t>Linear depreciation (both tax and regular).</t>
  </si>
  <si>
    <t>Raw material:</t>
  </si>
  <si>
    <t>Dough - Ingridient Part</t>
  </si>
  <si>
    <t>Interest on negative cash balance: 10% per month</t>
  </si>
  <si>
    <t>Duration of long-term supply contracts</t>
  </si>
  <si>
    <t>Depreciation period for tax</t>
  </si>
  <si>
    <t>Machine Utilization</t>
  </si>
  <si>
    <t>up to</t>
  </si>
  <si>
    <t>Assume no time for the other production steps.</t>
  </si>
  <si>
    <t>Hours per Day</t>
  </si>
  <si>
    <t>Drying time</t>
  </si>
  <si>
    <t>All products</t>
  </si>
  <si>
    <t>[$ per kg finished product]</t>
  </si>
  <si>
    <t>[$/unit]</t>
  </si>
  <si>
    <t>Consumption</t>
  </si>
  <si>
    <t>Whole process</t>
  </si>
  <si>
    <t>[kWh per kg dough]</t>
  </si>
  <si>
    <t>5.th following month</t>
  </si>
  <si>
    <t>Production staff:</t>
  </si>
  <si>
    <t>[employees per machine]</t>
  </si>
  <si>
    <t>Buildings:</t>
  </si>
  <si>
    <t>SG&amp;A:</t>
  </si>
  <si>
    <t>thereof production related</t>
  </si>
  <si>
    <t>The building is used 80% for production purposes, 20% for administration (pure SG&amp;A).</t>
  </si>
  <si>
    <t>April following year</t>
  </si>
  <si>
    <t>Grace period</t>
  </si>
  <si>
    <t>monthly rate</t>
  </si>
  <si>
    <t>Interest on negative Cash Balance</t>
  </si>
  <si>
    <t>General inflation</t>
  </si>
  <si>
    <t>Energy is inflated with 2.9% annually.</t>
  </si>
  <si>
    <t>Energy inflation</t>
  </si>
  <si>
    <t>DIO (raw material)</t>
  </si>
  <si>
    <t>DIO (finished products)</t>
  </si>
  <si>
    <t>Products:</t>
  </si>
  <si>
    <t>Production speed of machine</t>
  </si>
  <si>
    <t>Sell price ($ 2026, per 500g pack = unit)</t>
  </si>
  <si>
    <t>[pcs. 500g pack = unit]</t>
  </si>
  <si>
    <t>[kg finished product/h]</t>
  </si>
  <si>
    <t>Sell price</t>
  </si>
  <si>
    <t>Weight Conversion</t>
  </si>
  <si>
    <t>[g/kg]</t>
  </si>
  <si>
    <t>[g]</t>
  </si>
  <si>
    <t>Weight</t>
  </si>
  <si>
    <t>single unit</t>
  </si>
  <si>
    <t>A 26.375% tax is applied to the pre-tax profit (tax balance sheet).</t>
  </si>
  <si>
    <t>Sales are cyclical:</t>
  </si>
  <si>
    <t>% of total annual sales</t>
  </si>
  <si>
    <t>[% of total annual sales]</t>
  </si>
  <si>
    <t>Closing Balance 2025 (no operation) is given for some accounts (otherwise assume 0) and PP&amp;L which was bought at the last day of 2025 (no depreciation).</t>
  </si>
  <si>
    <t>DTA/DTL are modeled if applicable.</t>
  </si>
  <si>
    <t>[h]</t>
  </si>
  <si>
    <t>[kg/h - finished product]</t>
  </si>
  <si>
    <t>The production is including three steps - production on the production machine, drying and packaging (packaging after drying).</t>
  </si>
  <si>
    <t>Model all related items properly based on your knowledge of the production, the sales and the CCC.</t>
  </si>
  <si>
    <t>Number of machines given in the beginning</t>
  </si>
  <si>
    <t>Price of machines given in the beginning</t>
  </si>
  <si>
    <t>Employees can be fired or added monthly.</t>
  </si>
  <si>
    <t>[$/t]</t>
  </si>
  <si>
    <t>Price [$/t]</t>
  </si>
  <si>
    <t>[kg/t]</t>
  </si>
  <si>
    <t>Finished products are recognized with raw material value, other production input, packaging, energy and production staff.</t>
  </si>
  <si>
    <t>Generally, the cost of sales method is used - although depreciation and production related SG&amp;A are not assined to the period specifically and production wages are split generally, not by single types.</t>
  </si>
  <si>
    <t>total, repayment = term - grace period</t>
  </si>
  <si>
    <t>Machine payments are not part of DPO calculation.</t>
  </si>
  <si>
    <t>Interest accrued and added to principal</t>
  </si>
  <si>
    <t>The first five years of the term are payment free and interest is accrued and added to principal.</t>
  </si>
  <si>
    <t>In addition, the company has a credit of $35m (for the initial machinery and the building) and pays 9% interest (yearly, linear, nominal rate) on it.</t>
  </si>
  <si>
    <t>Losses will be offset or result in a refund (tax rate is valid in both directions).</t>
  </si>
  <si>
    <t>DIO (raw materials): 22 days</t>
  </si>
  <si>
    <t>The loan has a (total) term of 20 years.</t>
  </si>
  <si>
    <t>100% of profits are distributed.</t>
  </si>
  <si>
    <t>What is the amount for/of Change in (Income) Tax Payable in 6/2035?</t>
  </si>
  <si>
    <t>What is the amount for/of Accounts Receivable in 12/2032?</t>
  </si>
  <si>
    <t>What is the amount for/of Other production costs in 5/2031?</t>
  </si>
  <si>
    <t>What is the amount for/of Raw material in 7/2029?</t>
  </si>
  <si>
    <t>What is the amount for/of Accounts Receivable in 10/2028?</t>
  </si>
  <si>
    <t>What is the amount for/of Inventory - Finished goods in 10/2028?</t>
  </si>
  <si>
    <t>What is the amount for/of Depreciation (general) in 5/2032?</t>
  </si>
  <si>
    <t>What is the amount for/of Change in (Income) Tax Payable in 8/2029?</t>
  </si>
  <si>
    <t>What is the amount for/of Inventory - Raw materials in 2/2035?</t>
  </si>
  <si>
    <t>What is the amount for/of Inventory - Finished goods in 9/2036?</t>
  </si>
  <si>
    <t>What is the amount for/of SG&amp;A (general) in 6/2028?</t>
  </si>
  <si>
    <t>What is the amount for/of Inventory - Finished goods in 8/2028?</t>
  </si>
  <si>
    <t>What is the amount for/of Raw material in 10/2034?</t>
  </si>
  <si>
    <t>What is the amount for/of Accounts Receivable in 6/2026?</t>
  </si>
  <si>
    <t>What is the amount for/of Retained Earnings in 9/2027?</t>
  </si>
  <si>
    <t>What is the amount for/of Buildings in 12/2027?</t>
  </si>
  <si>
    <t>What is the amount for/of Depreciation in 2/2028?</t>
  </si>
  <si>
    <t>What is the amount for/of Deferred Tax Expense in 3/2035?</t>
  </si>
  <si>
    <t>What is the amount for/of Tax Payable in 2/2033?</t>
  </si>
  <si>
    <t>What is the amount for/of Machinery in 3/2027?</t>
  </si>
  <si>
    <t>What is the amount for/of Energy in 9/2036?</t>
  </si>
  <si>
    <t>What is the amount for/of Opening Cash in 7/2029?</t>
  </si>
  <si>
    <t>What is the amount for/of Inventory - WIP in 8/2037?</t>
  </si>
  <si>
    <t>What is the amount for/of CAPEX - PP&amp;E in 6/2030?</t>
  </si>
  <si>
    <t>Inflation is applying every January - no mid-year inflation.</t>
  </si>
  <si>
    <t>SG&amp;A is assumed to be only wage related.</t>
  </si>
  <si>
    <t>Build an integrated 3-Statement Model and answer the questions with the calculations from your model.</t>
  </si>
  <si>
    <t>Use the Assumptions tab as the source of truth for all inputs. Where a value also appears in the Instructions text, the Assumptions tab governs.</t>
  </si>
  <si>
    <t>Use the raw material prices applicable to the period in which the materials are consumed in production. Consider the CCC when determining the timing of purchases, inventory recognition, and payments.</t>
  </si>
  <si>
    <t>During this grace period, monthly interest is calculated, recognized on the P&amp;L, and added to the loan principal each month. The compounding occurs annually: at the start of each new year, the monthly interest amount is recalculated based on the new (higher) principal. No cash payments are made during the grace period.</t>
  </si>
  <si>
    <t>DIO and WIP are modeled using a simplified method: The relevant P&amp;L expense for the current month is adjusted to reflect the coming month's projected sales level, then the applicable DIO (or WIP) days are applied on a 30-day-month basis.</t>
  </si>
  <si>
    <t>Prices above are 2026 prices - the company has long-term purchase agreements for those ingridients with stabile prices, that are always concluded for a period of 3 years (next increase 2029 at the then prevailing prices [general inflation] for three years).</t>
  </si>
  <si>
    <t>EBITDA = Gross Profit - SG&amp;A (general portion only). Note: Gross Profit is calculated after deducting all COGS including production-related depreciation and the production-related share of SG&amp;A - use this EBITDA definition, even if it is contrary to the normal definition</t>
  </si>
  <si>
    <t>All cash flows occur on the last day of the month.</t>
  </si>
  <si>
    <t>Taxes are calculated on an annual basis (even if the calculation is done monthly) and paid in April of the following year (tax liability for March = taxes from the previous year + the current year; tax liability for April = taxes for the current year).</t>
  </si>
  <si>
    <t>What is the amount for/of Profit distributions in 3/2029?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</si>
</sst>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0.000%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sz val="12"/>
      <color theme="1"/>
      <name val="Aptos Narrow"/>
      <family val="2"/>
      <scheme val="minor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b/>
      <sz val="11"/>
      <color theme="1"/>
      <name val="Roboto"/>
    </font>
    <font>
      <b/>
      <sz val="12"/>
      <color theme="1"/>
      <name val="Aptos Narrow"/>
      <family val="2"/>
      <scheme val="minor"/>
    </font>
    <font>
      <sz val="11"/>
      <color rgb="FF0000FF"/>
      <name val="Roboto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5" fillId="0" borderId="0"/>
    <xf numFmtId="9" fontId="1" fillId="0" borderId="0" applyFont="0" applyFill="0" applyBorder="0" applyAlignment="0" applyProtection="0"/>
    <xf numFmtId="4" fontId="12" fillId="5" borderId="2">
      <alignment horizontal="left"/>
    </xf>
  </cellStyleXfs>
  <cellXfs count="69">
    <xf numFmtId="0" fontId="0" fillId="0" borderId="0" xfId="0"/>
    <xf numFmtId="0" fontId="3" fillId="0" borderId="0" xfId="1" applyFont="1"/>
    <xf numFmtId="0" fontId="4" fillId="0" borderId="0" xfId="1" applyFont="1"/>
    <xf numFmtId="0" fontId="3" fillId="0" borderId="0" xfId="1" applyFont="1" applyAlignment="1">
      <alignment horizontal="left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3" fillId="0" borderId="11" xfId="1" applyFont="1" applyBorder="1" applyAlignment="1">
      <alignment horizontal="center"/>
    </xf>
    <xf numFmtId="0" fontId="3" fillId="0" borderId="6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8" fillId="0" borderId="0" xfId="1" applyFont="1" applyAlignment="1">
      <alignment horizontal="left"/>
    </xf>
    <xf numFmtId="0" fontId="2" fillId="0" borderId="0" xfId="0" applyFont="1"/>
    <xf numFmtId="0" fontId="0" fillId="0" borderId="7" xfId="0" applyBorder="1"/>
    <xf numFmtId="4" fontId="0" fillId="0" borderId="11" xfId="0" applyNumberFormat="1" applyBorder="1"/>
    <xf numFmtId="0" fontId="9" fillId="0" borderId="0" xfId="2" applyFont="1"/>
    <xf numFmtId="0" fontId="5" fillId="0" borderId="0" xfId="2"/>
    <xf numFmtId="4" fontId="3" fillId="3" borderId="12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/>
    </xf>
    <xf numFmtId="4" fontId="0" fillId="0" borderId="8" xfId="0" applyNumberFormat="1" applyBorder="1"/>
    <xf numFmtId="3" fontId="3" fillId="0" borderId="6" xfId="1" applyNumberFormat="1" applyFont="1" applyBorder="1" applyAlignment="1">
      <alignment horizontal="center"/>
    </xf>
    <xf numFmtId="3" fontId="3" fillId="0" borderId="7" xfId="1" applyNumberFormat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4" fontId="10" fillId="4" borderId="12" xfId="0" applyNumberFormat="1" applyFont="1" applyFill="1" applyBorder="1"/>
    <xf numFmtId="4" fontId="10" fillId="4" borderId="13" xfId="0" applyNumberFormat="1" applyFont="1" applyFill="1" applyBorder="1"/>
    <xf numFmtId="4" fontId="10" fillId="4" borderId="9" xfId="0" applyNumberFormat="1" applyFont="1" applyFill="1" applyBorder="1"/>
    <xf numFmtId="4" fontId="10" fillId="4" borderId="10" xfId="0" applyNumberFormat="1" applyFont="1" applyFill="1" applyBorder="1"/>
    <xf numFmtId="4" fontId="10" fillId="0" borderId="12" xfId="1" applyNumberFormat="1" applyFont="1" applyBorder="1" applyAlignment="1">
      <alignment horizontal="center"/>
    </xf>
    <xf numFmtId="4" fontId="10" fillId="0" borderId="9" xfId="1" applyNumberFormat="1" applyFont="1" applyBorder="1" applyAlignment="1">
      <alignment horizontal="center"/>
    </xf>
    <xf numFmtId="0" fontId="11" fillId="0" borderId="0" xfId="0" applyFont="1"/>
    <xf numFmtId="4" fontId="11" fillId="4" borderId="12" xfId="0" applyNumberFormat="1" applyFont="1" applyFill="1" applyBorder="1"/>
    <xf numFmtId="4" fontId="13" fillId="6" borderId="2" xfId="4" applyFont="1" applyFill="1">
      <alignment horizontal="left"/>
    </xf>
    <xf numFmtId="4" fontId="2" fillId="6" borderId="2" xfId="4" applyFont="1" applyFill="1">
      <alignment horizontal="left"/>
    </xf>
    <xf numFmtId="0" fontId="14" fillId="6" borderId="0" xfId="0" applyFont="1" applyFill="1"/>
    <xf numFmtId="10" fontId="11" fillId="4" borderId="12" xfId="3" applyNumberFormat="1" applyFont="1" applyFill="1" applyBorder="1"/>
    <xf numFmtId="4" fontId="11" fillId="4" borderId="12" xfId="3" applyNumberFormat="1" applyFont="1" applyFill="1" applyBorder="1"/>
    <xf numFmtId="3" fontId="11" fillId="4" borderId="12" xfId="3" applyNumberFormat="1" applyFont="1" applyFill="1" applyBorder="1"/>
    <xf numFmtId="14" fontId="11" fillId="4" borderId="12" xfId="3" applyNumberFormat="1" applyFont="1" applyFill="1" applyBorder="1"/>
    <xf numFmtId="0" fontId="11" fillId="0" borderId="5" xfId="0" applyFont="1" applyBorder="1"/>
    <xf numFmtId="3" fontId="11" fillId="4" borderId="13" xfId="3" applyNumberFormat="1" applyFont="1" applyFill="1" applyBorder="1"/>
    <xf numFmtId="3" fontId="11" fillId="4" borderId="10" xfId="3" applyNumberFormat="1" applyFont="1" applyFill="1" applyBorder="1"/>
    <xf numFmtId="14" fontId="0" fillId="0" borderId="0" xfId="0" applyNumberFormat="1"/>
    <xf numFmtId="9" fontId="11" fillId="4" borderId="12" xfId="3" applyFont="1" applyFill="1" applyBorder="1"/>
    <xf numFmtId="164" fontId="10" fillId="4" borderId="12" xfId="0" applyNumberFormat="1" applyFont="1" applyFill="1" applyBorder="1"/>
    <xf numFmtId="4" fontId="10" fillId="0" borderId="13" xfId="1" applyNumberFormat="1" applyFont="1" applyBorder="1" applyAlignment="1">
      <alignment horizontal="center"/>
    </xf>
    <xf numFmtId="164" fontId="10" fillId="4" borderId="9" xfId="0" applyNumberFormat="1" applyFont="1" applyFill="1" applyBorder="1"/>
    <xf numFmtId="4" fontId="10" fillId="0" borderId="10" xfId="1" applyNumberFormat="1" applyFont="1" applyBorder="1" applyAlignment="1">
      <alignment horizontal="center"/>
    </xf>
    <xf numFmtId="9" fontId="3" fillId="0" borderId="0" xfId="1" applyNumberFormat="1" applyFont="1" applyAlignment="1">
      <alignment horizontal="center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1" xfId="1" applyFont="1" applyBorder="1" applyAlignment="1">
      <alignment horizont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wrapText="1"/>
    </xf>
    <xf numFmtId="0" fontId="3" fillId="0" borderId="0" xfId="1" applyFont="1" applyAlignment="1">
      <alignment horizontal="center" wrapText="1"/>
    </xf>
    <xf numFmtId="4" fontId="3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10" fillId="4" borderId="12" xfId="0" applyNumberFormat="1" applyFont="1" applyFill="1" applyBorder="1"/>
    <xf numFmtId="3" fontId="10" fillId="4" borderId="9" xfId="0" applyNumberFormat="1" applyFont="1" applyFill="1" applyBorder="1"/>
    <xf numFmtId="4" fontId="4" fillId="0" borderId="0" xfId="1" applyNumberFormat="1" applyFont="1"/>
    <xf numFmtId="0" fontId="0" fillId="0" borderId="6" xfId="0" applyBorder="1"/>
    <xf numFmtId="3" fontId="11" fillId="4" borderId="9" xfId="3" applyNumberFormat="1" applyFont="1" applyFill="1" applyBorder="1"/>
    <xf numFmtId="164" fontId="11" fillId="4" borderId="12" xfId="3" applyNumberFormat="1" applyFont="1" applyFill="1" applyBorder="1"/>
    <xf numFmtId="165" fontId="11" fillId="4" borderId="12" xfId="3" applyNumberFormat="1" applyFont="1" applyFill="1" applyBorder="1"/>
    <xf numFmtId="10" fontId="10" fillId="4" borderId="13" xfId="0" applyNumberFormat="1" applyFont="1" applyFill="1" applyBorder="1"/>
    <xf numFmtId="10" fontId="10" fillId="4" borderId="10" xfId="0" applyNumberFormat="1" applyFont="1" applyFill="1" applyBorder="1"/>
    <xf numFmtId="9" fontId="0" fillId="0" borderId="0" xfId="0" applyNumberFormat="1"/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</cellXfs>
  <cellStyles count="5">
    <cellStyle name="M Section Header" xfId="4" xr:uid="{F944F0E6-F034-49F8-8B3F-D0C9E50BA2F6}"/>
    <cellStyle name="Normal" xfId="0" builtinId="0"/>
    <cellStyle name="Normal 2" xfId="2" xr:uid="{037B3D13-DA10-4240-9E6B-55FD128391C9}"/>
    <cellStyle name="Normal 3" xfId="1" xr:uid="{1C87C372-71EA-4FEE-904D-475CC6E05479}"/>
    <cellStyle name="Percent" xfId="3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176C-3579-4288-92CF-6D92740E33DD}">
  <sheetPr>
    <tabColor theme="8" tint="-0.249977111117893"/>
  </sheetPr>
  <dimension ref="A1:K323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1" customWidth="1"/>
    <col min="2" max="2" width="32.109375" style="4" customWidth="1"/>
    <col min="3" max="3" width="17.109375" style="4" bestFit="1" customWidth="1"/>
    <col min="4" max="4" width="20.88671875" style="4" bestFit="1" customWidth="1"/>
    <col min="5" max="5" width="24.109375" style="4" customWidth="1"/>
    <col min="6" max="6" width="21.5546875" style="4" customWidth="1"/>
    <col min="7" max="7" width="33.109375" style="4" customWidth="1"/>
    <col min="8" max="8" width="40.5546875" style="4" customWidth="1"/>
    <col min="9" max="9" width="23.5546875" style="5" customWidth="1"/>
    <col min="10" max="10" width="23.5546875" style="2" customWidth="1"/>
    <col min="11" max="11" width="27.77734375" style="2" customWidth="1"/>
    <col min="12" max="12" width="20.5546875" style="2" customWidth="1"/>
    <col min="13" max="376" width="11.109375" style="2" bestFit="1" customWidth="1"/>
    <col min="377" max="377" width="5.21875" style="2"/>
    <col min="378" max="383" width="9.6640625" style="2" customWidth="1"/>
    <col min="384" max="384" width="5.21875" style="2"/>
    <col min="385" max="393" width="9.6640625" style="2" customWidth="1"/>
    <col min="394" max="16384" width="5.21875" style="2"/>
  </cols>
  <sheetData>
    <row r="1" spans="2:11" ht="15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 ht="60.75" customHeight="1">
      <c r="B2" s="64" t="s">
        <v>84</v>
      </c>
      <c r="C2" s="65"/>
      <c r="D2" s="65"/>
      <c r="E2" s="65"/>
      <c r="F2" s="65"/>
      <c r="G2" s="65"/>
      <c r="H2" s="65"/>
      <c r="I2" s="65"/>
      <c r="J2" s="65"/>
      <c r="K2" s="66"/>
    </row>
    <row r="3" spans="2:11" ht="1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33.75" customHeight="1">
      <c r="B4" s="67" t="s">
        <v>103</v>
      </c>
      <c r="C4" s="68"/>
      <c r="D4" s="68"/>
      <c r="E4" s="68"/>
      <c r="F4" s="68"/>
      <c r="G4" s="68"/>
      <c r="H4" s="68"/>
      <c r="I4" s="68"/>
      <c r="J4" s="1"/>
    </row>
    <row r="5" spans="2:11" ht="15" customHeight="1">
      <c r="B5" s="1"/>
      <c r="C5" s="1"/>
      <c r="D5" s="1"/>
      <c r="E5" s="1"/>
      <c r="F5" s="1"/>
      <c r="G5" s="1"/>
      <c r="H5" s="1"/>
      <c r="I5" s="1"/>
      <c r="J5" s="1"/>
      <c r="K5" s="1"/>
    </row>
    <row r="6" spans="2:11">
      <c r="B6" s="3" t="s">
        <v>104</v>
      </c>
    </row>
    <row r="7" spans="2:11">
      <c r="B7" s="3"/>
    </row>
    <row r="8" spans="2:11">
      <c r="B8" s="9" t="s">
        <v>111</v>
      </c>
    </row>
    <row r="9" spans="2:11">
      <c r="B9" s="3" t="s">
        <v>105</v>
      </c>
    </row>
    <row r="10" spans="2:11" ht="15" thickBot="1">
      <c r="B10" s="3" t="s">
        <v>106</v>
      </c>
    </row>
    <row r="11" spans="2:11">
      <c r="B11" s="8" t="s">
        <v>107</v>
      </c>
      <c r="C11" s="16" t="s">
        <v>108</v>
      </c>
    </row>
    <row r="12" spans="2:11">
      <c r="B12" s="6" t="s">
        <v>109</v>
      </c>
      <c r="C12" s="22">
        <v>100</v>
      </c>
    </row>
    <row r="13" spans="2:11">
      <c r="B13" s="6" t="s">
        <v>25</v>
      </c>
      <c r="C13" s="22">
        <v>30</v>
      </c>
    </row>
    <row r="14" spans="2:11" ht="15" thickBot="1">
      <c r="B14" s="20" t="s">
        <v>110</v>
      </c>
      <c r="C14" s="24">
        <v>1</v>
      </c>
    </row>
    <row r="15" spans="2:11">
      <c r="B15" s="3"/>
    </row>
    <row r="16" spans="2:11" ht="15" thickBot="1">
      <c r="B16" s="9" t="s">
        <v>29</v>
      </c>
    </row>
    <row r="17" spans="1:10">
      <c r="B17" s="8" t="s">
        <v>107</v>
      </c>
      <c r="C17" s="16" t="s">
        <v>228</v>
      </c>
    </row>
    <row r="18" spans="1:10">
      <c r="B18" s="6" t="s">
        <v>109</v>
      </c>
      <c r="C18" s="22">
        <v>550</v>
      </c>
    </row>
    <row r="19" spans="1:10">
      <c r="B19" s="6" t="s">
        <v>25</v>
      </c>
      <c r="C19" s="22">
        <v>2.5</v>
      </c>
    </row>
    <row r="20" spans="1:10" ht="15" thickBot="1">
      <c r="B20" s="20" t="s">
        <v>110</v>
      </c>
      <c r="C20" s="24">
        <v>418</v>
      </c>
    </row>
    <row r="21" spans="1:10">
      <c r="B21" s="3" t="s">
        <v>272</v>
      </c>
    </row>
    <row r="22" spans="1:10">
      <c r="B22" s="3" t="s">
        <v>269</v>
      </c>
    </row>
    <row r="24" spans="1:10">
      <c r="A24" s="2"/>
      <c r="B24" s="9" t="s">
        <v>0</v>
      </c>
    </row>
    <row r="25" spans="1:10" ht="15" thickBot="1">
      <c r="A25" s="2"/>
      <c r="B25" s="3" t="s">
        <v>112</v>
      </c>
    </row>
    <row r="26" spans="1:10">
      <c r="A26" s="2"/>
      <c r="B26" s="8" t="s">
        <v>26</v>
      </c>
      <c r="C26" s="7" t="s">
        <v>27</v>
      </c>
      <c r="D26" s="7" t="s">
        <v>28</v>
      </c>
      <c r="E26" s="18" t="s">
        <v>43</v>
      </c>
      <c r="F26" s="18" t="s">
        <v>44</v>
      </c>
      <c r="G26" s="19" t="s">
        <v>169</v>
      </c>
      <c r="I26" s="4"/>
      <c r="J26" s="5"/>
    </row>
    <row r="27" spans="1:10">
      <c r="A27" s="2"/>
      <c r="B27" s="6" t="s">
        <v>113</v>
      </c>
      <c r="C27" s="21" t="s">
        <v>118</v>
      </c>
      <c r="D27" s="25" t="s">
        <v>221</v>
      </c>
      <c r="E27" s="21">
        <v>2600000</v>
      </c>
      <c r="F27" s="21">
        <v>16</v>
      </c>
      <c r="G27" s="22">
        <v>7</v>
      </c>
      <c r="I27" s="4"/>
      <c r="J27" s="5"/>
    </row>
    <row r="28" spans="1:10">
      <c r="A28" s="2"/>
      <c r="B28" s="6" t="s">
        <v>114</v>
      </c>
      <c r="C28" s="21" t="s">
        <v>118</v>
      </c>
      <c r="D28" s="25" t="s">
        <v>221</v>
      </c>
      <c r="E28" s="21">
        <v>3130000</v>
      </c>
      <c r="F28" s="21">
        <v>15</v>
      </c>
      <c r="G28" s="22">
        <v>7</v>
      </c>
      <c r="I28" s="4"/>
      <c r="J28" s="5"/>
    </row>
    <row r="29" spans="1:10">
      <c r="A29" s="2"/>
      <c r="B29" s="6" t="s">
        <v>115</v>
      </c>
      <c r="C29" s="21" t="s">
        <v>119</v>
      </c>
      <c r="D29" s="25" t="s">
        <v>221</v>
      </c>
      <c r="E29" s="21">
        <v>1040000</v>
      </c>
      <c r="F29" s="21">
        <v>16</v>
      </c>
      <c r="G29" s="22">
        <v>7</v>
      </c>
      <c r="I29" s="4"/>
      <c r="J29" s="5"/>
    </row>
    <row r="30" spans="1:10">
      <c r="A30" s="2"/>
      <c r="B30" s="6" t="s">
        <v>116</v>
      </c>
      <c r="C30" s="21">
        <v>4800</v>
      </c>
      <c r="D30" s="25" t="s">
        <v>221</v>
      </c>
      <c r="E30" s="21">
        <v>310000</v>
      </c>
      <c r="F30" s="21">
        <v>13</v>
      </c>
      <c r="G30" s="22">
        <v>7</v>
      </c>
      <c r="I30" s="4"/>
      <c r="J30" s="5"/>
    </row>
    <row r="31" spans="1:10" ht="15" thickBot="1">
      <c r="A31" s="2"/>
      <c r="B31" s="20" t="s">
        <v>117</v>
      </c>
      <c r="C31" s="23">
        <v>9000</v>
      </c>
      <c r="D31" s="26" t="s">
        <v>221</v>
      </c>
      <c r="E31" s="23">
        <v>830000</v>
      </c>
      <c r="F31" s="23">
        <v>10</v>
      </c>
      <c r="G31" s="24">
        <v>7</v>
      </c>
      <c r="I31" s="4"/>
      <c r="J31" s="5"/>
    </row>
    <row r="32" spans="1:10">
      <c r="A32" s="2"/>
      <c r="B32" s="3" t="s">
        <v>120</v>
      </c>
    </row>
    <row r="33" spans="1:9">
      <c r="A33" s="2"/>
      <c r="B33" s="3" t="s">
        <v>121</v>
      </c>
    </row>
    <row r="34" spans="1:9">
      <c r="A34" s="2"/>
      <c r="B34" s="3" t="s">
        <v>61</v>
      </c>
      <c r="C34" s="2"/>
      <c r="D34" s="2"/>
      <c r="E34" s="2"/>
      <c r="F34" s="2"/>
      <c r="G34" s="2"/>
      <c r="H34" s="2"/>
      <c r="I34" s="2"/>
    </row>
    <row r="35" spans="1:9">
      <c r="A35" s="2"/>
      <c r="B35" s="3" t="s">
        <v>89</v>
      </c>
      <c r="C35" s="2"/>
      <c r="D35" s="2"/>
      <c r="E35" s="2"/>
      <c r="F35" s="2"/>
      <c r="G35" s="2"/>
      <c r="H35" s="2"/>
      <c r="I35" s="2"/>
    </row>
    <row r="36" spans="1:9">
      <c r="A36" s="2"/>
      <c r="B36" s="3" t="s">
        <v>233</v>
      </c>
      <c r="C36" s="2"/>
      <c r="D36" s="2"/>
      <c r="E36" s="2"/>
      <c r="F36" s="2"/>
      <c r="G36" s="2"/>
      <c r="H36" s="2"/>
      <c r="I36" s="2"/>
    </row>
    <row r="37" spans="1:9">
      <c r="A37" s="2"/>
      <c r="B37" s="3" t="s">
        <v>62</v>
      </c>
      <c r="C37" s="2"/>
      <c r="D37" s="2"/>
      <c r="E37" s="2"/>
      <c r="F37" s="2"/>
      <c r="G37" s="2"/>
      <c r="H37" s="2"/>
      <c r="I37" s="2"/>
    </row>
    <row r="38" spans="1:9">
      <c r="A38" s="2"/>
      <c r="B38" s="3" t="s">
        <v>63</v>
      </c>
      <c r="C38" s="2"/>
      <c r="D38" s="2"/>
      <c r="E38" s="2"/>
      <c r="F38" s="2"/>
      <c r="G38" s="2"/>
      <c r="H38" s="2"/>
      <c r="I38" s="2"/>
    </row>
    <row r="39" spans="1:9">
      <c r="A39" s="2"/>
      <c r="B39" s="3" t="s">
        <v>167</v>
      </c>
      <c r="C39" s="2"/>
      <c r="D39" s="2"/>
      <c r="E39" s="2"/>
      <c r="F39" s="2"/>
      <c r="G39" s="2"/>
      <c r="H39" s="2"/>
      <c r="I39" s="2"/>
    </row>
    <row r="40" spans="1:9">
      <c r="A40" s="2"/>
      <c r="B40" s="3"/>
      <c r="C40" s="2"/>
      <c r="D40" s="2"/>
      <c r="E40" s="2"/>
      <c r="F40" s="2"/>
      <c r="G40" s="2"/>
      <c r="H40" s="2"/>
      <c r="I40" s="2"/>
    </row>
    <row r="41" spans="1:9">
      <c r="A41" s="2"/>
      <c r="B41" s="9" t="s">
        <v>138</v>
      </c>
      <c r="C41" s="2"/>
      <c r="D41" s="2"/>
      <c r="E41" s="2"/>
      <c r="F41" s="2"/>
      <c r="G41" s="2"/>
      <c r="H41" s="2"/>
      <c r="I41" s="2"/>
    </row>
    <row r="42" spans="1:9">
      <c r="A42" s="2"/>
      <c r="B42" s="3" t="s">
        <v>222</v>
      </c>
      <c r="C42" s="2"/>
      <c r="D42" s="2"/>
      <c r="E42" s="2"/>
      <c r="F42" s="2"/>
      <c r="G42" s="2"/>
      <c r="H42" s="2"/>
      <c r="I42" s="2"/>
    </row>
    <row r="43" spans="1:9">
      <c r="A43" s="2"/>
      <c r="B43" s="3" t="s">
        <v>139</v>
      </c>
      <c r="C43" s="2"/>
      <c r="D43" s="2"/>
      <c r="E43" s="2"/>
      <c r="F43" s="2"/>
      <c r="G43" s="2"/>
      <c r="H43" s="2"/>
      <c r="I43" s="2"/>
    </row>
    <row r="44" spans="1:9">
      <c r="A44" s="2"/>
      <c r="B44" s="3" t="s">
        <v>178</v>
      </c>
      <c r="C44" s="2"/>
      <c r="D44" s="2"/>
      <c r="E44" s="2"/>
      <c r="F44" s="2"/>
      <c r="G44" s="2"/>
      <c r="H44" s="2"/>
      <c r="I44" s="2"/>
    </row>
    <row r="45" spans="1:9">
      <c r="A45" s="2"/>
      <c r="B45" s="3" t="s">
        <v>140</v>
      </c>
      <c r="C45" s="2"/>
      <c r="D45" s="2"/>
      <c r="E45" s="2"/>
      <c r="F45" s="2"/>
      <c r="G45" s="2"/>
      <c r="H45" s="2"/>
      <c r="I45" s="2"/>
    </row>
    <row r="46" spans="1:9">
      <c r="A46" s="2"/>
      <c r="B46" s="3" t="s">
        <v>223</v>
      </c>
      <c r="C46" s="2"/>
      <c r="D46" s="2"/>
      <c r="E46" s="2"/>
      <c r="F46" s="2"/>
      <c r="G46" s="2"/>
      <c r="H46" s="2"/>
      <c r="I46" s="2"/>
    </row>
    <row r="47" spans="1:9">
      <c r="A47" s="2"/>
      <c r="B47" s="3"/>
      <c r="C47" s="2"/>
      <c r="D47" s="2"/>
      <c r="E47" s="2"/>
      <c r="F47" s="2"/>
      <c r="G47" s="2"/>
      <c r="H47" s="2"/>
      <c r="I47" s="2"/>
    </row>
    <row r="48" spans="1:9">
      <c r="A48" s="2"/>
      <c r="B48" s="9" t="s">
        <v>1</v>
      </c>
      <c r="C48" s="2"/>
      <c r="D48" s="2"/>
      <c r="E48" s="2"/>
      <c r="F48" s="2"/>
      <c r="G48" s="2"/>
      <c r="H48" s="2"/>
      <c r="I48" s="2"/>
    </row>
    <row r="49" spans="2:4" s="2" customFormat="1">
      <c r="B49" s="3" t="s">
        <v>122</v>
      </c>
    </row>
    <row r="50" spans="2:4" s="2" customFormat="1">
      <c r="B50" s="3"/>
    </row>
    <row r="51" spans="2:4" s="2" customFormat="1" ht="15" thickBot="1">
      <c r="B51" s="9" t="s">
        <v>18</v>
      </c>
    </row>
    <row r="52" spans="2:4" s="2" customFormat="1">
      <c r="B52" s="8" t="s">
        <v>123</v>
      </c>
      <c r="C52" s="7" t="s">
        <v>21</v>
      </c>
      <c r="D52" s="16" t="s">
        <v>127</v>
      </c>
    </row>
    <row r="53" spans="2:4" s="2" customFormat="1">
      <c r="B53" s="6" t="s">
        <v>124</v>
      </c>
      <c r="C53" s="41">
        <v>3.5000000000000003E-2</v>
      </c>
      <c r="D53" s="42" t="s">
        <v>126</v>
      </c>
    </row>
    <row r="54" spans="2:4" s="2" customFormat="1" ht="15" thickBot="1">
      <c r="B54" s="20" t="s">
        <v>125</v>
      </c>
      <c r="C54" s="43">
        <v>0.05</v>
      </c>
      <c r="D54" s="44" t="s">
        <v>126</v>
      </c>
    </row>
    <row r="55" spans="2:4" s="2" customFormat="1">
      <c r="B55" s="3"/>
    </row>
    <row r="56" spans="2:4" s="2" customFormat="1">
      <c r="B56" s="9" t="s">
        <v>2</v>
      </c>
    </row>
    <row r="57" spans="2:4" s="2" customFormat="1">
      <c r="B57" s="3" t="s">
        <v>128</v>
      </c>
    </row>
    <row r="58" spans="2:4" s="2" customFormat="1">
      <c r="B58" s="3" t="s">
        <v>144</v>
      </c>
    </row>
    <row r="59" spans="2:4" s="2" customFormat="1">
      <c r="B59" s="3" t="s">
        <v>129</v>
      </c>
    </row>
    <row r="60" spans="2:4" s="2" customFormat="1">
      <c r="B60" s="3"/>
    </row>
    <row r="61" spans="2:4" s="2" customFormat="1">
      <c r="B61" s="9" t="s">
        <v>3</v>
      </c>
    </row>
    <row r="62" spans="2:4" s="2" customFormat="1">
      <c r="B62" s="3" t="s">
        <v>17</v>
      </c>
    </row>
    <row r="63" spans="2:4" s="2" customFormat="1">
      <c r="B63" s="3" t="s">
        <v>130</v>
      </c>
    </row>
    <row r="64" spans="2:4" s="2" customFormat="1">
      <c r="B64" s="3" t="s">
        <v>131</v>
      </c>
    </row>
    <row r="65" spans="2:3" s="2" customFormat="1">
      <c r="B65" s="3" t="s">
        <v>226</v>
      </c>
    </row>
    <row r="66" spans="2:3" s="2" customFormat="1">
      <c r="B66" s="3"/>
    </row>
    <row r="67" spans="2:3" s="2" customFormat="1">
      <c r="B67" s="9" t="s">
        <v>4</v>
      </c>
    </row>
    <row r="68" spans="2:3" s="2" customFormat="1">
      <c r="B68" s="3" t="s">
        <v>166</v>
      </c>
    </row>
    <row r="69" spans="2:3" s="2" customFormat="1">
      <c r="B69" s="3" t="s">
        <v>132</v>
      </c>
    </row>
    <row r="70" spans="2:3" s="2" customFormat="1">
      <c r="B70" s="3" t="s">
        <v>193</v>
      </c>
    </row>
    <row r="71" spans="2:3" s="2" customFormat="1">
      <c r="B71" s="3" t="s">
        <v>66</v>
      </c>
    </row>
    <row r="72" spans="2:3" s="2" customFormat="1">
      <c r="B72" s="3" t="s">
        <v>168</v>
      </c>
    </row>
    <row r="73" spans="2:3" s="2" customFormat="1">
      <c r="B73" s="3"/>
    </row>
    <row r="74" spans="2:3" s="2" customFormat="1">
      <c r="B74" s="9" t="s">
        <v>83</v>
      </c>
    </row>
    <row r="75" spans="2:3" s="2" customFormat="1">
      <c r="B75" s="3" t="s">
        <v>133</v>
      </c>
    </row>
    <row r="76" spans="2:3" s="2" customFormat="1">
      <c r="B76" s="3" t="s">
        <v>266</v>
      </c>
    </row>
    <row r="77" spans="2:3" s="2" customFormat="1">
      <c r="B77" s="3" t="s">
        <v>141</v>
      </c>
      <c r="C77" s="45"/>
    </row>
    <row r="78" spans="2:3" s="2" customFormat="1">
      <c r="B78" s="3"/>
    </row>
    <row r="79" spans="2:3" s="2" customFormat="1">
      <c r="B79" s="9" t="s">
        <v>5</v>
      </c>
    </row>
    <row r="80" spans="2:3" s="2" customFormat="1">
      <c r="B80" s="3" t="s">
        <v>214</v>
      </c>
    </row>
    <row r="81" spans="2:2" s="2" customFormat="1">
      <c r="B81" s="3" t="s">
        <v>275</v>
      </c>
    </row>
    <row r="82" spans="2:2" s="2" customFormat="1">
      <c r="B82" s="3" t="s">
        <v>237</v>
      </c>
    </row>
    <row r="83" spans="2:2" s="2" customFormat="1">
      <c r="B83" s="3" t="s">
        <v>219</v>
      </c>
    </row>
    <row r="84" spans="2:2" s="2" customFormat="1">
      <c r="B84" s="3"/>
    </row>
    <row r="85" spans="2:2" s="2" customFormat="1">
      <c r="B85" s="9" t="s">
        <v>6</v>
      </c>
    </row>
    <row r="86" spans="2:2" s="2" customFormat="1">
      <c r="B86" s="3" t="s">
        <v>134</v>
      </c>
    </row>
    <row r="87" spans="2:2" s="2" customFormat="1">
      <c r="B87" s="3" t="s">
        <v>240</v>
      </c>
    </row>
    <row r="88" spans="2:2" s="2" customFormat="1">
      <c r="B88" s="3" t="s">
        <v>98</v>
      </c>
    </row>
    <row r="89" spans="2:2" s="2" customFormat="1">
      <c r="B89" s="3"/>
    </row>
    <row r="90" spans="2:2" s="2" customFormat="1">
      <c r="B90" s="9" t="s">
        <v>13</v>
      </c>
    </row>
    <row r="91" spans="2:2" s="2" customFormat="1">
      <c r="B91" s="3" t="s">
        <v>236</v>
      </c>
    </row>
    <row r="92" spans="2:2" s="2" customFormat="1">
      <c r="B92" s="3" t="s">
        <v>239</v>
      </c>
    </row>
    <row r="93" spans="2:2" s="2" customFormat="1">
      <c r="B93" s="3" t="s">
        <v>135</v>
      </c>
    </row>
    <row r="94" spans="2:2" s="2" customFormat="1">
      <c r="B94" s="3" t="s">
        <v>235</v>
      </c>
    </row>
    <row r="95" spans="2:2" s="2" customFormat="1">
      <c r="B95" s="3" t="s">
        <v>270</v>
      </c>
    </row>
    <row r="96" spans="2:2" s="2" customFormat="1">
      <c r="B96" s="3" t="s">
        <v>165</v>
      </c>
    </row>
    <row r="97" spans="1:9">
      <c r="A97" s="2"/>
      <c r="B97" s="3"/>
      <c r="C97" s="2"/>
      <c r="D97" s="2"/>
      <c r="E97" s="2"/>
      <c r="F97" s="2"/>
      <c r="G97" s="2"/>
      <c r="H97" s="2"/>
      <c r="I97" s="2"/>
    </row>
    <row r="98" spans="1:9">
      <c r="A98" s="2"/>
      <c r="B98" s="9" t="s">
        <v>99</v>
      </c>
      <c r="C98" s="2"/>
      <c r="D98" s="2"/>
      <c r="E98" s="2"/>
      <c r="F98" s="2"/>
      <c r="G98" s="2"/>
      <c r="H98" s="2"/>
      <c r="I98" s="2"/>
    </row>
    <row r="99" spans="1:9">
      <c r="A99" s="2"/>
      <c r="B99" s="3" t="s">
        <v>173</v>
      </c>
      <c r="C99" s="2"/>
      <c r="D99" s="2"/>
      <c r="E99" s="2"/>
      <c r="F99" s="2"/>
      <c r="G99" s="2"/>
      <c r="H99" s="2"/>
      <c r="I99" s="2"/>
    </row>
    <row r="100" spans="1:9">
      <c r="A100" s="2"/>
      <c r="B100" s="3"/>
      <c r="C100" s="2"/>
      <c r="D100" s="2"/>
      <c r="E100" s="2"/>
      <c r="F100" s="2"/>
      <c r="G100" s="2"/>
      <c r="H100" s="2"/>
      <c r="I100" s="2"/>
    </row>
    <row r="101" spans="1:9">
      <c r="A101" s="2"/>
      <c r="B101" s="9" t="s">
        <v>7</v>
      </c>
      <c r="C101" s="2"/>
      <c r="D101" s="2"/>
      <c r="E101" s="2"/>
      <c r="F101" s="2"/>
      <c r="G101" s="2"/>
      <c r="H101" s="2"/>
      <c r="I101" s="2"/>
    </row>
    <row r="102" spans="1:9">
      <c r="A102" s="2"/>
      <c r="B102" s="3" t="s">
        <v>136</v>
      </c>
    </row>
    <row r="103" spans="1:9">
      <c r="A103" s="2"/>
      <c r="B103" s="3" t="s">
        <v>9</v>
      </c>
    </row>
    <row r="104" spans="1:9">
      <c r="A104" s="2"/>
      <c r="B104" s="3"/>
    </row>
    <row r="105" spans="1:9">
      <c r="A105" s="2"/>
      <c r="B105" s="9" t="s">
        <v>10</v>
      </c>
    </row>
    <row r="106" spans="1:9">
      <c r="A106" s="2"/>
      <c r="B106" s="3" t="s">
        <v>137</v>
      </c>
    </row>
    <row r="107" spans="1:9">
      <c r="A107" s="2"/>
      <c r="B107" s="3" t="s">
        <v>142</v>
      </c>
    </row>
    <row r="108" spans="1:9">
      <c r="A108" s="2"/>
      <c r="B108" s="3" t="s">
        <v>199</v>
      </c>
    </row>
    <row r="109" spans="1:9">
      <c r="A109" s="2"/>
      <c r="B109" s="3" t="s">
        <v>143</v>
      </c>
    </row>
    <row r="110" spans="1:9">
      <c r="A110" s="2"/>
      <c r="B110" s="3" t="s">
        <v>265</v>
      </c>
    </row>
    <row r="111" spans="1:9">
      <c r="A111" s="2"/>
      <c r="B111" s="3"/>
    </row>
    <row r="112" spans="1:9">
      <c r="A112" s="2"/>
      <c r="B112" s="9" t="s">
        <v>8</v>
      </c>
    </row>
    <row r="113" spans="1:9">
      <c r="A113" s="2"/>
      <c r="B113" s="3" t="s">
        <v>145</v>
      </c>
    </row>
    <row r="114" spans="1:9">
      <c r="A114" s="2"/>
      <c r="B114" s="3" t="s">
        <v>238</v>
      </c>
    </row>
    <row r="115" spans="1:9">
      <c r="A115" s="2"/>
      <c r="B115" s="3" t="s">
        <v>146</v>
      </c>
    </row>
    <row r="116" spans="1:9">
      <c r="A116" s="2"/>
      <c r="B116" s="3" t="s">
        <v>147</v>
      </c>
    </row>
    <row r="117" spans="1:9">
      <c r="A117" s="2"/>
      <c r="B117" s="3" t="s">
        <v>148</v>
      </c>
    </row>
    <row r="118" spans="1:9">
      <c r="A118" s="2"/>
      <c r="B118" s="3" t="s">
        <v>230</v>
      </c>
    </row>
    <row r="119" spans="1:9">
      <c r="A119" s="2"/>
      <c r="B119" s="3" t="s">
        <v>271</v>
      </c>
    </row>
    <row r="120" spans="1:9">
      <c r="A120" s="2"/>
      <c r="B120" s="3"/>
    </row>
    <row r="121" spans="1:9">
      <c r="A121" s="2"/>
      <c r="B121" s="9" t="s">
        <v>30</v>
      </c>
      <c r="D121" s="2"/>
      <c r="E121" s="2"/>
      <c r="F121" s="2"/>
      <c r="G121" s="2"/>
      <c r="H121" s="2"/>
      <c r="I121" s="2"/>
    </row>
    <row r="122" spans="1:9">
      <c r="A122" s="2"/>
      <c r="B122" s="3" t="s">
        <v>149</v>
      </c>
      <c r="D122" s="2"/>
      <c r="E122" s="2"/>
      <c r="F122" s="2"/>
      <c r="G122" s="2"/>
      <c r="H122" s="2"/>
      <c r="I122" s="2"/>
    </row>
    <row r="123" spans="1:9" ht="15" thickBot="1">
      <c r="A123" s="2"/>
      <c r="B123" s="3" t="s">
        <v>215</v>
      </c>
      <c r="D123" s="2"/>
      <c r="E123" s="2"/>
      <c r="F123" s="2"/>
      <c r="G123" s="2"/>
      <c r="H123" s="2"/>
      <c r="I123" s="2"/>
    </row>
    <row r="124" spans="1:9" ht="28.8">
      <c r="A124" s="2"/>
      <c r="B124" s="8" t="s">
        <v>24</v>
      </c>
      <c r="C124" s="47" t="s">
        <v>216</v>
      </c>
      <c r="D124" s="2"/>
      <c r="E124" s="2"/>
      <c r="F124" s="2"/>
      <c r="G124" s="2"/>
      <c r="H124" s="2"/>
      <c r="I124" s="2"/>
    </row>
    <row r="125" spans="1:9">
      <c r="A125" s="2"/>
      <c r="B125" s="6" t="s">
        <v>31</v>
      </c>
      <c r="C125" s="61">
        <v>4.7E-2</v>
      </c>
      <c r="D125" s="2"/>
      <c r="E125" s="2"/>
      <c r="F125" s="2"/>
      <c r="G125" s="2"/>
      <c r="H125" s="2"/>
      <c r="I125" s="2"/>
    </row>
    <row r="126" spans="1:9">
      <c r="A126" s="2"/>
      <c r="B126" s="6" t="s">
        <v>32</v>
      </c>
      <c r="C126" s="61">
        <v>9.1899999999999996E-2</v>
      </c>
      <c r="D126" s="2"/>
      <c r="E126" s="2"/>
      <c r="F126" s="2"/>
      <c r="G126" s="2"/>
      <c r="H126" s="2"/>
      <c r="I126" s="2"/>
    </row>
    <row r="127" spans="1:9">
      <c r="A127" s="2"/>
      <c r="B127" s="6" t="s">
        <v>33</v>
      </c>
      <c r="C127" s="61">
        <v>9.0899999999999995E-2</v>
      </c>
      <c r="D127" s="2"/>
      <c r="E127" s="2"/>
      <c r="F127" s="2"/>
      <c r="G127" s="2"/>
      <c r="H127" s="2"/>
      <c r="I127" s="2"/>
    </row>
    <row r="128" spans="1:9">
      <c r="A128" s="2"/>
      <c r="B128" s="6" t="s">
        <v>34</v>
      </c>
      <c r="C128" s="61">
        <v>7.9100000000000004E-2</v>
      </c>
      <c r="D128" s="2"/>
      <c r="E128" s="2"/>
      <c r="F128" s="2"/>
      <c r="G128" s="2"/>
      <c r="H128" s="2"/>
      <c r="I128" s="2"/>
    </row>
    <row r="129" spans="2:6" s="2" customFormat="1">
      <c r="B129" s="6" t="s">
        <v>35</v>
      </c>
      <c r="C129" s="61">
        <v>5.4800000000000001E-2</v>
      </c>
    </row>
    <row r="130" spans="2:6" s="2" customFormat="1">
      <c r="B130" s="6" t="s">
        <v>36</v>
      </c>
      <c r="C130" s="61">
        <v>0.1192</v>
      </c>
    </row>
    <row r="131" spans="2:6" s="2" customFormat="1">
      <c r="B131" s="6" t="s">
        <v>37</v>
      </c>
      <c r="C131" s="61">
        <v>0.1055</v>
      </c>
    </row>
    <row r="132" spans="2:6" s="2" customFormat="1">
      <c r="B132" s="6" t="s">
        <v>38</v>
      </c>
      <c r="C132" s="61">
        <v>0.1041</v>
      </c>
    </row>
    <row r="133" spans="2:6" s="2" customFormat="1">
      <c r="B133" s="6" t="s">
        <v>39</v>
      </c>
      <c r="C133" s="61">
        <v>7.2499999999999995E-2</v>
      </c>
    </row>
    <row r="134" spans="2:6" s="2" customFormat="1">
      <c r="B134" s="6" t="s">
        <v>40</v>
      </c>
      <c r="C134" s="61">
        <v>0.1192</v>
      </c>
    </row>
    <row r="135" spans="2:6" s="2" customFormat="1">
      <c r="B135" s="6" t="s">
        <v>41</v>
      </c>
      <c r="C135" s="61">
        <v>5.2699999999999997E-2</v>
      </c>
    </row>
    <row r="136" spans="2:6" s="2" customFormat="1" ht="15" thickBot="1">
      <c r="B136" s="20" t="s">
        <v>42</v>
      </c>
      <c r="C136" s="62">
        <v>6.3100000000000003E-2</v>
      </c>
    </row>
    <row r="137" spans="2:6" s="2" customFormat="1">
      <c r="B137" s="3"/>
      <c r="C137" s="4"/>
    </row>
    <row r="138" spans="2:6" s="2" customFormat="1" ht="15" thickBot="1">
      <c r="B138" s="9" t="s">
        <v>162</v>
      </c>
      <c r="C138" s="4"/>
    </row>
    <row r="139" spans="2:6" s="2" customFormat="1" ht="43.2">
      <c r="B139" s="8" t="s">
        <v>123</v>
      </c>
      <c r="C139" s="46" t="s">
        <v>150</v>
      </c>
      <c r="D139" s="46" t="s">
        <v>151</v>
      </c>
      <c r="E139" s="47" t="s">
        <v>205</v>
      </c>
    </row>
    <row r="140" spans="2:6" s="2" customFormat="1">
      <c r="B140" s="6" t="s">
        <v>152</v>
      </c>
      <c r="C140" s="41" t="s">
        <v>153</v>
      </c>
      <c r="D140" s="54">
        <v>1430.0000000000002</v>
      </c>
      <c r="E140" s="22">
        <v>0.64999999999999991</v>
      </c>
      <c r="F140" s="56"/>
    </row>
    <row r="141" spans="2:6" s="2" customFormat="1">
      <c r="B141" s="6" t="s">
        <v>154</v>
      </c>
      <c r="C141" s="41" t="s">
        <v>155</v>
      </c>
      <c r="D141" s="54">
        <v>1760.0000000000002</v>
      </c>
      <c r="E141" s="22">
        <v>0.67999999999999994</v>
      </c>
    </row>
    <row r="142" spans="2:6" s="2" customFormat="1">
      <c r="B142" s="6" t="s">
        <v>156</v>
      </c>
      <c r="C142" s="41" t="s">
        <v>155</v>
      </c>
      <c r="D142" s="54">
        <v>1650.0000000000002</v>
      </c>
      <c r="E142" s="22">
        <v>0.67999999999999994</v>
      </c>
    </row>
    <row r="143" spans="2:6" s="2" customFormat="1">
      <c r="B143" s="6" t="s">
        <v>157</v>
      </c>
      <c r="C143" s="41" t="s">
        <v>155</v>
      </c>
      <c r="D143" s="54">
        <v>1760.0000000000002</v>
      </c>
      <c r="E143" s="22">
        <v>0.67999999999999994</v>
      </c>
    </row>
    <row r="144" spans="2:6" s="2" customFormat="1">
      <c r="B144" s="6" t="s">
        <v>158</v>
      </c>
      <c r="C144" s="41" t="s">
        <v>155</v>
      </c>
      <c r="D144" s="54">
        <v>1485.0000000000002</v>
      </c>
      <c r="E144" s="22">
        <v>0.71</v>
      </c>
    </row>
    <row r="145" spans="1:9" s="2" customFormat="1">
      <c r="B145" s="48" t="s">
        <v>159</v>
      </c>
      <c r="C145" s="41" t="s">
        <v>153</v>
      </c>
      <c r="D145" s="54">
        <v>1320</v>
      </c>
      <c r="E145" s="22">
        <v>0.69</v>
      </c>
    </row>
    <row r="146" spans="1:9" s="2" customFormat="1">
      <c r="B146" s="49" t="s">
        <v>160</v>
      </c>
      <c r="C146" s="41" t="s">
        <v>155</v>
      </c>
      <c r="D146" s="54">
        <v>1430.0000000000002</v>
      </c>
      <c r="E146" s="22">
        <v>0.72</v>
      </c>
    </row>
    <row r="147" spans="1:9" s="2" customFormat="1" ht="15" thickBot="1">
      <c r="B147" s="50" t="s">
        <v>161</v>
      </c>
      <c r="C147" s="43" t="s">
        <v>155</v>
      </c>
      <c r="D147" s="55">
        <v>1650.0000000000002</v>
      </c>
      <c r="E147" s="24">
        <v>0.61</v>
      </c>
    </row>
    <row r="148" spans="1:9">
      <c r="A148" s="2"/>
      <c r="B148" s="51"/>
      <c r="C148" s="52"/>
      <c r="D148" s="53"/>
      <c r="F148" s="2"/>
      <c r="G148" s="2"/>
      <c r="H148" s="2"/>
      <c r="I148" s="2"/>
    </row>
    <row r="149" spans="1:9" s="2" customFormat="1">
      <c r="B149" s="9" t="s">
        <v>70</v>
      </c>
    </row>
    <row r="150" spans="1:9" s="2" customFormat="1">
      <c r="B150" s="3" t="s">
        <v>19</v>
      </c>
    </row>
    <row r="151" spans="1:9" s="2" customFormat="1">
      <c r="B151" s="3" t="s">
        <v>164</v>
      </c>
    </row>
    <row r="152" spans="1:9" s="2" customFormat="1">
      <c r="B152" s="3" t="s">
        <v>163</v>
      </c>
    </row>
    <row r="153" spans="1:9" s="2" customFormat="1">
      <c r="B153" s="3" t="s">
        <v>218</v>
      </c>
    </row>
    <row r="154" spans="1:9" s="2" customFormat="1">
      <c r="B154" s="3" t="s">
        <v>59</v>
      </c>
    </row>
    <row r="155" spans="1:9" s="2" customFormat="1">
      <c r="B155" s="3" t="s">
        <v>274</v>
      </c>
    </row>
    <row r="156" spans="1:9" s="2" customFormat="1">
      <c r="B156" s="3" t="s">
        <v>170</v>
      </c>
    </row>
    <row r="157" spans="1:9" s="2" customFormat="1">
      <c r="B157" s="3" t="s">
        <v>231</v>
      </c>
    </row>
    <row r="158" spans="1:9" s="2" customFormat="1">
      <c r="B158" s="3" t="s">
        <v>273</v>
      </c>
    </row>
    <row r="159" spans="1:9" s="2" customFormat="1">
      <c r="B159" s="3"/>
    </row>
    <row r="160" spans="1:9" s="2" customFormat="1">
      <c r="B160" s="9" t="s">
        <v>71</v>
      </c>
    </row>
    <row r="161" spans="2:2" s="2" customFormat="1">
      <c r="B161" s="3" t="s">
        <v>267</v>
      </c>
    </row>
    <row r="162" spans="2:2" s="2" customFormat="1">
      <c r="B162" s="3"/>
    </row>
    <row r="163" spans="2:2" s="2" customFormat="1">
      <c r="B163" s="3"/>
    </row>
    <row r="164" spans="2:2" s="2" customFormat="1">
      <c r="B164" s="3"/>
    </row>
    <row r="165" spans="2:2" s="2" customFormat="1">
      <c r="B165" s="3"/>
    </row>
    <row r="166" spans="2:2" s="2" customFormat="1">
      <c r="B166" s="3"/>
    </row>
    <row r="167" spans="2:2" s="2" customFormat="1">
      <c r="B167" s="3"/>
    </row>
    <row r="168" spans="2:2" s="2" customFormat="1">
      <c r="B168" s="3"/>
    </row>
    <row r="169" spans="2:2" s="2" customFormat="1">
      <c r="B169" s="3"/>
    </row>
    <row r="170" spans="2:2" s="2" customFormat="1">
      <c r="B170" s="3"/>
    </row>
    <row r="171" spans="2:2" s="2" customFormat="1">
      <c r="B171" s="3"/>
    </row>
    <row r="172" spans="2:2" s="2" customFormat="1">
      <c r="B172" s="3"/>
    </row>
    <row r="173" spans="2:2" s="2" customFormat="1">
      <c r="B173" s="3"/>
    </row>
    <row r="174" spans="2:2" s="2" customFormat="1">
      <c r="B174" s="3"/>
    </row>
    <row r="175" spans="2:2" s="2" customFormat="1">
      <c r="B175" s="3"/>
    </row>
    <row r="176" spans="2:2" s="2" customFormat="1">
      <c r="B176" s="3"/>
    </row>
    <row r="177" spans="2:2" s="2" customFormat="1">
      <c r="B177" s="3"/>
    </row>
    <row r="178" spans="2:2" s="2" customFormat="1">
      <c r="B178" s="3"/>
    </row>
    <row r="179" spans="2:2" s="2" customFormat="1">
      <c r="B179" s="3"/>
    </row>
    <row r="180" spans="2:2" s="2" customFormat="1">
      <c r="B180" s="3"/>
    </row>
    <row r="181" spans="2:2" s="2" customFormat="1">
      <c r="B181" s="3"/>
    </row>
    <row r="182" spans="2:2" s="2" customFormat="1">
      <c r="B182" s="3"/>
    </row>
    <row r="183" spans="2:2" s="2" customFormat="1">
      <c r="B183" s="3"/>
    </row>
    <row r="184" spans="2:2" s="2" customFormat="1">
      <c r="B184" s="3"/>
    </row>
    <row r="185" spans="2:2" s="2" customFormat="1">
      <c r="B185" s="3"/>
    </row>
    <row r="186" spans="2:2" s="2" customFormat="1">
      <c r="B186" s="3"/>
    </row>
    <row r="187" spans="2:2" s="2" customFormat="1">
      <c r="B187" s="3"/>
    </row>
    <row r="188" spans="2:2" s="2" customFormat="1">
      <c r="B188" s="3"/>
    </row>
    <row r="189" spans="2:2" s="2" customFormat="1">
      <c r="B189" s="3"/>
    </row>
    <row r="190" spans="2:2" s="2" customFormat="1">
      <c r="B190" s="3"/>
    </row>
    <row r="191" spans="2:2" s="2" customFormat="1">
      <c r="B191" s="3"/>
    </row>
    <row r="192" spans="2:2" s="2" customFormat="1">
      <c r="B192" s="3"/>
    </row>
    <row r="193" spans="2:2" s="2" customFormat="1">
      <c r="B193" s="3"/>
    </row>
    <row r="194" spans="2:2" s="2" customFormat="1">
      <c r="B194" s="3"/>
    </row>
    <row r="195" spans="2:2" s="2" customFormat="1">
      <c r="B195" s="3"/>
    </row>
    <row r="196" spans="2:2" s="2" customFormat="1">
      <c r="B196" s="3"/>
    </row>
    <row r="197" spans="2:2" s="2" customFormat="1">
      <c r="B197" s="3"/>
    </row>
    <row r="198" spans="2:2" s="2" customFormat="1">
      <c r="B198" s="3"/>
    </row>
    <row r="199" spans="2:2" s="2" customFormat="1">
      <c r="B199" s="3"/>
    </row>
    <row r="200" spans="2:2" s="2" customFormat="1">
      <c r="B200" s="3"/>
    </row>
    <row r="201" spans="2:2" s="2" customFormat="1">
      <c r="B201" s="3"/>
    </row>
    <row r="202" spans="2:2" s="2" customFormat="1">
      <c r="B202" s="3"/>
    </row>
    <row r="203" spans="2:2" s="2" customFormat="1">
      <c r="B203" s="3"/>
    </row>
    <row r="204" spans="2:2" s="2" customFormat="1">
      <c r="B204" s="3"/>
    </row>
    <row r="205" spans="2:2" s="2" customFormat="1">
      <c r="B205" s="3"/>
    </row>
    <row r="206" spans="2:2" s="2" customFormat="1">
      <c r="B206" s="3"/>
    </row>
    <row r="207" spans="2:2" s="2" customFormat="1">
      <c r="B207" s="3"/>
    </row>
    <row r="208" spans="2:2" s="2" customFormat="1">
      <c r="B208" s="3"/>
    </row>
    <row r="209" spans="2:2" s="2" customFormat="1">
      <c r="B209" s="3"/>
    </row>
    <row r="210" spans="2:2" s="2" customFormat="1">
      <c r="B210" s="3"/>
    </row>
    <row r="211" spans="2:2" s="2" customFormat="1">
      <c r="B211" s="3"/>
    </row>
    <row r="212" spans="2:2" s="2" customFormat="1">
      <c r="B212" s="3"/>
    </row>
    <row r="213" spans="2:2" s="2" customFormat="1">
      <c r="B213" s="3"/>
    </row>
    <row r="214" spans="2:2" s="2" customFormat="1">
      <c r="B214" s="3"/>
    </row>
    <row r="215" spans="2:2" s="2" customFormat="1">
      <c r="B215" s="3"/>
    </row>
    <row r="216" spans="2:2" s="2" customFormat="1">
      <c r="B216" s="3"/>
    </row>
    <row r="217" spans="2:2" s="2" customFormat="1">
      <c r="B217" s="3"/>
    </row>
    <row r="218" spans="2:2" s="2" customFormat="1">
      <c r="B218" s="3"/>
    </row>
    <row r="219" spans="2:2" s="2" customFormat="1">
      <c r="B219" s="3"/>
    </row>
    <row r="220" spans="2:2" s="2" customFormat="1">
      <c r="B220" s="3"/>
    </row>
    <row r="221" spans="2:2" s="2" customFormat="1">
      <c r="B221" s="3"/>
    </row>
    <row r="222" spans="2:2" s="2" customFormat="1">
      <c r="B222" s="3"/>
    </row>
    <row r="223" spans="2:2" s="2" customFormat="1">
      <c r="B223" s="3"/>
    </row>
    <row r="224" spans="2:2" s="2" customFormat="1">
      <c r="B224" s="3"/>
    </row>
    <row r="225" spans="2:2" s="2" customFormat="1">
      <c r="B225" s="3"/>
    </row>
    <row r="226" spans="2:2" s="2" customFormat="1">
      <c r="B226" s="3"/>
    </row>
    <row r="227" spans="2:2" s="2" customFormat="1">
      <c r="B227" s="3"/>
    </row>
    <row r="228" spans="2:2" s="2" customFormat="1">
      <c r="B228" s="3"/>
    </row>
    <row r="229" spans="2:2" s="2" customFormat="1">
      <c r="B229" s="3"/>
    </row>
    <row r="230" spans="2:2" s="2" customFormat="1">
      <c r="B230" s="3"/>
    </row>
    <row r="231" spans="2:2" s="2" customFormat="1">
      <c r="B231" s="3"/>
    </row>
    <row r="232" spans="2:2" s="2" customFormat="1">
      <c r="B232" s="3"/>
    </row>
    <row r="233" spans="2:2" s="2" customFormat="1">
      <c r="B233" s="3"/>
    </row>
    <row r="234" spans="2:2" s="2" customFormat="1">
      <c r="B234" s="3"/>
    </row>
    <row r="235" spans="2:2" s="2" customFormat="1">
      <c r="B235" s="3"/>
    </row>
    <row r="236" spans="2:2" s="2" customFormat="1">
      <c r="B236" s="3"/>
    </row>
    <row r="237" spans="2:2" s="2" customFormat="1">
      <c r="B237" s="3"/>
    </row>
    <row r="238" spans="2:2" s="2" customFormat="1">
      <c r="B238" s="3"/>
    </row>
    <row r="239" spans="2:2" s="2" customFormat="1">
      <c r="B239" s="3"/>
    </row>
    <row r="240" spans="2:2" s="2" customFormat="1">
      <c r="B240" s="3"/>
    </row>
    <row r="241" spans="2:2" s="2" customFormat="1">
      <c r="B241" s="3"/>
    </row>
    <row r="242" spans="2:2" s="2" customFormat="1">
      <c r="B242" s="3"/>
    </row>
    <row r="243" spans="2:2" s="2" customFormat="1">
      <c r="B243" s="3"/>
    </row>
    <row r="244" spans="2:2" s="2" customFormat="1">
      <c r="B244" s="3"/>
    </row>
    <row r="245" spans="2:2" s="2" customFormat="1">
      <c r="B245" s="3"/>
    </row>
    <row r="246" spans="2:2" s="2" customFormat="1">
      <c r="B246" s="3"/>
    </row>
    <row r="247" spans="2:2" s="2" customFormat="1">
      <c r="B247" s="3"/>
    </row>
    <row r="248" spans="2:2" s="2" customFormat="1">
      <c r="B248" s="3"/>
    </row>
    <row r="249" spans="2:2" s="2" customFormat="1">
      <c r="B249" s="3"/>
    </row>
    <row r="250" spans="2:2" s="2" customFormat="1">
      <c r="B250" s="3"/>
    </row>
    <row r="251" spans="2:2" s="2" customFormat="1">
      <c r="B251" s="3"/>
    </row>
    <row r="252" spans="2:2" s="2" customFormat="1">
      <c r="B252" s="3"/>
    </row>
    <row r="253" spans="2:2" s="2" customFormat="1">
      <c r="B253" s="3"/>
    </row>
    <row r="254" spans="2:2" s="2" customFormat="1">
      <c r="B254" s="3"/>
    </row>
    <row r="255" spans="2:2" s="2" customFormat="1">
      <c r="B255" s="3"/>
    </row>
    <row r="256" spans="2:2" s="2" customFormat="1">
      <c r="B256" s="3"/>
    </row>
    <row r="257" spans="2:2" s="2" customFormat="1">
      <c r="B257" s="3"/>
    </row>
    <row r="258" spans="2:2" s="2" customFormat="1">
      <c r="B258" s="3"/>
    </row>
    <row r="259" spans="2:2" s="2" customFormat="1">
      <c r="B259" s="3"/>
    </row>
    <row r="260" spans="2:2" s="2" customFormat="1">
      <c r="B260" s="3"/>
    </row>
    <row r="261" spans="2:2" s="2" customFormat="1">
      <c r="B261" s="3"/>
    </row>
    <row r="262" spans="2:2" s="2" customFormat="1">
      <c r="B262" s="3"/>
    </row>
    <row r="263" spans="2:2" s="2" customFormat="1">
      <c r="B263" s="3"/>
    </row>
    <row r="264" spans="2:2" s="2" customFormat="1">
      <c r="B264" s="3"/>
    </row>
    <row r="265" spans="2:2" s="2" customFormat="1">
      <c r="B265" s="3"/>
    </row>
    <row r="266" spans="2:2" s="2" customFormat="1">
      <c r="B266" s="3"/>
    </row>
    <row r="267" spans="2:2" s="2" customFormat="1">
      <c r="B267" s="3"/>
    </row>
    <row r="268" spans="2:2" s="2" customFormat="1">
      <c r="B268" s="3"/>
    </row>
    <row r="269" spans="2:2" s="2" customFormat="1">
      <c r="B269" s="3"/>
    </row>
    <row r="270" spans="2:2" s="2" customFormat="1">
      <c r="B270" s="3"/>
    </row>
    <row r="271" spans="2:2" s="2" customFormat="1">
      <c r="B271" s="3"/>
    </row>
    <row r="272" spans="2:2" s="2" customFormat="1">
      <c r="B272" s="3"/>
    </row>
    <row r="273" spans="2:2" s="2" customFormat="1">
      <c r="B273" s="3"/>
    </row>
    <row r="274" spans="2:2" s="2" customFormat="1">
      <c r="B274" s="3"/>
    </row>
    <row r="275" spans="2:2" s="2" customFormat="1">
      <c r="B275" s="3"/>
    </row>
    <row r="276" spans="2:2" s="2" customFormat="1">
      <c r="B276" s="3"/>
    </row>
    <row r="277" spans="2:2" s="2" customFormat="1">
      <c r="B277" s="3"/>
    </row>
    <row r="278" spans="2:2" s="2" customFormat="1">
      <c r="B278" s="3"/>
    </row>
    <row r="279" spans="2:2" s="2" customFormat="1">
      <c r="B279" s="3"/>
    </row>
    <row r="280" spans="2:2" s="2" customFormat="1">
      <c r="B280" s="3"/>
    </row>
    <row r="281" spans="2:2" s="2" customFormat="1">
      <c r="B281" s="3"/>
    </row>
    <row r="282" spans="2:2" s="2" customFormat="1">
      <c r="B282" s="3"/>
    </row>
    <row r="283" spans="2:2" s="2" customFormat="1">
      <c r="B283" s="3"/>
    </row>
    <row r="284" spans="2:2" s="2" customFormat="1">
      <c r="B284" s="3"/>
    </row>
    <row r="285" spans="2:2" s="2" customFormat="1">
      <c r="B285" s="3"/>
    </row>
    <row r="286" spans="2:2" s="2" customFormat="1">
      <c r="B286" s="3"/>
    </row>
    <row r="287" spans="2:2" s="2" customFormat="1">
      <c r="B287" s="3"/>
    </row>
    <row r="288" spans="2:2" s="2" customFormat="1">
      <c r="B288" s="3"/>
    </row>
    <row r="289" spans="2:2" s="2" customFormat="1">
      <c r="B289" s="3"/>
    </row>
    <row r="290" spans="2:2" s="2" customFormat="1">
      <c r="B290" s="3"/>
    </row>
    <row r="291" spans="2:2" s="2" customFormat="1">
      <c r="B291" s="3"/>
    </row>
    <row r="292" spans="2:2" s="2" customFormat="1">
      <c r="B292" s="3"/>
    </row>
    <row r="293" spans="2:2" s="2" customFormat="1">
      <c r="B293" s="3"/>
    </row>
    <row r="294" spans="2:2" s="2" customFormat="1">
      <c r="B294" s="3"/>
    </row>
    <row r="295" spans="2:2" s="2" customFormat="1">
      <c r="B295" s="3"/>
    </row>
    <row r="296" spans="2:2" s="2" customFormat="1">
      <c r="B296" s="3"/>
    </row>
    <row r="297" spans="2:2" s="2" customFormat="1">
      <c r="B297" s="3"/>
    </row>
    <row r="298" spans="2:2" s="2" customFormat="1">
      <c r="B298" s="3"/>
    </row>
    <row r="299" spans="2:2" s="2" customFormat="1">
      <c r="B299" s="3"/>
    </row>
    <row r="300" spans="2:2" s="2" customFormat="1">
      <c r="B300" s="3"/>
    </row>
    <row r="301" spans="2:2" s="2" customFormat="1">
      <c r="B301" s="3"/>
    </row>
    <row r="302" spans="2:2" s="2" customFormat="1">
      <c r="B302" s="3"/>
    </row>
    <row r="303" spans="2:2" s="2" customFormat="1">
      <c r="B303" s="3"/>
    </row>
    <row r="304" spans="2:2" s="2" customFormat="1">
      <c r="B304" s="3"/>
    </row>
    <row r="305" spans="2:2" s="2" customFormat="1">
      <c r="B305" s="3"/>
    </row>
    <row r="306" spans="2:2" s="2" customFormat="1">
      <c r="B306" s="3"/>
    </row>
    <row r="307" spans="2:2" s="2" customFormat="1">
      <c r="B307" s="3"/>
    </row>
    <row r="308" spans="2:2" s="2" customFormat="1">
      <c r="B308" s="3"/>
    </row>
    <row r="309" spans="2:2" s="2" customFormat="1">
      <c r="B309" s="3"/>
    </row>
    <row r="310" spans="2:2" s="2" customFormat="1">
      <c r="B310" s="3"/>
    </row>
    <row r="311" spans="2:2" s="2" customFormat="1">
      <c r="B311" s="3"/>
    </row>
    <row r="312" spans="2:2" s="2" customFormat="1">
      <c r="B312" s="3"/>
    </row>
    <row r="313" spans="2:2" s="2" customFormat="1">
      <c r="B313" s="3"/>
    </row>
    <row r="314" spans="2:2" s="2" customFormat="1">
      <c r="B314" s="3"/>
    </row>
    <row r="315" spans="2:2" s="2" customFormat="1">
      <c r="B315" s="3"/>
    </row>
    <row r="316" spans="2:2" s="2" customFormat="1">
      <c r="B316" s="3"/>
    </row>
    <row r="317" spans="2:2" s="2" customFormat="1">
      <c r="B317" s="3"/>
    </row>
    <row r="318" spans="2:2" s="2" customFormat="1">
      <c r="B318" s="3"/>
    </row>
    <row r="319" spans="2:2" s="2" customFormat="1">
      <c r="B319" s="3"/>
    </row>
    <row r="320" spans="2:2" s="2" customFormat="1">
      <c r="B320" s="3"/>
    </row>
    <row r="321" spans="2:2" s="2" customFormat="1">
      <c r="B321" s="3"/>
    </row>
    <row r="322" spans="2:2" s="2" customFormat="1">
      <c r="B322" s="3"/>
    </row>
    <row r="323" spans="2:2" s="2" customFormat="1">
      <c r="B323" s="3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DF210"/>
  <sheetViews>
    <sheetView showGridLines="0" zoomScale="84" workbookViewId="0"/>
  </sheetViews>
  <sheetFormatPr defaultRowHeight="14.4"/>
  <cols>
    <col min="1" max="1" width="4.77734375" style="10" customWidth="1"/>
    <col min="2" max="2" width="5.33203125" style="10" customWidth="1"/>
    <col min="3" max="3" width="27.77734375" customWidth="1"/>
    <col min="5" max="5" width="13.6640625" customWidth="1"/>
    <col min="6" max="6" width="18.109375" bestFit="1" customWidth="1"/>
    <col min="7" max="7" width="19.5546875" bestFit="1" customWidth="1"/>
    <col min="11" max="110" width="10.109375" bestFit="1" customWidth="1"/>
  </cols>
  <sheetData>
    <row r="1" spans="1:40">
      <c r="A1" s="10" t="str">
        <f>Instructions!B2&amp;": "&amp;Instructions!B4</f>
        <v>FP&amp;A Task: 3-Statement Model - Pasta Inc.</v>
      </c>
    </row>
    <row r="2" spans="1:40">
      <c r="A2" s="10" t="s">
        <v>268</v>
      </c>
    </row>
    <row r="4" spans="1:40" s="31" customFormat="1" ht="14.4" customHeight="1">
      <c r="A4" s="29"/>
      <c r="B4" s="30" t="s">
        <v>171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</row>
    <row r="6" spans="1:40">
      <c r="C6" t="s">
        <v>172</v>
      </c>
      <c r="D6" t="s">
        <v>109</v>
      </c>
      <c r="F6" s="34">
        <v>100</v>
      </c>
    </row>
    <row r="7" spans="1:40">
      <c r="C7" t="s">
        <v>172</v>
      </c>
      <c r="D7" t="s">
        <v>25</v>
      </c>
      <c r="F7" s="34">
        <v>30</v>
      </c>
    </row>
    <row r="8" spans="1:40">
      <c r="C8" t="s">
        <v>172</v>
      </c>
      <c r="D8" t="s">
        <v>110</v>
      </c>
      <c r="F8" s="34">
        <v>1</v>
      </c>
    </row>
    <row r="10" spans="1:40">
      <c r="C10" t="s">
        <v>21</v>
      </c>
      <c r="D10" t="s">
        <v>109</v>
      </c>
      <c r="F10" s="33">
        <v>550</v>
      </c>
      <c r="G10" s="27" t="s">
        <v>227</v>
      </c>
      <c r="H10" t="s">
        <v>46</v>
      </c>
    </row>
    <row r="11" spans="1:40">
      <c r="C11" t="s">
        <v>21</v>
      </c>
      <c r="D11" t="s">
        <v>25</v>
      </c>
      <c r="F11" s="33">
        <v>2.5</v>
      </c>
      <c r="G11" s="27" t="s">
        <v>227</v>
      </c>
      <c r="H11" t="s">
        <v>46</v>
      </c>
    </row>
    <row r="12" spans="1:40">
      <c r="C12" t="s">
        <v>21</v>
      </c>
      <c r="D12" t="s">
        <v>110</v>
      </c>
      <c r="F12" s="33">
        <v>418</v>
      </c>
      <c r="G12" s="27" t="s">
        <v>227</v>
      </c>
      <c r="H12" t="s">
        <v>46</v>
      </c>
    </row>
    <row r="14" spans="1:40">
      <c r="C14" t="s">
        <v>174</v>
      </c>
      <c r="F14" s="34">
        <v>3</v>
      </c>
      <c r="G14" s="27" t="s">
        <v>47</v>
      </c>
    </row>
    <row r="16" spans="1:40" s="31" customFormat="1" ht="14.4" customHeight="1">
      <c r="A16" s="29"/>
      <c r="B16" s="30" t="s">
        <v>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</row>
    <row r="18" spans="3:8">
      <c r="C18" t="s">
        <v>27</v>
      </c>
      <c r="D18" t="s">
        <v>113</v>
      </c>
      <c r="F18" s="33" t="s">
        <v>118</v>
      </c>
      <c r="G18" s="27" t="s">
        <v>221</v>
      </c>
    </row>
    <row r="19" spans="3:8">
      <c r="C19" t="s">
        <v>27</v>
      </c>
      <c r="D19" t="s">
        <v>114</v>
      </c>
      <c r="F19" s="33" t="s">
        <v>118</v>
      </c>
      <c r="G19" s="27" t="s">
        <v>221</v>
      </c>
    </row>
    <row r="20" spans="3:8">
      <c r="C20" t="s">
        <v>27</v>
      </c>
      <c r="D20" t="s">
        <v>115</v>
      </c>
      <c r="F20" s="33" t="s">
        <v>119</v>
      </c>
      <c r="G20" s="27" t="s">
        <v>221</v>
      </c>
    </row>
    <row r="21" spans="3:8">
      <c r="C21" t="s">
        <v>27</v>
      </c>
      <c r="D21" t="s">
        <v>116</v>
      </c>
      <c r="F21" s="34">
        <v>4800</v>
      </c>
      <c r="G21" s="27" t="s">
        <v>221</v>
      </c>
    </row>
    <row r="22" spans="3:8">
      <c r="C22" t="s">
        <v>27</v>
      </c>
      <c r="D22" t="s">
        <v>117</v>
      </c>
      <c r="F22" s="34">
        <v>9000</v>
      </c>
      <c r="G22" s="27" t="s">
        <v>221</v>
      </c>
    </row>
    <row r="24" spans="3:8">
      <c r="C24" t="s">
        <v>21</v>
      </c>
      <c r="D24" t="s">
        <v>113</v>
      </c>
      <c r="F24" s="54">
        <v>2600000</v>
      </c>
      <c r="G24" s="27" t="s">
        <v>45</v>
      </c>
      <c r="H24" t="s">
        <v>46</v>
      </c>
    </row>
    <row r="25" spans="3:8">
      <c r="C25" t="s">
        <v>21</v>
      </c>
      <c r="D25" t="s">
        <v>114</v>
      </c>
      <c r="F25" s="54">
        <v>3130000</v>
      </c>
      <c r="G25" s="27" t="s">
        <v>45</v>
      </c>
      <c r="H25" t="s">
        <v>46</v>
      </c>
    </row>
    <row r="26" spans="3:8">
      <c r="C26" t="s">
        <v>21</v>
      </c>
      <c r="D26" t="s">
        <v>115</v>
      </c>
      <c r="F26" s="54">
        <v>1040000</v>
      </c>
      <c r="G26" s="27" t="s">
        <v>45</v>
      </c>
      <c r="H26" t="s">
        <v>46</v>
      </c>
    </row>
    <row r="27" spans="3:8">
      <c r="C27" t="s">
        <v>21</v>
      </c>
      <c r="D27" t="s">
        <v>116</v>
      </c>
      <c r="F27" s="54">
        <v>310000</v>
      </c>
      <c r="G27" s="27" t="s">
        <v>45</v>
      </c>
      <c r="H27" t="s">
        <v>46</v>
      </c>
    </row>
    <row r="28" spans="3:8">
      <c r="C28" t="s">
        <v>21</v>
      </c>
      <c r="D28" t="s">
        <v>117</v>
      </c>
      <c r="F28" s="54">
        <v>830000</v>
      </c>
      <c r="G28" s="27" t="s">
        <v>45</v>
      </c>
      <c r="H28" t="s">
        <v>46</v>
      </c>
    </row>
    <row r="30" spans="3:8">
      <c r="C30" t="s">
        <v>16</v>
      </c>
      <c r="D30" t="s">
        <v>113</v>
      </c>
      <c r="F30" s="34">
        <v>16</v>
      </c>
      <c r="G30" s="27" t="s">
        <v>47</v>
      </c>
    </row>
    <row r="31" spans="3:8">
      <c r="C31" t="s">
        <v>16</v>
      </c>
      <c r="D31" t="s">
        <v>114</v>
      </c>
      <c r="F31" s="34">
        <v>15</v>
      </c>
      <c r="G31" s="27" t="s">
        <v>47</v>
      </c>
    </row>
    <row r="32" spans="3:8">
      <c r="C32" t="s">
        <v>16</v>
      </c>
      <c r="D32" t="s">
        <v>115</v>
      </c>
      <c r="F32" s="34">
        <v>16</v>
      </c>
      <c r="G32" s="27" t="s">
        <v>47</v>
      </c>
    </row>
    <row r="33" spans="3:8">
      <c r="C33" t="s">
        <v>16</v>
      </c>
      <c r="D33" t="s">
        <v>116</v>
      </c>
      <c r="F33" s="34">
        <v>13</v>
      </c>
      <c r="G33" s="27" t="s">
        <v>47</v>
      </c>
    </row>
    <row r="34" spans="3:8">
      <c r="C34" t="s">
        <v>16</v>
      </c>
      <c r="D34" t="s">
        <v>117</v>
      </c>
      <c r="F34" s="34">
        <v>10</v>
      </c>
      <c r="G34" s="27" t="s">
        <v>47</v>
      </c>
    </row>
    <row r="36" spans="3:8">
      <c r="C36" t="s">
        <v>175</v>
      </c>
      <c r="D36" t="s">
        <v>113</v>
      </c>
      <c r="F36" s="34">
        <v>7</v>
      </c>
      <c r="G36" s="27" t="s">
        <v>47</v>
      </c>
    </row>
    <row r="37" spans="3:8">
      <c r="C37" t="s">
        <v>175</v>
      </c>
      <c r="D37" t="s">
        <v>114</v>
      </c>
      <c r="F37" s="34">
        <v>7</v>
      </c>
      <c r="G37" s="27" t="s">
        <v>47</v>
      </c>
    </row>
    <row r="38" spans="3:8">
      <c r="C38" t="s">
        <v>175</v>
      </c>
      <c r="D38" t="s">
        <v>115</v>
      </c>
      <c r="F38" s="34">
        <v>7</v>
      </c>
      <c r="G38" s="27" t="s">
        <v>47</v>
      </c>
    </row>
    <row r="39" spans="3:8">
      <c r="C39" t="s">
        <v>175</v>
      </c>
      <c r="D39" t="s">
        <v>116</v>
      </c>
      <c r="F39" s="34">
        <v>7</v>
      </c>
      <c r="G39" s="27" t="s">
        <v>47</v>
      </c>
    </row>
    <row r="40" spans="3:8">
      <c r="C40" t="s">
        <v>175</v>
      </c>
      <c r="D40" t="s">
        <v>117</v>
      </c>
      <c r="F40" s="34">
        <v>7</v>
      </c>
      <c r="G40" s="27" t="s">
        <v>47</v>
      </c>
    </row>
    <row r="42" spans="3:8">
      <c r="C42" t="s">
        <v>176</v>
      </c>
      <c r="D42" t="s">
        <v>49</v>
      </c>
      <c r="F42" s="40">
        <v>0.75</v>
      </c>
      <c r="G42" s="27" t="s">
        <v>48</v>
      </c>
      <c r="H42" t="s">
        <v>177</v>
      </c>
    </row>
    <row r="44" spans="3:8">
      <c r="C44" t="s">
        <v>224</v>
      </c>
      <c r="D44" t="s">
        <v>113</v>
      </c>
      <c r="F44" s="34">
        <v>3</v>
      </c>
      <c r="G44" s="27"/>
    </row>
    <row r="45" spans="3:8">
      <c r="C45" t="s">
        <v>224</v>
      </c>
      <c r="D45" t="s">
        <v>114</v>
      </c>
      <c r="F45" s="34">
        <v>6</v>
      </c>
      <c r="G45" s="27"/>
    </row>
    <row r="46" spans="3:8">
      <c r="C46" t="s">
        <v>224</v>
      </c>
      <c r="D46" t="s">
        <v>115</v>
      </c>
      <c r="F46" s="34">
        <v>1</v>
      </c>
      <c r="G46" s="27"/>
    </row>
    <row r="47" spans="3:8">
      <c r="C47" t="s">
        <v>224</v>
      </c>
      <c r="D47" t="s">
        <v>116</v>
      </c>
      <c r="F47" s="34">
        <v>1</v>
      </c>
      <c r="G47" s="27"/>
    </row>
    <row r="48" spans="3:8">
      <c r="C48" t="s">
        <v>224</v>
      </c>
      <c r="D48" t="s">
        <v>117</v>
      </c>
      <c r="F48" s="34">
        <v>2</v>
      </c>
      <c r="G48" s="27"/>
    </row>
    <row r="50" spans="1:40">
      <c r="C50" t="s">
        <v>225</v>
      </c>
      <c r="D50" t="s">
        <v>113</v>
      </c>
      <c r="F50" s="54">
        <v>2600000</v>
      </c>
      <c r="G50" s="27" t="s">
        <v>45</v>
      </c>
    </row>
    <row r="51" spans="1:40">
      <c r="C51" t="s">
        <v>225</v>
      </c>
      <c r="D51" t="s">
        <v>114</v>
      </c>
      <c r="F51" s="54">
        <v>3130000</v>
      </c>
      <c r="G51" s="27" t="s">
        <v>45</v>
      </c>
    </row>
    <row r="52" spans="1:40">
      <c r="C52" t="s">
        <v>225</v>
      </c>
      <c r="D52" t="s">
        <v>115</v>
      </c>
      <c r="F52" s="54">
        <v>1040000</v>
      </c>
      <c r="G52" s="27" t="s">
        <v>45</v>
      </c>
    </row>
    <row r="53" spans="1:40">
      <c r="C53" t="s">
        <v>225</v>
      </c>
      <c r="D53" t="s">
        <v>116</v>
      </c>
      <c r="F53" s="54">
        <v>310000</v>
      </c>
      <c r="G53" s="27" t="s">
        <v>45</v>
      </c>
    </row>
    <row r="54" spans="1:40">
      <c r="C54" t="s">
        <v>225</v>
      </c>
      <c r="D54" t="s">
        <v>117</v>
      </c>
      <c r="F54" s="54">
        <v>830000</v>
      </c>
      <c r="G54" s="27" t="s">
        <v>45</v>
      </c>
    </row>
    <row r="56" spans="1:40" s="31" customFormat="1" ht="14.4" customHeight="1">
      <c r="A56" s="29"/>
      <c r="B56" s="30" t="s">
        <v>138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</row>
    <row r="58" spans="1:40">
      <c r="C58" t="s">
        <v>180</v>
      </c>
      <c r="D58" t="s">
        <v>181</v>
      </c>
      <c r="F58" s="34">
        <v>48</v>
      </c>
      <c r="G58" s="27" t="s">
        <v>220</v>
      </c>
    </row>
    <row r="60" spans="1:40">
      <c r="C60" t="s">
        <v>50</v>
      </c>
      <c r="F60" s="33">
        <v>0.05</v>
      </c>
      <c r="G60" s="27" t="s">
        <v>182</v>
      </c>
    </row>
    <row r="62" spans="1:40" s="31" customFormat="1" ht="14.4" customHeight="1">
      <c r="A62" s="29"/>
      <c r="B62" s="30" t="s">
        <v>18</v>
      </c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</row>
    <row r="64" spans="1:40">
      <c r="C64" t="s">
        <v>21</v>
      </c>
      <c r="D64" t="s">
        <v>124</v>
      </c>
      <c r="F64" s="59">
        <v>3.5000000000000003E-2</v>
      </c>
      <c r="G64" s="27" t="s">
        <v>183</v>
      </c>
    </row>
    <row r="65" spans="1:40">
      <c r="C65" t="s">
        <v>21</v>
      </c>
      <c r="D65" t="s">
        <v>125</v>
      </c>
      <c r="F65" s="59">
        <v>0.05</v>
      </c>
      <c r="G65" s="27" t="s">
        <v>183</v>
      </c>
    </row>
    <row r="67" spans="1:40" s="31" customFormat="1" ht="14.4" customHeight="1">
      <c r="A67" s="29"/>
      <c r="B67" s="30" t="s">
        <v>2</v>
      </c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</row>
    <row r="69" spans="1:40">
      <c r="C69" t="s">
        <v>184</v>
      </c>
      <c r="D69" t="s">
        <v>185</v>
      </c>
      <c r="F69" s="33">
        <v>0.28000000000000003</v>
      </c>
      <c r="G69" s="27" t="s">
        <v>186</v>
      </c>
    </row>
    <row r="70" spans="1:40">
      <c r="C70" t="s">
        <v>21</v>
      </c>
      <c r="F70" s="33">
        <v>0.37</v>
      </c>
      <c r="G70" s="27" t="s">
        <v>51</v>
      </c>
      <c r="H70" t="s">
        <v>46</v>
      </c>
    </row>
    <row r="71" spans="1:40">
      <c r="C71" t="s">
        <v>52</v>
      </c>
      <c r="F71" s="33" t="s">
        <v>187</v>
      </c>
      <c r="G71" s="27"/>
    </row>
    <row r="73" spans="1:40" s="31" customFormat="1" ht="14.4" customHeight="1">
      <c r="A73" s="29"/>
      <c r="B73" s="30" t="s">
        <v>188</v>
      </c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</row>
    <row r="75" spans="1:40">
      <c r="C75" t="s">
        <v>54</v>
      </c>
      <c r="F75" s="34">
        <v>7</v>
      </c>
      <c r="G75" s="27" t="s">
        <v>56</v>
      </c>
    </row>
    <row r="76" spans="1:40">
      <c r="C76" t="s">
        <v>55</v>
      </c>
      <c r="F76" s="34">
        <v>24</v>
      </c>
      <c r="G76" s="27" t="s">
        <v>57</v>
      </c>
    </row>
    <row r="77" spans="1:40">
      <c r="C77" t="s">
        <v>53</v>
      </c>
      <c r="F77" s="34">
        <v>42</v>
      </c>
      <c r="G77" s="27" t="s">
        <v>56</v>
      </c>
    </row>
    <row r="78" spans="1:40">
      <c r="C78" t="s">
        <v>58</v>
      </c>
      <c r="F78" s="33">
        <v>80000</v>
      </c>
      <c r="G78" s="27" t="s">
        <v>45</v>
      </c>
    </row>
    <row r="79" spans="1:40">
      <c r="C79" t="s">
        <v>60</v>
      </c>
      <c r="F79" s="34">
        <v>2</v>
      </c>
      <c r="G79" s="27" t="s">
        <v>189</v>
      </c>
    </row>
    <row r="81" spans="1:40" s="31" customFormat="1" ht="14.4" customHeight="1">
      <c r="A81" s="29"/>
      <c r="B81" s="30" t="s">
        <v>190</v>
      </c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</row>
    <row r="83" spans="1:40">
      <c r="C83" t="s">
        <v>65</v>
      </c>
      <c r="F83" s="33">
        <v>10000000</v>
      </c>
      <c r="G83" s="27" t="s">
        <v>45</v>
      </c>
    </row>
    <row r="84" spans="1:40">
      <c r="C84" t="s">
        <v>67</v>
      </c>
      <c r="F84" s="35">
        <v>46023</v>
      </c>
      <c r="G84" s="27"/>
    </row>
    <row r="85" spans="1:40">
      <c r="C85" t="s">
        <v>101</v>
      </c>
      <c r="F85" s="40">
        <v>0.8</v>
      </c>
      <c r="G85" s="27"/>
    </row>
    <row r="86" spans="1:40">
      <c r="C86" t="s">
        <v>102</v>
      </c>
      <c r="F86" s="40">
        <v>0.2</v>
      </c>
      <c r="G86" s="27"/>
    </row>
    <row r="87" spans="1:40">
      <c r="C87" t="s">
        <v>16</v>
      </c>
      <c r="F87" s="28">
        <v>50</v>
      </c>
      <c r="G87" s="27" t="s">
        <v>47</v>
      </c>
    </row>
    <row r="88" spans="1:40">
      <c r="C88" t="s">
        <v>175</v>
      </c>
      <c r="F88" s="28">
        <v>39</v>
      </c>
      <c r="G88" s="27" t="s">
        <v>47</v>
      </c>
    </row>
    <row r="90" spans="1:40" s="31" customFormat="1" ht="14.4" customHeight="1">
      <c r="A90" s="29"/>
      <c r="B90" s="30" t="s">
        <v>191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</row>
    <row r="92" spans="1:40">
      <c r="C92" t="s">
        <v>68</v>
      </c>
      <c r="F92" s="32">
        <v>0.12</v>
      </c>
      <c r="G92" s="27" t="s">
        <v>48</v>
      </c>
    </row>
    <row r="93" spans="1:40">
      <c r="C93" t="s">
        <v>192</v>
      </c>
      <c r="F93" s="32">
        <v>0.3</v>
      </c>
      <c r="G93" s="27" t="s">
        <v>48</v>
      </c>
    </row>
    <row r="95" spans="1:40" s="31" customFormat="1" ht="14.4" customHeight="1">
      <c r="A95" s="29"/>
      <c r="B95" s="30" t="s">
        <v>5</v>
      </c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</row>
    <row r="97" spans="1:110">
      <c r="C97" t="s">
        <v>69</v>
      </c>
      <c r="F97" s="60">
        <v>0.26374999999999998</v>
      </c>
      <c r="G97" s="27" t="s">
        <v>48</v>
      </c>
    </row>
    <row r="98" spans="1:110">
      <c r="C98" t="s">
        <v>22</v>
      </c>
      <c r="F98" s="32" t="s">
        <v>194</v>
      </c>
      <c r="H98" t="s">
        <v>92</v>
      </c>
    </row>
    <row r="100" spans="1:110" s="31" customFormat="1" ht="14.4" customHeight="1">
      <c r="A100" s="29"/>
      <c r="B100" s="30" t="s">
        <v>6</v>
      </c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</row>
    <row r="102" spans="1:110">
      <c r="C102" t="s">
        <v>11</v>
      </c>
      <c r="F102" s="33">
        <v>10000000</v>
      </c>
      <c r="G102" s="27" t="s">
        <v>45</v>
      </c>
    </row>
    <row r="103" spans="1:110">
      <c r="C103" t="s">
        <v>72</v>
      </c>
      <c r="F103" s="32">
        <v>1</v>
      </c>
      <c r="G103" s="27" t="s">
        <v>48</v>
      </c>
    </row>
    <row r="104" spans="1:110">
      <c r="C104" t="s">
        <v>96</v>
      </c>
      <c r="F104" s="32" t="s">
        <v>97</v>
      </c>
      <c r="G104" s="27"/>
    </row>
    <row r="106" spans="1:110" s="31" customFormat="1" ht="14.4" customHeight="1">
      <c r="A106" s="29"/>
      <c r="B106" s="30" t="s">
        <v>13</v>
      </c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</row>
    <row r="108" spans="1:110">
      <c r="C108" t="s">
        <v>73</v>
      </c>
      <c r="D108" t="s">
        <v>74</v>
      </c>
      <c r="F108" s="33">
        <v>35000000</v>
      </c>
      <c r="G108" s="27" t="s">
        <v>45</v>
      </c>
      <c r="K108" s="39"/>
      <c r="L108" s="39"/>
      <c r="M108" s="39"/>
      <c r="N108" s="63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  <c r="CC108" s="39"/>
      <c r="CD108" s="39"/>
      <c r="CE108" s="39"/>
      <c r="CF108" s="39"/>
      <c r="CG108" s="39"/>
      <c r="CH108" s="39"/>
      <c r="CI108" s="39"/>
      <c r="CJ108" s="39"/>
      <c r="CK108" s="39"/>
      <c r="CL108" s="39"/>
      <c r="CM108" s="39"/>
      <c r="CN108" s="39"/>
      <c r="CO108" s="39"/>
      <c r="CP108" s="39"/>
      <c r="CQ108" s="39"/>
      <c r="CR108" s="39"/>
      <c r="CS108" s="39"/>
      <c r="CT108" s="39"/>
      <c r="CU108" s="39"/>
      <c r="CV108" s="39"/>
      <c r="CW108" s="39"/>
      <c r="CX108" s="39"/>
      <c r="CY108" s="39"/>
      <c r="CZ108" s="39"/>
      <c r="DA108" s="39"/>
      <c r="DB108" s="39"/>
      <c r="DC108" s="39"/>
      <c r="DD108" s="39"/>
      <c r="DE108" s="39"/>
      <c r="DF108" s="39"/>
    </row>
    <row r="109" spans="1:110">
      <c r="C109" t="s">
        <v>15</v>
      </c>
      <c r="D109" t="s">
        <v>74</v>
      </c>
      <c r="F109" s="32">
        <v>0.09</v>
      </c>
      <c r="G109" s="27" t="s">
        <v>48</v>
      </c>
      <c r="H109" t="s">
        <v>95</v>
      </c>
    </row>
    <row r="110" spans="1:110">
      <c r="C110" t="s">
        <v>75</v>
      </c>
      <c r="D110" t="s">
        <v>74</v>
      </c>
      <c r="F110" s="33">
        <v>20</v>
      </c>
      <c r="G110" s="27" t="s">
        <v>47</v>
      </c>
      <c r="H110" t="s">
        <v>232</v>
      </c>
    </row>
    <row r="111" spans="1:110">
      <c r="C111" t="s">
        <v>91</v>
      </c>
      <c r="D111" t="s">
        <v>74</v>
      </c>
      <c r="F111" s="35">
        <v>45658</v>
      </c>
      <c r="G111" s="27"/>
    </row>
    <row r="112" spans="1:110">
      <c r="C112" t="s">
        <v>93</v>
      </c>
      <c r="D112" t="s">
        <v>74</v>
      </c>
      <c r="F112" s="33" t="s">
        <v>94</v>
      </c>
      <c r="G112" s="27"/>
    </row>
    <row r="113" spans="1:40">
      <c r="C113" t="s">
        <v>195</v>
      </c>
      <c r="D113" t="s">
        <v>74</v>
      </c>
      <c r="F113" s="28">
        <v>5</v>
      </c>
      <c r="G113" s="27" t="s">
        <v>47</v>
      </c>
      <c r="H113" t="s">
        <v>234</v>
      </c>
    </row>
    <row r="115" spans="1:40" s="31" customFormat="1" ht="14.4" customHeight="1">
      <c r="A115" s="29"/>
      <c r="B115" s="30" t="s">
        <v>99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</row>
    <row r="117" spans="1:40">
      <c r="C117" t="s">
        <v>197</v>
      </c>
      <c r="F117" s="32">
        <v>0.1</v>
      </c>
      <c r="G117" s="27" t="s">
        <v>48</v>
      </c>
      <c r="H117" t="s">
        <v>196</v>
      </c>
    </row>
    <row r="119" spans="1:40" s="31" customFormat="1" ht="14.4" customHeight="1">
      <c r="A119" s="29"/>
      <c r="B119" s="30" t="s">
        <v>10</v>
      </c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</row>
    <row r="121" spans="1:40">
      <c r="C121" t="s">
        <v>198</v>
      </c>
      <c r="F121" s="32">
        <v>2.1000000000000001E-2</v>
      </c>
      <c r="G121" s="27" t="s">
        <v>48</v>
      </c>
      <c r="H121" t="s">
        <v>20</v>
      </c>
    </row>
    <row r="122" spans="1:40">
      <c r="C122" t="s">
        <v>200</v>
      </c>
      <c r="F122" s="32">
        <v>2.9000000000000001E-2</v>
      </c>
      <c r="G122" s="27" t="s">
        <v>48</v>
      </c>
      <c r="H122" t="s">
        <v>20</v>
      </c>
    </row>
    <row r="124" spans="1:40" s="31" customFormat="1" ht="14.4" customHeight="1">
      <c r="A124" s="29"/>
      <c r="B124" s="30" t="s">
        <v>8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</row>
    <row r="126" spans="1:40">
      <c r="C126" t="s">
        <v>76</v>
      </c>
      <c r="F126" s="34">
        <v>14</v>
      </c>
      <c r="G126" s="27" t="s">
        <v>77</v>
      </c>
    </row>
    <row r="127" spans="1:40">
      <c r="C127" t="s">
        <v>201</v>
      </c>
      <c r="F127" s="34">
        <v>22</v>
      </c>
      <c r="G127" s="27" t="s">
        <v>77</v>
      </c>
    </row>
    <row r="128" spans="1:40">
      <c r="C128" t="s">
        <v>202</v>
      </c>
      <c r="F128" s="34">
        <v>6</v>
      </c>
      <c r="G128" s="27" t="s">
        <v>77</v>
      </c>
    </row>
    <row r="129" spans="1:40">
      <c r="C129" t="s">
        <v>78</v>
      </c>
      <c r="F129" s="34">
        <v>20</v>
      </c>
      <c r="G129" s="27" t="s">
        <v>77</v>
      </c>
    </row>
    <row r="131" spans="1:40" s="31" customFormat="1" ht="14.4" customHeight="1">
      <c r="A131" s="29"/>
      <c r="B131" s="30" t="s">
        <v>203</v>
      </c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</row>
    <row r="133" spans="1:40">
      <c r="C133" t="s">
        <v>150</v>
      </c>
      <c r="D133" t="s">
        <v>152</v>
      </c>
      <c r="F133" s="34" t="s">
        <v>153</v>
      </c>
    </row>
    <row r="134" spans="1:40">
      <c r="C134" t="s">
        <v>150</v>
      </c>
      <c r="D134" t="s">
        <v>154</v>
      </c>
      <c r="F134" s="34" t="s">
        <v>155</v>
      </c>
    </row>
    <row r="135" spans="1:40">
      <c r="C135" t="s">
        <v>150</v>
      </c>
      <c r="D135" t="s">
        <v>156</v>
      </c>
      <c r="F135" s="34" t="s">
        <v>155</v>
      </c>
    </row>
    <row r="136" spans="1:40">
      <c r="C136" t="s">
        <v>150</v>
      </c>
      <c r="D136" t="s">
        <v>157</v>
      </c>
      <c r="F136" s="34" t="s">
        <v>155</v>
      </c>
    </row>
    <row r="137" spans="1:40">
      <c r="C137" t="s">
        <v>150</v>
      </c>
      <c r="D137" t="s">
        <v>158</v>
      </c>
      <c r="F137" s="34" t="s">
        <v>155</v>
      </c>
    </row>
    <row r="138" spans="1:40">
      <c r="C138" t="s">
        <v>150</v>
      </c>
      <c r="D138" t="s">
        <v>159</v>
      </c>
      <c r="F138" s="34" t="s">
        <v>153</v>
      </c>
    </row>
    <row r="139" spans="1:40">
      <c r="C139" t="s">
        <v>150</v>
      </c>
      <c r="D139" t="s">
        <v>160</v>
      </c>
      <c r="F139" s="34" t="s">
        <v>155</v>
      </c>
    </row>
    <row r="140" spans="1:40">
      <c r="C140" t="s">
        <v>150</v>
      </c>
      <c r="D140" t="s">
        <v>161</v>
      </c>
      <c r="F140" s="34" t="s">
        <v>155</v>
      </c>
    </row>
    <row r="142" spans="1:40">
      <c r="C142" t="s">
        <v>204</v>
      </c>
      <c r="D142" t="s">
        <v>152</v>
      </c>
      <c r="F142" s="34">
        <v>1430.0000000000002</v>
      </c>
      <c r="G142" s="27" t="s">
        <v>207</v>
      </c>
    </row>
    <row r="143" spans="1:40">
      <c r="C143" t="s">
        <v>204</v>
      </c>
      <c r="D143" t="s">
        <v>154</v>
      </c>
      <c r="F143" s="34">
        <v>1760.0000000000002</v>
      </c>
      <c r="G143" s="27" t="s">
        <v>207</v>
      </c>
    </row>
    <row r="144" spans="1:40">
      <c r="C144" t="s">
        <v>204</v>
      </c>
      <c r="D144" t="s">
        <v>156</v>
      </c>
      <c r="F144" s="34">
        <v>1650.0000000000002</v>
      </c>
      <c r="G144" s="27" t="s">
        <v>207</v>
      </c>
    </row>
    <row r="145" spans="3:8">
      <c r="C145" t="s">
        <v>204</v>
      </c>
      <c r="D145" t="s">
        <v>157</v>
      </c>
      <c r="F145" s="34">
        <v>1760.0000000000002</v>
      </c>
      <c r="G145" s="27" t="s">
        <v>207</v>
      </c>
    </row>
    <row r="146" spans="3:8">
      <c r="C146" t="s">
        <v>204</v>
      </c>
      <c r="D146" t="s">
        <v>158</v>
      </c>
      <c r="F146" s="34">
        <v>1485.0000000000002</v>
      </c>
      <c r="G146" s="27" t="s">
        <v>207</v>
      </c>
    </row>
    <row r="147" spans="3:8">
      <c r="C147" t="s">
        <v>204</v>
      </c>
      <c r="D147" t="s">
        <v>159</v>
      </c>
      <c r="F147" s="34">
        <v>1320</v>
      </c>
      <c r="G147" s="27" t="s">
        <v>207</v>
      </c>
    </row>
    <row r="148" spans="3:8">
      <c r="C148" t="s">
        <v>204</v>
      </c>
      <c r="D148" t="s">
        <v>160</v>
      </c>
      <c r="F148" s="34">
        <v>1430.0000000000002</v>
      </c>
      <c r="G148" s="27" t="s">
        <v>207</v>
      </c>
    </row>
    <row r="149" spans="3:8">
      <c r="C149" t="s">
        <v>204</v>
      </c>
      <c r="D149" t="s">
        <v>161</v>
      </c>
      <c r="F149" s="34">
        <v>1650.0000000000002</v>
      </c>
      <c r="G149" s="27" t="s">
        <v>207</v>
      </c>
    </row>
    <row r="151" spans="3:8">
      <c r="C151" t="s">
        <v>208</v>
      </c>
      <c r="D151" t="s">
        <v>152</v>
      </c>
      <c r="F151" s="33">
        <v>0.64999999999999991</v>
      </c>
      <c r="G151" s="27" t="s">
        <v>45</v>
      </c>
      <c r="H151" t="s">
        <v>46</v>
      </c>
    </row>
    <row r="152" spans="3:8">
      <c r="C152" t="s">
        <v>208</v>
      </c>
      <c r="D152" t="s">
        <v>154</v>
      </c>
      <c r="F152" s="33">
        <v>0.67999999999999994</v>
      </c>
      <c r="G152" s="27" t="s">
        <v>45</v>
      </c>
      <c r="H152" t="s">
        <v>46</v>
      </c>
    </row>
    <row r="153" spans="3:8">
      <c r="C153" t="s">
        <v>208</v>
      </c>
      <c r="D153" t="s">
        <v>156</v>
      </c>
      <c r="F153" s="33">
        <v>0.67999999999999994</v>
      </c>
      <c r="G153" s="27" t="s">
        <v>45</v>
      </c>
      <c r="H153" t="s">
        <v>46</v>
      </c>
    </row>
    <row r="154" spans="3:8">
      <c r="C154" t="s">
        <v>208</v>
      </c>
      <c r="D154" t="s">
        <v>157</v>
      </c>
      <c r="F154" s="33">
        <v>0.67999999999999994</v>
      </c>
      <c r="G154" s="27" t="s">
        <v>45</v>
      </c>
      <c r="H154" t="s">
        <v>46</v>
      </c>
    </row>
    <row r="155" spans="3:8">
      <c r="C155" t="s">
        <v>208</v>
      </c>
      <c r="D155" t="s">
        <v>158</v>
      </c>
      <c r="F155" s="33">
        <v>0.71</v>
      </c>
      <c r="G155" s="27" t="s">
        <v>45</v>
      </c>
      <c r="H155" t="s">
        <v>46</v>
      </c>
    </row>
    <row r="156" spans="3:8">
      <c r="C156" t="s">
        <v>208</v>
      </c>
      <c r="D156" t="s">
        <v>159</v>
      </c>
      <c r="F156" s="33">
        <v>0.69</v>
      </c>
      <c r="G156" s="27" t="s">
        <v>45</v>
      </c>
      <c r="H156" t="s">
        <v>46</v>
      </c>
    </row>
    <row r="157" spans="3:8">
      <c r="C157" t="s">
        <v>208</v>
      </c>
      <c r="D157" t="s">
        <v>160</v>
      </c>
      <c r="F157" s="33">
        <v>0.72</v>
      </c>
      <c r="G157" s="27" t="s">
        <v>45</v>
      </c>
      <c r="H157" t="s">
        <v>46</v>
      </c>
    </row>
    <row r="158" spans="3:8">
      <c r="C158" t="s">
        <v>208</v>
      </c>
      <c r="D158" t="s">
        <v>161</v>
      </c>
      <c r="F158" s="33">
        <v>0.61</v>
      </c>
      <c r="G158" s="27" t="s">
        <v>45</v>
      </c>
      <c r="H158" t="s">
        <v>46</v>
      </c>
    </row>
    <row r="160" spans="3:8">
      <c r="C160" t="s">
        <v>212</v>
      </c>
      <c r="D160" t="s">
        <v>181</v>
      </c>
      <c r="F160" s="34">
        <v>500</v>
      </c>
      <c r="G160" s="27" t="s">
        <v>211</v>
      </c>
      <c r="H160" t="s">
        <v>213</v>
      </c>
    </row>
    <row r="163" spans="1:40" s="31" customFormat="1" ht="14.4" customHeight="1">
      <c r="A163" s="29"/>
      <c r="B163" s="30" t="s">
        <v>30</v>
      </c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</row>
    <row r="165" spans="1:40">
      <c r="C165" t="s">
        <v>31</v>
      </c>
      <c r="F165" s="32">
        <v>4.7E-2</v>
      </c>
      <c r="G165" s="27" t="s">
        <v>217</v>
      </c>
    </row>
    <row r="166" spans="1:40">
      <c r="C166" t="s">
        <v>32</v>
      </c>
      <c r="F166" s="32">
        <v>9.1899999999999996E-2</v>
      </c>
      <c r="G166" s="27" t="s">
        <v>217</v>
      </c>
    </row>
    <row r="167" spans="1:40">
      <c r="C167" t="s">
        <v>33</v>
      </c>
      <c r="F167" s="32">
        <v>9.0899999999999995E-2</v>
      </c>
      <c r="G167" s="27" t="s">
        <v>217</v>
      </c>
    </row>
    <row r="168" spans="1:40">
      <c r="C168" t="s">
        <v>34</v>
      </c>
      <c r="F168" s="32">
        <v>7.9100000000000004E-2</v>
      </c>
      <c r="G168" s="27" t="s">
        <v>217</v>
      </c>
    </row>
    <row r="169" spans="1:40">
      <c r="C169" t="s">
        <v>35</v>
      </c>
      <c r="F169" s="32">
        <v>5.4800000000000001E-2</v>
      </c>
      <c r="G169" s="27" t="s">
        <v>217</v>
      </c>
    </row>
    <row r="170" spans="1:40">
      <c r="C170" t="s">
        <v>36</v>
      </c>
      <c r="F170" s="32">
        <v>0.1192</v>
      </c>
      <c r="G170" s="27" t="s">
        <v>217</v>
      </c>
    </row>
    <row r="171" spans="1:40">
      <c r="C171" t="s">
        <v>37</v>
      </c>
      <c r="F171" s="32">
        <v>0.1055</v>
      </c>
      <c r="G171" s="27" t="s">
        <v>217</v>
      </c>
    </row>
    <row r="172" spans="1:40">
      <c r="C172" t="s">
        <v>38</v>
      </c>
      <c r="F172" s="32">
        <v>0.1041</v>
      </c>
      <c r="G172" s="27" t="s">
        <v>217</v>
      </c>
    </row>
    <row r="173" spans="1:40">
      <c r="C173" t="s">
        <v>39</v>
      </c>
      <c r="F173" s="32">
        <v>7.2499999999999995E-2</v>
      </c>
      <c r="G173" s="27" t="s">
        <v>217</v>
      </c>
    </row>
    <row r="174" spans="1:40">
      <c r="C174" t="s">
        <v>40</v>
      </c>
      <c r="F174" s="32">
        <v>0.1192</v>
      </c>
      <c r="G174" s="27" t="s">
        <v>217</v>
      </c>
    </row>
    <row r="175" spans="1:40">
      <c r="C175" t="s">
        <v>41</v>
      </c>
      <c r="F175" s="32">
        <v>5.2699999999999997E-2</v>
      </c>
      <c r="G175" s="27" t="s">
        <v>217</v>
      </c>
    </row>
    <row r="176" spans="1:40">
      <c r="C176" t="s">
        <v>42</v>
      </c>
      <c r="F176" s="32">
        <v>6.3100000000000003E-2</v>
      </c>
      <c r="G176" s="27" t="s">
        <v>217</v>
      </c>
    </row>
    <row r="178" spans="1:40" s="31" customFormat="1" ht="14.4" customHeight="1">
      <c r="A178" s="29"/>
      <c r="B178" s="30" t="s">
        <v>79</v>
      </c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</row>
    <row r="180" spans="1:40">
      <c r="C180" t="s">
        <v>80</v>
      </c>
      <c r="F180" s="35">
        <v>46023</v>
      </c>
      <c r="G180" s="27"/>
    </row>
    <row r="181" spans="1:40">
      <c r="C181" t="s">
        <v>88</v>
      </c>
      <c r="F181" s="34">
        <v>12</v>
      </c>
      <c r="G181" s="27" t="s">
        <v>47</v>
      </c>
    </row>
    <row r="182" spans="1:40">
      <c r="C182" t="s">
        <v>179</v>
      </c>
      <c r="F182" s="34">
        <v>24</v>
      </c>
      <c r="G182" s="27"/>
    </row>
    <row r="183" spans="1:40">
      <c r="C183" t="s">
        <v>85</v>
      </c>
      <c r="F183" s="34">
        <v>30</v>
      </c>
      <c r="G183" s="27"/>
    </row>
    <row r="184" spans="1:40">
      <c r="C184" t="s">
        <v>86</v>
      </c>
      <c r="F184" s="34">
        <v>12</v>
      </c>
      <c r="G184" s="27"/>
    </row>
    <row r="186" spans="1:40">
      <c r="C186" t="s">
        <v>209</v>
      </c>
      <c r="F186" s="34">
        <v>1000</v>
      </c>
      <c r="G186" s="27" t="s">
        <v>210</v>
      </c>
    </row>
    <row r="187" spans="1:40">
      <c r="C187" t="s">
        <v>209</v>
      </c>
      <c r="F187" s="34">
        <v>1000</v>
      </c>
      <c r="G187" s="27" t="s">
        <v>229</v>
      </c>
    </row>
    <row r="188" spans="1:40">
      <c r="F188" s="27"/>
      <c r="G188" s="27"/>
    </row>
    <row r="189" spans="1:40">
      <c r="C189" t="s">
        <v>87</v>
      </c>
      <c r="D189" t="s">
        <v>31</v>
      </c>
      <c r="F189" s="34">
        <v>1</v>
      </c>
      <c r="G189" s="27"/>
    </row>
    <row r="190" spans="1:40">
      <c r="C190" t="s">
        <v>87</v>
      </c>
      <c r="D190" t="s">
        <v>32</v>
      </c>
      <c r="F190" s="34">
        <v>2</v>
      </c>
      <c r="G190" s="27"/>
    </row>
    <row r="191" spans="1:40">
      <c r="C191" t="s">
        <v>87</v>
      </c>
      <c r="D191" t="s">
        <v>33</v>
      </c>
      <c r="F191" s="34">
        <v>3</v>
      </c>
      <c r="G191" s="27"/>
    </row>
    <row r="192" spans="1:40">
      <c r="C192" t="s">
        <v>87</v>
      </c>
      <c r="D192" t="s">
        <v>34</v>
      </c>
      <c r="F192" s="34">
        <v>4</v>
      </c>
      <c r="G192" s="27"/>
    </row>
    <row r="193" spans="1:40">
      <c r="C193" t="s">
        <v>87</v>
      </c>
      <c r="D193" t="s">
        <v>35</v>
      </c>
      <c r="F193" s="34">
        <v>5</v>
      </c>
      <c r="G193" s="27"/>
    </row>
    <row r="194" spans="1:40">
      <c r="C194" t="s">
        <v>87</v>
      </c>
      <c r="D194" t="s">
        <v>36</v>
      </c>
      <c r="F194" s="34">
        <v>6</v>
      </c>
      <c r="G194" s="27"/>
    </row>
    <row r="195" spans="1:40">
      <c r="C195" t="s">
        <v>87</v>
      </c>
      <c r="D195" t="s">
        <v>37</v>
      </c>
      <c r="F195" s="34">
        <v>7</v>
      </c>
      <c r="G195" s="27"/>
    </row>
    <row r="196" spans="1:40">
      <c r="C196" t="s">
        <v>87</v>
      </c>
      <c r="D196" t="s">
        <v>38</v>
      </c>
      <c r="F196" s="34">
        <v>8</v>
      </c>
      <c r="G196" s="27"/>
    </row>
    <row r="197" spans="1:40">
      <c r="C197" t="s">
        <v>87</v>
      </c>
      <c r="D197" t="s">
        <v>39</v>
      </c>
      <c r="F197" s="34">
        <v>9</v>
      </c>
      <c r="G197" s="27"/>
    </row>
    <row r="198" spans="1:40">
      <c r="C198" t="s">
        <v>87</v>
      </c>
      <c r="D198" t="s">
        <v>40</v>
      </c>
      <c r="F198" s="34">
        <v>10</v>
      </c>
      <c r="G198" s="27"/>
    </row>
    <row r="199" spans="1:40">
      <c r="C199" t="s">
        <v>87</v>
      </c>
      <c r="D199" t="s">
        <v>41</v>
      </c>
      <c r="F199" s="34">
        <v>11</v>
      </c>
      <c r="G199" s="27"/>
    </row>
    <row r="200" spans="1:40">
      <c r="C200" t="s">
        <v>87</v>
      </c>
      <c r="D200" t="s">
        <v>42</v>
      </c>
      <c r="F200" s="34">
        <v>12</v>
      </c>
      <c r="G200" s="27"/>
    </row>
    <row r="202" spans="1:40" s="31" customFormat="1" ht="14.4" customHeight="1">
      <c r="A202" s="29"/>
      <c r="B202" s="30" t="s">
        <v>81</v>
      </c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</row>
    <row r="204" spans="1:40">
      <c r="C204" t="s">
        <v>23</v>
      </c>
      <c r="F204" s="33">
        <v>8560000</v>
      </c>
      <c r="G204" s="27" t="s">
        <v>45</v>
      </c>
    </row>
    <row r="205" spans="1:40">
      <c r="C205" t="s">
        <v>90</v>
      </c>
      <c r="F205" s="33">
        <v>29590000</v>
      </c>
      <c r="G205" s="27" t="s">
        <v>45</v>
      </c>
    </row>
    <row r="206" spans="1:40">
      <c r="C206" t="s">
        <v>64</v>
      </c>
      <c r="F206" s="33">
        <v>10000000</v>
      </c>
      <c r="G206" s="27" t="s">
        <v>45</v>
      </c>
    </row>
    <row r="207" spans="1:40">
      <c r="C207" t="s">
        <v>14</v>
      </c>
      <c r="F207" s="33">
        <v>38150000</v>
      </c>
      <c r="G207" s="27" t="s">
        <v>45</v>
      </c>
    </row>
    <row r="208" spans="1:40">
      <c r="C208" t="s">
        <v>11</v>
      </c>
      <c r="F208" s="33">
        <v>10000000</v>
      </c>
      <c r="G208" s="27" t="s">
        <v>45</v>
      </c>
    </row>
    <row r="210" spans="1:40" s="31" customFormat="1" ht="14.4" customHeight="1">
      <c r="A210" s="29"/>
      <c r="B210" s="30" t="s">
        <v>82</v>
      </c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26FE5-4330-4787-A575-136FF6E5C227}">
  <sheetPr>
    <tabColor theme="8" tint="0.59999389629810485"/>
  </sheetPr>
  <dimension ref="A1:N9"/>
  <sheetViews>
    <sheetView showGridLines="0" zoomScale="80" zoomScaleNormal="80" workbookViewId="0"/>
  </sheetViews>
  <sheetFormatPr defaultRowHeight="14.4"/>
  <cols>
    <col min="1" max="1" width="33.33203125" customWidth="1"/>
    <col min="2" max="14" width="9.5546875" customWidth="1"/>
  </cols>
  <sheetData>
    <row r="1" spans="1:14">
      <c r="A1" s="36" t="s">
        <v>206</v>
      </c>
      <c r="B1" s="57">
        <v>2026</v>
      </c>
      <c r="C1" s="57">
        <v>2027</v>
      </c>
      <c r="D1" s="57">
        <v>2028</v>
      </c>
      <c r="E1" s="57">
        <v>2029</v>
      </c>
      <c r="F1" s="57">
        <v>2030</v>
      </c>
      <c r="G1" s="57">
        <v>2031</v>
      </c>
      <c r="H1" s="57">
        <v>2032</v>
      </c>
      <c r="I1" s="57">
        <v>2033</v>
      </c>
      <c r="J1" s="57">
        <v>2034</v>
      </c>
      <c r="K1" s="57">
        <v>2035</v>
      </c>
      <c r="L1" s="57">
        <v>2036</v>
      </c>
      <c r="M1" s="57">
        <v>2037</v>
      </c>
      <c r="N1" s="11">
        <v>2038</v>
      </c>
    </row>
    <row r="2" spans="1:14">
      <c r="A2" s="12" t="s">
        <v>152</v>
      </c>
      <c r="B2" s="34">
        <v>33757500</v>
      </c>
      <c r="C2" s="34">
        <v>30725500</v>
      </c>
      <c r="D2" s="34">
        <v>32709300</v>
      </c>
      <c r="E2" s="34">
        <v>36222900</v>
      </c>
      <c r="F2" s="34">
        <v>40282700</v>
      </c>
      <c r="G2" s="34">
        <v>37464900</v>
      </c>
      <c r="H2" s="34">
        <v>37989400</v>
      </c>
      <c r="I2" s="34">
        <v>33371800</v>
      </c>
      <c r="J2" s="34">
        <v>36225800</v>
      </c>
      <c r="K2" s="34">
        <v>38756100</v>
      </c>
      <c r="L2" s="34">
        <v>39932900</v>
      </c>
      <c r="M2" s="34">
        <v>43081100</v>
      </c>
      <c r="N2" s="37">
        <v>45348500</v>
      </c>
    </row>
    <row r="3" spans="1:14">
      <c r="A3" s="12" t="s">
        <v>154</v>
      </c>
      <c r="B3" s="34">
        <v>35906800</v>
      </c>
      <c r="C3" s="34">
        <v>33755900</v>
      </c>
      <c r="D3" s="34">
        <v>33140900</v>
      </c>
      <c r="E3" s="34">
        <v>39052300</v>
      </c>
      <c r="F3" s="34">
        <v>33686700</v>
      </c>
      <c r="G3" s="34">
        <v>38250800</v>
      </c>
      <c r="H3" s="34">
        <v>37816200</v>
      </c>
      <c r="I3" s="34">
        <v>38254800</v>
      </c>
      <c r="J3" s="34">
        <v>46556000</v>
      </c>
      <c r="K3" s="34">
        <v>39124000</v>
      </c>
      <c r="L3" s="34">
        <v>37669100</v>
      </c>
      <c r="M3" s="34">
        <v>41165900</v>
      </c>
      <c r="N3" s="37">
        <v>43332500</v>
      </c>
    </row>
    <row r="4" spans="1:14">
      <c r="A4" s="12" t="s">
        <v>156</v>
      </c>
      <c r="B4" s="34">
        <v>22018500</v>
      </c>
      <c r="C4" s="34">
        <v>23309100</v>
      </c>
      <c r="D4" s="34">
        <v>27573900</v>
      </c>
      <c r="E4" s="34">
        <v>26682600</v>
      </c>
      <c r="F4" s="34">
        <v>26041800</v>
      </c>
      <c r="G4" s="34">
        <v>24674600</v>
      </c>
      <c r="H4" s="34">
        <v>27535100</v>
      </c>
      <c r="I4" s="34">
        <v>31366300</v>
      </c>
      <c r="J4" s="34">
        <v>29307300</v>
      </c>
      <c r="K4" s="34">
        <v>31174800</v>
      </c>
      <c r="L4" s="34">
        <v>36240000</v>
      </c>
      <c r="M4" s="34">
        <v>32751800</v>
      </c>
      <c r="N4" s="37">
        <v>34475600</v>
      </c>
    </row>
    <row r="5" spans="1:14">
      <c r="A5" s="12" t="s">
        <v>157</v>
      </c>
      <c r="B5" s="34">
        <v>42108400</v>
      </c>
      <c r="C5" s="34">
        <v>40656200</v>
      </c>
      <c r="D5" s="34">
        <v>41808900</v>
      </c>
      <c r="E5" s="34">
        <v>50873500</v>
      </c>
      <c r="F5" s="34">
        <v>53261000</v>
      </c>
      <c r="G5" s="34">
        <v>47158400</v>
      </c>
      <c r="H5" s="34">
        <v>52833600</v>
      </c>
      <c r="I5" s="34">
        <v>50065100</v>
      </c>
      <c r="J5" s="34">
        <v>53831300</v>
      </c>
      <c r="K5" s="34">
        <v>47605300</v>
      </c>
      <c r="L5" s="34">
        <v>51884800</v>
      </c>
      <c r="M5" s="34">
        <v>49500300</v>
      </c>
      <c r="N5" s="37">
        <v>52105600</v>
      </c>
    </row>
    <row r="6" spans="1:14">
      <c r="A6" s="12" t="s">
        <v>158</v>
      </c>
      <c r="B6" s="34">
        <v>41771800</v>
      </c>
      <c r="C6" s="34">
        <v>46736300</v>
      </c>
      <c r="D6" s="34">
        <v>41349200</v>
      </c>
      <c r="E6" s="34">
        <v>49116900</v>
      </c>
      <c r="F6" s="34">
        <v>44813800</v>
      </c>
      <c r="G6" s="34">
        <v>40510600</v>
      </c>
      <c r="H6" s="34">
        <v>50923800</v>
      </c>
      <c r="I6" s="34">
        <v>52784000</v>
      </c>
      <c r="J6" s="34">
        <v>48577300</v>
      </c>
      <c r="K6" s="34">
        <v>45735400</v>
      </c>
      <c r="L6" s="34">
        <v>50592500</v>
      </c>
      <c r="M6" s="34">
        <v>57940200</v>
      </c>
      <c r="N6" s="37">
        <v>60989700</v>
      </c>
    </row>
    <row r="7" spans="1:14">
      <c r="A7" s="12" t="s">
        <v>159</v>
      </c>
      <c r="B7" s="34">
        <v>24872800</v>
      </c>
      <c r="C7" s="34">
        <v>30233100</v>
      </c>
      <c r="D7" s="34">
        <v>29757700</v>
      </c>
      <c r="E7" s="34">
        <v>25947800</v>
      </c>
      <c r="F7" s="34">
        <v>26389300</v>
      </c>
      <c r="G7" s="34">
        <v>29946900</v>
      </c>
      <c r="H7" s="34">
        <v>29131000</v>
      </c>
      <c r="I7" s="34">
        <v>26746500</v>
      </c>
      <c r="J7" s="34">
        <v>32629400</v>
      </c>
      <c r="K7" s="34">
        <v>32640300</v>
      </c>
      <c r="L7" s="34">
        <v>34274400</v>
      </c>
      <c r="M7" s="34">
        <v>36309000</v>
      </c>
      <c r="N7" s="37">
        <v>38220000</v>
      </c>
    </row>
    <row r="8" spans="1:14">
      <c r="A8" s="12" t="s">
        <v>160</v>
      </c>
      <c r="B8" s="34">
        <v>26660700</v>
      </c>
      <c r="C8" s="34">
        <v>22927900</v>
      </c>
      <c r="D8" s="34">
        <v>29490400</v>
      </c>
      <c r="E8" s="34">
        <v>27158300</v>
      </c>
      <c r="F8" s="34">
        <v>24766300</v>
      </c>
      <c r="G8" s="34">
        <v>27341600</v>
      </c>
      <c r="H8" s="34">
        <v>29677800</v>
      </c>
      <c r="I8" s="34">
        <v>33523100</v>
      </c>
      <c r="J8" s="34">
        <v>32408700</v>
      </c>
      <c r="K8" s="34">
        <v>32271200</v>
      </c>
      <c r="L8" s="34">
        <v>37812500</v>
      </c>
      <c r="M8" s="34">
        <v>45186000</v>
      </c>
      <c r="N8" s="37">
        <v>47564200</v>
      </c>
    </row>
    <row r="9" spans="1:14" ht="15" thickBot="1">
      <c r="A9" s="17" t="s">
        <v>161</v>
      </c>
      <c r="B9" s="58">
        <v>28547900</v>
      </c>
      <c r="C9" s="58">
        <v>27667300</v>
      </c>
      <c r="D9" s="58">
        <v>31372800</v>
      </c>
      <c r="E9" s="58">
        <v>31940400</v>
      </c>
      <c r="F9" s="58">
        <v>30169200</v>
      </c>
      <c r="G9" s="58">
        <v>31171200</v>
      </c>
      <c r="H9" s="58">
        <v>37050300</v>
      </c>
      <c r="I9" s="58">
        <v>31833300</v>
      </c>
      <c r="J9" s="58">
        <v>33247100</v>
      </c>
      <c r="K9" s="58">
        <v>37337900</v>
      </c>
      <c r="L9" s="58">
        <v>42070100</v>
      </c>
      <c r="M9" s="58">
        <v>42216800</v>
      </c>
      <c r="N9" s="38">
        <v>44438700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228C5-4B81-4411-8B81-A42617545EC2}">
  <sheetPr>
    <tabColor theme="8" tint="0.79998168889431442"/>
  </sheetPr>
  <dimension ref="A1:C26"/>
  <sheetViews>
    <sheetView zoomScale="77" workbookViewId="0"/>
  </sheetViews>
  <sheetFormatPr defaultRowHeight="15.6"/>
  <cols>
    <col min="1" max="1" width="65.44140625" style="14" bestFit="1" customWidth="1"/>
    <col min="2" max="2" width="16.33203125" style="14" customWidth="1"/>
    <col min="3" max="16384" width="8.88671875" style="14"/>
  </cols>
  <sheetData>
    <row r="1" spans="1:3">
      <c r="A1" s="13" t="s">
        <v>100</v>
      </c>
      <c r="B1" s="13" t="s">
        <v>12</v>
      </c>
      <c r="C1" s="13" t="s">
        <v>127</v>
      </c>
    </row>
    <row r="2" spans="1:3">
      <c r="A2" s="3" t="s">
        <v>241</v>
      </c>
      <c r="B2" s="15"/>
      <c r="C2" s="27" t="s">
        <v>45</v>
      </c>
    </row>
    <row r="3" spans="1:3">
      <c r="A3" s="3" t="s">
        <v>242</v>
      </c>
      <c r="B3" s="15"/>
      <c r="C3" s="27" t="s">
        <v>45</v>
      </c>
    </row>
    <row r="4" spans="1:3">
      <c r="A4" s="3" t="s">
        <v>243</v>
      </c>
      <c r="B4" s="15"/>
      <c r="C4" s="27" t="s">
        <v>45</v>
      </c>
    </row>
    <row r="5" spans="1:3">
      <c r="A5" s="3" t="s">
        <v>244</v>
      </c>
      <c r="B5" s="15"/>
      <c r="C5" s="27" t="s">
        <v>45</v>
      </c>
    </row>
    <row r="6" spans="1:3">
      <c r="A6" s="3" t="s">
        <v>245</v>
      </c>
      <c r="B6" s="15"/>
      <c r="C6" s="27" t="s">
        <v>45</v>
      </c>
    </row>
    <row r="7" spans="1:3">
      <c r="A7" s="3" t="s">
        <v>246</v>
      </c>
      <c r="B7" s="15"/>
      <c r="C7" s="27" t="s">
        <v>45</v>
      </c>
    </row>
    <row r="8" spans="1:3">
      <c r="A8" s="3" t="s">
        <v>247</v>
      </c>
      <c r="B8" s="15"/>
      <c r="C8" s="27" t="s">
        <v>45</v>
      </c>
    </row>
    <row r="9" spans="1:3">
      <c r="A9" s="3" t="s">
        <v>248</v>
      </c>
      <c r="B9" s="15"/>
      <c r="C9" s="27" t="s">
        <v>45</v>
      </c>
    </row>
    <row r="10" spans="1:3">
      <c r="A10" s="3" t="s">
        <v>249</v>
      </c>
      <c r="B10" s="15"/>
      <c r="C10" s="27" t="s">
        <v>45</v>
      </c>
    </row>
    <row r="11" spans="1:3">
      <c r="A11" s="3" t="s">
        <v>250</v>
      </c>
      <c r="B11" s="15"/>
      <c r="C11" s="27" t="s">
        <v>45</v>
      </c>
    </row>
    <row r="12" spans="1:3">
      <c r="A12" s="3" t="s">
        <v>251</v>
      </c>
      <c r="B12" s="15"/>
      <c r="C12" s="27" t="s">
        <v>45</v>
      </c>
    </row>
    <row r="13" spans="1:3">
      <c r="A13" s="3" t="s">
        <v>252</v>
      </c>
      <c r="B13" s="15"/>
      <c r="C13" s="27" t="s">
        <v>45</v>
      </c>
    </row>
    <row r="14" spans="1:3">
      <c r="A14" s="3" t="s">
        <v>253</v>
      </c>
      <c r="B14" s="15"/>
      <c r="C14" s="27" t="s">
        <v>45</v>
      </c>
    </row>
    <row r="15" spans="1:3">
      <c r="A15" s="3" t="s">
        <v>254</v>
      </c>
      <c r="B15" s="15"/>
      <c r="C15" s="27" t="s">
        <v>45</v>
      </c>
    </row>
    <row r="16" spans="1:3">
      <c r="A16" s="3" t="s">
        <v>255</v>
      </c>
      <c r="B16" s="15"/>
      <c r="C16" s="27" t="s">
        <v>45</v>
      </c>
    </row>
    <row r="17" spans="1:3">
      <c r="A17" s="3" t="s">
        <v>276</v>
      </c>
      <c r="B17" s="15"/>
      <c r="C17" s="27" t="s">
        <v>45</v>
      </c>
    </row>
    <row r="18" spans="1:3">
      <c r="A18" s="3" t="s">
        <v>264</v>
      </c>
      <c r="B18" s="15"/>
      <c r="C18" s="27" t="s">
        <v>45</v>
      </c>
    </row>
    <row r="19" spans="1:3">
      <c r="A19" s="3" t="s">
        <v>256</v>
      </c>
      <c r="B19" s="15"/>
      <c r="C19" s="27" t="s">
        <v>45</v>
      </c>
    </row>
    <row r="20" spans="1:3">
      <c r="A20" s="3" t="s">
        <v>257</v>
      </c>
      <c r="B20" s="15"/>
      <c r="C20" s="27" t="s">
        <v>45</v>
      </c>
    </row>
    <row r="21" spans="1:3">
      <c r="A21" s="3" t="s">
        <v>258</v>
      </c>
      <c r="B21" s="15"/>
      <c r="C21" s="27" t="s">
        <v>45</v>
      </c>
    </row>
    <row r="22" spans="1:3">
      <c r="A22" s="3" t="s">
        <v>259</v>
      </c>
      <c r="B22" s="15"/>
      <c r="C22" s="27" t="s">
        <v>45</v>
      </c>
    </row>
    <row r="23" spans="1:3">
      <c r="A23" s="3" t="s">
        <v>260</v>
      </c>
      <c r="B23" s="15"/>
      <c r="C23" s="27" t="s">
        <v>45</v>
      </c>
    </row>
    <row r="24" spans="1:3">
      <c r="A24" s="3" t="s">
        <v>261</v>
      </c>
      <c r="B24" s="15"/>
      <c r="C24" s="27" t="s">
        <v>45</v>
      </c>
    </row>
    <row r="25" spans="1:3">
      <c r="A25" s="3" t="s">
        <v>262</v>
      </c>
      <c r="B25" s="15"/>
      <c r="C25" s="27" t="s">
        <v>45</v>
      </c>
    </row>
    <row r="26" spans="1:3">
      <c r="A26" s="3" t="s">
        <v>263</v>
      </c>
      <c r="B26" s="15"/>
      <c r="C26" s="27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Assumptions</vt:lpstr>
      <vt:lpstr>Sales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2026-04-25T19:34:19Z</dcterms:modified>
</cp:coreProperties>
</file>