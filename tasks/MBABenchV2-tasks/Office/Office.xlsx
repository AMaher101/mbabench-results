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NAV (Net Asset Value) Modeling\Office\starting_files\"/>
    </mc:Choice>
  </mc:AlternateContent>
  <xr:revisionPtr revIDLastSave="0" documentId="13_ncr:1_{AF4D2CB2-CE51-4E8E-BDCD-BADD83A2D8E3}"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s" sheetId="18" r:id="rId2"/>
    <sheet name="Balance Sheet" sheetId="17" r:id="rId3"/>
    <sheet name="Questions" sheetId="6"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8" l="1"/>
</calcChain>
</file>

<file path=xl/sharedStrings.xml><?xml version="1.0" encoding="utf-8"?>
<sst xmlns="http://schemas.openxmlformats.org/spreadsheetml/2006/main" count="351" uniqueCount="103">
  <si>
    <t>Answers</t>
  </si>
  <si>
    <t>End Sheet</t>
  </si>
  <si>
    <t>Questions (please round your answers to two decimal places)</t>
  </si>
  <si>
    <t>ASSETS</t>
  </si>
  <si>
    <t>TOTAL ASSETS</t>
  </si>
  <si>
    <t>TOTAL LIABILITIES</t>
  </si>
  <si>
    <t>Answer the questions using your calculated ratios.</t>
  </si>
  <si>
    <t>Total Debt</t>
  </si>
  <si>
    <t>Valuation Task</t>
  </si>
  <si>
    <t>NAV (Net Asset Value) Modeling - Office</t>
  </si>
  <si>
    <t>($000s)</t>
  </si>
  <si>
    <t>2022A</t>
  </si>
  <si>
    <t>2023A</t>
  </si>
  <si>
    <t>2024A</t>
  </si>
  <si>
    <t>2025E</t>
  </si>
  <si>
    <t>2026E</t>
  </si>
  <si>
    <t>2027E</t>
  </si>
  <si>
    <t>Parking &amp; Ancillary Revenue</t>
  </si>
  <si>
    <t>Property Operating Expenses</t>
  </si>
  <si>
    <t>Depreciation &amp; Amortization</t>
  </si>
  <si>
    <t>OFFICE REIT — BALANCE SHEET</t>
  </si>
  <si>
    <t>Real Estate Assets</t>
  </si>
  <si>
    <t>Real Estate Assets, Gross</t>
  </si>
  <si>
    <t>Less: Accumulated Depreciation</t>
  </si>
  <si>
    <t>Real Estate Assets, Net</t>
  </si>
  <si>
    <t>Real Estate Under Development</t>
  </si>
  <si>
    <t>Other Assets</t>
  </si>
  <si>
    <t>Cash &amp; Cash Equivalents</t>
  </si>
  <si>
    <t>Tenant Receivables</t>
  </si>
  <si>
    <t>Deferred Financing Costs, Net</t>
  </si>
  <si>
    <t>Intangible Lease Assets, Net</t>
  </si>
  <si>
    <t>Prepaid &amp; Other Assets</t>
  </si>
  <si>
    <t>LIABILITIES</t>
  </si>
  <si>
    <t>Debt</t>
  </si>
  <si>
    <t>Senior Secured Mortgage Notes</t>
  </si>
  <si>
    <t>Unsecured Term Loans</t>
  </si>
  <si>
    <t>Revolving Credit Facility</t>
  </si>
  <si>
    <t>Other Liabilities</t>
  </si>
  <si>
    <t>Accounts Payable &amp; Accrued Liabilities</t>
  </si>
  <si>
    <t>Security Deposits</t>
  </si>
  <si>
    <t>Deferred Revenue</t>
  </si>
  <si>
    <t>Intangible Lease Liabilities, Net</t>
  </si>
  <si>
    <t>EQUITY</t>
  </si>
  <si>
    <t>Common Shares &amp; APIC</t>
  </si>
  <si>
    <t>Accumulated Deficit / Retained Earnings</t>
  </si>
  <si>
    <t>Total Equity</t>
  </si>
  <si>
    <t>TOTAL LIABILITIES &amp; EQUITY</t>
  </si>
  <si>
    <t>All figures in $k</t>
  </si>
  <si>
    <t>Occupancy Rate</t>
  </si>
  <si>
    <t>Weighted Avg. Interest Rate</t>
  </si>
  <si>
    <t>Income Tax</t>
  </si>
  <si>
    <t>[$k]</t>
  </si>
  <si>
    <t>Assumptions sheet may be also in the text on the Instructions tab - please use the assumptions on this sheet for your model</t>
  </si>
  <si>
    <t>[$]</t>
  </si>
  <si>
    <t>[%]</t>
  </si>
  <si>
    <t>Portfolio Metrics</t>
  </si>
  <si>
    <t>Total GLA</t>
  </si>
  <si>
    <t>2025e</t>
  </si>
  <si>
    <t>2026e</t>
  </si>
  <si>
    <t>2027e</t>
  </si>
  <si>
    <t>[sqft k]</t>
  </si>
  <si>
    <t>[$/sqft]</t>
  </si>
  <si>
    <t>In-Place Base Rent</t>
  </si>
  <si>
    <t>Revenue Assumptions</t>
  </si>
  <si>
    <t>Straight-Line Rent Adjustements</t>
  </si>
  <si>
    <t>Recovery of Operating Expenses from Tenants</t>
  </si>
  <si>
    <t>Operating Expense Assumptions</t>
  </si>
  <si>
    <t>G&amp;A Expense</t>
  </si>
  <si>
    <t>Management Fee</t>
  </si>
  <si>
    <t>Other Assumptions</t>
  </si>
  <si>
    <t>CapEx &amp; Depreciation</t>
  </si>
  <si>
    <t>Maintenance CapEx</t>
  </si>
  <si>
    <t>Development / Acquisition CapEx</t>
  </si>
  <si>
    <t>Capital Structure Assumptions</t>
  </si>
  <si>
    <t>(based on Total Debt)</t>
  </si>
  <si>
    <t>Shares Outstanding</t>
  </si>
  <si>
    <t>NAV Assumptions</t>
  </si>
  <si>
    <t>Cap Rate - Office Assets</t>
  </si>
  <si>
    <t>Calculate the NAV per Share, the FFO per Share and the AFFO per Share as well as build the Income Statement.</t>
  </si>
  <si>
    <t>[#k]</t>
  </si>
  <si>
    <t>What is the AFFO per Share in 2022?</t>
  </si>
  <si>
    <t>What is the AFFO per Share in 2023?</t>
  </si>
  <si>
    <t>What is the AFFO per Share in 2024?</t>
  </si>
  <si>
    <t>What is the AFFO per Share in 2025?</t>
  </si>
  <si>
    <t>What is the AFFO per Share in 2026?</t>
  </si>
  <si>
    <t>What is the AFFO per Share in 2027?</t>
  </si>
  <si>
    <t>What is the FFO per Share in 2022?</t>
  </si>
  <si>
    <t>What is the FFO per Share in 2023?</t>
  </si>
  <si>
    <t>What is the FFO per Share in 2024?</t>
  </si>
  <si>
    <t>What is the FFO per Share in 2025?</t>
  </si>
  <si>
    <t>What is the FFO per Share in 2026?</t>
  </si>
  <si>
    <t>What is the FFO per Share in 2027?</t>
  </si>
  <si>
    <t>What is the NAV per Share in 2022?</t>
  </si>
  <si>
    <t>What is the NAV per Share in 2023?</t>
  </si>
  <si>
    <t>What is the NAV per Share in 2024?</t>
  </si>
  <si>
    <t>What is the NAV per Share in 2025?</t>
  </si>
  <si>
    <t>What is the NAV per Share in 2026?</t>
  </si>
  <si>
    <t>What is the NAV per Share in 2027?</t>
  </si>
  <si>
    <t>Unit</t>
  </si>
  <si>
    <t>(of Total Revenues)</t>
  </si>
  <si>
    <t>(of Property Operating Expenses)</t>
  </si>
  <si>
    <t>Build an NAV Model based on the Assumptions given. For the cap rate valuation, use property-level cash-basis NOI. Exclude any non-cash revenue adjustments (e.g. Straight-Line Rent Adjustments), corporate-level overhead (G&amp;A), and Depreciation &amp; Amortization. Include Property Operating Expenses and Management Fees as deductions from NOI.</t>
  </si>
  <si>
    <t>Exclude Intangible Lease Assets, Intangible Lease Liabilities, and Deferred Financing Costs from the NAV bridge, as these are either embedded in the capitalized rental income stream or relate to the arrangement of debt financing. Total Debt and other operating liabilities should still be deducted in the standard NAV 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</si>
</sst>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_);\(#,##0.00\);\-"/>
  </numFmts>
  <fonts count="23">
    <font>
      <sz val="11"/>
      <color theme="1"/>
      <name val="Aptos Narrow"/>
      <family val="2"/>
      <scheme val="minor"/>
    </font>
    <font>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0"/>
      <color rgb="FF0000FF"/>
      <name val="Aptos Narrow"/>
      <family val="2"/>
      <scheme val="minor"/>
    </font>
    <font>
      <b/>
      <sz val="10"/>
      <color theme="1"/>
      <name val="Arial"/>
      <family val="2"/>
    </font>
    <font>
      <b/>
      <sz val="10"/>
      <color theme="1"/>
      <name val="Aptos Narrow"/>
      <family val="2"/>
      <scheme val="minor"/>
    </font>
    <font>
      <sz val="11"/>
      <color theme="1"/>
      <name val="Calibri"/>
      <family val="2"/>
      <charset val="1"/>
    </font>
    <font>
      <b/>
      <sz val="11"/>
      <color theme="1"/>
      <name val="Aptos Narrow"/>
      <family val="2"/>
      <scheme val="minor"/>
    </font>
    <font>
      <b/>
      <sz val="12"/>
      <color rgb="FFFFFFFF"/>
      <name val="Arial"/>
      <charset val="1"/>
    </font>
    <font>
      <b/>
      <sz val="9"/>
      <color rgb="FFFFFFFF"/>
      <name val="Arial"/>
      <charset val="1"/>
    </font>
    <font>
      <b/>
      <sz val="10"/>
      <color rgb="FFFFFFFF"/>
      <name val="Arial"/>
      <charset val="1"/>
    </font>
    <font>
      <sz val="10"/>
      <color rgb="FF000000"/>
      <name val="Arial"/>
      <charset val="1"/>
    </font>
    <font>
      <b/>
      <sz val="10"/>
      <color rgb="FF000000"/>
      <name val="Arial"/>
      <charset val="1"/>
    </font>
    <font>
      <sz val="10"/>
      <name val="Arial"/>
      <family val="2"/>
    </font>
    <font>
      <b/>
      <sz val="9"/>
      <color rgb="FFFFFFFF"/>
      <name val="Arial"/>
      <family val="2"/>
    </font>
    <font>
      <sz val="11"/>
      <name val="Calibri"/>
      <family val="2"/>
      <charset val="1"/>
    </font>
    <font>
      <sz val="11"/>
      <color rgb="FF0000FF"/>
      <name val="Aptos Narrow"/>
      <family val="2"/>
      <scheme val="minor"/>
    </font>
    <font>
      <sz val="10"/>
      <color rgb="FF0000FF"/>
      <name val="Arial"/>
      <family val="2"/>
    </font>
  </fonts>
  <fills count="11">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1F3864"/>
        <bgColor rgb="FF404040"/>
      </patternFill>
    </fill>
    <fill>
      <patternFill patternType="solid">
        <fgColor rgb="FF2F5496"/>
        <bgColor rgb="FF506090"/>
      </patternFill>
    </fill>
    <fill>
      <patternFill patternType="solid">
        <fgColor rgb="FFD6E4F0"/>
        <bgColor rgb="FFEBF3FB"/>
      </patternFill>
    </fill>
    <fill>
      <patternFill patternType="solid">
        <fgColor rgb="FF506090"/>
        <bgColor rgb="FF595959"/>
      </patternFill>
    </fill>
    <fill>
      <patternFill patternType="solid">
        <fgColor rgb="FFFFFFCC"/>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4" fillId="0" borderId="0"/>
    <xf numFmtId="4" fontId="9" fillId="4" borderId="2">
      <alignment horizontal="left"/>
    </xf>
    <xf numFmtId="0" fontId="11" fillId="0" borderId="0"/>
    <xf numFmtId="9" fontId="1" fillId="0" borderId="0" applyFont="0" applyFill="0" applyBorder="0" applyAlignment="0" applyProtection="0"/>
    <xf numFmtId="0" fontId="22" fillId="0" borderId="0" applyNumberFormat="0" applyFill="0" applyBorder="0">
      <alignment horizontal="right"/>
    </xf>
  </cellStyleXfs>
  <cellXfs count="43">
    <xf numFmtId="0" fontId="0" fillId="0" borderId="0" xfId="0"/>
    <xf numFmtId="0" fontId="2" fillId="0" borderId="0" xfId="1" applyFont="1"/>
    <xf numFmtId="0" fontId="3" fillId="0" borderId="0" xfId="1" applyFont="1"/>
    <xf numFmtId="0" fontId="2" fillId="0" borderId="0" xfId="1" applyFont="1" applyAlignment="1">
      <alignment horizontal="left"/>
    </xf>
    <xf numFmtId="0" fontId="2" fillId="0" borderId="0" xfId="1" applyFont="1" applyAlignment="1">
      <alignment horizontal="center"/>
    </xf>
    <xf numFmtId="0" fontId="3" fillId="0" borderId="0" xfId="1" applyFont="1" applyAlignment="1">
      <alignment horizontal="center"/>
    </xf>
    <xf numFmtId="0" fontId="7" fillId="0" borderId="0" xfId="2" applyFont="1"/>
    <xf numFmtId="0" fontId="4" fillId="0" borderId="0" xfId="2"/>
    <xf numFmtId="4" fontId="2" fillId="3" borderId="5" xfId="1" applyNumberFormat="1" applyFont="1" applyFill="1" applyBorder="1" applyAlignment="1">
      <alignment horizontal="center"/>
    </xf>
    <xf numFmtId="4" fontId="10" fillId="5" borderId="2" xfId="3" applyFont="1" applyFill="1">
      <alignment horizontal="left"/>
    </xf>
    <xf numFmtId="0" fontId="8" fillId="0" borderId="0" xfId="0" applyFont="1"/>
    <xf numFmtId="0" fontId="11" fillId="0" borderId="0" xfId="4"/>
    <xf numFmtId="0" fontId="15" fillId="6" borderId="0" xfId="4" applyFont="1" applyFill="1" applyAlignment="1">
      <alignment horizontal="left" vertical="center" indent="1"/>
    </xf>
    <xf numFmtId="0" fontId="15" fillId="6" borderId="0" xfId="4" applyFont="1" applyFill="1" applyAlignment="1">
      <alignment horizontal="center" vertical="center"/>
    </xf>
    <xf numFmtId="0" fontId="16" fillId="0" borderId="0" xfId="4" applyFont="1" applyAlignment="1">
      <alignment horizontal="left" vertical="center" indent="2"/>
    </xf>
    <xf numFmtId="164" fontId="16" fillId="0" borderId="0" xfId="4" applyNumberFormat="1" applyFont="1" applyAlignment="1">
      <alignment horizontal="right" vertical="center"/>
    </xf>
    <xf numFmtId="0" fontId="17" fillId="8" borderId="2" xfId="4" applyFont="1" applyFill="1" applyBorder="1" applyAlignment="1">
      <alignment horizontal="left" vertical="center" indent="1"/>
    </xf>
    <xf numFmtId="164" fontId="17" fillId="8" borderId="2" xfId="4" applyNumberFormat="1" applyFont="1" applyFill="1" applyBorder="1" applyAlignment="1">
      <alignment horizontal="right" vertical="center"/>
    </xf>
    <xf numFmtId="164" fontId="15" fillId="6" borderId="0" xfId="4" applyNumberFormat="1" applyFont="1" applyFill="1" applyAlignment="1">
      <alignment horizontal="right" vertical="center"/>
    </xf>
    <xf numFmtId="164" fontId="18" fillId="0" borderId="0" xfId="4" applyNumberFormat="1" applyFont="1" applyAlignment="1">
      <alignment horizontal="right" vertical="center"/>
    </xf>
    <xf numFmtId="164" fontId="11" fillId="0" borderId="0" xfId="4" applyNumberFormat="1"/>
    <xf numFmtId="0" fontId="20" fillId="0" borderId="0" xfId="4" applyFont="1"/>
    <xf numFmtId="0" fontId="18" fillId="0" borderId="0" xfId="4" applyFont="1" applyAlignment="1">
      <alignment horizontal="left" vertical="center" indent="1"/>
    </xf>
    <xf numFmtId="0" fontId="18" fillId="0" borderId="0" xfId="4" applyFont="1" applyAlignment="1">
      <alignment vertical="center"/>
    </xf>
    <xf numFmtId="0" fontId="18" fillId="0" borderId="0" xfId="4" applyFont="1" applyAlignment="1">
      <alignment horizontal="left" vertical="center"/>
    </xf>
    <xf numFmtId="0" fontId="12" fillId="0" borderId="0" xfId="0" applyFont="1"/>
    <xf numFmtId="4" fontId="12" fillId="5" borderId="2" xfId="3" applyFont="1" applyFill="1">
      <alignment horizontal="left"/>
    </xf>
    <xf numFmtId="4" fontId="21" fillId="10" borderId="5" xfId="0" applyNumberFormat="1" applyFont="1" applyFill="1" applyBorder="1"/>
    <xf numFmtId="165" fontId="22" fillId="0" borderId="0" xfId="6" applyNumberFormat="1" applyAlignment="1">
      <alignment horizontal="left"/>
    </xf>
    <xf numFmtId="3" fontId="21" fillId="10" borderId="5" xfId="0" applyNumberFormat="1" applyFont="1" applyFill="1" applyBorder="1"/>
    <xf numFmtId="10" fontId="21" fillId="10" borderId="5" xfId="0" applyNumberFormat="1" applyFont="1" applyFill="1" applyBorder="1"/>
    <xf numFmtId="9" fontId="21" fillId="10" borderId="5" xfId="0" applyNumberFormat="1" applyFont="1" applyFill="1" applyBorder="1"/>
    <xf numFmtId="10" fontId="21" fillId="10" borderId="5" xfId="5" applyNumberFormat="1" applyFont="1" applyFill="1" applyBorder="1"/>
    <xf numFmtId="0" fontId="5" fillId="2" borderId="1"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0" xfId="2" applyFont="1" applyFill="1" applyAlignment="1">
      <alignment horizontal="center" vertical="center"/>
    </xf>
    <xf numFmtId="0" fontId="15" fillId="9" borderId="0" xfId="4" applyFont="1" applyFill="1" applyAlignment="1">
      <alignment horizontal="left" vertical="center" indent="1"/>
    </xf>
    <xf numFmtId="0" fontId="15" fillId="7" borderId="0" xfId="4" applyFont="1" applyFill="1" applyAlignment="1">
      <alignment horizontal="left" vertical="center" indent="1"/>
    </xf>
    <xf numFmtId="0" fontId="13" fillId="6" borderId="0" xfId="4" applyFont="1" applyFill="1" applyAlignment="1">
      <alignment horizontal="center" vertical="center"/>
    </xf>
    <xf numFmtId="0" fontId="19" fillId="7" borderId="0" xfId="4" applyFont="1" applyFill="1" applyAlignment="1">
      <alignment horizontal="center" vertical="center"/>
    </xf>
    <xf numFmtId="0" fontId="14" fillId="7" borderId="0" xfId="4" applyFont="1" applyFill="1" applyAlignment="1">
      <alignment horizontal="center" vertical="center"/>
    </xf>
  </cellXfs>
  <cellStyles count="7">
    <cellStyle name="M Section Header" xfId="3" xr:uid="{F944F0E6-F034-49F8-8B3F-D0C9E50BA2F6}"/>
    <cellStyle name="M Units" xfId="6" xr:uid="{178BEC01-9B91-4024-A20E-1013CEFF010B}"/>
    <cellStyle name="Normal" xfId="0" builtinId="0"/>
    <cellStyle name="Normal 2" xfId="2" xr:uid="{037B3D13-DA10-4240-9E6B-55FD128391C9}"/>
    <cellStyle name="Normal 3" xfId="1" xr:uid="{1C87C372-71EA-4FEE-904D-475CC6E05479}"/>
    <cellStyle name="Normal 4" xfId="4" xr:uid="{273FDE25-047F-448D-BEF1-698059824ACE}"/>
    <cellStyle name="Percent" xfId="5"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0"/>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33" t="s">
        <v>8</v>
      </c>
      <c r="C2" s="34"/>
      <c r="D2" s="34"/>
      <c r="E2" s="34"/>
      <c r="F2" s="34"/>
      <c r="G2" s="34"/>
      <c r="H2" s="34"/>
      <c r="I2" s="34"/>
      <c r="J2" s="34"/>
      <c r="K2" s="35"/>
    </row>
    <row r="3" spans="2:11" ht="15" customHeight="1">
      <c r="B3" s="1"/>
      <c r="C3" s="1"/>
      <c r="D3" s="1"/>
      <c r="E3" s="1"/>
      <c r="F3" s="1"/>
      <c r="G3" s="1"/>
      <c r="H3" s="1"/>
      <c r="I3" s="1"/>
      <c r="J3" s="1"/>
      <c r="K3" s="1"/>
    </row>
    <row r="4" spans="2:11" ht="33.75" customHeight="1">
      <c r="B4" s="36" t="s">
        <v>9</v>
      </c>
      <c r="C4" s="37"/>
      <c r="D4" s="37"/>
      <c r="E4" s="37"/>
      <c r="F4" s="37"/>
      <c r="G4" s="37"/>
      <c r="H4" s="37"/>
      <c r="I4" s="37"/>
      <c r="J4" s="1"/>
    </row>
    <row r="5" spans="2:11" ht="15" customHeight="1">
      <c r="B5" s="1"/>
      <c r="C5" s="1"/>
      <c r="D5" s="1"/>
      <c r="E5" s="1"/>
      <c r="F5" s="1"/>
      <c r="G5" s="1"/>
      <c r="H5" s="1"/>
      <c r="I5" s="1"/>
      <c r="J5" s="1"/>
      <c r="K5" s="1"/>
    </row>
    <row r="6" spans="2:11" ht="15" customHeight="1">
      <c r="B6" s="1" t="s">
        <v>101</v>
      </c>
      <c r="C6" s="1"/>
      <c r="D6" s="1"/>
      <c r="E6" s="1"/>
      <c r="F6" s="1"/>
      <c r="G6" s="1"/>
      <c r="H6" s="1"/>
      <c r="I6" s="1"/>
      <c r="J6" s="1"/>
      <c r="K6" s="1"/>
    </row>
    <row r="7" spans="2:11" ht="15" customHeight="1">
      <c r="B7" s="1" t="s">
        <v>102</v>
      </c>
      <c r="C7" s="1"/>
      <c r="D7" s="1"/>
      <c r="E7" s="1"/>
      <c r="F7" s="1"/>
      <c r="G7" s="1"/>
      <c r="H7" s="1"/>
      <c r="I7" s="1"/>
      <c r="J7" s="1"/>
      <c r="K7" s="1"/>
    </row>
    <row r="8" spans="2:11" ht="15" customHeight="1">
      <c r="B8" s="1" t="s">
        <v>78</v>
      </c>
      <c r="C8" s="1"/>
      <c r="D8" s="1"/>
      <c r="E8" s="1"/>
      <c r="F8" s="1"/>
      <c r="G8" s="1"/>
      <c r="H8" s="1"/>
      <c r="I8" s="1"/>
      <c r="J8" s="1"/>
      <c r="K8" s="1"/>
    </row>
    <row r="9" spans="2:11" ht="15" customHeight="1">
      <c r="B9" s="1"/>
      <c r="C9" s="1"/>
      <c r="D9" s="1"/>
      <c r="E9" s="1"/>
      <c r="F9" s="1"/>
      <c r="G9" s="1"/>
      <c r="H9" s="1"/>
      <c r="I9" s="1"/>
      <c r="J9" s="1"/>
      <c r="K9" s="1"/>
    </row>
    <row r="10" spans="2:11">
      <c r="B10" s="3" t="s">
        <v>6</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057F-C0FF-4BCF-ABED-DADA734866A6}">
  <sheetPr>
    <tabColor rgb="FF0070C0"/>
  </sheetPr>
  <dimension ref="A1:H121"/>
  <sheetViews>
    <sheetView showGridLines="0" zoomScale="80" zoomScaleNormal="80" workbookViewId="0"/>
  </sheetViews>
  <sheetFormatPr defaultColWidth="8.6640625" defaultRowHeight="14.4"/>
  <cols>
    <col min="1" max="2" width="4.6640625" style="21" customWidth="1"/>
    <col min="3" max="3" width="48.88671875" style="21" customWidth="1"/>
    <col min="4" max="4" width="13" style="21" customWidth="1"/>
    <col min="5" max="5" width="5.6640625" style="21" customWidth="1"/>
    <col min="6" max="9" width="13" style="21" customWidth="1"/>
    <col min="10" max="16384" width="8.6640625" style="21"/>
  </cols>
  <sheetData>
    <row r="1" spans="1:7" customFormat="1">
      <c r="A1" s="25" t="str">
        <f>Instructions!B2&amp;": "&amp;Instructions!B4</f>
        <v>Valuation Task: NAV (Net Asset Value) Modeling - Office</v>
      </c>
      <c r="B1" s="25"/>
    </row>
    <row r="2" spans="1:7" customFormat="1">
      <c r="A2" s="25" t="s">
        <v>52</v>
      </c>
      <c r="B2" s="25"/>
    </row>
    <row r="3" spans="1:7" customFormat="1">
      <c r="A3" s="25"/>
      <c r="B3" s="25"/>
    </row>
    <row r="4" spans="1:7" s="9" customFormat="1" ht="14.4" customHeight="1">
      <c r="B4" s="26" t="s">
        <v>55</v>
      </c>
    </row>
    <row r="5" spans="1:7" customFormat="1">
      <c r="A5" s="25"/>
      <c r="B5" s="25"/>
    </row>
    <row r="6" spans="1:7" customFormat="1">
      <c r="A6" s="25"/>
      <c r="B6" s="25"/>
      <c r="C6" t="s">
        <v>56</v>
      </c>
      <c r="D6">
        <v>2022</v>
      </c>
      <c r="F6" s="29">
        <v>4500</v>
      </c>
      <c r="G6" s="28" t="s">
        <v>60</v>
      </c>
    </row>
    <row r="7" spans="1:7" customFormat="1">
      <c r="A7" s="25"/>
      <c r="B7" s="25"/>
      <c r="C7" t="s">
        <v>56</v>
      </c>
      <c r="D7">
        <v>2023</v>
      </c>
      <c r="F7" s="29">
        <v>4500</v>
      </c>
      <c r="G7" s="28" t="s">
        <v>60</v>
      </c>
    </row>
    <row r="8" spans="1:7" customFormat="1">
      <c r="A8" s="25"/>
      <c r="B8" s="25"/>
      <c r="C8" t="s">
        <v>56</v>
      </c>
      <c r="D8">
        <v>2024</v>
      </c>
      <c r="F8" s="29">
        <v>4800</v>
      </c>
      <c r="G8" s="28" t="s">
        <v>60</v>
      </c>
    </row>
    <row r="9" spans="1:7" customFormat="1">
      <c r="A9" s="25"/>
      <c r="B9" s="25"/>
      <c r="C9" t="s">
        <v>56</v>
      </c>
      <c r="D9" t="s">
        <v>57</v>
      </c>
      <c r="F9" s="29">
        <v>4800</v>
      </c>
      <c r="G9" s="28" t="s">
        <v>60</v>
      </c>
    </row>
    <row r="10" spans="1:7" customFormat="1">
      <c r="A10" s="25"/>
      <c r="B10" s="25"/>
      <c r="C10" t="s">
        <v>56</v>
      </c>
      <c r="D10" t="s">
        <v>58</v>
      </c>
      <c r="F10" s="29">
        <v>5200</v>
      </c>
      <c r="G10" s="28" t="s">
        <v>60</v>
      </c>
    </row>
    <row r="11" spans="1:7" customFormat="1">
      <c r="A11" s="25"/>
      <c r="B11" s="25"/>
      <c r="C11" t="s">
        <v>56</v>
      </c>
      <c r="D11" t="s">
        <v>59</v>
      </c>
      <c r="F11" s="29">
        <v>5200</v>
      </c>
      <c r="G11" s="28" t="s">
        <v>60</v>
      </c>
    </row>
    <row r="12" spans="1:7" customFormat="1">
      <c r="A12" s="25"/>
      <c r="B12" s="25"/>
      <c r="C12" t="s">
        <v>48</v>
      </c>
      <c r="D12">
        <v>2022</v>
      </c>
      <c r="F12" s="31">
        <v>0.89</v>
      </c>
      <c r="G12" s="28" t="s">
        <v>54</v>
      </c>
    </row>
    <row r="13" spans="1:7" customFormat="1">
      <c r="A13" s="25"/>
      <c r="B13" s="25"/>
      <c r="C13" t="s">
        <v>48</v>
      </c>
      <c r="D13">
        <v>2023</v>
      </c>
      <c r="F13" s="31">
        <v>0.91</v>
      </c>
      <c r="G13" s="28" t="s">
        <v>54</v>
      </c>
    </row>
    <row r="14" spans="1:7" customFormat="1">
      <c r="A14" s="25"/>
      <c r="B14" s="25"/>
      <c r="C14" t="s">
        <v>48</v>
      </c>
      <c r="D14">
        <v>2024</v>
      </c>
      <c r="F14" s="31">
        <v>0.9</v>
      </c>
      <c r="G14" s="28" t="s">
        <v>54</v>
      </c>
    </row>
    <row r="15" spans="1:7" customFormat="1">
      <c r="A15" s="25"/>
      <c r="B15" s="25"/>
      <c r="C15" t="s">
        <v>48</v>
      </c>
      <c r="D15" t="s">
        <v>57</v>
      </c>
      <c r="F15" s="31">
        <v>0.92</v>
      </c>
      <c r="G15" s="28" t="s">
        <v>54</v>
      </c>
    </row>
    <row r="16" spans="1:7" customFormat="1">
      <c r="A16" s="25"/>
      <c r="B16" s="25"/>
      <c r="C16" t="s">
        <v>48</v>
      </c>
      <c r="D16" t="s">
        <v>58</v>
      </c>
      <c r="F16" s="31">
        <v>0.93</v>
      </c>
      <c r="G16" s="28" t="s">
        <v>54</v>
      </c>
    </row>
    <row r="17" spans="1:7" customFormat="1">
      <c r="A17" s="25"/>
      <c r="B17" s="25"/>
      <c r="C17" t="s">
        <v>48</v>
      </c>
      <c r="D17" t="s">
        <v>59</v>
      </c>
      <c r="F17" s="31">
        <v>0.94</v>
      </c>
      <c r="G17" s="28" t="s">
        <v>54</v>
      </c>
    </row>
    <row r="18" spans="1:7" customFormat="1">
      <c r="A18" s="25"/>
      <c r="B18" s="25"/>
      <c r="C18" t="s">
        <v>62</v>
      </c>
      <c r="D18">
        <v>2022</v>
      </c>
      <c r="F18" s="27">
        <v>28.5</v>
      </c>
      <c r="G18" s="28" t="s">
        <v>61</v>
      </c>
    </row>
    <row r="19" spans="1:7" customFormat="1">
      <c r="A19" s="25"/>
      <c r="B19" s="25"/>
      <c r="C19" t="s">
        <v>62</v>
      </c>
      <c r="D19">
        <v>2023</v>
      </c>
      <c r="F19" s="27">
        <v>29.2</v>
      </c>
      <c r="G19" s="28" t="s">
        <v>61</v>
      </c>
    </row>
    <row r="20" spans="1:7" customFormat="1">
      <c r="A20" s="25"/>
      <c r="B20" s="25"/>
      <c r="C20" t="s">
        <v>62</v>
      </c>
      <c r="D20">
        <v>2024</v>
      </c>
      <c r="F20" s="27">
        <v>30.1</v>
      </c>
      <c r="G20" s="28" t="s">
        <v>61</v>
      </c>
    </row>
    <row r="21" spans="1:7" customFormat="1">
      <c r="A21" s="25"/>
      <c r="B21" s="25"/>
      <c r="C21" t="s">
        <v>62</v>
      </c>
      <c r="D21" t="s">
        <v>57</v>
      </c>
      <c r="F21" s="27">
        <v>31</v>
      </c>
      <c r="G21" s="28" t="s">
        <v>61</v>
      </c>
    </row>
    <row r="22" spans="1:7" customFormat="1">
      <c r="A22" s="25"/>
      <c r="B22" s="25"/>
      <c r="C22" t="s">
        <v>62</v>
      </c>
      <c r="D22" t="s">
        <v>58</v>
      </c>
      <c r="F22" s="27">
        <v>31.8</v>
      </c>
      <c r="G22" s="28" t="s">
        <v>61</v>
      </c>
    </row>
    <row r="23" spans="1:7" customFormat="1">
      <c r="A23" s="25"/>
      <c r="B23" s="25"/>
      <c r="C23" t="s">
        <v>62</v>
      </c>
      <c r="D23" t="s">
        <v>59</v>
      </c>
      <c r="F23" s="27">
        <v>32.799999999999997</v>
      </c>
      <c r="G23" s="28" t="s">
        <v>61</v>
      </c>
    </row>
    <row r="24" spans="1:7" customFormat="1">
      <c r="A24" s="25"/>
      <c r="B24" s="25"/>
    </row>
    <row r="25" spans="1:7" s="9" customFormat="1" ht="14.4" customHeight="1">
      <c r="B25" s="26" t="s">
        <v>63</v>
      </c>
    </row>
    <row r="26" spans="1:7" customFormat="1">
      <c r="A26" s="25"/>
      <c r="B26" s="25"/>
    </row>
    <row r="27" spans="1:7" customFormat="1">
      <c r="A27" s="25"/>
      <c r="B27" s="25"/>
      <c r="C27" t="s">
        <v>17</v>
      </c>
      <c r="D27">
        <v>2022</v>
      </c>
      <c r="F27" s="27">
        <v>3200</v>
      </c>
      <c r="G27" s="28" t="s">
        <v>51</v>
      </c>
    </row>
    <row r="28" spans="1:7" customFormat="1">
      <c r="A28" s="25"/>
      <c r="B28" s="25"/>
      <c r="C28" t="s">
        <v>17</v>
      </c>
      <c r="D28">
        <v>2023</v>
      </c>
      <c r="F28" s="27">
        <v>3350</v>
      </c>
      <c r="G28" s="28" t="s">
        <v>51</v>
      </c>
    </row>
    <row r="29" spans="1:7" customFormat="1">
      <c r="A29" s="25"/>
      <c r="B29" s="25"/>
      <c r="C29" t="s">
        <v>17</v>
      </c>
      <c r="D29">
        <v>2024</v>
      </c>
      <c r="F29" s="27">
        <v>3500</v>
      </c>
      <c r="G29" s="28" t="s">
        <v>51</v>
      </c>
    </row>
    <row r="30" spans="1:7" customFormat="1">
      <c r="A30" s="25"/>
      <c r="B30" s="25"/>
      <c r="C30" t="s">
        <v>17</v>
      </c>
      <c r="D30" t="s">
        <v>57</v>
      </c>
      <c r="F30" s="27">
        <v>3650</v>
      </c>
      <c r="G30" s="28" t="s">
        <v>51</v>
      </c>
    </row>
    <row r="31" spans="1:7" customFormat="1">
      <c r="A31" s="25"/>
      <c r="B31" s="25"/>
      <c r="C31" t="s">
        <v>17</v>
      </c>
      <c r="D31" t="s">
        <v>58</v>
      </c>
      <c r="F31" s="27">
        <v>3950</v>
      </c>
      <c r="G31" s="28" t="s">
        <v>51</v>
      </c>
    </row>
    <row r="32" spans="1:7" customFormat="1">
      <c r="A32" s="25"/>
      <c r="B32" s="25"/>
      <c r="C32" t="s">
        <v>17</v>
      </c>
      <c r="D32" t="s">
        <v>59</v>
      </c>
      <c r="F32" s="27">
        <v>4150</v>
      </c>
      <c r="G32" s="28" t="s">
        <v>51</v>
      </c>
    </row>
    <row r="33" spans="1:8" customFormat="1">
      <c r="A33" s="25"/>
      <c r="B33" s="25"/>
      <c r="C33" t="s">
        <v>64</v>
      </c>
      <c r="D33">
        <v>2022</v>
      </c>
      <c r="F33" s="27">
        <v>650</v>
      </c>
      <c r="G33" s="28" t="s">
        <v>51</v>
      </c>
    </row>
    <row r="34" spans="1:8" customFormat="1">
      <c r="A34" s="25"/>
      <c r="B34" s="25"/>
      <c r="C34" t="s">
        <v>64</v>
      </c>
      <c r="D34">
        <v>2023</v>
      </c>
      <c r="F34" s="27">
        <v>720</v>
      </c>
      <c r="G34" s="28" t="s">
        <v>51</v>
      </c>
    </row>
    <row r="35" spans="1:8" customFormat="1">
      <c r="A35" s="25"/>
      <c r="B35" s="25"/>
      <c r="C35" t="s">
        <v>64</v>
      </c>
      <c r="D35">
        <v>2024</v>
      </c>
      <c r="F35" s="27">
        <v>780</v>
      </c>
      <c r="G35" s="28" t="s">
        <v>51</v>
      </c>
    </row>
    <row r="36" spans="1:8" customFormat="1">
      <c r="A36" s="25"/>
      <c r="B36" s="25"/>
      <c r="C36" t="s">
        <v>64</v>
      </c>
      <c r="D36" t="s">
        <v>57</v>
      </c>
      <c r="F36" s="27">
        <v>800</v>
      </c>
      <c r="G36" s="28" t="s">
        <v>51</v>
      </c>
    </row>
    <row r="37" spans="1:8" customFormat="1">
      <c r="A37" s="25"/>
      <c r="B37" s="25"/>
      <c r="C37" t="s">
        <v>64</v>
      </c>
      <c r="D37" t="s">
        <v>58</v>
      </c>
      <c r="F37" s="27">
        <v>850</v>
      </c>
      <c r="G37" s="28" t="s">
        <v>51</v>
      </c>
    </row>
    <row r="38" spans="1:8" customFormat="1">
      <c r="A38" s="25"/>
      <c r="B38" s="25"/>
      <c r="C38" t="s">
        <v>64</v>
      </c>
      <c r="D38" t="s">
        <v>59</v>
      </c>
      <c r="F38" s="27">
        <v>900</v>
      </c>
      <c r="G38" s="28" t="s">
        <v>51</v>
      </c>
    </row>
    <row r="39" spans="1:8" customFormat="1">
      <c r="A39" s="25"/>
      <c r="B39" s="25"/>
      <c r="C39" t="s">
        <v>65</v>
      </c>
      <c r="D39">
        <v>2022</v>
      </c>
      <c r="F39" s="31">
        <v>0.62</v>
      </c>
      <c r="G39" s="28" t="s">
        <v>54</v>
      </c>
      <c r="H39" t="s">
        <v>100</v>
      </c>
    </row>
    <row r="40" spans="1:8" customFormat="1">
      <c r="A40" s="25"/>
      <c r="B40" s="25"/>
      <c r="C40" t="s">
        <v>65</v>
      </c>
      <c r="D40">
        <v>2023</v>
      </c>
      <c r="F40" s="31">
        <v>0.63</v>
      </c>
      <c r="G40" s="28" t="s">
        <v>54</v>
      </c>
      <c r="H40" t="s">
        <v>100</v>
      </c>
    </row>
    <row r="41" spans="1:8" customFormat="1">
      <c r="A41" s="25"/>
      <c r="B41" s="25"/>
      <c r="C41" t="s">
        <v>65</v>
      </c>
      <c r="D41">
        <v>2024</v>
      </c>
      <c r="F41" s="31">
        <v>0.64</v>
      </c>
      <c r="G41" s="28" t="s">
        <v>54</v>
      </c>
      <c r="H41" t="s">
        <v>100</v>
      </c>
    </row>
    <row r="42" spans="1:8" customFormat="1">
      <c r="A42" s="25"/>
      <c r="B42" s="25"/>
      <c r="C42" t="s">
        <v>65</v>
      </c>
      <c r="D42" t="s">
        <v>57</v>
      </c>
      <c r="F42" s="31">
        <v>0.65</v>
      </c>
      <c r="G42" s="28" t="s">
        <v>54</v>
      </c>
      <c r="H42" t="s">
        <v>100</v>
      </c>
    </row>
    <row r="43" spans="1:8" customFormat="1">
      <c r="A43" s="25"/>
      <c r="B43" s="25"/>
      <c r="C43" t="s">
        <v>65</v>
      </c>
      <c r="D43" t="s">
        <v>58</v>
      </c>
      <c r="F43" s="31">
        <v>0.65</v>
      </c>
      <c r="G43" s="28" t="s">
        <v>54</v>
      </c>
      <c r="H43" t="s">
        <v>100</v>
      </c>
    </row>
    <row r="44" spans="1:8" customFormat="1">
      <c r="A44" s="25"/>
      <c r="B44" s="25"/>
      <c r="C44" t="s">
        <v>65</v>
      </c>
      <c r="D44" t="s">
        <v>59</v>
      </c>
      <c r="F44" s="31">
        <v>0.66</v>
      </c>
      <c r="G44" s="28" t="s">
        <v>54</v>
      </c>
      <c r="H44" t="s">
        <v>100</v>
      </c>
    </row>
    <row r="45" spans="1:8" customFormat="1">
      <c r="A45" s="25"/>
      <c r="B45" s="25"/>
    </row>
    <row r="46" spans="1:8" s="9" customFormat="1" ht="14.4" customHeight="1">
      <c r="B46" s="26" t="s">
        <v>66</v>
      </c>
    </row>
    <row r="47" spans="1:8" customFormat="1">
      <c r="A47" s="25"/>
      <c r="B47" s="25"/>
    </row>
    <row r="48" spans="1:8" customFormat="1">
      <c r="A48" s="25"/>
      <c r="B48" s="25"/>
      <c r="C48" s="22" t="s">
        <v>18</v>
      </c>
      <c r="D48">
        <v>2022</v>
      </c>
      <c r="F48" s="27">
        <v>18500</v>
      </c>
      <c r="G48" s="28" t="s">
        <v>51</v>
      </c>
    </row>
    <row r="49" spans="1:8" customFormat="1">
      <c r="A49" s="25"/>
      <c r="B49" s="25"/>
      <c r="C49" s="22" t="s">
        <v>18</v>
      </c>
      <c r="D49">
        <v>2023</v>
      </c>
      <c r="F49" s="27">
        <v>19200</v>
      </c>
      <c r="G49" s="28" t="s">
        <v>51</v>
      </c>
    </row>
    <row r="50" spans="1:8" customFormat="1">
      <c r="A50" s="25"/>
      <c r="B50" s="25"/>
      <c r="C50" s="22" t="s">
        <v>18</v>
      </c>
      <c r="D50">
        <v>2024</v>
      </c>
      <c r="F50" s="27">
        <v>19800</v>
      </c>
      <c r="G50" s="28" t="s">
        <v>51</v>
      </c>
    </row>
    <row r="51" spans="1:8" customFormat="1">
      <c r="A51" s="25"/>
      <c r="B51" s="25"/>
      <c r="C51" s="22" t="s">
        <v>18</v>
      </c>
      <c r="D51" t="s">
        <v>57</v>
      </c>
      <c r="F51" s="27">
        <v>20400</v>
      </c>
      <c r="G51" s="28" t="s">
        <v>51</v>
      </c>
    </row>
    <row r="52" spans="1:8" customFormat="1">
      <c r="A52" s="25"/>
      <c r="B52" s="25"/>
      <c r="C52" s="22" t="s">
        <v>18</v>
      </c>
      <c r="D52" t="s">
        <v>58</v>
      </c>
      <c r="F52" s="27">
        <v>21600</v>
      </c>
      <c r="G52" s="28" t="s">
        <v>51</v>
      </c>
    </row>
    <row r="53" spans="1:8">
      <c r="C53" s="22" t="s">
        <v>18</v>
      </c>
      <c r="D53" t="s">
        <v>59</v>
      </c>
      <c r="E53"/>
      <c r="F53" s="27">
        <v>22300</v>
      </c>
      <c r="G53" s="28" t="s">
        <v>51</v>
      </c>
    </row>
    <row r="54" spans="1:8">
      <c r="C54" s="22" t="s">
        <v>67</v>
      </c>
      <c r="D54">
        <v>2022</v>
      </c>
      <c r="E54"/>
      <c r="F54" s="27">
        <v>6200</v>
      </c>
      <c r="G54" s="28" t="s">
        <v>51</v>
      </c>
    </row>
    <row r="55" spans="1:8">
      <c r="C55" s="22" t="s">
        <v>67</v>
      </c>
      <c r="D55">
        <v>2023</v>
      </c>
      <c r="E55"/>
      <c r="F55" s="27">
        <v>6400</v>
      </c>
      <c r="G55" s="28" t="s">
        <v>51</v>
      </c>
    </row>
    <row r="56" spans="1:8">
      <c r="C56" s="22" t="s">
        <v>67</v>
      </c>
      <c r="D56">
        <v>2024</v>
      </c>
      <c r="E56"/>
      <c r="F56" s="27">
        <v>6600</v>
      </c>
      <c r="G56" s="28" t="s">
        <v>51</v>
      </c>
    </row>
    <row r="57" spans="1:8">
      <c r="C57" s="22" t="s">
        <v>67</v>
      </c>
      <c r="D57" t="s">
        <v>57</v>
      </c>
      <c r="E57"/>
      <c r="F57" s="27">
        <v>6800</v>
      </c>
      <c r="G57" s="28" t="s">
        <v>51</v>
      </c>
    </row>
    <row r="58" spans="1:8">
      <c r="C58" s="22" t="s">
        <v>67</v>
      </c>
      <c r="D58" t="s">
        <v>58</v>
      </c>
      <c r="E58"/>
      <c r="F58" s="27">
        <v>7000</v>
      </c>
      <c r="G58" s="28" t="s">
        <v>51</v>
      </c>
    </row>
    <row r="59" spans="1:8">
      <c r="C59" s="22" t="s">
        <v>67</v>
      </c>
      <c r="D59" t="s">
        <v>59</v>
      </c>
      <c r="E59"/>
      <c r="F59" s="27">
        <v>7200</v>
      </c>
      <c r="G59" s="28" t="s">
        <v>51</v>
      </c>
    </row>
    <row r="60" spans="1:8">
      <c r="C60" s="22" t="s">
        <v>68</v>
      </c>
      <c r="D60">
        <v>2022</v>
      </c>
      <c r="E60"/>
      <c r="F60" s="30">
        <v>1.4999999999999999E-2</v>
      </c>
      <c r="G60" s="28" t="s">
        <v>54</v>
      </c>
      <c r="H60" s="21" t="s">
        <v>99</v>
      </c>
    </row>
    <row r="61" spans="1:8">
      <c r="C61" s="22" t="s">
        <v>68</v>
      </c>
      <c r="D61">
        <v>2023</v>
      </c>
      <c r="E61"/>
      <c r="F61" s="30">
        <v>1.4999999999999999E-2</v>
      </c>
      <c r="G61" s="28" t="s">
        <v>54</v>
      </c>
      <c r="H61" s="21" t="s">
        <v>99</v>
      </c>
    </row>
    <row r="62" spans="1:8">
      <c r="C62" s="22" t="s">
        <v>68</v>
      </c>
      <c r="D62">
        <v>2024</v>
      </c>
      <c r="E62"/>
      <c r="F62" s="30">
        <v>1.4999999999999999E-2</v>
      </c>
      <c r="G62" s="28" t="s">
        <v>54</v>
      </c>
      <c r="H62" s="21" t="s">
        <v>99</v>
      </c>
    </row>
    <row r="63" spans="1:8">
      <c r="C63" s="22" t="s">
        <v>68</v>
      </c>
      <c r="D63" t="s">
        <v>57</v>
      </c>
      <c r="E63"/>
      <c r="F63" s="30">
        <v>1.4999999999999999E-2</v>
      </c>
      <c r="G63" s="28" t="s">
        <v>54</v>
      </c>
      <c r="H63" s="21" t="s">
        <v>99</v>
      </c>
    </row>
    <row r="64" spans="1:8">
      <c r="C64" s="22" t="s">
        <v>68</v>
      </c>
      <c r="D64" t="s">
        <v>58</v>
      </c>
      <c r="E64"/>
      <c r="F64" s="30">
        <v>1.4999999999999999E-2</v>
      </c>
      <c r="G64" s="28" t="s">
        <v>54</v>
      </c>
      <c r="H64" s="21" t="s">
        <v>99</v>
      </c>
    </row>
    <row r="65" spans="1:8">
      <c r="C65" s="22" t="s">
        <v>68</v>
      </c>
      <c r="D65" t="s">
        <v>59</v>
      </c>
      <c r="E65"/>
      <c r="F65" s="30">
        <v>1.4999999999999999E-2</v>
      </c>
      <c r="G65" s="28" t="s">
        <v>54</v>
      </c>
      <c r="H65" s="21" t="s">
        <v>99</v>
      </c>
    </row>
    <row r="66" spans="1:8" customFormat="1">
      <c r="A66" s="25"/>
      <c r="B66" s="25"/>
    </row>
    <row r="67" spans="1:8" s="9" customFormat="1" ht="14.4" customHeight="1">
      <c r="B67" s="26" t="s">
        <v>69</v>
      </c>
    </row>
    <row r="68" spans="1:8" customFormat="1">
      <c r="A68" s="25"/>
      <c r="B68" s="25"/>
    </row>
    <row r="69" spans="1:8">
      <c r="C69" s="23" t="s">
        <v>50</v>
      </c>
      <c r="D69">
        <v>2022</v>
      </c>
      <c r="E69"/>
      <c r="F69" s="27">
        <v>200</v>
      </c>
      <c r="G69" s="28" t="s">
        <v>51</v>
      </c>
    </row>
    <row r="70" spans="1:8">
      <c r="C70" s="23" t="s">
        <v>50</v>
      </c>
      <c r="D70">
        <v>2023</v>
      </c>
      <c r="E70"/>
      <c r="F70" s="27">
        <v>200</v>
      </c>
      <c r="G70" s="28" t="s">
        <v>51</v>
      </c>
    </row>
    <row r="71" spans="1:8">
      <c r="C71" s="23" t="s">
        <v>50</v>
      </c>
      <c r="D71">
        <v>2024</v>
      </c>
      <c r="E71"/>
      <c r="F71" s="27">
        <v>250</v>
      </c>
      <c r="G71" s="28" t="s">
        <v>51</v>
      </c>
    </row>
    <row r="72" spans="1:8">
      <c r="C72" s="23" t="s">
        <v>50</v>
      </c>
      <c r="D72" t="s">
        <v>57</v>
      </c>
      <c r="E72"/>
      <c r="F72" s="27">
        <v>250</v>
      </c>
      <c r="G72" s="28" t="s">
        <v>51</v>
      </c>
    </row>
    <row r="73" spans="1:8">
      <c r="C73" s="23" t="s">
        <v>50</v>
      </c>
      <c r="D73" t="s">
        <v>58</v>
      </c>
      <c r="E73"/>
      <c r="F73" s="27">
        <v>300</v>
      </c>
      <c r="G73" s="28" t="s">
        <v>51</v>
      </c>
    </row>
    <row r="74" spans="1:8">
      <c r="C74" s="23" t="s">
        <v>50</v>
      </c>
      <c r="D74" t="s">
        <v>59</v>
      </c>
      <c r="E74"/>
      <c r="F74" s="27">
        <v>300</v>
      </c>
      <c r="G74" s="28" t="s">
        <v>51</v>
      </c>
    </row>
    <row r="75" spans="1:8" customFormat="1">
      <c r="A75" s="25"/>
      <c r="B75" s="25"/>
    </row>
    <row r="76" spans="1:8" s="9" customFormat="1" ht="14.4" customHeight="1">
      <c r="B76" s="26" t="s">
        <v>70</v>
      </c>
    </row>
    <row r="77" spans="1:8" customFormat="1">
      <c r="A77" s="25"/>
      <c r="B77" s="25"/>
    </row>
    <row r="78" spans="1:8">
      <c r="C78" s="23" t="s">
        <v>71</v>
      </c>
      <c r="D78">
        <v>2022</v>
      </c>
      <c r="E78"/>
      <c r="F78" s="27">
        <v>4200</v>
      </c>
      <c r="G78" s="28" t="s">
        <v>51</v>
      </c>
    </row>
    <row r="79" spans="1:8">
      <c r="C79" s="23" t="s">
        <v>71</v>
      </c>
      <c r="D79">
        <v>2023</v>
      </c>
      <c r="E79"/>
      <c r="F79" s="27">
        <v>4500</v>
      </c>
      <c r="G79" s="28" t="s">
        <v>51</v>
      </c>
    </row>
    <row r="80" spans="1:8">
      <c r="C80" s="23" t="s">
        <v>71</v>
      </c>
      <c r="D80">
        <v>2024</v>
      </c>
      <c r="E80"/>
      <c r="F80" s="27">
        <v>4800</v>
      </c>
      <c r="G80" s="28" t="s">
        <v>51</v>
      </c>
    </row>
    <row r="81" spans="1:7">
      <c r="C81" s="23" t="s">
        <v>71</v>
      </c>
      <c r="D81" t="s">
        <v>57</v>
      </c>
      <c r="E81"/>
      <c r="F81" s="27">
        <v>5000</v>
      </c>
      <c r="G81" s="28" t="s">
        <v>51</v>
      </c>
    </row>
    <row r="82" spans="1:7">
      <c r="C82" s="23" t="s">
        <v>71</v>
      </c>
      <c r="D82" t="s">
        <v>58</v>
      </c>
      <c r="E82"/>
      <c r="F82" s="27">
        <v>5400</v>
      </c>
      <c r="G82" s="28" t="s">
        <v>51</v>
      </c>
    </row>
    <row r="83" spans="1:7">
      <c r="C83" s="23" t="s">
        <v>71</v>
      </c>
      <c r="D83" t="s">
        <v>59</v>
      </c>
      <c r="E83"/>
      <c r="F83" s="27">
        <v>5600</v>
      </c>
      <c r="G83" s="28" t="s">
        <v>51</v>
      </c>
    </row>
    <row r="84" spans="1:7">
      <c r="C84" s="23" t="s">
        <v>72</v>
      </c>
      <c r="D84">
        <v>2022</v>
      </c>
      <c r="E84"/>
      <c r="F84" s="27">
        <v>0</v>
      </c>
      <c r="G84" s="28" t="s">
        <v>51</v>
      </c>
    </row>
    <row r="85" spans="1:7">
      <c r="C85" s="23" t="s">
        <v>72</v>
      </c>
      <c r="D85">
        <v>2023</v>
      </c>
      <c r="E85"/>
      <c r="F85" s="27">
        <v>0</v>
      </c>
      <c r="G85" s="28" t="s">
        <v>51</v>
      </c>
    </row>
    <row r="86" spans="1:7">
      <c r="C86" s="23" t="s">
        <v>72</v>
      </c>
      <c r="D86">
        <v>2024</v>
      </c>
      <c r="E86"/>
      <c r="F86" s="27">
        <v>45000</v>
      </c>
      <c r="G86" s="28" t="s">
        <v>51</v>
      </c>
    </row>
    <row r="87" spans="1:7">
      <c r="C87" s="23" t="s">
        <v>72</v>
      </c>
      <c r="D87" t="s">
        <v>57</v>
      </c>
      <c r="E87"/>
      <c r="F87" s="27">
        <v>0</v>
      </c>
      <c r="G87" s="28" t="s">
        <v>51</v>
      </c>
    </row>
    <row r="88" spans="1:7">
      <c r="C88" s="23" t="s">
        <v>72</v>
      </c>
      <c r="D88" t="s">
        <v>58</v>
      </c>
      <c r="E88"/>
      <c r="F88" s="27">
        <v>62000</v>
      </c>
      <c r="G88" s="28" t="s">
        <v>51</v>
      </c>
    </row>
    <row r="89" spans="1:7">
      <c r="C89" s="23" t="s">
        <v>72</v>
      </c>
      <c r="D89" t="s">
        <v>59</v>
      </c>
      <c r="E89"/>
      <c r="F89" s="27">
        <v>0</v>
      </c>
      <c r="G89" s="28" t="s">
        <v>51</v>
      </c>
    </row>
    <row r="90" spans="1:7">
      <c r="C90" s="23" t="s">
        <v>19</v>
      </c>
      <c r="D90">
        <v>2022</v>
      </c>
      <c r="E90"/>
      <c r="F90" s="27">
        <v>28000</v>
      </c>
      <c r="G90" s="28" t="s">
        <v>51</v>
      </c>
    </row>
    <row r="91" spans="1:7">
      <c r="C91" s="23" t="s">
        <v>19</v>
      </c>
      <c r="D91">
        <v>2023</v>
      </c>
      <c r="E91"/>
      <c r="F91" s="27">
        <v>29000</v>
      </c>
      <c r="G91" s="28" t="s">
        <v>51</v>
      </c>
    </row>
    <row r="92" spans="1:7">
      <c r="C92" s="23" t="s">
        <v>19</v>
      </c>
      <c r="D92">
        <v>2024</v>
      </c>
      <c r="E92"/>
      <c r="F92" s="27">
        <v>30500</v>
      </c>
      <c r="G92" s="28" t="s">
        <v>51</v>
      </c>
    </row>
    <row r="93" spans="1:7">
      <c r="C93" s="23" t="s">
        <v>19</v>
      </c>
      <c r="D93" t="s">
        <v>57</v>
      </c>
      <c r="E93"/>
      <c r="F93" s="27">
        <v>31000</v>
      </c>
      <c r="G93" s="28" t="s">
        <v>51</v>
      </c>
    </row>
    <row r="94" spans="1:7">
      <c r="C94" s="23" t="s">
        <v>19</v>
      </c>
      <c r="D94" t="s">
        <v>58</v>
      </c>
      <c r="E94"/>
      <c r="F94" s="27">
        <v>33000</v>
      </c>
      <c r="G94" s="28" t="s">
        <v>51</v>
      </c>
    </row>
    <row r="95" spans="1:7">
      <c r="C95" s="23" t="s">
        <v>19</v>
      </c>
      <c r="D95" t="s">
        <v>59</v>
      </c>
      <c r="E95"/>
      <c r="F95" s="27">
        <v>34000</v>
      </c>
      <c r="G95" s="28" t="s">
        <v>51</v>
      </c>
    </row>
    <row r="96" spans="1:7" customFormat="1">
      <c r="A96" s="25"/>
      <c r="B96" s="25"/>
    </row>
    <row r="97" spans="1:8" s="9" customFormat="1" ht="14.4" customHeight="1">
      <c r="B97" s="26" t="s">
        <v>73</v>
      </c>
    </row>
    <row r="98" spans="1:8" customFormat="1">
      <c r="A98" s="25"/>
      <c r="B98" s="25"/>
    </row>
    <row r="99" spans="1:8">
      <c r="C99" s="23" t="s">
        <v>49</v>
      </c>
      <c r="D99">
        <v>2022</v>
      </c>
      <c r="E99"/>
      <c r="F99" s="32">
        <v>4.2000000000000003E-2</v>
      </c>
      <c r="G99" s="28" t="s">
        <v>54</v>
      </c>
      <c r="H99" s="21" t="s">
        <v>74</v>
      </c>
    </row>
    <row r="100" spans="1:8">
      <c r="C100" s="23" t="s">
        <v>49</v>
      </c>
      <c r="D100">
        <v>2023</v>
      </c>
      <c r="E100"/>
      <c r="F100" s="32">
        <v>4.3999999999999997E-2</v>
      </c>
      <c r="G100" s="28" t="s">
        <v>54</v>
      </c>
      <c r="H100" s="21" t="s">
        <v>74</v>
      </c>
    </row>
    <row r="101" spans="1:8">
      <c r="C101" s="23" t="s">
        <v>49</v>
      </c>
      <c r="D101">
        <v>2024</v>
      </c>
      <c r="E101"/>
      <c r="F101" s="32">
        <v>4.8000000000000001E-2</v>
      </c>
      <c r="G101" s="28" t="s">
        <v>54</v>
      </c>
      <c r="H101" s="21" t="s">
        <v>74</v>
      </c>
    </row>
    <row r="102" spans="1:8">
      <c r="C102" s="23" t="s">
        <v>49</v>
      </c>
      <c r="D102" t="s">
        <v>57</v>
      </c>
      <c r="E102"/>
      <c r="F102" s="32">
        <v>0.05</v>
      </c>
      <c r="G102" s="28" t="s">
        <v>54</v>
      </c>
      <c r="H102" s="21" t="s">
        <v>74</v>
      </c>
    </row>
    <row r="103" spans="1:8">
      <c r="C103" s="23" t="s">
        <v>49</v>
      </c>
      <c r="D103" t="s">
        <v>58</v>
      </c>
      <c r="E103"/>
      <c r="F103" s="32">
        <v>4.9000000000000002E-2</v>
      </c>
      <c r="G103" s="28" t="s">
        <v>54</v>
      </c>
      <c r="H103" s="21" t="s">
        <v>74</v>
      </c>
    </row>
    <row r="104" spans="1:8">
      <c r="C104" s="23" t="s">
        <v>49</v>
      </c>
      <c r="D104" t="s">
        <v>59</v>
      </c>
      <c r="E104"/>
      <c r="F104" s="32">
        <v>4.8000000000000001E-2</v>
      </c>
      <c r="G104" s="28" t="s">
        <v>54</v>
      </c>
      <c r="H104" s="21" t="s">
        <v>74</v>
      </c>
    </row>
    <row r="105" spans="1:8">
      <c r="C105" s="23" t="s">
        <v>75</v>
      </c>
      <c r="D105">
        <v>2022</v>
      </c>
      <c r="E105"/>
      <c r="F105" s="29">
        <v>52000</v>
      </c>
      <c r="G105" s="28" t="s">
        <v>79</v>
      </c>
    </row>
    <row r="106" spans="1:8">
      <c r="C106" s="23" t="s">
        <v>75</v>
      </c>
      <c r="D106">
        <v>2023</v>
      </c>
      <c r="E106"/>
      <c r="F106" s="29">
        <v>52000</v>
      </c>
      <c r="G106" s="28" t="s">
        <v>79</v>
      </c>
    </row>
    <row r="107" spans="1:8">
      <c r="C107" s="23" t="s">
        <v>75</v>
      </c>
      <c r="D107">
        <v>2024</v>
      </c>
      <c r="E107"/>
      <c r="F107" s="29">
        <v>52500</v>
      </c>
      <c r="G107" s="28" t="s">
        <v>79</v>
      </c>
    </row>
    <row r="108" spans="1:8">
      <c r="C108" s="23" t="s">
        <v>75</v>
      </c>
      <c r="D108" t="s">
        <v>57</v>
      </c>
      <c r="E108"/>
      <c r="F108" s="29">
        <v>52500</v>
      </c>
      <c r="G108" s="28" t="s">
        <v>79</v>
      </c>
    </row>
    <row r="109" spans="1:8">
      <c r="C109" s="23" t="s">
        <v>75</v>
      </c>
      <c r="D109" t="s">
        <v>58</v>
      </c>
      <c r="E109"/>
      <c r="F109" s="29">
        <v>53000</v>
      </c>
      <c r="G109" s="28" t="s">
        <v>79</v>
      </c>
    </row>
    <row r="110" spans="1:8">
      <c r="C110" s="23" t="s">
        <v>75</v>
      </c>
      <c r="D110" t="s">
        <v>59</v>
      </c>
      <c r="E110"/>
      <c r="F110" s="29">
        <v>53000</v>
      </c>
      <c r="G110" s="28" t="s">
        <v>79</v>
      </c>
    </row>
    <row r="111" spans="1:8" customFormat="1">
      <c r="A111" s="25"/>
      <c r="B111" s="25"/>
    </row>
    <row r="112" spans="1:8" s="9" customFormat="1" ht="14.4" customHeight="1">
      <c r="B112" s="26" t="s">
        <v>76</v>
      </c>
    </row>
    <row r="114" spans="1:8" ht="15" customHeight="1">
      <c r="A114" s="22"/>
      <c r="B114" s="22"/>
      <c r="C114" s="24" t="s">
        <v>77</v>
      </c>
      <c r="D114">
        <v>2022</v>
      </c>
      <c r="E114" s="22"/>
      <c r="F114" s="32">
        <v>0.06</v>
      </c>
      <c r="G114" s="28" t="s">
        <v>54</v>
      </c>
      <c r="H114" s="22"/>
    </row>
    <row r="115" spans="1:8" ht="15" customHeight="1">
      <c r="A115" s="22"/>
      <c r="B115" s="22"/>
      <c r="C115" s="24" t="s">
        <v>77</v>
      </c>
      <c r="D115">
        <v>2023</v>
      </c>
      <c r="E115" s="22"/>
      <c r="F115" s="32">
        <v>6.0999999999999999E-2</v>
      </c>
      <c r="G115" s="28" t="s">
        <v>54</v>
      </c>
      <c r="H115" s="22"/>
    </row>
    <row r="116" spans="1:8" ht="15" customHeight="1">
      <c r="A116" s="22"/>
      <c r="B116" s="22"/>
      <c r="C116" s="24" t="s">
        <v>77</v>
      </c>
      <c r="D116">
        <v>2024</v>
      </c>
      <c r="E116" s="22"/>
      <c r="F116" s="32">
        <v>6.3E-2</v>
      </c>
      <c r="G116" s="28" t="s">
        <v>54</v>
      </c>
      <c r="H116" s="22"/>
    </row>
    <row r="117" spans="1:8" ht="15" customHeight="1">
      <c r="A117" s="22"/>
      <c r="B117" s="22"/>
      <c r="C117" s="24" t="s">
        <v>77</v>
      </c>
      <c r="D117" t="s">
        <v>57</v>
      </c>
      <c r="E117" s="22"/>
      <c r="F117" s="32">
        <v>6.5000000000000002E-2</v>
      </c>
      <c r="G117" s="28" t="s">
        <v>54</v>
      </c>
      <c r="H117" s="22"/>
    </row>
    <row r="118" spans="1:8" ht="15" customHeight="1">
      <c r="A118" s="22"/>
      <c r="B118" s="22"/>
      <c r="C118" s="24" t="s">
        <v>77</v>
      </c>
      <c r="D118" t="s">
        <v>58</v>
      </c>
      <c r="E118" s="22"/>
      <c r="F118" s="32">
        <v>6.5000000000000002E-2</v>
      </c>
      <c r="G118" s="28" t="s">
        <v>54</v>
      </c>
      <c r="H118" s="22"/>
    </row>
    <row r="119" spans="1:8" ht="15" customHeight="1">
      <c r="A119" s="22"/>
      <c r="B119" s="22"/>
      <c r="C119" s="24" t="s">
        <v>77</v>
      </c>
      <c r="D119" t="s">
        <v>59</v>
      </c>
      <c r="E119" s="22"/>
      <c r="F119" s="32">
        <v>6.4000000000000001E-2</v>
      </c>
      <c r="G119" s="28" t="s">
        <v>54</v>
      </c>
      <c r="H119" s="22"/>
    </row>
    <row r="121" spans="1:8" s="9" customFormat="1" ht="14.4" customHeight="1">
      <c r="B121" s="26" t="s">
        <v>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5F369-6D79-49C0-A356-A052D572D1E0}">
  <sheetPr>
    <tabColor rgb="FF2E75B6"/>
  </sheetPr>
  <dimension ref="A1:G39"/>
  <sheetViews>
    <sheetView zoomScale="80" zoomScaleNormal="80" workbookViewId="0">
      <pane xSplit="1" ySplit="3" topLeftCell="B4" activePane="bottomRight" state="frozen"/>
      <selection activeCell="B41" sqref="B41"/>
      <selection pane="topRight" activeCell="B41" sqref="B41"/>
      <selection pane="bottomLeft" activeCell="B41" sqref="B41"/>
      <selection pane="bottomRight" activeCell="A4" sqref="A4:G4"/>
    </sheetView>
  </sheetViews>
  <sheetFormatPr defaultColWidth="8.6640625" defaultRowHeight="14.4"/>
  <cols>
    <col min="1" max="1" width="40" style="11" customWidth="1"/>
    <col min="2" max="7" width="14" style="11" customWidth="1"/>
    <col min="8" max="16384" width="8.6640625" style="11"/>
  </cols>
  <sheetData>
    <row r="1" spans="1:7" ht="30" customHeight="1">
      <c r="A1" s="40" t="s">
        <v>20</v>
      </c>
      <c r="B1" s="40"/>
      <c r="C1" s="40"/>
      <c r="D1" s="40"/>
      <c r="E1" s="40"/>
      <c r="F1" s="40"/>
      <c r="G1" s="40"/>
    </row>
    <row r="2" spans="1:7" ht="15.75" customHeight="1">
      <c r="A2" s="41" t="s">
        <v>47</v>
      </c>
      <c r="B2" s="42"/>
      <c r="C2" s="42"/>
      <c r="D2" s="42"/>
      <c r="E2" s="42"/>
      <c r="F2" s="42"/>
      <c r="G2" s="42"/>
    </row>
    <row r="3" spans="1:7" ht="15.75" customHeight="1">
      <c r="A3" s="12" t="s">
        <v>10</v>
      </c>
      <c r="B3" s="13" t="s">
        <v>11</v>
      </c>
      <c r="C3" s="13" t="s">
        <v>12</v>
      </c>
      <c r="D3" s="13" t="s">
        <v>13</v>
      </c>
      <c r="E3" s="13" t="s">
        <v>14</v>
      </c>
      <c r="F3" s="13" t="s">
        <v>15</v>
      </c>
      <c r="G3" s="13" t="s">
        <v>16</v>
      </c>
    </row>
    <row r="4" spans="1:7" ht="15" customHeight="1">
      <c r="A4" s="39" t="s">
        <v>3</v>
      </c>
      <c r="B4" s="39"/>
      <c r="C4" s="39"/>
      <c r="D4" s="39"/>
      <c r="E4" s="39"/>
      <c r="F4" s="39"/>
      <c r="G4" s="39"/>
    </row>
    <row r="5" spans="1:7" ht="15" customHeight="1">
      <c r="A5" s="38" t="s">
        <v>21</v>
      </c>
      <c r="B5" s="38"/>
      <c r="C5" s="38"/>
      <c r="D5" s="38"/>
      <c r="E5" s="38"/>
      <c r="F5" s="38"/>
      <c r="G5" s="38"/>
    </row>
    <row r="6" spans="1:7" ht="15" customHeight="1">
      <c r="A6" s="14" t="s">
        <v>22</v>
      </c>
      <c r="B6" s="19">
        <v>725000</v>
      </c>
      <c r="C6" s="19">
        <v>740000</v>
      </c>
      <c r="D6" s="19">
        <v>810000</v>
      </c>
      <c r="E6" s="19">
        <v>815000</v>
      </c>
      <c r="F6" s="19">
        <v>895000</v>
      </c>
      <c r="G6" s="19">
        <v>900000</v>
      </c>
    </row>
    <row r="7" spans="1:7" ht="15" customHeight="1">
      <c r="A7" s="14" t="s">
        <v>23</v>
      </c>
      <c r="B7" s="19">
        <v>-95000</v>
      </c>
      <c r="C7" s="19">
        <v>-124000</v>
      </c>
      <c r="D7" s="19">
        <v>-154500</v>
      </c>
      <c r="E7" s="19">
        <v>-185500</v>
      </c>
      <c r="F7" s="19">
        <v>-218500</v>
      </c>
      <c r="G7" s="19">
        <v>-252500</v>
      </c>
    </row>
    <row r="8" spans="1:7" ht="15" customHeight="1">
      <c r="A8" s="16" t="s">
        <v>24</v>
      </c>
      <c r="B8" s="17">
        <v>630000</v>
      </c>
      <c r="C8" s="17">
        <v>616000</v>
      </c>
      <c r="D8" s="17">
        <v>655500</v>
      </c>
      <c r="E8" s="17">
        <v>629500</v>
      </c>
      <c r="F8" s="17">
        <v>676500</v>
      </c>
      <c r="G8" s="17">
        <v>647500</v>
      </c>
    </row>
    <row r="9" spans="1:7" ht="15" customHeight="1">
      <c r="A9" s="14" t="s">
        <v>25</v>
      </c>
      <c r="B9" s="19">
        <v>0</v>
      </c>
      <c r="C9" s="19">
        <v>0</v>
      </c>
      <c r="D9" s="19">
        <v>12000</v>
      </c>
      <c r="E9" s="19">
        <v>8000</v>
      </c>
      <c r="F9" s="19">
        <v>18000</v>
      </c>
      <c r="G9" s="19">
        <v>5000</v>
      </c>
    </row>
    <row r="10" spans="1:7" ht="6" customHeight="1"/>
    <row r="11" spans="1:7" ht="15" customHeight="1">
      <c r="A11" s="38" t="s">
        <v>26</v>
      </c>
      <c r="B11" s="38"/>
      <c r="C11" s="38"/>
      <c r="D11" s="38"/>
      <c r="E11" s="38"/>
      <c r="F11" s="38"/>
      <c r="G11" s="38"/>
    </row>
    <row r="12" spans="1:7" ht="15" customHeight="1">
      <c r="A12" s="14" t="s">
        <v>27</v>
      </c>
      <c r="B12" s="19">
        <v>18500</v>
      </c>
      <c r="C12" s="19">
        <v>22000</v>
      </c>
      <c r="D12" s="19">
        <v>16000</v>
      </c>
      <c r="E12" s="19">
        <v>24000</v>
      </c>
      <c r="F12" s="19">
        <v>19000</v>
      </c>
      <c r="G12" s="19">
        <v>27000</v>
      </c>
    </row>
    <row r="13" spans="1:7" ht="15" customHeight="1">
      <c r="A13" s="14" t="s">
        <v>28</v>
      </c>
      <c r="B13" s="19">
        <v>4200</v>
      </c>
      <c r="C13" s="19">
        <v>4500</v>
      </c>
      <c r="D13" s="19">
        <v>4800</v>
      </c>
      <c r="E13" s="19">
        <v>5000</v>
      </c>
      <c r="F13" s="19">
        <v>5400</v>
      </c>
      <c r="G13" s="19">
        <v>5600</v>
      </c>
    </row>
    <row r="14" spans="1:7" ht="15" customHeight="1">
      <c r="A14" s="14" t="s">
        <v>29</v>
      </c>
      <c r="B14" s="19">
        <v>3100</v>
      </c>
      <c r="C14" s="19">
        <v>2700</v>
      </c>
      <c r="D14" s="19">
        <v>3500</v>
      </c>
      <c r="E14" s="19">
        <v>3100</v>
      </c>
      <c r="F14" s="19">
        <v>2700</v>
      </c>
      <c r="G14" s="19">
        <v>2400</v>
      </c>
    </row>
    <row r="15" spans="1:7" ht="15" customHeight="1">
      <c r="A15" s="14" t="s">
        <v>30</v>
      </c>
      <c r="B15" s="19">
        <v>12000</v>
      </c>
      <c r="C15" s="19">
        <v>10500</v>
      </c>
      <c r="D15" s="19">
        <v>13000</v>
      </c>
      <c r="E15" s="19">
        <v>11000</v>
      </c>
      <c r="F15" s="19">
        <v>14000</v>
      </c>
      <c r="G15" s="19">
        <v>12000</v>
      </c>
    </row>
    <row r="16" spans="1:7" ht="15" customHeight="1">
      <c r="A16" s="14" t="s">
        <v>31</v>
      </c>
      <c r="B16" s="19">
        <v>5800</v>
      </c>
      <c r="C16" s="19">
        <v>6100</v>
      </c>
      <c r="D16" s="19">
        <v>6400</v>
      </c>
      <c r="E16" s="19">
        <v>6600</v>
      </c>
      <c r="F16" s="19">
        <v>7000</v>
      </c>
      <c r="G16" s="19">
        <v>7200</v>
      </c>
    </row>
    <row r="17" spans="1:7" ht="15" customHeight="1">
      <c r="A17" s="12" t="s">
        <v>4</v>
      </c>
      <c r="B17" s="18">
        <v>673600</v>
      </c>
      <c r="C17" s="18">
        <v>661800</v>
      </c>
      <c r="D17" s="18">
        <v>711200</v>
      </c>
      <c r="E17" s="18">
        <v>687200</v>
      </c>
      <c r="F17" s="18">
        <v>742600</v>
      </c>
      <c r="G17" s="18">
        <v>706700</v>
      </c>
    </row>
    <row r="18" spans="1:7" ht="6" customHeight="1"/>
    <row r="19" spans="1:7" ht="15" customHeight="1">
      <c r="A19" s="39" t="s">
        <v>32</v>
      </c>
      <c r="B19" s="39"/>
      <c r="C19" s="39"/>
      <c r="D19" s="39"/>
      <c r="E19" s="39"/>
      <c r="F19" s="39"/>
      <c r="G19" s="39"/>
    </row>
    <row r="20" spans="1:7" ht="15" customHeight="1">
      <c r="A20" s="38" t="s">
        <v>33</v>
      </c>
      <c r="B20" s="38"/>
      <c r="C20" s="38"/>
      <c r="D20" s="38"/>
      <c r="E20" s="38"/>
      <c r="F20" s="38"/>
      <c r="G20" s="38"/>
    </row>
    <row r="21" spans="1:7" ht="15" customHeight="1">
      <c r="A21" s="14" t="s">
        <v>34</v>
      </c>
      <c r="B21" s="19">
        <v>300000</v>
      </c>
      <c r="C21" s="19">
        <v>290000</v>
      </c>
      <c r="D21" s="19">
        <v>320000</v>
      </c>
      <c r="E21" s="19">
        <v>305000</v>
      </c>
      <c r="F21" s="19">
        <v>330000</v>
      </c>
      <c r="G21" s="19">
        <v>315000</v>
      </c>
    </row>
    <row r="22" spans="1:7" ht="15" customHeight="1">
      <c r="A22" s="14" t="s">
        <v>35</v>
      </c>
      <c r="B22" s="19">
        <v>120000</v>
      </c>
      <c r="C22" s="19">
        <v>115000</v>
      </c>
      <c r="D22" s="19">
        <v>125000</v>
      </c>
      <c r="E22" s="19">
        <v>120000</v>
      </c>
      <c r="F22" s="19">
        <v>130000</v>
      </c>
      <c r="G22" s="19">
        <v>125000</v>
      </c>
    </row>
    <row r="23" spans="1:7" ht="15" customHeight="1">
      <c r="A23" s="14" t="s">
        <v>36</v>
      </c>
      <c r="B23" s="19">
        <v>60000</v>
      </c>
      <c r="C23" s="19">
        <v>60000</v>
      </c>
      <c r="D23" s="19">
        <v>65000</v>
      </c>
      <c r="E23" s="19">
        <v>65000</v>
      </c>
      <c r="F23" s="19">
        <v>60000</v>
      </c>
      <c r="G23" s="19">
        <v>65000</v>
      </c>
    </row>
    <row r="24" spans="1:7" ht="15" customHeight="1">
      <c r="A24" s="16" t="s">
        <v>7</v>
      </c>
      <c r="B24" s="17">
        <v>480000</v>
      </c>
      <c r="C24" s="17">
        <v>465000</v>
      </c>
      <c r="D24" s="17">
        <v>510000</v>
      </c>
      <c r="E24" s="17">
        <v>490000</v>
      </c>
      <c r="F24" s="17">
        <v>520000</v>
      </c>
      <c r="G24" s="17">
        <v>505000</v>
      </c>
    </row>
    <row r="25" spans="1:7" ht="6" customHeight="1"/>
    <row r="26" spans="1:7" ht="15" customHeight="1">
      <c r="A26" s="38" t="s">
        <v>37</v>
      </c>
      <c r="B26" s="38"/>
      <c r="C26" s="38"/>
      <c r="D26" s="38"/>
      <c r="E26" s="38"/>
      <c r="F26" s="38"/>
      <c r="G26" s="38"/>
    </row>
    <row r="27" spans="1:7" ht="15" customHeight="1">
      <c r="A27" s="14" t="s">
        <v>38</v>
      </c>
      <c r="B27" s="19">
        <v>8500</v>
      </c>
      <c r="C27" s="19">
        <v>8800</v>
      </c>
      <c r="D27" s="19">
        <v>9200</v>
      </c>
      <c r="E27" s="19">
        <v>9500</v>
      </c>
      <c r="F27" s="19">
        <v>10000</v>
      </c>
      <c r="G27" s="19">
        <v>10300</v>
      </c>
    </row>
    <row r="28" spans="1:7" ht="15" customHeight="1">
      <c r="A28" s="14" t="s">
        <v>39</v>
      </c>
      <c r="B28" s="19">
        <v>6200</v>
      </c>
      <c r="C28" s="19">
        <v>6500</v>
      </c>
      <c r="D28" s="19">
        <v>6800</v>
      </c>
      <c r="E28" s="19">
        <v>7000</v>
      </c>
      <c r="F28" s="19">
        <v>7500</v>
      </c>
      <c r="G28" s="19">
        <v>7700</v>
      </c>
    </row>
    <row r="29" spans="1:7" ht="15" customHeight="1">
      <c r="A29" s="14" t="s">
        <v>40</v>
      </c>
      <c r="B29" s="19">
        <v>2100</v>
      </c>
      <c r="C29" s="19">
        <v>2200</v>
      </c>
      <c r="D29" s="19">
        <v>2300</v>
      </c>
      <c r="E29" s="19">
        <v>2400</v>
      </c>
      <c r="F29" s="19">
        <v>2500</v>
      </c>
      <c r="G29" s="19">
        <v>2600</v>
      </c>
    </row>
    <row r="30" spans="1:7" ht="15" customHeight="1">
      <c r="A30" s="14" t="s">
        <v>41</v>
      </c>
      <c r="B30" s="19">
        <v>9800</v>
      </c>
      <c r="C30" s="19">
        <v>8500</v>
      </c>
      <c r="D30" s="19">
        <v>9000</v>
      </c>
      <c r="E30" s="19">
        <v>7800</v>
      </c>
      <c r="F30" s="19">
        <v>8500</v>
      </c>
      <c r="G30" s="19">
        <v>7200</v>
      </c>
    </row>
    <row r="31" spans="1:7" ht="15" customHeight="1">
      <c r="A31" s="12" t="s">
        <v>5</v>
      </c>
      <c r="B31" s="18">
        <v>506600</v>
      </c>
      <c r="C31" s="18">
        <v>491000</v>
      </c>
      <c r="D31" s="18">
        <v>537300</v>
      </c>
      <c r="E31" s="18">
        <v>516700</v>
      </c>
      <c r="F31" s="18">
        <v>548500</v>
      </c>
      <c r="G31" s="18">
        <v>532800</v>
      </c>
    </row>
    <row r="32" spans="1:7" ht="6" customHeight="1"/>
    <row r="33" spans="1:7" ht="15" customHeight="1">
      <c r="A33" s="39" t="s">
        <v>42</v>
      </c>
      <c r="B33" s="39"/>
      <c r="C33" s="39"/>
      <c r="D33" s="39"/>
      <c r="E33" s="39"/>
      <c r="F33" s="39"/>
      <c r="G33" s="39"/>
    </row>
    <row r="34" spans="1:7" ht="15" customHeight="1">
      <c r="A34" s="14" t="s">
        <v>43</v>
      </c>
      <c r="B34" s="19">
        <v>248000</v>
      </c>
      <c r="C34" s="19">
        <v>248000</v>
      </c>
      <c r="D34" s="19">
        <v>252000</v>
      </c>
      <c r="E34" s="19">
        <v>252000</v>
      </c>
      <c r="F34" s="19">
        <v>256000</v>
      </c>
      <c r="G34" s="19">
        <v>256000</v>
      </c>
    </row>
    <row r="35" spans="1:7" ht="15" customHeight="1">
      <c r="A35" s="14" t="s">
        <v>44</v>
      </c>
      <c r="B35" s="15">
        <v>-81000</v>
      </c>
      <c r="C35" s="15">
        <v>-77200</v>
      </c>
      <c r="D35" s="15">
        <v>-78100</v>
      </c>
      <c r="E35" s="15">
        <v>-81500</v>
      </c>
      <c r="F35" s="15">
        <v>-61900</v>
      </c>
      <c r="G35" s="15">
        <v>-82100</v>
      </c>
    </row>
    <row r="36" spans="1:7" ht="15" customHeight="1">
      <c r="A36" s="16" t="s">
        <v>45</v>
      </c>
      <c r="B36" s="17">
        <v>167000</v>
      </c>
      <c r="C36" s="17">
        <v>170800</v>
      </c>
      <c r="D36" s="17">
        <v>173900</v>
      </c>
      <c r="E36" s="17">
        <v>170500</v>
      </c>
      <c r="F36" s="17">
        <v>194100</v>
      </c>
      <c r="G36" s="17">
        <v>173900</v>
      </c>
    </row>
    <row r="37" spans="1:7" ht="15" customHeight="1">
      <c r="A37" s="12" t="s">
        <v>46</v>
      </c>
      <c r="B37" s="18">
        <v>673600</v>
      </c>
      <c r="C37" s="18">
        <v>661800</v>
      </c>
      <c r="D37" s="18">
        <v>711200</v>
      </c>
      <c r="E37" s="18">
        <v>687200</v>
      </c>
      <c r="F37" s="18">
        <v>742600</v>
      </c>
      <c r="G37" s="18">
        <v>706700</v>
      </c>
    </row>
    <row r="38" spans="1:7" ht="6" customHeight="1"/>
    <row r="39" spans="1:7">
      <c r="C39" s="20"/>
    </row>
  </sheetData>
  <mergeCells count="9">
    <mergeCell ref="A20:G20"/>
    <mergeCell ref="A26:G26"/>
    <mergeCell ref="A33:G33"/>
    <mergeCell ref="A1:G1"/>
    <mergeCell ref="A2:G2"/>
    <mergeCell ref="A4:G4"/>
    <mergeCell ref="A5:G5"/>
    <mergeCell ref="A11:G11"/>
    <mergeCell ref="A19:G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19"/>
  <sheetViews>
    <sheetView zoomScale="77" workbookViewId="0"/>
  </sheetViews>
  <sheetFormatPr defaultRowHeight="15.6"/>
  <cols>
    <col min="1" max="1" width="76.33203125" style="7" bestFit="1" customWidth="1"/>
    <col min="2" max="2" width="16.33203125" style="7" customWidth="1"/>
    <col min="3" max="16384" width="8.88671875" style="7"/>
  </cols>
  <sheetData>
    <row r="1" spans="1:3">
      <c r="A1" s="6" t="s">
        <v>2</v>
      </c>
      <c r="B1" s="6" t="s">
        <v>0</v>
      </c>
      <c r="C1" s="6" t="s">
        <v>98</v>
      </c>
    </row>
    <row r="2" spans="1:3">
      <c r="A2" s="3" t="s">
        <v>80</v>
      </c>
      <c r="B2" s="8"/>
      <c r="C2" s="10" t="s">
        <v>53</v>
      </c>
    </row>
    <row r="3" spans="1:3">
      <c r="A3" s="3" t="s">
        <v>81</v>
      </c>
      <c r="B3" s="8"/>
      <c r="C3" s="10" t="s">
        <v>53</v>
      </c>
    </row>
    <row r="4" spans="1:3">
      <c r="A4" s="3" t="s">
        <v>82</v>
      </c>
      <c r="B4" s="8"/>
      <c r="C4" s="10" t="s">
        <v>53</v>
      </c>
    </row>
    <row r="5" spans="1:3">
      <c r="A5" s="3" t="s">
        <v>83</v>
      </c>
      <c r="B5" s="8"/>
      <c r="C5" s="10" t="s">
        <v>53</v>
      </c>
    </row>
    <row r="6" spans="1:3">
      <c r="A6" s="3" t="s">
        <v>84</v>
      </c>
      <c r="B6" s="8"/>
      <c r="C6" s="10" t="s">
        <v>53</v>
      </c>
    </row>
    <row r="7" spans="1:3">
      <c r="A7" s="3" t="s">
        <v>85</v>
      </c>
      <c r="B7" s="8"/>
      <c r="C7" s="10" t="s">
        <v>53</v>
      </c>
    </row>
    <row r="8" spans="1:3">
      <c r="A8" s="3" t="s">
        <v>86</v>
      </c>
      <c r="B8" s="8"/>
      <c r="C8" s="10" t="s">
        <v>53</v>
      </c>
    </row>
    <row r="9" spans="1:3">
      <c r="A9" s="3" t="s">
        <v>87</v>
      </c>
      <c r="B9" s="8"/>
      <c r="C9" s="10" t="s">
        <v>53</v>
      </c>
    </row>
    <row r="10" spans="1:3">
      <c r="A10" s="3" t="s">
        <v>88</v>
      </c>
      <c r="B10" s="8"/>
      <c r="C10" s="10" t="s">
        <v>53</v>
      </c>
    </row>
    <row r="11" spans="1:3">
      <c r="A11" s="3" t="s">
        <v>89</v>
      </c>
      <c r="B11" s="8"/>
      <c r="C11" s="10" t="s">
        <v>53</v>
      </c>
    </row>
    <row r="12" spans="1:3">
      <c r="A12" s="3" t="s">
        <v>90</v>
      </c>
      <c r="B12" s="8"/>
      <c r="C12" s="10" t="s">
        <v>53</v>
      </c>
    </row>
    <row r="13" spans="1:3">
      <c r="A13" s="3" t="s">
        <v>91</v>
      </c>
      <c r="B13" s="8"/>
      <c r="C13" s="10" t="s">
        <v>53</v>
      </c>
    </row>
    <row r="14" spans="1:3">
      <c r="A14" s="3" t="s">
        <v>92</v>
      </c>
      <c r="B14" s="8"/>
      <c r="C14" s="10" t="s">
        <v>53</v>
      </c>
    </row>
    <row r="15" spans="1:3">
      <c r="A15" s="3" t="s">
        <v>93</v>
      </c>
      <c r="B15" s="8"/>
      <c r="C15" s="10" t="s">
        <v>53</v>
      </c>
    </row>
    <row r="16" spans="1:3">
      <c r="A16" s="3" t="s">
        <v>94</v>
      </c>
      <c r="B16" s="8"/>
      <c r="C16" s="10" t="s">
        <v>53</v>
      </c>
    </row>
    <row r="17" spans="1:3">
      <c r="A17" s="3" t="s">
        <v>95</v>
      </c>
      <c r="B17" s="8"/>
      <c r="C17" s="10" t="s">
        <v>53</v>
      </c>
    </row>
    <row r="18" spans="1:3">
      <c r="A18" s="3" t="s">
        <v>96</v>
      </c>
      <c r="B18" s="8"/>
      <c r="C18" s="10" t="s">
        <v>53</v>
      </c>
    </row>
    <row r="19" spans="1:3">
      <c r="A19" s="3" t="s">
        <v>97</v>
      </c>
      <c r="B19" s="8"/>
      <c r="C19" s="10"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Assumptions</vt:lpstr>
      <vt:lpstr>Balance Sheet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2026-05-16T19:29:53Z</dcterms:modified>
</cp:coreProperties>
</file>