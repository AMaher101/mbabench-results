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Scenario  Sensitivity Analysis\WinzigweichCorp\starting_files\"/>
    </mc:Choice>
  </mc:AlternateContent>
  <xr:revisionPtr revIDLastSave="0" documentId="13_ncr:1_{D99ADAC3-0F73-4ADC-A206-8E07B5E59199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" sheetId="9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<sst xmlns="http://schemas.openxmlformats.org/spreadsheetml/2006/main" count="148" uniqueCount="101">
  <si>
    <t>Answers</t>
  </si>
  <si>
    <t>Assumptions sheet may be also in the text on the Instructions tab - please use the assumptions on this sheet for your model</t>
  </si>
  <si>
    <t>End Sheet</t>
  </si>
  <si>
    <t>FP&amp;A Task</t>
  </si>
  <si>
    <t>Questions (please round your answers to two decimal places)</t>
  </si>
  <si>
    <t>Current Assets</t>
  </si>
  <si>
    <t>Current Liabilities</t>
  </si>
  <si>
    <t>Unit</t>
  </si>
  <si>
    <t>Answer the questions using your model.</t>
  </si>
  <si>
    <t>[$m]</t>
  </si>
  <si>
    <t>Model basics</t>
  </si>
  <si>
    <t xml:space="preserve"> </t>
  </si>
  <si>
    <t>Financial data</t>
  </si>
  <si>
    <t>EBITDA</t>
  </si>
  <si>
    <t>EBIT</t>
  </si>
  <si>
    <t>Tax</t>
  </si>
  <si>
    <t>Total Assets</t>
  </si>
  <si>
    <t>Cash and Cash Equivalents</t>
  </si>
  <si>
    <t>Short-Term Debt</t>
  </si>
  <si>
    <t>Total Debt</t>
  </si>
  <si>
    <t>2026e</t>
  </si>
  <si>
    <t>2027e</t>
  </si>
  <si>
    <t>2028e</t>
  </si>
  <si>
    <t>all figures in:</t>
  </si>
  <si>
    <t>Valuation basis date</t>
  </si>
  <si>
    <t>Valuation date</t>
  </si>
  <si>
    <t>Market Variables</t>
  </si>
  <si>
    <t>Risk-free interest rate</t>
  </si>
  <si>
    <t>Adjusted beta, 3-year daily</t>
  </si>
  <si>
    <t>Market risk premium</t>
  </si>
  <si>
    <t>Cost of debt</t>
  </si>
  <si>
    <t>[%]</t>
  </si>
  <si>
    <t>Growth</t>
  </si>
  <si>
    <t>g1</t>
  </si>
  <si>
    <t>g1 until</t>
  </si>
  <si>
    <t>(from 2029 on)</t>
  </si>
  <si>
    <t>g2</t>
  </si>
  <si>
    <t>Total Equity</t>
  </si>
  <si>
    <t>Pretax Income</t>
  </si>
  <si>
    <t>Use the iterative method to calculate the WACC.</t>
  </si>
  <si>
    <t>Take the tax rate average for all years you are able to compute it as the tax rate you will use in your DCF.</t>
  </si>
  <si>
    <t>Do not question the data provided.</t>
  </si>
  <si>
    <t>You are given 3 years of explicit Forecast data - after those three years, calculate with a two-stage terminal value using the data given - the basis is the last year of the explicit forecasting period.</t>
  </si>
  <si>
    <t>Assume book value of debt = market value of debt.</t>
  </si>
  <si>
    <t>Assume no changes regarding the balance sheet data provided between the Valuation basis date and the Valuation date.</t>
  </si>
  <si>
    <t>Sensitivity Analysis</t>
  </si>
  <si>
    <t>g1 - starting value</t>
  </si>
  <si>
    <t>g1 - ending value</t>
  </si>
  <si>
    <t>g1 - step</t>
  </si>
  <si>
    <t>g1 until - end year value</t>
  </si>
  <si>
    <t>g1 - growth rate</t>
  </si>
  <si>
    <t>g1 until - step</t>
  </si>
  <si>
    <t>[year]</t>
  </si>
  <si>
    <t>g1 - end year</t>
  </si>
  <si>
    <t>What is the Equity value at Valuation date in the base scenario?</t>
  </si>
  <si>
    <t>p.a.</t>
  </si>
  <si>
    <t>Scenario / Sensitivity Analysis - Winzigweich Corp</t>
  </si>
  <si>
    <t>Create a DCF model to determine the Equity Value ot Winzigweich Corp.</t>
  </si>
  <si>
    <t>FY (ending June)</t>
  </si>
  <si>
    <t>g2 - step</t>
  </si>
  <si>
    <t>g2 - starting value</t>
  </si>
  <si>
    <t>g2 - ending value</t>
  </si>
  <si>
    <t>g2 - growth rate</t>
  </si>
  <si>
    <t>Calculate the Equity Value at Valuation date for all combinations of three alternated assumptions.</t>
  </si>
  <si>
    <t>Add a sensitivity analysis to your model regarding the terminal value.</t>
  </si>
  <si>
    <t>You will alternate g1 data and g2 growth rate based on given assumptions you have to combine.</t>
  </si>
  <si>
    <t>What is the Equity value at Valuation date with the following sensitivity figures (g1 growth rate p.a./g1 end year/g2 growth rate p.a.): 0,02/2035/0,0275?</t>
  </si>
  <si>
    <t>What is the Equity value at Valuation date with the following sensitivity figures (g1 growth rate p.a./g1 end year/g2 growth rate p.a.): 0,02/2038/0,0225?</t>
  </si>
  <si>
    <t>What is the Equity value at Valuation date with the following sensitivity figures (g1 growth rate p.a./g1 end year/g2 growth rate p.a.): 0,025/2032/0,0175?</t>
  </si>
  <si>
    <t>What is the Equity value at Valuation date with the following sensitivity figures (g1 growth rate p.a./g1 end year/g2 growth rate p.a.): 0,03/2036/0,03?</t>
  </si>
  <si>
    <t>What is the Equity value at Valuation date with the following sensitivity figures (g1 growth rate p.a./g1 end year/g2 growth rate p.a.): 0,035/2036/0,03?</t>
  </si>
  <si>
    <t>What is the Equity value at Valuation date with the following sensitivity figures (g1 growth rate p.a./g1 end year/g2 growth rate p.a.): 0,035/2038/0,0225?</t>
  </si>
  <si>
    <t>What is the Equity value at Valuation date with the following sensitivity figures (g1 growth rate p.a./g1 end year/g2 growth rate p.a.): 0,035/2038/0,0275?</t>
  </si>
  <si>
    <t>What is the Equity value at Valuation date with the following sensitivity figures (g1 growth rate p.a./g1 end year/g2 growth rate p.a.): 0,04/2031/0,0275?</t>
  </si>
  <si>
    <t>What is the Equity value at Valuation date with the following sensitivity figures (g1 growth rate p.a./g1 end year/g2 growth rate p.a.): 0,04/2032/0,025?</t>
  </si>
  <si>
    <t>What is the Equity value at Valuation date with the following sensitivity figures (g1 growth rate p.a./g1 end year/g2 growth rate p.a.): 0,04/2033/0,02?</t>
  </si>
  <si>
    <t>What is the Equity value at Valuation date with the following sensitivity figures (g1 growth rate p.a./g1 end year/g2 growth rate p.a.): 0,04/2037/0,03?</t>
  </si>
  <si>
    <t>What is the Equity value at Valuation date with the following sensitivity figures (g1 growth rate p.a./g1 end year/g2 growth rate p.a.): 0,045/2034/0,0275?</t>
  </si>
  <si>
    <t>What is the Equity value at Valuation date with the following sensitivity figures (g1 growth rate p.a./g1 end year/g2 growth rate p.a.): 0,05/2037/0,02?</t>
  </si>
  <si>
    <t>What is the Equity value at Valuation date with the following sensitivity figures (g1 growth rate p.a./g1 end year/g2 growth rate p.a.): 0,055/2030/0,015?</t>
  </si>
  <si>
    <t>What is the Equity value at Valuation date with the following sensitivity figures (g1 growth rate p.a./g1 end year/g2 growth rate p.a.): 0,06/2029/0,03?</t>
  </si>
  <si>
    <t>What is the Equity value at Valuation date with the following sensitivity figures (g1 growth rate p.a./g1 end year/g2 growth rate p.a.): 0,06/2032/0,0225?</t>
  </si>
  <si>
    <t>What is the Equity value at Valuation date with the following sensitivity figures (g1 growth rate p.a./g1 end year/g2 growth rate p.a.): 0,06/2033/0,0275?</t>
  </si>
  <si>
    <t>What is the Equity value at Valuation date with the following sensitivity figures (g1 growth rate p.a./g1 end year/g2 growth rate p.a.): 0,065/2033/0,01?</t>
  </si>
  <si>
    <t>What is the Equity value at Valuation date with the following sensitivity figures (g1 growth rate p.a./g1 end year/g2 growth rate p.a.): 0,065/2035/0,0175?</t>
  </si>
  <si>
    <t>What is the Equity value at Valuation date with the following sensitivity figures (g1 growth rate p.a./g1 end year/g2 growth rate p.a.): 0,07/2031/0,0125?</t>
  </si>
  <si>
    <t>What is the Equity value at Valuation date with the following sensitivity figures (g1 growth rate p.a./g1 end year/g2 growth rate p.a.): 0,075/2032/0,02?</t>
  </si>
  <si>
    <t>What is the Equity value at Valuation date with the following sensitivity figures (g1 growth rate p.a./g1 end year/g2 growth rate p.a.): 0,075/2034/0,01?</t>
  </si>
  <si>
    <t>What is the Equity value at Valuation date with the following sensitivity figures (g1 growth rate p.a./g1 end year/g2 growth rate p.a.): 0,075/2035/0,0125?</t>
  </si>
  <si>
    <t>What is the Equity value at Valuation date with the following sensitivity figures (g1 growth rate p.a./g1 end year/g2 growth rate p.a.): 0,08/2035/0,0225?</t>
  </si>
  <si>
    <t>What is the Equity value at Valuation date with the following sensitivity figures (g1 growth rate p.a./g1 end year/g2 growth rate p.a.): 0,085/2038/0,0125?</t>
  </si>
  <si>
    <t>What is the Equity value at Valuation date with the following sensitivity figures (g1 growth rate p.a./g1 end year/g2 growth rate p.a.): 0,09/2030/0,0175?</t>
  </si>
  <si>
    <t>What is the Equity value at Valuation date with the following sensitivity figures (g1 growth rate p.a./g1 end year/g2 growth rate p.a.): 0,09/2034/0,0125?</t>
  </si>
  <si>
    <t>What is the Equity value at Valuation date with the following sensitivity figures (g1 growth rate p.a./g1 end year/g2 growth rate p.a.): 0,09/2034/0,015?</t>
  </si>
  <si>
    <t>What is the Equity value at Valuation date with the following sensitivity figures (g1 growth rate p.a./g1 end year/g2 growth rate p.a.): 0,09/2036/0,02?</t>
  </si>
  <si>
    <t>What is the Equity value at Valuation date with the following sensitivity figures (g1 growth rate p.a./g1 end year/g2 growth rate p.a.): 0,095/2034/0,0175?</t>
  </si>
  <si>
    <t>What is the Equity value at Valuation date with the following sensitivity figures (g1 growth rate p.a./g1 end year/g2 growth rate p.a.): 0,095/2036/0,03?</t>
  </si>
  <si>
    <t>What is the Equity value at Valuation date with the following sensitivity figures (g1 growth rate p.a./g1 end year/g2 growth rate p.a.): 0,095/2038/0,025?</t>
  </si>
  <si>
    <t>What is the Equity value at Valuation date with the following sensitivity figures (g1 growth rate p.a./g1 end year/g2 growth rate p.a.): 0,1/2029/0,0225?</t>
  </si>
  <si>
    <t>What is the Equity value at Valuation date with the following sensitivity figures (g1 growth rate p.a./g1 end year/g2 growth rate p.a.): 0,1/2032/0,01?</t>
  </si>
  <si>
    <t>Don't use mid year convention, instead, ensure that the valuation is transitioned to the valuation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</si>
</sst>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28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3" fontId="9" fillId="4" borderId="5" xfId="3" applyNumberFormat="1" applyFont="1" applyFill="1" applyBorder="1"/>
    <xf numFmtId="0" fontId="14" fillId="0" borderId="0" xfId="0" applyFont="1"/>
    <xf numFmtId="0" fontId="15" fillId="0" borderId="0" xfId="0" applyFont="1"/>
    <xf numFmtId="14" fontId="9" fillId="4" borderId="5" xfId="3" applyNumberFormat="1" applyFont="1" applyFill="1" applyBorder="1"/>
    <xf numFmtId="4" fontId="9" fillId="4" borderId="5" xfId="3" applyNumberFormat="1" applyFont="1" applyFill="1" applyBorder="1"/>
    <xf numFmtId="0" fontId="9" fillId="4" borderId="5" xfId="3" applyNumberFormat="1" applyFont="1" applyFill="1" applyBorder="1"/>
    <xf numFmtId="3" fontId="0" fillId="0" borderId="0" xfId="0" applyNumberFormat="1"/>
    <xf numFmtId="0" fontId="3" fillId="0" borderId="0" xfId="1" quotePrefix="1" applyFont="1" applyAlignment="1">
      <alignment horizontal="left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22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3" t="s">
        <v>3</v>
      </c>
      <c r="C2" s="24"/>
      <c r="D2" s="24"/>
      <c r="E2" s="24"/>
      <c r="F2" s="24"/>
      <c r="G2" s="24"/>
      <c r="H2" s="24"/>
      <c r="I2" s="24"/>
      <c r="J2" s="24"/>
      <c r="K2" s="25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6" t="s">
        <v>56</v>
      </c>
      <c r="C4" s="27"/>
      <c r="D4" s="27"/>
      <c r="E4" s="27"/>
      <c r="F4" s="27"/>
      <c r="G4" s="27"/>
      <c r="H4" s="27"/>
      <c r="I4" s="27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57</v>
      </c>
      <c r="C6" s="1"/>
      <c r="D6" s="1"/>
      <c r="E6" s="1"/>
      <c r="F6" s="1"/>
      <c r="G6" s="1"/>
      <c r="H6" s="1"/>
      <c r="I6" s="1"/>
      <c r="J6" s="1"/>
      <c r="K6" s="1"/>
    </row>
    <row r="7" spans="2:11">
      <c r="B7" s="3" t="s">
        <v>39</v>
      </c>
    </row>
    <row r="8" spans="2:11">
      <c r="B8" s="3" t="s">
        <v>40</v>
      </c>
    </row>
    <row r="9" spans="2:11">
      <c r="B9" s="3" t="s">
        <v>42</v>
      </c>
    </row>
    <row r="10" spans="2:11">
      <c r="B10" s="3" t="s">
        <v>43</v>
      </c>
    </row>
    <row r="11" spans="2:11">
      <c r="B11" s="3" t="s">
        <v>44</v>
      </c>
    </row>
    <row r="12" spans="2:11">
      <c r="B12" s="3" t="s">
        <v>41</v>
      </c>
    </row>
    <row r="13" spans="2:11">
      <c r="B13" s="3" t="s">
        <v>100</v>
      </c>
    </row>
    <row r="14" spans="2:11">
      <c r="B14" s="3"/>
    </row>
    <row r="15" spans="2:11">
      <c r="B15" s="3" t="s">
        <v>64</v>
      </c>
    </row>
    <row r="16" spans="2:11">
      <c r="B16" s="3" t="s">
        <v>65</v>
      </c>
    </row>
    <row r="17" spans="2:2">
      <c r="B17" s="3" t="s">
        <v>50</v>
      </c>
    </row>
    <row r="18" spans="2:2">
      <c r="B18" s="3" t="s">
        <v>53</v>
      </c>
    </row>
    <row r="19" spans="2:2">
      <c r="B19" s="3" t="s">
        <v>62</v>
      </c>
    </row>
    <row r="20" spans="2:2">
      <c r="B20" s="3" t="s">
        <v>63</v>
      </c>
    </row>
    <row r="21" spans="2:2">
      <c r="B21" s="3"/>
    </row>
    <row r="22" spans="2:2">
      <c r="B22" s="3" t="s">
        <v>8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49"/>
  <sheetViews>
    <sheetView showGridLines="0" zoomScale="84" workbookViewId="0"/>
  </sheetViews>
  <sheetFormatPr defaultRowHeight="14.4"/>
  <cols>
    <col min="1" max="1" width="4.77734375" style="6" customWidth="1"/>
    <col min="2" max="2" width="5.33203125" style="6" customWidth="1"/>
    <col min="3" max="3" width="24.5546875" customWidth="1"/>
    <col min="5" max="5" width="13.6640625" customWidth="1"/>
    <col min="6" max="10" width="17.88671875" customWidth="1"/>
    <col min="11" max="110" width="10.109375" bestFit="1" customWidth="1"/>
  </cols>
  <sheetData>
    <row r="1" spans="1:40">
      <c r="A1" s="6" t="str">
        <f>Instructions!B2&amp;": "&amp;Instructions!B4</f>
        <v>FP&amp;A Task: Scenario / Sensitivity Analysis - Winzigweich Corp</v>
      </c>
    </row>
    <row r="2" spans="1:40">
      <c r="A2" s="6" t="s">
        <v>1</v>
      </c>
    </row>
    <row r="4" spans="1:40" s="13" customFormat="1" ht="14.4" customHeight="1">
      <c r="A4" s="11"/>
      <c r="B4" s="12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24</v>
      </c>
      <c r="F6" s="18">
        <v>45838</v>
      </c>
      <c r="G6" s="10"/>
    </row>
    <row r="7" spans="1:40">
      <c r="C7" t="s">
        <v>25</v>
      </c>
      <c r="F7" s="18">
        <v>46125</v>
      </c>
      <c r="G7" s="10"/>
    </row>
    <row r="9" spans="1:40" s="13" customFormat="1" ht="14.4" customHeight="1">
      <c r="A9" s="11"/>
      <c r="B9" s="12" t="s">
        <v>26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1" spans="1:40">
      <c r="C11" t="s">
        <v>27</v>
      </c>
      <c r="F11" s="14">
        <v>4.317E-2</v>
      </c>
      <c r="G11" s="10" t="s">
        <v>31</v>
      </c>
    </row>
    <row r="12" spans="1:40">
      <c r="C12" t="s">
        <v>28</v>
      </c>
      <c r="F12" s="19">
        <v>1.01</v>
      </c>
    </row>
    <row r="13" spans="1:40">
      <c r="C13" t="s">
        <v>29</v>
      </c>
      <c r="F13" s="14">
        <v>2.793E-2</v>
      </c>
      <c r="G13" s="10" t="s">
        <v>31</v>
      </c>
    </row>
    <row r="14" spans="1:40">
      <c r="C14" t="s">
        <v>30</v>
      </c>
      <c r="F14" s="14">
        <v>4.9815358500627502E-2</v>
      </c>
      <c r="G14" s="10" t="s">
        <v>31</v>
      </c>
    </row>
    <row r="16" spans="1:40" s="13" customFormat="1" ht="14.4" customHeight="1">
      <c r="A16" s="11"/>
      <c r="B16" s="12" t="s">
        <v>32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8" spans="1:40">
      <c r="C18" t="s">
        <v>33</v>
      </c>
      <c r="F18" s="14">
        <v>0.06</v>
      </c>
      <c r="G18" s="10" t="s">
        <v>31</v>
      </c>
      <c r="H18" t="s">
        <v>55</v>
      </c>
    </row>
    <row r="19" spans="1:40">
      <c r="C19" t="s">
        <v>34</v>
      </c>
      <c r="D19" t="s">
        <v>35</v>
      </c>
      <c r="F19" s="20">
        <v>2034</v>
      </c>
      <c r="G19" s="10"/>
    </row>
    <row r="20" spans="1:40">
      <c r="C20" t="s">
        <v>36</v>
      </c>
      <c r="F20" s="14">
        <v>2.5000000000000001E-2</v>
      </c>
      <c r="G20" s="10" t="s">
        <v>31</v>
      </c>
      <c r="H20" t="s">
        <v>55</v>
      </c>
    </row>
    <row r="22" spans="1:40" s="13" customFormat="1" ht="14.4" customHeight="1">
      <c r="A22" s="11"/>
      <c r="B22" s="12" t="s">
        <v>12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4" spans="1:40">
      <c r="C24" t="s">
        <v>23</v>
      </c>
      <c r="G24" s="10" t="s">
        <v>9</v>
      </c>
    </row>
    <row r="25" spans="1:40">
      <c r="C25" t="s">
        <v>58</v>
      </c>
      <c r="F25">
        <v>2024</v>
      </c>
      <c r="G25">
        <v>2025</v>
      </c>
      <c r="H25" t="s">
        <v>20</v>
      </c>
      <c r="I25" t="s">
        <v>21</v>
      </c>
      <c r="J25" t="s">
        <v>22</v>
      </c>
    </row>
    <row r="26" spans="1:40">
      <c r="C26" t="s">
        <v>13</v>
      </c>
      <c r="F26" s="21"/>
      <c r="G26" s="21"/>
      <c r="H26" s="15">
        <v>197735</v>
      </c>
      <c r="I26" s="15">
        <v>231662</v>
      </c>
      <c r="J26" s="15">
        <v>279118</v>
      </c>
    </row>
    <row r="27" spans="1:40">
      <c r="C27" t="s">
        <v>14</v>
      </c>
      <c r="F27" s="21"/>
      <c r="G27" s="15">
        <v>128528</v>
      </c>
      <c r="H27" s="15">
        <v>151796</v>
      </c>
      <c r="I27" s="15">
        <v>173735</v>
      </c>
      <c r="J27" s="15">
        <v>202721</v>
      </c>
    </row>
    <row r="28" spans="1:40">
      <c r="C28" t="s">
        <v>38</v>
      </c>
      <c r="F28" s="21"/>
      <c r="G28" s="15">
        <v>123627</v>
      </c>
      <c r="H28" s="15">
        <v>156224</v>
      </c>
      <c r="I28" s="15">
        <v>173106</v>
      </c>
      <c r="J28" s="15">
        <v>202470</v>
      </c>
    </row>
    <row r="29" spans="1:40">
      <c r="C29" t="s">
        <v>15</v>
      </c>
      <c r="F29" s="21"/>
      <c r="G29" s="15">
        <v>21795</v>
      </c>
      <c r="H29" s="15">
        <v>29810</v>
      </c>
      <c r="I29" s="15">
        <v>32851</v>
      </c>
      <c r="J29" s="15">
        <v>38728</v>
      </c>
    </row>
    <row r="30" spans="1:40">
      <c r="C30" s="17" t="s">
        <v>16</v>
      </c>
      <c r="F30" s="15">
        <v>512163</v>
      </c>
      <c r="G30" s="15">
        <v>619003</v>
      </c>
      <c r="H30" s="15">
        <v>721516</v>
      </c>
      <c r="I30" s="15">
        <v>844083</v>
      </c>
      <c r="J30" s="15">
        <v>1000660</v>
      </c>
    </row>
    <row r="31" spans="1:40">
      <c r="C31" s="17" t="s">
        <v>5</v>
      </c>
      <c r="F31" s="15">
        <v>159734</v>
      </c>
      <c r="G31" s="15">
        <v>191131</v>
      </c>
      <c r="H31" s="15">
        <v>221088</v>
      </c>
      <c r="I31" s="15">
        <v>279482</v>
      </c>
      <c r="J31" s="15">
        <v>341783</v>
      </c>
    </row>
    <row r="32" spans="1:40">
      <c r="C32" s="17" t="s">
        <v>17</v>
      </c>
      <c r="F32" s="15">
        <v>18315</v>
      </c>
      <c r="G32" s="15">
        <v>30242</v>
      </c>
      <c r="H32" s="15">
        <v>72943</v>
      </c>
      <c r="I32" s="15">
        <v>116540</v>
      </c>
      <c r="J32" s="15">
        <v>160075</v>
      </c>
    </row>
    <row r="33" spans="1:40">
      <c r="C33" s="17" t="s">
        <v>6</v>
      </c>
      <c r="F33" s="21"/>
      <c r="G33" s="15">
        <v>141218</v>
      </c>
      <c r="H33" s="15">
        <v>149716</v>
      </c>
      <c r="I33" s="15">
        <v>163466</v>
      </c>
      <c r="J33" s="15">
        <v>182758</v>
      </c>
    </row>
    <row r="34" spans="1:40">
      <c r="C34" s="17" t="s">
        <v>18</v>
      </c>
      <c r="F34" s="21"/>
      <c r="G34" s="15">
        <v>2999</v>
      </c>
      <c r="H34" s="15">
        <v>4347</v>
      </c>
      <c r="I34" s="15">
        <v>4337</v>
      </c>
      <c r="J34" s="15">
        <v>3442</v>
      </c>
    </row>
    <row r="35" spans="1:40">
      <c r="C35" s="17" t="s">
        <v>37</v>
      </c>
      <c r="F35" s="21"/>
      <c r="G35" s="15">
        <v>343479</v>
      </c>
      <c r="H35" s="21"/>
      <c r="I35" s="21"/>
      <c r="J35" s="21"/>
    </row>
    <row r="36" spans="1:40">
      <c r="C36" s="17" t="s">
        <v>19</v>
      </c>
      <c r="F36" s="21"/>
      <c r="G36" s="15">
        <v>43151</v>
      </c>
      <c r="H36" s="21"/>
      <c r="I36" s="21"/>
      <c r="J36" s="21"/>
    </row>
    <row r="38" spans="1:40" s="13" customFormat="1" ht="14.4" customHeight="1">
      <c r="A38" s="11"/>
      <c r="B38" s="12" t="s">
        <v>45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40" spans="1:40">
      <c r="C40" t="s">
        <v>46</v>
      </c>
      <c r="F40" s="14">
        <v>0.02</v>
      </c>
      <c r="G40" s="10" t="s">
        <v>31</v>
      </c>
    </row>
    <row r="41" spans="1:40">
      <c r="C41" t="s">
        <v>47</v>
      </c>
      <c r="F41" s="14">
        <v>0.1</v>
      </c>
      <c r="G41" s="10" t="s">
        <v>31</v>
      </c>
    </row>
    <row r="42" spans="1:40">
      <c r="C42" t="s">
        <v>48</v>
      </c>
      <c r="F42" s="14">
        <v>5.0000000000000001E-3</v>
      </c>
      <c r="G42" s="10" t="s">
        <v>31</v>
      </c>
    </row>
    <row r="43" spans="1:40">
      <c r="C43" t="s">
        <v>49</v>
      </c>
      <c r="D43" t="s">
        <v>35</v>
      </c>
      <c r="F43" s="20">
        <v>2038</v>
      </c>
    </row>
    <row r="44" spans="1:40">
      <c r="C44" t="s">
        <v>51</v>
      </c>
      <c r="F44" s="20">
        <v>1</v>
      </c>
      <c r="G44" s="10" t="s">
        <v>52</v>
      </c>
    </row>
    <row r="45" spans="1:40">
      <c r="C45" t="s">
        <v>60</v>
      </c>
      <c r="F45" s="14">
        <v>0.01</v>
      </c>
      <c r="G45" s="10" t="s">
        <v>31</v>
      </c>
    </row>
    <row r="46" spans="1:40">
      <c r="C46" t="s">
        <v>61</v>
      </c>
      <c r="F46" s="14">
        <v>0.03</v>
      </c>
      <c r="G46" s="10" t="s">
        <v>31</v>
      </c>
    </row>
    <row r="47" spans="1:40">
      <c r="C47" t="s">
        <v>59</v>
      </c>
      <c r="F47" s="14">
        <v>2.5000000000000001E-3</v>
      </c>
      <c r="G47" s="10" t="s">
        <v>31</v>
      </c>
    </row>
    <row r="49" spans="1:40" s="13" customFormat="1" ht="14.4" customHeight="1">
      <c r="A49" s="11"/>
      <c r="B49" s="12" t="s">
        <v>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36"/>
  <sheetViews>
    <sheetView zoomScale="77" workbookViewId="0"/>
  </sheetViews>
  <sheetFormatPr defaultRowHeight="15.6"/>
  <cols>
    <col min="1" max="1" width="147.109375" style="8" customWidth="1"/>
    <col min="2" max="2" width="16.33203125" style="8" customWidth="1"/>
    <col min="3" max="16384" width="8.88671875" style="8"/>
  </cols>
  <sheetData>
    <row r="1" spans="1:4">
      <c r="A1" s="7" t="s">
        <v>4</v>
      </c>
      <c r="B1" s="7" t="s">
        <v>0</v>
      </c>
      <c r="C1" s="7" t="s">
        <v>7</v>
      </c>
    </row>
    <row r="2" spans="1:4">
      <c r="A2" s="3" t="s">
        <v>54</v>
      </c>
      <c r="B2" s="9"/>
      <c r="C2" s="16" t="s">
        <v>9</v>
      </c>
    </row>
    <row r="3" spans="1:4">
      <c r="A3" s="22" t="s">
        <v>66</v>
      </c>
      <c r="B3" s="9"/>
      <c r="C3" s="16" t="s">
        <v>9</v>
      </c>
    </row>
    <row r="4" spans="1:4">
      <c r="A4" s="3" t="s">
        <v>67</v>
      </c>
      <c r="B4" s="9"/>
      <c r="C4" s="16" t="s">
        <v>9</v>
      </c>
    </row>
    <row r="5" spans="1:4">
      <c r="A5" s="3" t="s">
        <v>68</v>
      </c>
      <c r="B5" s="9"/>
      <c r="C5" s="16" t="s">
        <v>9</v>
      </c>
    </row>
    <row r="6" spans="1:4">
      <c r="A6" s="3" t="s">
        <v>69</v>
      </c>
      <c r="B6" s="9"/>
      <c r="C6" s="16" t="s">
        <v>9</v>
      </c>
    </row>
    <row r="7" spans="1:4">
      <c r="A7" s="3" t="s">
        <v>70</v>
      </c>
      <c r="B7" s="9"/>
      <c r="C7" s="16" t="s">
        <v>9</v>
      </c>
    </row>
    <row r="8" spans="1:4">
      <c r="A8" s="3" t="s">
        <v>71</v>
      </c>
      <c r="B8" s="9"/>
      <c r="C8" s="16" t="s">
        <v>9</v>
      </c>
      <c r="D8" s="8" t="s">
        <v>11</v>
      </c>
    </row>
    <row r="9" spans="1:4">
      <c r="A9" s="3" t="s">
        <v>72</v>
      </c>
      <c r="B9" s="9"/>
      <c r="C9" s="16" t="s">
        <v>9</v>
      </c>
    </row>
    <row r="10" spans="1:4">
      <c r="A10" s="3" t="s">
        <v>73</v>
      </c>
      <c r="B10" s="9"/>
      <c r="C10" s="16" t="s">
        <v>9</v>
      </c>
    </row>
    <row r="11" spans="1:4">
      <c r="A11" s="3" t="s">
        <v>74</v>
      </c>
      <c r="B11" s="9"/>
      <c r="C11" s="16" t="s">
        <v>9</v>
      </c>
    </row>
    <row r="12" spans="1:4">
      <c r="A12" s="3" t="s">
        <v>75</v>
      </c>
      <c r="B12" s="9"/>
      <c r="C12" s="16" t="s">
        <v>9</v>
      </c>
    </row>
    <row r="13" spans="1:4">
      <c r="A13" s="3" t="s">
        <v>76</v>
      </c>
      <c r="B13" s="9"/>
      <c r="C13" s="16" t="s">
        <v>9</v>
      </c>
    </row>
    <row r="14" spans="1:4">
      <c r="A14" s="3" t="s">
        <v>77</v>
      </c>
      <c r="B14" s="9"/>
      <c r="C14" s="16" t="s">
        <v>9</v>
      </c>
    </row>
    <row r="15" spans="1:4">
      <c r="A15" s="3" t="s">
        <v>78</v>
      </c>
      <c r="B15" s="9"/>
      <c r="C15" s="16" t="s">
        <v>9</v>
      </c>
    </row>
    <row r="16" spans="1:4">
      <c r="A16" s="3" t="s">
        <v>79</v>
      </c>
      <c r="B16" s="9"/>
      <c r="C16" s="16" t="s">
        <v>9</v>
      </c>
    </row>
    <row r="17" spans="1:3">
      <c r="A17" s="3" t="s">
        <v>80</v>
      </c>
      <c r="B17" s="9"/>
      <c r="C17" s="16" t="s">
        <v>9</v>
      </c>
    </row>
    <row r="18" spans="1:3">
      <c r="A18" s="3" t="s">
        <v>81</v>
      </c>
      <c r="B18" s="9"/>
      <c r="C18" s="16" t="s">
        <v>9</v>
      </c>
    </row>
    <row r="19" spans="1:3">
      <c r="A19" s="3" t="s">
        <v>82</v>
      </c>
      <c r="B19" s="9"/>
      <c r="C19" s="16" t="s">
        <v>9</v>
      </c>
    </row>
    <row r="20" spans="1:3">
      <c r="A20" s="3" t="s">
        <v>83</v>
      </c>
      <c r="B20" s="9"/>
      <c r="C20" s="16" t="s">
        <v>9</v>
      </c>
    </row>
    <row r="21" spans="1:3">
      <c r="A21" s="3" t="s">
        <v>84</v>
      </c>
      <c r="B21" s="9"/>
      <c r="C21" s="16" t="s">
        <v>9</v>
      </c>
    </row>
    <row r="22" spans="1:3">
      <c r="A22" s="3" t="s">
        <v>85</v>
      </c>
      <c r="B22" s="9"/>
      <c r="C22" s="16" t="s">
        <v>9</v>
      </c>
    </row>
    <row r="23" spans="1:3">
      <c r="A23" s="3" t="s">
        <v>86</v>
      </c>
      <c r="B23" s="9"/>
      <c r="C23" s="16" t="s">
        <v>9</v>
      </c>
    </row>
    <row r="24" spans="1:3">
      <c r="A24" s="3" t="s">
        <v>87</v>
      </c>
      <c r="B24" s="9"/>
      <c r="C24" s="16" t="s">
        <v>9</v>
      </c>
    </row>
    <row r="25" spans="1:3">
      <c r="A25" s="3" t="s">
        <v>88</v>
      </c>
      <c r="B25" s="9"/>
      <c r="C25" s="16" t="s">
        <v>9</v>
      </c>
    </row>
    <row r="26" spans="1:3">
      <c r="A26" s="3" t="s">
        <v>89</v>
      </c>
      <c r="B26" s="9"/>
      <c r="C26" s="16" t="s">
        <v>9</v>
      </c>
    </row>
    <row r="27" spans="1:3">
      <c r="A27" s="3" t="s">
        <v>90</v>
      </c>
      <c r="B27" s="9"/>
      <c r="C27" s="16" t="s">
        <v>9</v>
      </c>
    </row>
    <row r="28" spans="1:3">
      <c r="A28" s="3" t="s">
        <v>91</v>
      </c>
      <c r="B28" s="9"/>
      <c r="C28" s="16" t="s">
        <v>9</v>
      </c>
    </row>
    <row r="29" spans="1:3">
      <c r="A29" s="3" t="s">
        <v>92</v>
      </c>
      <c r="B29" s="9"/>
      <c r="C29" s="16" t="s">
        <v>9</v>
      </c>
    </row>
    <row r="30" spans="1:3">
      <c r="A30" s="3" t="s">
        <v>93</v>
      </c>
      <c r="B30" s="9"/>
      <c r="C30" s="16" t="s">
        <v>9</v>
      </c>
    </row>
    <row r="31" spans="1:3">
      <c r="A31" s="3" t="s">
        <v>94</v>
      </c>
      <c r="B31" s="9"/>
      <c r="C31" s="16" t="s">
        <v>9</v>
      </c>
    </row>
    <row r="32" spans="1:3">
      <c r="A32" s="3" t="s">
        <v>95</v>
      </c>
      <c r="B32" s="9"/>
      <c r="C32" s="16" t="s">
        <v>9</v>
      </c>
    </row>
    <row r="33" spans="1:3">
      <c r="A33" s="3" t="s">
        <v>96</v>
      </c>
      <c r="B33" s="9"/>
      <c r="C33" s="16" t="s">
        <v>9</v>
      </c>
    </row>
    <row r="34" spans="1:3">
      <c r="A34" s="3" t="s">
        <v>97</v>
      </c>
      <c r="B34" s="9"/>
      <c r="C34" s="16" t="s">
        <v>9</v>
      </c>
    </row>
    <row r="35" spans="1:3">
      <c r="A35" s="3" t="s">
        <v>98</v>
      </c>
      <c r="B35" s="9"/>
      <c r="C35" s="16" t="s">
        <v>9</v>
      </c>
    </row>
    <row r="36" spans="1:3">
      <c r="A36" s="3" t="s">
        <v>99</v>
      </c>
      <c r="B36" s="9"/>
      <c r="C36" s="1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2026-04-12T23:28:55Z</dcterms:modified>
</cp:coreProperties>
</file>