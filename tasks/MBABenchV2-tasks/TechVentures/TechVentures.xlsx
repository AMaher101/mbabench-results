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Budget vs. Actuals Variance Analysis\TechVentures\starting_files\"/>
    </mc:Choice>
  </mc:AlternateContent>
  <xr:revisionPtr revIDLastSave="0" documentId="13_ncr:1_{36DD30F1-E91B-4348-9E9C-08C7A29D6BD9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FY2024 Budget" sheetId="16" r:id="rId2"/>
    <sheet name="Statement of PL" sheetId="17" r:id="rId3"/>
    <sheet name="Statement of Financial Position" sheetId="18" r:id="rId4"/>
    <sheet name="Questions" sheetId="11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8" l="1"/>
  <c r="B17" i="18"/>
  <c r="B19" i="18"/>
  <c r="B26" i="18"/>
  <c r="B31" i="18"/>
  <c r="B38" i="18"/>
  <c r="B40" i="18"/>
  <c r="B42" i="18"/>
  <c r="B10" i="17"/>
  <c r="B16" i="17"/>
  <c r="B17" i="17"/>
  <c r="B18" i="17"/>
  <c r="B25" i="17"/>
  <c r="B27" i="17"/>
  <c r="B32" i="17"/>
  <c r="B34" i="17"/>
  <c r="B35" i="17"/>
  <c r="B36" i="17"/>
  <c r="N5" i="16"/>
  <c r="O5" i="16"/>
  <c r="P5" i="16"/>
  <c r="N6" i="16"/>
  <c r="O6" i="16"/>
  <c r="P6" i="16"/>
  <c r="N7" i="16"/>
  <c r="O7" i="16"/>
  <c r="P7" i="16"/>
  <c r="N10" i="16"/>
  <c r="O10" i="16"/>
  <c r="P10" i="16"/>
  <c r="N11" i="16"/>
  <c r="O11" i="16"/>
  <c r="P11" i="16"/>
  <c r="N12" i="16"/>
  <c r="N14" i="16" s="1"/>
  <c r="O12" i="16"/>
  <c r="O14" i="16" s="1"/>
  <c r="O21" i="16" s="1"/>
  <c r="O30" i="16" s="1"/>
  <c r="P12" i="16"/>
  <c r="N13" i="16"/>
  <c r="O13" i="16"/>
  <c r="P13" i="16"/>
  <c r="B14" i="16"/>
  <c r="B21" i="16" s="1"/>
  <c r="C14" i="16"/>
  <c r="C21" i="16" s="1"/>
  <c r="C30" i="16" s="1"/>
  <c r="D14" i="16"/>
  <c r="D21" i="16" s="1"/>
  <c r="D30" i="16" s="1"/>
  <c r="E14" i="16"/>
  <c r="F14" i="16"/>
  <c r="G14" i="16"/>
  <c r="G21" i="16" s="1"/>
  <c r="G30" i="16" s="1"/>
  <c r="H14" i="16"/>
  <c r="H21" i="16" s="1"/>
  <c r="H30" i="16" s="1"/>
  <c r="I14" i="16"/>
  <c r="I21" i="16" s="1"/>
  <c r="I30" i="16" s="1"/>
  <c r="J14" i="16"/>
  <c r="J21" i="16" s="1"/>
  <c r="J30" i="16" s="1"/>
  <c r="K14" i="16"/>
  <c r="K21" i="16" s="1"/>
  <c r="K30" i="16" s="1"/>
  <c r="L14" i="16"/>
  <c r="L21" i="16" s="1"/>
  <c r="L30" i="16" s="1"/>
  <c r="M14" i="16"/>
  <c r="M21" i="16" s="1"/>
  <c r="M30" i="16" s="1"/>
  <c r="P14" i="16"/>
  <c r="N17" i="16"/>
  <c r="O17" i="16"/>
  <c r="O20" i="16" s="1"/>
  <c r="P17" i="16"/>
  <c r="N18" i="16"/>
  <c r="N20" i="16" s="1"/>
  <c r="O18" i="16"/>
  <c r="P18" i="16"/>
  <c r="N19" i="16"/>
  <c r="O19" i="16"/>
  <c r="P19" i="16"/>
  <c r="B20" i="16"/>
  <c r="C20" i="16"/>
  <c r="D20" i="16"/>
  <c r="E20" i="16"/>
  <c r="E21" i="16" s="1"/>
  <c r="E30" i="16" s="1"/>
  <c r="F20" i="16"/>
  <c r="F21" i="16" s="1"/>
  <c r="F30" i="16" s="1"/>
  <c r="G20" i="16"/>
  <c r="H20" i="16"/>
  <c r="I20" i="16"/>
  <c r="J20" i="16"/>
  <c r="K20" i="16"/>
  <c r="L20" i="16"/>
  <c r="M20" i="16"/>
  <c r="P20" i="16"/>
  <c r="N24" i="16"/>
  <c r="O24" i="16"/>
  <c r="O28" i="16" s="1"/>
  <c r="P24" i="16"/>
  <c r="N25" i="16"/>
  <c r="O25" i="16"/>
  <c r="P25" i="16"/>
  <c r="N26" i="16"/>
  <c r="O26" i="16"/>
  <c r="P26" i="16"/>
  <c r="N27" i="16"/>
  <c r="O27" i="16"/>
  <c r="P27" i="16"/>
  <c r="B28" i="16"/>
  <c r="P28" i="16" s="1"/>
  <c r="C28" i="16"/>
  <c r="D28" i="16"/>
  <c r="E28" i="16"/>
  <c r="F28" i="16"/>
  <c r="G28" i="16"/>
  <c r="H28" i="16"/>
  <c r="I28" i="16"/>
  <c r="J28" i="16"/>
  <c r="K28" i="16"/>
  <c r="L28" i="16"/>
  <c r="M28" i="16"/>
  <c r="N28" i="16"/>
  <c r="N21" i="16" l="1"/>
  <c r="N30" i="16" s="1"/>
  <c r="B30" i="16"/>
  <c r="P30" i="16" s="1"/>
  <c r="P21" i="16"/>
</calcChain>
</file>

<file path=xl/sharedStrings.xml><?xml version="1.0" encoding="utf-8"?>
<sst xmlns="http://schemas.openxmlformats.org/spreadsheetml/2006/main" count="150" uniqueCount="129">
  <si>
    <t>Answers</t>
  </si>
  <si>
    <t>Unit</t>
  </si>
  <si>
    <t>Task:</t>
  </si>
  <si>
    <t>[%]</t>
  </si>
  <si>
    <t xml:space="preserve"> </t>
  </si>
  <si>
    <t>You are given an Income Statement as well as a Budget.</t>
  </si>
  <si>
    <t>FP&amp;A Models</t>
  </si>
  <si>
    <t>Create a Budget vs. Actuals Variance Analysis sheet.</t>
  </si>
  <si>
    <t>Answer the questions with the results from your sheet.</t>
  </si>
  <si>
    <t>Total Revenue</t>
  </si>
  <si>
    <t>Profit Before Tax</t>
  </si>
  <si>
    <t>CURRENT ASSETS</t>
  </si>
  <si>
    <t>Total Current Assets</t>
  </si>
  <si>
    <t>NON-CURRENT ASSETS</t>
  </si>
  <si>
    <t>Total Non-Current Assets</t>
  </si>
  <si>
    <t>TOTAL ASSETS</t>
  </si>
  <si>
    <t>CURRENT LIABILITIES</t>
  </si>
  <si>
    <t>Total Current Liabilities</t>
  </si>
  <si>
    <t>NON-CURRENT LIABILITIES</t>
  </si>
  <si>
    <t>Total Non-Current Liabilities</t>
  </si>
  <si>
    <t>EQUITY</t>
  </si>
  <si>
    <t>Total Equity</t>
  </si>
  <si>
    <t>FY Total</t>
  </si>
  <si>
    <t>Revenue</t>
  </si>
  <si>
    <t>Questions (please round your answers to four decimal places)</t>
  </si>
  <si>
    <t>Leave a blank note field next to the variance figures.</t>
  </si>
  <si>
    <t>Use the standard method for calculating the absolute and relative difference.</t>
  </si>
  <si>
    <t>Budget vs. Actuals Variance Analysis - TechVentures</t>
  </si>
  <si>
    <t>OPERATING PROFIT / (LOSS)</t>
  </si>
  <si>
    <t>Total Operating Expenses</t>
  </si>
  <si>
    <t>Depreciation &amp; amort.</t>
  </si>
  <si>
    <t>General &amp; administrative</t>
  </si>
  <si>
    <t>Sales &amp; marketing</t>
  </si>
  <si>
    <t>Research &amp; development</t>
  </si>
  <si>
    <t>OPERATING EXPENSES</t>
  </si>
  <si>
    <t>Gross Profit</t>
  </si>
  <si>
    <t>Total Cost of Revenue</t>
  </si>
  <si>
    <t>Third-party licences</t>
  </si>
  <si>
    <t>Customer success &amp; support</t>
  </si>
  <si>
    <t>Cloud infrastructure</t>
  </si>
  <si>
    <t>COST OF REVENUE</t>
  </si>
  <si>
    <t>Usage / overage</t>
  </si>
  <si>
    <t>Professional services</t>
  </si>
  <si>
    <t>Subscription – SMB</t>
  </si>
  <si>
    <t>Subscription – Enterprise</t>
  </si>
  <si>
    <t>REVENUE</t>
  </si>
  <si>
    <t>Churn ($000 ARR lost)</t>
  </si>
  <si>
    <t>New ARR added ($000)</t>
  </si>
  <si>
    <t>Monthly Recurring Revenue (MRR)</t>
  </si>
  <si>
    <t>SaaS KEY METRICS  (informational)</t>
  </si>
  <si>
    <t>H2</t>
  </si>
  <si>
    <t>H1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</si>
  <si>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</si>
  <si>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</si>
  <si>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</si>
  <si>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</si>
  <si>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</si>
  <si>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</si>
  <si>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</si>
  <si>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</si>
  <si>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</si>
  <si>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</si>
  <si>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</si>
  <si>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</si>
  <si>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Metric / Line Item</t>
  </si>
  <si>
    <t>Board-approved  ·  Version 3.0  ·  Effective 1 January 2024</t>
  </si>
  <si>
    <t>TechVentures Pte Ltd  —  FY2024 Operating Budget  (SGD '000)</t>
  </si>
  <si>
    <t>Profit for the Year</t>
  </si>
  <si>
    <t>Income tax expense (17%)</t>
  </si>
  <si>
    <t>Net Finance Income</t>
  </si>
  <si>
    <t>Interest expense</t>
  </si>
  <si>
    <t>Interest income</t>
  </si>
  <si>
    <t>Finance Items</t>
  </si>
  <si>
    <t>Operating Profit / (Loss)</t>
  </si>
  <si>
    <t xml:space="preserve">        Depreciation &amp; amortisation</t>
  </si>
  <si>
    <t xml:space="preserve">        General &amp; administrative</t>
  </si>
  <si>
    <t xml:space="preserve">        Sales &amp; marketing</t>
  </si>
  <si>
    <t xml:space="preserve">        Research &amp; development</t>
  </si>
  <si>
    <t>Operating Expenses</t>
  </si>
  <si>
    <t xml:space="preserve">    Gross margin %</t>
  </si>
  <si>
    <t xml:space="preserve">        Third-party software licences</t>
  </si>
  <si>
    <t xml:space="preserve">        Customer success &amp; support</t>
  </si>
  <si>
    <t xml:space="preserve">        Cloud infrastructure &amp; hosting</t>
  </si>
  <si>
    <t>Cost of Revenue</t>
  </si>
  <si>
    <t xml:space="preserve">        Usage-based / overage revenue</t>
  </si>
  <si>
    <t xml:space="preserve">        Professional services</t>
  </si>
  <si>
    <t xml:space="preserve">        Subscription revenue – SMB</t>
  </si>
  <si>
    <t xml:space="preserve">        Subscription revenue – Enterprise</t>
  </si>
  <si>
    <t>FY2024</t>
  </si>
  <si>
    <t>Statement of Comprehensive Income  ·  Year ended 31 December 2024  ·  SGD '000  ·  SFRS(I)</t>
  </si>
  <si>
    <t>TechVentures Pte Ltd</t>
  </si>
  <si>
    <t>Balance check</t>
  </si>
  <si>
    <t>TOTAL EQUITY &amp; LIABILITIES</t>
  </si>
  <si>
    <t xml:space="preserve">        Income tax payable</t>
  </si>
  <si>
    <t xml:space="preserve">        Lease liabilities (current)</t>
  </si>
  <si>
    <t xml:space="preserve">        Contract liabilities – deferred rev.</t>
  </si>
  <si>
    <t xml:space="preserve">        Trade &amp; other payables</t>
  </si>
  <si>
    <t xml:space="preserve">        Deferred revenue (&gt;12 months)</t>
  </si>
  <si>
    <t xml:space="preserve">        Lease liabilities (long-term)</t>
  </si>
  <si>
    <t xml:space="preserve">        Other reserves</t>
  </si>
  <si>
    <t xml:space="preserve">        Retained earnings</t>
  </si>
  <si>
    <t xml:space="preserve">        Share premium</t>
  </si>
  <si>
    <t xml:space="preserve">        Share capital</t>
  </si>
  <si>
    <t xml:space="preserve">        Cash and cash equivalents</t>
  </si>
  <si>
    <t xml:space="preserve">        Prepayments &amp; deposits</t>
  </si>
  <si>
    <t xml:space="preserve">        Contract assets – deferred rev.</t>
  </si>
  <si>
    <t xml:space="preserve">        Trade receivables, net</t>
  </si>
  <si>
    <t xml:space="preserve">        Investments in associates</t>
  </si>
  <si>
    <t xml:space="preserve">        Intangible assets – capitalised dev costs</t>
  </si>
  <si>
    <t xml:space="preserve">        Right-of-use assets</t>
  </si>
  <si>
    <t xml:space="preserve">        Property, plant &amp; equipment, net</t>
  </si>
  <si>
    <t>31 Dec 2024</t>
  </si>
  <si>
    <t>Statement of Financial Position  ·  as at 31 December 2024  ·  SGD '000  ·  SFRS(I)</t>
  </si>
  <si>
    <t>[SGD '000]</t>
  </si>
  <si>
    <t>What is the absolute difference between actuals and budget for Research &amp; development?</t>
  </si>
  <si>
    <t>What is the absolute difference between actuals and budget for Subscription – Enterprise?</t>
  </si>
  <si>
    <t>What is the absolute difference between actuals and budget for Third-party licences?</t>
  </si>
  <si>
    <t>What is the absolute difference between actuals and budget for Total Cost of Revenue?</t>
  </si>
  <si>
    <t>What is the absolute difference between actuals and budget for Total Operating Expenses?</t>
  </si>
  <si>
    <t>What is the absolute difference between actuals and budget for Total Revenue?</t>
  </si>
  <si>
    <t>What is the absolute difference between actuals and budget for Usage / overage?</t>
  </si>
  <si>
    <t>What is the relative difference between actuals and budget for Cloud infrastructure?</t>
  </si>
  <si>
    <t>What is the relative difference between actuals and budget for Customer success &amp; support?</t>
  </si>
  <si>
    <t>What is the relative difference between actuals and budget for Depreciation &amp; amort.?</t>
  </si>
  <si>
    <t>What is the relative difference between actuals and budget for Professional services?</t>
  </si>
  <si>
    <t>What is the relative difference between actuals and budget for Sales &amp; marketing?</t>
  </si>
  <si>
    <t>What is the relative difference between actuals and budget for Third-party licences?</t>
  </si>
  <si>
    <t>What is the relative difference between actuals and budget for Total Cost of Revenue?</t>
  </si>
  <si>
    <t>What is the relative difference between actuals and budget for Usage / overage?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</si>
</sst>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;\-"/>
    <numFmt numFmtId="165" formatCode="#,##0;\(#,##0\);\-"/>
    <numFmt numFmtId="166" formatCode="0.0%;\(0.0%\);\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Calibri"/>
      <family val="2"/>
      <charset val="1"/>
    </font>
    <font>
      <b/>
      <sz val="9"/>
      <color rgb="FF000000"/>
      <name val="Segoe UI"/>
      <charset val="1"/>
    </font>
    <font>
      <b/>
      <sz val="8"/>
      <color rgb="FF000000"/>
      <name val="Segoe UI"/>
      <charset val="1"/>
    </font>
    <font>
      <sz val="8"/>
      <color rgb="FF0000FF"/>
      <name val="Segoe UI"/>
      <charset val="1"/>
    </font>
    <font>
      <sz val="8"/>
      <color rgb="FF000000"/>
      <name val="Segoe UI"/>
      <charset val="1"/>
    </font>
    <font>
      <b/>
      <sz val="9"/>
      <color rgb="FFFFFFFF"/>
      <name val="Segoe UI"/>
      <charset val="1"/>
    </font>
    <font>
      <b/>
      <sz val="9"/>
      <color rgb="FF1C2B3A"/>
      <name val="Segoe UI"/>
      <charset val="1"/>
    </font>
    <font>
      <b/>
      <sz val="8"/>
      <color rgb="FFFFFFFF"/>
      <name val="Segoe UI"/>
      <charset val="1"/>
    </font>
    <font>
      <i/>
      <sz val="8"/>
      <color rgb="FFAAAAAA"/>
      <name val="Segoe UI"/>
      <charset val="1"/>
    </font>
    <font>
      <b/>
      <sz val="13"/>
      <color rgb="FFFFFFFF"/>
      <name val="Segoe UI"/>
      <charset val="1"/>
    </font>
    <font>
      <b/>
      <sz val="9"/>
      <color rgb="FF000000"/>
      <name val="Times New Roman"/>
      <charset val="1"/>
    </font>
    <font>
      <sz val="9"/>
      <color rgb="FF000000"/>
      <name val="Times New Roman"/>
      <charset val="1"/>
    </font>
    <font>
      <sz val="9"/>
      <color rgb="FF0000FF"/>
      <name val="Times New Roman"/>
      <charset val="1"/>
    </font>
    <font>
      <i/>
      <sz val="8"/>
      <color rgb="FF888888"/>
      <name val="Times New Roman"/>
      <charset val="1"/>
    </font>
    <font>
      <i/>
      <sz val="9"/>
      <color rgb="FF666666"/>
      <name val="Times New Roman"/>
      <charset val="1"/>
    </font>
    <font>
      <b/>
      <sz val="16"/>
      <color rgb="FF000000"/>
      <name val="Times New Roman"/>
      <charset val="1"/>
    </font>
    <font>
      <sz val="8"/>
      <color rgb="FF000000"/>
      <name val="Times New Roman"/>
      <charset val="1"/>
    </font>
    <font>
      <i/>
      <sz val="8"/>
      <color rgb="FFAAAAAA"/>
      <name val="Times New Roman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B3E5FC"/>
        <bgColor rgb="FFC8F0FA"/>
      </patternFill>
    </fill>
    <fill>
      <patternFill patternType="solid">
        <fgColor rgb="FFE8F7FB"/>
        <bgColor rgb="FFD4EEF7"/>
      </patternFill>
    </fill>
    <fill>
      <patternFill patternType="solid">
        <fgColor rgb="FFD4EEF7"/>
        <bgColor rgb="FFC8F0FA"/>
      </patternFill>
    </fill>
    <fill>
      <patternFill patternType="solid">
        <fgColor rgb="FF2E4057"/>
        <bgColor rgb="FF1C2B3A"/>
      </patternFill>
    </fill>
    <fill>
      <patternFill patternType="solid">
        <fgColor rgb="FFC8F0FA"/>
        <bgColor rgb="FFD4EEF7"/>
      </patternFill>
    </fill>
    <fill>
      <patternFill patternType="solid">
        <fgColor rgb="FF00B4D8"/>
        <bgColor rgb="FF33CCCC"/>
      </patternFill>
    </fill>
    <fill>
      <patternFill patternType="solid">
        <fgColor rgb="FF1C2B3A"/>
        <bgColor rgb="FF2E4057"/>
      </patternFill>
    </fill>
    <fill>
      <patternFill patternType="solid">
        <fgColor rgb="FFEEEEEE"/>
        <bgColor rgb="FFFFFFCC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4" fontId="4" fillId="3" borderId="1">
      <alignment horizontal="left"/>
    </xf>
    <xf numFmtId="164" fontId="5" fillId="0" borderId="0" applyBorder="0"/>
    <xf numFmtId="164" fontId="6" fillId="2" borderId="2">
      <protection locked="0"/>
    </xf>
    <xf numFmtId="0" fontId="6" fillId="0" borderId="0" applyNumberFormat="0" applyFill="0" applyBorder="0">
      <alignment horizontal="right"/>
    </xf>
    <xf numFmtId="9" fontId="1" fillId="0" borderId="0" applyFont="0" applyFill="0" applyBorder="0" applyAlignment="0" applyProtection="0"/>
    <xf numFmtId="0" fontId="14" fillId="0" borderId="0"/>
  </cellStyleXfs>
  <cellXfs count="51">
    <xf numFmtId="0" fontId="0" fillId="0" borderId="0" xfId="0"/>
    <xf numFmtId="0" fontId="3" fillId="0" borderId="0" xfId="0" applyFont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2" applyFont="1"/>
    <xf numFmtId="0" fontId="2" fillId="0" borderId="0" xfId="2"/>
    <xf numFmtId="0" fontId="7" fillId="0" borderId="0" xfId="1" applyFont="1" applyAlignment="1">
      <alignment horizontal="left"/>
    </xf>
    <xf numFmtId="4" fontId="7" fillId="5" borderId="2" xfId="1" quotePrefix="1" applyNumberFormat="1" applyFont="1" applyFill="1" applyBorder="1" applyAlignment="1">
      <alignment horizontal="center"/>
    </xf>
    <xf numFmtId="0" fontId="11" fillId="0" borderId="0" xfId="0" quotePrefix="1" applyFont="1" applyAlignment="1">
      <alignment vertical="center"/>
    </xf>
    <xf numFmtId="0" fontId="13" fillId="0" borderId="0" xfId="0" quotePrefix="1" applyFont="1" applyAlignment="1">
      <alignment vertical="center"/>
    </xf>
    <xf numFmtId="4" fontId="2" fillId="0" borderId="0" xfId="2" applyNumberFormat="1"/>
    <xf numFmtId="0" fontId="14" fillId="0" borderId="0" xfId="8"/>
    <xf numFmtId="10" fontId="7" fillId="5" borderId="2" xfId="7" quotePrefix="1" applyNumberFormat="1" applyFont="1" applyFill="1" applyBorder="1" applyAlignment="1">
      <alignment horizontal="center"/>
    </xf>
    <xf numFmtId="165" fontId="15" fillId="6" borderId="1" xfId="8" applyNumberFormat="1" applyFont="1" applyFill="1" applyBorder="1" applyAlignment="1">
      <alignment horizontal="right" vertical="center"/>
    </xf>
    <xf numFmtId="0" fontId="15" fillId="6" borderId="0" xfId="8" applyFont="1" applyFill="1"/>
    <xf numFmtId="165" fontId="16" fillId="7" borderId="1" xfId="8" applyNumberFormat="1" applyFont="1" applyFill="1" applyBorder="1" applyAlignment="1">
      <alignment horizontal="right" vertical="center"/>
    </xf>
    <xf numFmtId="0" fontId="16" fillId="7" borderId="0" xfId="8" applyFont="1" applyFill="1"/>
    <xf numFmtId="165" fontId="16" fillId="8" borderId="0" xfId="8" applyNumberFormat="1" applyFont="1" applyFill="1" applyAlignment="1">
      <alignment horizontal="right" vertical="center"/>
    </xf>
    <xf numFmtId="165" fontId="16" fillId="7" borderId="0" xfId="8" applyNumberFormat="1" applyFont="1" applyFill="1" applyAlignment="1">
      <alignment horizontal="right" vertical="center"/>
    </xf>
    <xf numFmtId="165" fontId="17" fillId="0" borderId="0" xfId="8" applyNumberFormat="1" applyFont="1" applyAlignment="1">
      <alignment horizontal="right" vertical="center"/>
    </xf>
    <xf numFmtId="0" fontId="18" fillId="0" borderId="0" xfId="8" applyFont="1"/>
    <xf numFmtId="165" fontId="16" fillId="10" borderId="1" xfId="8" applyNumberFormat="1" applyFont="1" applyFill="1" applyBorder="1" applyAlignment="1">
      <alignment horizontal="right" vertical="center"/>
    </xf>
    <xf numFmtId="0" fontId="16" fillId="10" borderId="0" xfId="8" applyFont="1" applyFill="1"/>
    <xf numFmtId="0" fontId="21" fillId="11" borderId="2" xfId="8" applyFont="1" applyFill="1" applyBorder="1" applyAlignment="1">
      <alignment horizontal="center" vertical="center"/>
    </xf>
    <xf numFmtId="0" fontId="21" fillId="9" borderId="2" xfId="8" applyFont="1" applyFill="1" applyBorder="1" applyAlignment="1">
      <alignment horizontal="center" vertical="center"/>
    </xf>
    <xf numFmtId="165" fontId="24" fillId="13" borderId="6" xfId="8" applyNumberFormat="1" applyFont="1" applyFill="1" applyBorder="1" applyAlignment="1">
      <alignment horizontal="right" vertical="center"/>
    </xf>
    <xf numFmtId="0" fontId="24" fillId="13" borderId="0" xfId="8" applyFont="1" applyFill="1"/>
    <xf numFmtId="165" fontId="25" fillId="0" borderId="0" xfId="8" applyNumberFormat="1" applyFont="1" applyAlignment="1">
      <alignment horizontal="right" vertical="center"/>
    </xf>
    <xf numFmtId="0" fontId="25" fillId="0" borderId="0" xfId="8" applyFont="1"/>
    <xf numFmtId="165" fontId="24" fillId="13" borderId="1" xfId="8" applyNumberFormat="1" applyFont="1" applyFill="1" applyBorder="1" applyAlignment="1">
      <alignment horizontal="right" vertical="center"/>
    </xf>
    <xf numFmtId="165" fontId="26" fillId="0" borderId="0" xfId="8" applyNumberFormat="1" applyFont="1" applyAlignment="1">
      <alignment horizontal="right" vertical="center"/>
    </xf>
    <xf numFmtId="166" fontId="27" fillId="0" borderId="0" xfId="8" applyNumberFormat="1" applyFont="1" applyAlignment="1">
      <alignment horizontal="right" vertical="center"/>
    </xf>
    <xf numFmtId="0" fontId="27" fillId="0" borderId="0" xfId="8" applyFont="1"/>
    <xf numFmtId="0" fontId="24" fillId="0" borderId="8" xfId="8" applyFont="1" applyBorder="1" applyAlignment="1">
      <alignment horizontal="right" vertical="center"/>
    </xf>
    <xf numFmtId="165" fontId="30" fillId="0" borderId="0" xfId="8" applyNumberFormat="1" applyFont="1" applyAlignment="1">
      <alignment horizontal="right" vertical="center"/>
    </xf>
    <xf numFmtId="0" fontId="31" fillId="0" borderId="0" xfId="8" applyFont="1"/>
    <xf numFmtId="0" fontId="9" fillId="4" borderId="3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9" fillId="9" borderId="0" xfId="8" applyFont="1" applyFill="1"/>
    <xf numFmtId="0" fontId="23" fillId="12" borderId="0" xfId="8" applyFont="1" applyFill="1" applyAlignment="1">
      <alignment horizontal="center" vertical="center"/>
    </xf>
    <xf numFmtId="0" fontId="22" fillId="12" borderId="0" xfId="8" applyFont="1" applyFill="1" applyAlignment="1">
      <alignment horizontal="center" vertical="center"/>
    </xf>
    <xf numFmtId="0" fontId="20" fillId="11" borderId="0" xfId="8" applyFont="1" applyFill="1"/>
    <xf numFmtId="0" fontId="24" fillId="0" borderId="7" xfId="8" applyFont="1" applyBorder="1"/>
    <xf numFmtId="0" fontId="29" fillId="0" borderId="0" xfId="8" applyFont="1" applyAlignment="1">
      <alignment horizontal="left" vertical="center"/>
    </xf>
    <xf numFmtId="0" fontId="28" fillId="0" borderId="0" xfId="8" applyFont="1"/>
  </cellXfs>
  <cellStyles count="9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  <cellStyle name="Normal 4" xfId="8" xr:uid="{226A05B4-A8DA-4C3A-99C0-C344B943FBD9}"/>
    <cellStyle name="Percent" xfId="7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38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2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3" customWidth="1"/>
    <col min="11" max="11" width="27.77734375" style="3" customWidth="1"/>
    <col min="12" max="12" width="20.5546875" style="3" customWidth="1"/>
    <col min="13" max="376" width="11.109375" style="3" bestFit="1" customWidth="1"/>
    <col min="377" max="377" width="5.21875" style="3"/>
    <col min="378" max="383" width="9.6640625" style="3" customWidth="1"/>
    <col min="384" max="384" width="5.21875" style="3"/>
    <col min="385" max="393" width="9.6640625" style="3" customWidth="1"/>
    <col min="394" max="16384" width="5.21875" style="3"/>
  </cols>
  <sheetData>
    <row r="1" spans="2:11" ht="1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0.75" customHeight="1">
      <c r="B2" s="39" t="s">
        <v>6</v>
      </c>
      <c r="C2" s="40"/>
      <c r="D2" s="40"/>
      <c r="E2" s="40"/>
      <c r="F2" s="40"/>
      <c r="G2" s="40"/>
      <c r="H2" s="40"/>
      <c r="I2" s="40"/>
      <c r="J2" s="40"/>
      <c r="K2" s="41"/>
    </row>
    <row r="3" spans="2:11" ht="1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3.75" customHeight="1">
      <c r="B4" s="42" t="s">
        <v>27</v>
      </c>
      <c r="C4" s="43"/>
      <c r="D4" s="43"/>
      <c r="E4" s="43"/>
      <c r="F4" s="43"/>
      <c r="G4" s="43"/>
      <c r="H4" s="43"/>
      <c r="I4" s="43"/>
      <c r="J4" s="2"/>
    </row>
    <row r="5" spans="2:11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15.6">
      <c r="B6" s="12" t="s">
        <v>2</v>
      </c>
    </row>
    <row r="7" spans="2:11" ht="15.6">
      <c r="B7" s="11" t="s">
        <v>5</v>
      </c>
    </row>
    <row r="8" spans="2:11" ht="15.6">
      <c r="B8" s="11" t="s">
        <v>7</v>
      </c>
    </row>
    <row r="9" spans="2:11" ht="15.6">
      <c r="B9" s="11" t="s">
        <v>25</v>
      </c>
    </row>
    <row r="10" spans="2:11" ht="15.6">
      <c r="B10" s="11" t="s">
        <v>26</v>
      </c>
    </row>
    <row r="11" spans="2:11" ht="15.6">
      <c r="B11" s="11" t="s">
        <v>8</v>
      </c>
    </row>
    <row r="12" spans="2:11" ht="15.6">
      <c r="B12" s="6"/>
    </row>
    <row r="13" spans="2:11" ht="15.6">
      <c r="B13" s="6"/>
    </row>
    <row r="14" spans="2:11" ht="15.6">
      <c r="B14" s="6"/>
    </row>
    <row r="15" spans="2:11" ht="15.6">
      <c r="B15" s="6"/>
    </row>
    <row r="16" spans="2:11" ht="15.6">
      <c r="B16" s="6"/>
    </row>
    <row r="17" spans="2:2" ht="15.6">
      <c r="B17" s="6"/>
    </row>
    <row r="18" spans="2:2" ht="15.6">
      <c r="B18" s="6"/>
    </row>
    <row r="19" spans="2:2" ht="15.6">
      <c r="B19" s="6"/>
    </row>
    <row r="20" spans="2:2" ht="15.6">
      <c r="B20" s="6"/>
    </row>
    <row r="21" spans="2:2" ht="15.6">
      <c r="B21" s="6"/>
    </row>
    <row r="22" spans="2:2" ht="15.6">
      <c r="B22" s="6"/>
    </row>
    <row r="23" spans="2:2" ht="15.6">
      <c r="B23" s="6"/>
    </row>
    <row r="24" spans="2:2" ht="15.6">
      <c r="B24" s="6"/>
    </row>
    <row r="25" spans="2:2" ht="15.6">
      <c r="B25" s="6"/>
    </row>
    <row r="26" spans="2:2" ht="15.6">
      <c r="B26" s="6"/>
    </row>
    <row r="27" spans="2:2" ht="15.6">
      <c r="B27" s="6"/>
    </row>
    <row r="28" spans="2:2" ht="15.6">
      <c r="B28" s="6"/>
    </row>
    <row r="29" spans="2:2" ht="15.6">
      <c r="B29" s="6"/>
    </row>
    <row r="30" spans="2:2" ht="15.6">
      <c r="B30" s="6"/>
    </row>
    <row r="31" spans="2:2" ht="15.6">
      <c r="B31" s="6"/>
    </row>
    <row r="32" spans="2:2" ht="15.6">
      <c r="B32" s="6"/>
    </row>
    <row r="33" spans="2:2" ht="15.6">
      <c r="B33" s="6"/>
    </row>
    <row r="34" spans="2:2" ht="15.6">
      <c r="B34" s="6"/>
    </row>
    <row r="35" spans="2:2" ht="15.6">
      <c r="B35" s="6"/>
    </row>
    <row r="36" spans="2:2" ht="15.6">
      <c r="B36" s="6"/>
    </row>
    <row r="37" spans="2:2" ht="15.6">
      <c r="B37" s="6"/>
    </row>
    <row r="38" spans="2:2" ht="15.6">
      <c r="B38" s="6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4BAA-36A3-4E57-ABAC-85580AD1E7B0}">
  <sheetPr>
    <tabColor theme="8" tint="0.39997558519241921"/>
  </sheetPr>
  <dimension ref="A1:P30"/>
  <sheetViews>
    <sheetView showGridLines="0" zoomScaleNormal="100" workbookViewId="0">
      <selection sqref="A1:O1"/>
    </sheetView>
  </sheetViews>
  <sheetFormatPr defaultColWidth="8.6640625" defaultRowHeight="14.4"/>
  <cols>
    <col min="1" max="1" width="32" style="14" customWidth="1"/>
    <col min="2" max="13" width="9" style="14" customWidth="1"/>
    <col min="14" max="16" width="10" style="14" customWidth="1"/>
    <col min="17" max="16384" width="8.6640625" style="14"/>
  </cols>
  <sheetData>
    <row r="1" spans="1:16" ht="21.75" customHeight="1">
      <c r="A1" s="45" t="s">
        <v>66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6" ht="15.75" customHeight="1">
      <c r="A2" s="46" t="s">
        <v>65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6" ht="18" customHeight="1">
      <c r="A3" s="27" t="s">
        <v>64</v>
      </c>
      <c r="B3" s="27" t="s">
        <v>63</v>
      </c>
      <c r="C3" s="27" t="s">
        <v>62</v>
      </c>
      <c r="D3" s="27" t="s">
        <v>61</v>
      </c>
      <c r="E3" s="27" t="s">
        <v>60</v>
      </c>
      <c r="F3" s="27" t="s">
        <v>59</v>
      </c>
      <c r="G3" s="27" t="s">
        <v>58</v>
      </c>
      <c r="H3" s="27" t="s">
        <v>57</v>
      </c>
      <c r="I3" s="27" t="s">
        <v>56</v>
      </c>
      <c r="J3" s="27" t="s">
        <v>55</v>
      </c>
      <c r="K3" s="27" t="s">
        <v>54</v>
      </c>
      <c r="L3" s="27" t="s">
        <v>53</v>
      </c>
      <c r="M3" s="27" t="s">
        <v>52</v>
      </c>
      <c r="N3" s="26" t="s">
        <v>51</v>
      </c>
      <c r="O3" s="26" t="s">
        <v>50</v>
      </c>
      <c r="P3" s="26" t="s">
        <v>22</v>
      </c>
    </row>
    <row r="4" spans="1:16">
      <c r="A4" s="47" t="s">
        <v>49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6">
      <c r="A5" s="23" t="s">
        <v>48</v>
      </c>
      <c r="B5" s="22">
        <v>7320</v>
      </c>
      <c r="C5" s="22">
        <v>7420</v>
      </c>
      <c r="D5" s="22">
        <v>7580</v>
      </c>
      <c r="E5" s="22">
        <v>7720</v>
      </c>
      <c r="F5" s="22">
        <v>7900</v>
      </c>
      <c r="G5" s="22">
        <v>8050</v>
      </c>
      <c r="H5" s="22">
        <v>8210</v>
      </c>
      <c r="I5" s="22">
        <v>8380</v>
      </c>
      <c r="J5" s="22">
        <v>8540</v>
      </c>
      <c r="K5" s="22">
        <v>8710</v>
      </c>
      <c r="L5" s="22">
        <v>8880</v>
      </c>
      <c r="M5" s="22">
        <v>9060</v>
      </c>
      <c r="N5" s="21">
        <f>SUM(B5:G5)</f>
        <v>45990</v>
      </c>
      <c r="O5" s="21">
        <f>SUM(H5:M5)</f>
        <v>51780</v>
      </c>
      <c r="P5" s="20">
        <f>SUM(B5:M5)</f>
        <v>97770</v>
      </c>
    </row>
    <row r="6" spans="1:16">
      <c r="A6" s="23" t="s">
        <v>47</v>
      </c>
      <c r="B6" s="22">
        <v>480</v>
      </c>
      <c r="C6" s="22">
        <v>510</v>
      </c>
      <c r="D6" s="22">
        <v>540</v>
      </c>
      <c r="E6" s="22">
        <v>580</v>
      </c>
      <c r="F6" s="22">
        <v>620</v>
      </c>
      <c r="G6" s="22">
        <v>650</v>
      </c>
      <c r="H6" s="22">
        <v>680</v>
      </c>
      <c r="I6" s="22">
        <v>710</v>
      </c>
      <c r="J6" s="22">
        <v>740</v>
      </c>
      <c r="K6" s="22">
        <v>770</v>
      </c>
      <c r="L6" s="22">
        <v>810</v>
      </c>
      <c r="M6" s="22">
        <v>850</v>
      </c>
      <c r="N6" s="21">
        <f>SUM(B6:G6)</f>
        <v>3380</v>
      </c>
      <c r="O6" s="21">
        <f>SUM(H6:M6)</f>
        <v>4560</v>
      </c>
      <c r="P6" s="20">
        <f>SUM(B6:M6)</f>
        <v>7940</v>
      </c>
    </row>
    <row r="7" spans="1:16">
      <c r="A7" s="23" t="s">
        <v>46</v>
      </c>
      <c r="B7" s="22">
        <v>-120</v>
      </c>
      <c r="C7" s="22">
        <v>-110</v>
      </c>
      <c r="D7" s="22">
        <v>-115</v>
      </c>
      <c r="E7" s="22">
        <v>-120</v>
      </c>
      <c r="F7" s="22">
        <v>-118</v>
      </c>
      <c r="G7" s="22">
        <v>-122</v>
      </c>
      <c r="H7" s="22">
        <v>-115</v>
      </c>
      <c r="I7" s="22">
        <v>-120</v>
      </c>
      <c r="J7" s="22">
        <v>-118</v>
      </c>
      <c r="K7" s="22">
        <v>-115</v>
      </c>
      <c r="L7" s="22">
        <v>-120</v>
      </c>
      <c r="M7" s="22">
        <v>-118</v>
      </c>
      <c r="N7" s="21">
        <f>SUM(B7:G7)</f>
        <v>-705</v>
      </c>
      <c r="O7" s="21">
        <f>SUM(H7:M7)</f>
        <v>-706</v>
      </c>
      <c r="P7" s="20">
        <f>SUM(B7:M7)</f>
        <v>-1411</v>
      </c>
    </row>
    <row r="9" spans="1:16">
      <c r="A9" s="44" t="s">
        <v>45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</row>
    <row r="10" spans="1:16">
      <c r="A10" s="23" t="s">
        <v>44</v>
      </c>
      <c r="B10" s="22">
        <v>4620</v>
      </c>
      <c r="C10" s="22">
        <v>4710</v>
      </c>
      <c r="D10" s="22">
        <v>4830</v>
      </c>
      <c r="E10" s="22">
        <v>4940</v>
      </c>
      <c r="F10" s="22">
        <v>5060</v>
      </c>
      <c r="G10" s="22">
        <v>5160</v>
      </c>
      <c r="H10" s="22">
        <v>5280</v>
      </c>
      <c r="I10" s="22">
        <v>5390</v>
      </c>
      <c r="J10" s="22">
        <v>5510</v>
      </c>
      <c r="K10" s="22">
        <v>5630</v>
      </c>
      <c r="L10" s="22">
        <v>5760</v>
      </c>
      <c r="M10" s="22">
        <v>5890</v>
      </c>
      <c r="N10" s="21">
        <f>SUM(B10:G10)</f>
        <v>29320</v>
      </c>
      <c r="O10" s="21">
        <f>SUM(H10:M10)</f>
        <v>33460</v>
      </c>
      <c r="P10" s="20">
        <f>SUM(B10:M10)</f>
        <v>62780</v>
      </c>
    </row>
    <row r="11" spans="1:16">
      <c r="A11" s="23" t="s">
        <v>43</v>
      </c>
      <c r="B11" s="22">
        <v>2280</v>
      </c>
      <c r="C11" s="22">
        <v>2310</v>
      </c>
      <c r="D11" s="22">
        <v>2350</v>
      </c>
      <c r="E11" s="22">
        <v>2390</v>
      </c>
      <c r="F11" s="22">
        <v>2430</v>
      </c>
      <c r="G11" s="22">
        <v>2460</v>
      </c>
      <c r="H11" s="22">
        <v>2500</v>
      </c>
      <c r="I11" s="22">
        <v>2530</v>
      </c>
      <c r="J11" s="22">
        <v>2570</v>
      </c>
      <c r="K11" s="22">
        <v>2610</v>
      </c>
      <c r="L11" s="22">
        <v>2650</v>
      </c>
      <c r="M11" s="22">
        <v>2680</v>
      </c>
      <c r="N11" s="21">
        <f>SUM(B11:G11)</f>
        <v>14220</v>
      </c>
      <c r="O11" s="21">
        <f>SUM(H11:M11)</f>
        <v>15540</v>
      </c>
      <c r="P11" s="20">
        <f>SUM(B11:M11)</f>
        <v>29760</v>
      </c>
    </row>
    <row r="12" spans="1:16">
      <c r="A12" s="23" t="s">
        <v>42</v>
      </c>
      <c r="B12" s="22">
        <v>680</v>
      </c>
      <c r="C12" s="22">
        <v>690</v>
      </c>
      <c r="D12" s="22">
        <v>710</v>
      </c>
      <c r="E12" s="22">
        <v>730</v>
      </c>
      <c r="F12" s="22">
        <v>750</v>
      </c>
      <c r="G12" s="22">
        <v>760</v>
      </c>
      <c r="H12" s="22">
        <v>780</v>
      </c>
      <c r="I12" s="22">
        <v>800</v>
      </c>
      <c r="J12" s="22">
        <v>820</v>
      </c>
      <c r="K12" s="22">
        <v>840</v>
      </c>
      <c r="L12" s="22">
        <v>860</v>
      </c>
      <c r="M12" s="22">
        <v>880</v>
      </c>
      <c r="N12" s="21">
        <f>SUM(B12:G12)</f>
        <v>4320</v>
      </c>
      <c r="O12" s="21">
        <f>SUM(H12:M12)</f>
        <v>4980</v>
      </c>
      <c r="P12" s="20">
        <f>SUM(B12:M12)</f>
        <v>9300</v>
      </c>
    </row>
    <row r="13" spans="1:16">
      <c r="A13" s="23" t="s">
        <v>41</v>
      </c>
      <c r="B13" s="22">
        <v>280</v>
      </c>
      <c r="C13" s="22">
        <v>290</v>
      </c>
      <c r="D13" s="22">
        <v>310</v>
      </c>
      <c r="E13" s="22">
        <v>330</v>
      </c>
      <c r="F13" s="22">
        <v>350</v>
      </c>
      <c r="G13" s="22">
        <v>370</v>
      </c>
      <c r="H13" s="22">
        <v>390</v>
      </c>
      <c r="I13" s="22">
        <v>410</v>
      </c>
      <c r="J13" s="22">
        <v>430</v>
      </c>
      <c r="K13" s="22">
        <v>450</v>
      </c>
      <c r="L13" s="22">
        <v>470</v>
      </c>
      <c r="M13" s="22">
        <v>490</v>
      </c>
      <c r="N13" s="21">
        <f>SUM(B13:G13)</f>
        <v>1930</v>
      </c>
      <c r="O13" s="21">
        <f>SUM(H13:M13)</f>
        <v>2640</v>
      </c>
      <c r="P13" s="20">
        <f>SUM(B13:M13)</f>
        <v>4570</v>
      </c>
    </row>
    <row r="14" spans="1:16">
      <c r="A14" s="19" t="s">
        <v>9</v>
      </c>
      <c r="B14" s="18">
        <f t="shared" ref="B14:O14" si="0">SUM(B10:B13)</f>
        <v>7860</v>
      </c>
      <c r="C14" s="18">
        <f t="shared" si="0"/>
        <v>8000</v>
      </c>
      <c r="D14" s="18">
        <f t="shared" si="0"/>
        <v>8200</v>
      </c>
      <c r="E14" s="18">
        <f t="shared" si="0"/>
        <v>8390</v>
      </c>
      <c r="F14" s="18">
        <f t="shared" si="0"/>
        <v>8590</v>
      </c>
      <c r="G14" s="18">
        <f t="shared" si="0"/>
        <v>8750</v>
      </c>
      <c r="H14" s="18">
        <f t="shared" si="0"/>
        <v>8950</v>
      </c>
      <c r="I14" s="18">
        <f t="shared" si="0"/>
        <v>9130</v>
      </c>
      <c r="J14" s="18">
        <f t="shared" si="0"/>
        <v>9330</v>
      </c>
      <c r="K14" s="18">
        <f t="shared" si="0"/>
        <v>9530</v>
      </c>
      <c r="L14" s="18">
        <f t="shared" si="0"/>
        <v>9740</v>
      </c>
      <c r="M14" s="18">
        <f t="shared" si="0"/>
        <v>9940</v>
      </c>
      <c r="N14" s="18">
        <f t="shared" si="0"/>
        <v>49790</v>
      </c>
      <c r="O14" s="18">
        <f t="shared" si="0"/>
        <v>56620</v>
      </c>
      <c r="P14" s="18">
        <f>SUM(B14:M14)</f>
        <v>106410</v>
      </c>
    </row>
    <row r="16" spans="1:16">
      <c r="A16" s="44" t="s">
        <v>40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1:16">
      <c r="A17" s="23" t="s">
        <v>39</v>
      </c>
      <c r="B17" s="22">
        <v>-780</v>
      </c>
      <c r="C17" s="22">
        <v>-790</v>
      </c>
      <c r="D17" s="22">
        <v>-810</v>
      </c>
      <c r="E17" s="22">
        <v>-830</v>
      </c>
      <c r="F17" s="22">
        <v>-860</v>
      </c>
      <c r="G17" s="22">
        <v>-880</v>
      </c>
      <c r="H17" s="22">
        <v>-900</v>
      </c>
      <c r="I17" s="22">
        <v>-930</v>
      </c>
      <c r="J17" s="22">
        <v>-960</v>
      </c>
      <c r="K17" s="22">
        <v>-990</v>
      </c>
      <c r="L17" s="22">
        <v>-1010</v>
      </c>
      <c r="M17" s="22">
        <v>-1040</v>
      </c>
      <c r="N17" s="21">
        <f>SUM(B17:G17)</f>
        <v>-4950</v>
      </c>
      <c r="O17" s="21">
        <f>SUM(H17:M17)</f>
        <v>-5830</v>
      </c>
      <c r="P17" s="20">
        <f>SUM(B17:M17)</f>
        <v>-10780</v>
      </c>
    </row>
    <row r="18" spans="1:16">
      <c r="A18" s="23" t="s">
        <v>38</v>
      </c>
      <c r="B18" s="22">
        <v>-640</v>
      </c>
      <c r="C18" s="22">
        <v>-650</v>
      </c>
      <c r="D18" s="22">
        <v>-660</v>
      </c>
      <c r="E18" s="22">
        <v>-670</v>
      </c>
      <c r="F18" s="22">
        <v>-680</v>
      </c>
      <c r="G18" s="22">
        <v>-690</v>
      </c>
      <c r="H18" s="22">
        <v>-700</v>
      </c>
      <c r="I18" s="22">
        <v>-710</v>
      </c>
      <c r="J18" s="22">
        <v>-720</v>
      </c>
      <c r="K18" s="22">
        <v>-730</v>
      </c>
      <c r="L18" s="22">
        <v>-740</v>
      </c>
      <c r="M18" s="22">
        <v>-750</v>
      </c>
      <c r="N18" s="21">
        <f>SUM(B18:G18)</f>
        <v>-3990</v>
      </c>
      <c r="O18" s="21">
        <f>SUM(H18:M18)</f>
        <v>-4350</v>
      </c>
      <c r="P18" s="20">
        <f>SUM(B18:M18)</f>
        <v>-8340</v>
      </c>
    </row>
    <row r="19" spans="1:16">
      <c r="A19" s="23" t="s">
        <v>37</v>
      </c>
      <c r="B19" s="22">
        <v>-180</v>
      </c>
      <c r="C19" s="22">
        <v>-180</v>
      </c>
      <c r="D19" s="22">
        <v>-185</v>
      </c>
      <c r="E19" s="22">
        <v>-190</v>
      </c>
      <c r="F19" s="22">
        <v>-195</v>
      </c>
      <c r="G19" s="22">
        <v>-200</v>
      </c>
      <c r="H19" s="22">
        <v>-205</v>
      </c>
      <c r="I19" s="22">
        <v>-210</v>
      </c>
      <c r="J19" s="22">
        <v>-215</v>
      </c>
      <c r="K19" s="22">
        <v>-220</v>
      </c>
      <c r="L19" s="22">
        <v>-225</v>
      </c>
      <c r="M19" s="22">
        <v>-230</v>
      </c>
      <c r="N19" s="21">
        <f>SUM(B19:G19)</f>
        <v>-1130</v>
      </c>
      <c r="O19" s="21">
        <f>SUM(H19:M19)</f>
        <v>-1305</v>
      </c>
      <c r="P19" s="20">
        <f>SUM(B19:M19)</f>
        <v>-2435</v>
      </c>
    </row>
    <row r="20" spans="1:16">
      <c r="A20" s="19" t="s">
        <v>36</v>
      </c>
      <c r="B20" s="18">
        <f t="shared" ref="B20:O20" si="1">SUM(B17:B19)</f>
        <v>-1600</v>
      </c>
      <c r="C20" s="18">
        <f t="shared" si="1"/>
        <v>-1620</v>
      </c>
      <c r="D20" s="18">
        <f t="shared" si="1"/>
        <v>-1655</v>
      </c>
      <c r="E20" s="18">
        <f t="shared" si="1"/>
        <v>-1690</v>
      </c>
      <c r="F20" s="18">
        <f t="shared" si="1"/>
        <v>-1735</v>
      </c>
      <c r="G20" s="18">
        <f t="shared" si="1"/>
        <v>-1770</v>
      </c>
      <c r="H20" s="18">
        <f t="shared" si="1"/>
        <v>-1805</v>
      </c>
      <c r="I20" s="18">
        <f t="shared" si="1"/>
        <v>-1850</v>
      </c>
      <c r="J20" s="18">
        <f t="shared" si="1"/>
        <v>-1895</v>
      </c>
      <c r="K20" s="18">
        <f t="shared" si="1"/>
        <v>-1940</v>
      </c>
      <c r="L20" s="18">
        <f t="shared" si="1"/>
        <v>-1975</v>
      </c>
      <c r="M20" s="18">
        <f t="shared" si="1"/>
        <v>-2020</v>
      </c>
      <c r="N20" s="18">
        <f t="shared" si="1"/>
        <v>-10070</v>
      </c>
      <c r="O20" s="18">
        <f t="shared" si="1"/>
        <v>-11485</v>
      </c>
      <c r="P20" s="18">
        <f>SUM(B20:M20)</f>
        <v>-21555</v>
      </c>
    </row>
    <row r="21" spans="1:16">
      <c r="A21" s="25" t="s">
        <v>35</v>
      </c>
      <c r="B21" s="24">
        <f t="shared" ref="B21:O21" si="2">B14+B20</f>
        <v>6260</v>
      </c>
      <c r="C21" s="24">
        <f t="shared" si="2"/>
        <v>6380</v>
      </c>
      <c r="D21" s="24">
        <f t="shared" si="2"/>
        <v>6545</v>
      </c>
      <c r="E21" s="24">
        <f t="shared" si="2"/>
        <v>6700</v>
      </c>
      <c r="F21" s="24">
        <f t="shared" si="2"/>
        <v>6855</v>
      </c>
      <c r="G21" s="24">
        <f t="shared" si="2"/>
        <v>6980</v>
      </c>
      <c r="H21" s="24">
        <f t="shared" si="2"/>
        <v>7145</v>
      </c>
      <c r="I21" s="24">
        <f t="shared" si="2"/>
        <v>7280</v>
      </c>
      <c r="J21" s="24">
        <f t="shared" si="2"/>
        <v>7435</v>
      </c>
      <c r="K21" s="24">
        <f t="shared" si="2"/>
        <v>7590</v>
      </c>
      <c r="L21" s="24">
        <f t="shared" si="2"/>
        <v>7765</v>
      </c>
      <c r="M21" s="24">
        <f t="shared" si="2"/>
        <v>7920</v>
      </c>
      <c r="N21" s="24">
        <f t="shared" si="2"/>
        <v>39720</v>
      </c>
      <c r="O21" s="24">
        <f t="shared" si="2"/>
        <v>45135</v>
      </c>
      <c r="P21" s="24">
        <f>SUM(B21:M21)</f>
        <v>84855</v>
      </c>
    </row>
    <row r="23" spans="1:16">
      <c r="A23" s="44" t="s">
        <v>34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</row>
    <row r="24" spans="1:16">
      <c r="A24" s="23" t="s">
        <v>33</v>
      </c>
      <c r="B24" s="22">
        <v>-1480</v>
      </c>
      <c r="C24" s="22">
        <v>-1500</v>
      </c>
      <c r="D24" s="22">
        <v>-1520</v>
      </c>
      <c r="E24" s="22">
        <v>-1550</v>
      </c>
      <c r="F24" s="22">
        <v>-1580</v>
      </c>
      <c r="G24" s="22">
        <v>-1600</v>
      </c>
      <c r="H24" s="22">
        <v>-1630</v>
      </c>
      <c r="I24" s="22">
        <v>-1660</v>
      </c>
      <c r="J24" s="22">
        <v>-1690</v>
      </c>
      <c r="K24" s="22">
        <v>-1720</v>
      </c>
      <c r="L24" s="22">
        <v>-1750</v>
      </c>
      <c r="M24" s="22">
        <v>-1780</v>
      </c>
      <c r="N24" s="21">
        <f>SUM(B24:G24)</f>
        <v>-9230</v>
      </c>
      <c r="O24" s="21">
        <f>SUM(H24:M24)</f>
        <v>-10230</v>
      </c>
      <c r="P24" s="20">
        <f>SUM(B24:M24)</f>
        <v>-19460</v>
      </c>
    </row>
    <row r="25" spans="1:16">
      <c r="A25" s="23" t="s">
        <v>32</v>
      </c>
      <c r="B25" s="22">
        <v>-1760</v>
      </c>
      <c r="C25" s="22">
        <v>-1800</v>
      </c>
      <c r="D25" s="22">
        <v>-1840</v>
      </c>
      <c r="E25" s="22">
        <v>-1880</v>
      </c>
      <c r="F25" s="22">
        <v>-1920</v>
      </c>
      <c r="G25" s="22">
        <v>-1960</v>
      </c>
      <c r="H25" s="22">
        <v>-2000</v>
      </c>
      <c r="I25" s="22">
        <v>-2040</v>
      </c>
      <c r="J25" s="22">
        <v>-2080</v>
      </c>
      <c r="K25" s="22">
        <v>-2120</v>
      </c>
      <c r="L25" s="22">
        <v>-2160</v>
      </c>
      <c r="M25" s="22">
        <v>-2200</v>
      </c>
      <c r="N25" s="21">
        <f>SUM(B25:G25)</f>
        <v>-11160</v>
      </c>
      <c r="O25" s="21">
        <f>SUM(H25:M25)</f>
        <v>-12600</v>
      </c>
      <c r="P25" s="20">
        <f>SUM(B25:M25)</f>
        <v>-23760</v>
      </c>
    </row>
    <row r="26" spans="1:16">
      <c r="A26" s="23" t="s">
        <v>31</v>
      </c>
      <c r="B26" s="22">
        <v>-740</v>
      </c>
      <c r="C26" s="22">
        <v>-750</v>
      </c>
      <c r="D26" s="22">
        <v>-760</v>
      </c>
      <c r="E26" s="22">
        <v>-770</v>
      </c>
      <c r="F26" s="22">
        <v>-780</v>
      </c>
      <c r="G26" s="22">
        <v>-790</v>
      </c>
      <c r="H26" s="22">
        <v>-800</v>
      </c>
      <c r="I26" s="22">
        <v>-810</v>
      </c>
      <c r="J26" s="22">
        <v>-820</v>
      </c>
      <c r="K26" s="22">
        <v>-830</v>
      </c>
      <c r="L26" s="22">
        <v>-840</v>
      </c>
      <c r="M26" s="22">
        <v>-850</v>
      </c>
      <c r="N26" s="21">
        <f>SUM(B26:G26)</f>
        <v>-4590</v>
      </c>
      <c r="O26" s="21">
        <f>SUM(H26:M26)</f>
        <v>-4950</v>
      </c>
      <c r="P26" s="20">
        <f>SUM(B26:M26)</f>
        <v>-9540</v>
      </c>
    </row>
    <row r="27" spans="1:16">
      <c r="A27" s="23" t="s">
        <v>30</v>
      </c>
      <c r="B27" s="22">
        <v>-320</v>
      </c>
      <c r="C27" s="22">
        <v>-320</v>
      </c>
      <c r="D27" s="22">
        <v>-320</v>
      </c>
      <c r="E27" s="22">
        <v>-320</v>
      </c>
      <c r="F27" s="22">
        <v>-320</v>
      </c>
      <c r="G27" s="22">
        <v>-320</v>
      </c>
      <c r="H27" s="22">
        <v>-320</v>
      </c>
      <c r="I27" s="22">
        <v>-320</v>
      </c>
      <c r="J27" s="22">
        <v>-320</v>
      </c>
      <c r="K27" s="22">
        <v>-320</v>
      </c>
      <c r="L27" s="22">
        <v>-320</v>
      </c>
      <c r="M27" s="22">
        <v>-320</v>
      </c>
      <c r="N27" s="21">
        <f>SUM(B27:G27)</f>
        <v>-1920</v>
      </c>
      <c r="O27" s="21">
        <f>SUM(H27:M27)</f>
        <v>-1920</v>
      </c>
      <c r="P27" s="20">
        <f>SUM(B27:M27)</f>
        <v>-3840</v>
      </c>
    </row>
    <row r="28" spans="1:16">
      <c r="A28" s="19" t="s">
        <v>29</v>
      </c>
      <c r="B28" s="18">
        <f t="shared" ref="B28:O28" si="3">SUM(B24:B27)</f>
        <v>-4300</v>
      </c>
      <c r="C28" s="18">
        <f t="shared" si="3"/>
        <v>-4370</v>
      </c>
      <c r="D28" s="18">
        <f t="shared" si="3"/>
        <v>-4440</v>
      </c>
      <c r="E28" s="18">
        <f t="shared" si="3"/>
        <v>-4520</v>
      </c>
      <c r="F28" s="18">
        <f t="shared" si="3"/>
        <v>-4600</v>
      </c>
      <c r="G28" s="18">
        <f t="shared" si="3"/>
        <v>-4670</v>
      </c>
      <c r="H28" s="18">
        <f t="shared" si="3"/>
        <v>-4750</v>
      </c>
      <c r="I28" s="18">
        <f t="shared" si="3"/>
        <v>-4830</v>
      </c>
      <c r="J28" s="18">
        <f t="shared" si="3"/>
        <v>-4910</v>
      </c>
      <c r="K28" s="18">
        <f t="shared" si="3"/>
        <v>-4990</v>
      </c>
      <c r="L28" s="18">
        <f t="shared" si="3"/>
        <v>-5070</v>
      </c>
      <c r="M28" s="18">
        <f t="shared" si="3"/>
        <v>-5150</v>
      </c>
      <c r="N28" s="18">
        <f t="shared" si="3"/>
        <v>-26900</v>
      </c>
      <c r="O28" s="18">
        <f t="shared" si="3"/>
        <v>-29700</v>
      </c>
      <c r="P28" s="18">
        <f>SUM(B28:M28)</f>
        <v>-56600</v>
      </c>
    </row>
    <row r="30" spans="1:16">
      <c r="A30" s="17" t="s">
        <v>28</v>
      </c>
      <c r="B30" s="16">
        <f t="shared" ref="B30:O30" si="4">B21+B28</f>
        <v>1960</v>
      </c>
      <c r="C30" s="16">
        <f t="shared" si="4"/>
        <v>2010</v>
      </c>
      <c r="D30" s="16">
        <f t="shared" si="4"/>
        <v>2105</v>
      </c>
      <c r="E30" s="16">
        <f t="shared" si="4"/>
        <v>2180</v>
      </c>
      <c r="F30" s="16">
        <f t="shared" si="4"/>
        <v>2255</v>
      </c>
      <c r="G30" s="16">
        <f t="shared" si="4"/>
        <v>2310</v>
      </c>
      <c r="H30" s="16">
        <f t="shared" si="4"/>
        <v>2395</v>
      </c>
      <c r="I30" s="16">
        <f t="shared" si="4"/>
        <v>2450</v>
      </c>
      <c r="J30" s="16">
        <f t="shared" si="4"/>
        <v>2525</v>
      </c>
      <c r="K30" s="16">
        <f t="shared" si="4"/>
        <v>2600</v>
      </c>
      <c r="L30" s="16">
        <f t="shared" si="4"/>
        <v>2695</v>
      </c>
      <c r="M30" s="16">
        <f t="shared" si="4"/>
        <v>2770</v>
      </c>
      <c r="N30" s="16">
        <f t="shared" si="4"/>
        <v>12820</v>
      </c>
      <c r="O30" s="16">
        <f t="shared" si="4"/>
        <v>15435</v>
      </c>
      <c r="P30" s="16">
        <f>SUM(B30:M30)</f>
        <v>28255</v>
      </c>
    </row>
  </sheetData>
  <mergeCells count="6">
    <mergeCell ref="A23:O23"/>
    <mergeCell ref="A1:O1"/>
    <mergeCell ref="A2:O2"/>
    <mergeCell ref="A4:O4"/>
    <mergeCell ref="A9:O9"/>
    <mergeCell ref="A16:O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0DD3-BE7D-435E-9C1C-772FE8A87EF4}">
  <sheetPr>
    <tabColor theme="8" tint="0.39997558519241921"/>
  </sheetPr>
  <dimension ref="A1:C36"/>
  <sheetViews>
    <sheetView showGridLines="0" zoomScaleNormal="100" workbookViewId="0">
      <selection sqref="A1:C1"/>
    </sheetView>
  </sheetViews>
  <sheetFormatPr defaultColWidth="8.6640625" defaultRowHeight="14.4"/>
  <cols>
    <col min="1" max="1" width="42" style="14" customWidth="1"/>
    <col min="2" max="2" width="16" style="14" customWidth="1"/>
    <col min="3" max="3" width="6" style="14" customWidth="1"/>
    <col min="4" max="16384" width="8.6640625" style="14"/>
  </cols>
  <sheetData>
    <row r="1" spans="1:3" ht="20.399999999999999">
      <c r="A1" s="49" t="s">
        <v>90</v>
      </c>
      <c r="B1" s="49"/>
      <c r="C1" s="49"/>
    </row>
    <row r="2" spans="1:3">
      <c r="A2" s="50" t="s">
        <v>89</v>
      </c>
      <c r="B2" s="50"/>
      <c r="C2" s="50"/>
    </row>
    <row r="3" spans="1:3" ht="9.75" customHeight="1"/>
    <row r="4" spans="1:3">
      <c r="B4" s="36" t="s">
        <v>88</v>
      </c>
    </row>
    <row r="5" spans="1:3" ht="15" thickBot="1">
      <c r="A5" s="48" t="s">
        <v>23</v>
      </c>
      <c r="B5" s="48"/>
      <c r="C5" s="48"/>
    </row>
    <row r="6" spans="1:3">
      <c r="A6" s="31" t="s">
        <v>87</v>
      </c>
      <c r="B6" s="33">
        <v>58240</v>
      </c>
    </row>
    <row r="7" spans="1:3">
      <c r="A7" s="31" t="s">
        <v>86</v>
      </c>
      <c r="B7" s="33">
        <v>29810</v>
      </c>
    </row>
    <row r="8" spans="1:3">
      <c r="A8" s="31" t="s">
        <v>85</v>
      </c>
      <c r="B8" s="33">
        <v>8340</v>
      </c>
    </row>
    <row r="9" spans="1:3">
      <c r="A9" s="31" t="s">
        <v>84</v>
      </c>
      <c r="B9" s="33">
        <v>4120</v>
      </c>
    </row>
    <row r="10" spans="1:3">
      <c r="A10" s="31" t="s">
        <v>9</v>
      </c>
      <c r="B10" s="30">
        <f>SUM(B6:B9)</f>
        <v>100510</v>
      </c>
    </row>
    <row r="11" spans="1:3" ht="4.5" customHeight="1"/>
    <row r="12" spans="1:3" ht="15" thickBot="1">
      <c r="A12" s="48" t="s">
        <v>83</v>
      </c>
      <c r="B12" s="48"/>
      <c r="C12" s="48"/>
    </row>
    <row r="13" spans="1:3">
      <c r="A13" s="31" t="s">
        <v>82</v>
      </c>
      <c r="B13" s="33">
        <v>-9840</v>
      </c>
    </row>
    <row r="14" spans="1:3">
      <c r="A14" s="31" t="s">
        <v>81</v>
      </c>
      <c r="B14" s="33">
        <v>-8120</v>
      </c>
    </row>
    <row r="15" spans="1:3">
      <c r="A15" s="31" t="s">
        <v>80</v>
      </c>
      <c r="B15" s="33">
        <v>-2340</v>
      </c>
    </row>
    <row r="16" spans="1:3">
      <c r="A16" s="31" t="s">
        <v>36</v>
      </c>
      <c r="B16" s="30">
        <f>SUM(B13:B15)</f>
        <v>-20300</v>
      </c>
    </row>
    <row r="17" spans="1:3">
      <c r="A17" s="29" t="s">
        <v>35</v>
      </c>
      <c r="B17" s="32">
        <f>B10+B16</f>
        <v>80210</v>
      </c>
    </row>
    <row r="18" spans="1:3">
      <c r="A18" s="35" t="s">
        <v>79</v>
      </c>
      <c r="B18" s="34">
        <f>IFERROR(B17/B10,"-")</f>
        <v>0.79803004676151623</v>
      </c>
    </row>
    <row r="19" spans="1:3" ht="4.5" customHeight="1"/>
    <row r="20" spans="1:3" ht="15" thickBot="1">
      <c r="A20" s="48" t="s">
        <v>78</v>
      </c>
      <c r="B20" s="48"/>
      <c r="C20" s="48"/>
    </row>
    <row r="21" spans="1:3">
      <c r="A21" s="31" t="s">
        <v>77</v>
      </c>
      <c r="B21" s="33">
        <v>-18640</v>
      </c>
    </row>
    <row r="22" spans="1:3">
      <c r="A22" s="31" t="s">
        <v>76</v>
      </c>
      <c r="B22" s="33">
        <v>-22380</v>
      </c>
    </row>
    <row r="23" spans="1:3">
      <c r="A23" s="31" t="s">
        <v>75</v>
      </c>
      <c r="B23" s="33">
        <v>-9210</v>
      </c>
    </row>
    <row r="24" spans="1:3">
      <c r="A24" s="31" t="s">
        <v>74</v>
      </c>
      <c r="B24" s="33">
        <v>-3840</v>
      </c>
    </row>
    <row r="25" spans="1:3">
      <c r="A25" s="31" t="s">
        <v>29</v>
      </c>
      <c r="B25" s="30">
        <f>SUM(B21:B24)</f>
        <v>-54070</v>
      </c>
    </row>
    <row r="26" spans="1:3" ht="4.5" customHeight="1" thickBot="1"/>
    <row r="27" spans="1:3" ht="15" thickBot="1">
      <c r="A27" s="29" t="s">
        <v>73</v>
      </c>
      <c r="B27" s="28">
        <f>B17+B25</f>
        <v>26140</v>
      </c>
    </row>
    <row r="28" spans="1:3" ht="4.5" customHeight="1"/>
    <row r="29" spans="1:3" ht="15" thickBot="1">
      <c r="A29" s="48" t="s">
        <v>72</v>
      </c>
      <c r="B29" s="48"/>
      <c r="C29" s="48"/>
    </row>
    <row r="30" spans="1:3">
      <c r="A30" s="31" t="s">
        <v>71</v>
      </c>
      <c r="B30" s="33">
        <v>1240</v>
      </c>
    </row>
    <row r="31" spans="1:3">
      <c r="A31" s="31" t="s">
        <v>70</v>
      </c>
      <c r="B31" s="33">
        <v>-380</v>
      </c>
    </row>
    <row r="32" spans="1:3">
      <c r="A32" s="31" t="s">
        <v>69</v>
      </c>
      <c r="B32" s="30">
        <f>SUM(B30:B31)</f>
        <v>860</v>
      </c>
    </row>
    <row r="33" spans="1:2" ht="4.5" customHeight="1"/>
    <row r="34" spans="1:2">
      <c r="A34" s="29" t="s">
        <v>10</v>
      </c>
      <c r="B34" s="32">
        <f>B27+B32</f>
        <v>27000</v>
      </c>
    </row>
    <row r="35" spans="1:2" ht="15" thickBot="1">
      <c r="A35" s="31" t="s">
        <v>68</v>
      </c>
      <c r="B35" s="30">
        <f>ROUND(B34*-0.17,0)</f>
        <v>-4590</v>
      </c>
    </row>
    <row r="36" spans="1:2" ht="15" thickBot="1">
      <c r="A36" s="29" t="s">
        <v>67</v>
      </c>
      <c r="B36" s="28">
        <f>B34+B35</f>
        <v>22410</v>
      </c>
    </row>
  </sheetData>
  <mergeCells count="6">
    <mergeCell ref="A29:C29"/>
    <mergeCell ref="A1:C1"/>
    <mergeCell ref="A2:C2"/>
    <mergeCell ref="A5:C5"/>
    <mergeCell ref="A12:C12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32EB-A038-42FA-9461-55D4472E91F7}">
  <sheetPr>
    <tabColor theme="8" tint="0.39997558519241921"/>
  </sheetPr>
  <dimension ref="A1:C42"/>
  <sheetViews>
    <sheetView showGridLines="0" zoomScaleNormal="100" workbookViewId="0">
      <selection sqref="A1:C1"/>
    </sheetView>
  </sheetViews>
  <sheetFormatPr defaultColWidth="8.6640625" defaultRowHeight="14.4"/>
  <cols>
    <col min="1" max="1" width="42" style="14" customWidth="1"/>
    <col min="2" max="2" width="16" style="14" customWidth="1"/>
    <col min="3" max="3" width="6" style="14" customWidth="1"/>
    <col min="4" max="16384" width="8.6640625" style="14"/>
  </cols>
  <sheetData>
    <row r="1" spans="1:3" ht="20.399999999999999">
      <c r="A1" s="49" t="s">
        <v>90</v>
      </c>
      <c r="B1" s="49"/>
      <c r="C1" s="49"/>
    </row>
    <row r="2" spans="1:3">
      <c r="A2" s="50" t="s">
        <v>112</v>
      </c>
      <c r="B2" s="50"/>
      <c r="C2" s="50"/>
    </row>
    <row r="3" spans="1:3" ht="9.75" customHeight="1"/>
    <row r="4" spans="1:3">
      <c r="B4" s="36" t="s">
        <v>111</v>
      </c>
    </row>
    <row r="5" spans="1:3" ht="15" thickBot="1">
      <c r="A5" s="48" t="s">
        <v>13</v>
      </c>
      <c r="B5" s="48"/>
      <c r="C5" s="48"/>
    </row>
    <row r="6" spans="1:3">
      <c r="A6" s="31" t="s">
        <v>110</v>
      </c>
      <c r="B6" s="33">
        <v>4820</v>
      </c>
    </row>
    <row r="7" spans="1:3">
      <c r="A7" s="31" t="s">
        <v>109</v>
      </c>
      <c r="B7" s="33">
        <v>3140</v>
      </c>
    </row>
    <row r="8" spans="1:3">
      <c r="A8" s="31" t="s">
        <v>108</v>
      </c>
      <c r="B8" s="33">
        <v>8640</v>
      </c>
    </row>
    <row r="9" spans="1:3">
      <c r="A9" s="31" t="s">
        <v>107</v>
      </c>
      <c r="B9" s="33">
        <v>1200</v>
      </c>
    </row>
    <row r="10" spans="1:3">
      <c r="A10" s="31" t="s">
        <v>14</v>
      </c>
      <c r="B10" s="30">
        <f>SUM(B6:B9)</f>
        <v>17800</v>
      </c>
    </row>
    <row r="11" spans="1:3" ht="4.5" customHeight="1"/>
    <row r="12" spans="1:3" ht="15" thickBot="1">
      <c r="A12" s="48" t="s">
        <v>11</v>
      </c>
      <c r="B12" s="48"/>
      <c r="C12" s="48"/>
    </row>
    <row r="13" spans="1:3">
      <c r="A13" s="31" t="s">
        <v>106</v>
      </c>
      <c r="B13" s="33">
        <v>18420</v>
      </c>
    </row>
    <row r="14" spans="1:3">
      <c r="A14" s="31" t="s">
        <v>105</v>
      </c>
      <c r="B14" s="33">
        <v>4310</v>
      </c>
    </row>
    <row r="15" spans="1:3">
      <c r="A15" s="31" t="s">
        <v>104</v>
      </c>
      <c r="B15" s="33">
        <v>2180</v>
      </c>
    </row>
    <row r="16" spans="1:3">
      <c r="A16" s="31" t="s">
        <v>103</v>
      </c>
      <c r="B16" s="33">
        <v>42640</v>
      </c>
    </row>
    <row r="17" spans="1:3">
      <c r="A17" s="31" t="s">
        <v>12</v>
      </c>
      <c r="B17" s="30">
        <f>SUM(B13:B16)</f>
        <v>67550</v>
      </c>
    </row>
    <row r="18" spans="1:3" ht="4.5" customHeight="1" thickBot="1"/>
    <row r="19" spans="1:3" ht="15" thickBot="1">
      <c r="A19" s="29" t="s">
        <v>15</v>
      </c>
      <c r="B19" s="28">
        <f>B10+B17</f>
        <v>85350</v>
      </c>
    </row>
    <row r="21" spans="1:3" ht="15" thickBot="1">
      <c r="A21" s="48" t="s">
        <v>20</v>
      </c>
      <c r="B21" s="48"/>
      <c r="C21" s="48"/>
    </row>
    <row r="22" spans="1:3">
      <c r="A22" s="31" t="s">
        <v>102</v>
      </c>
      <c r="B22" s="33">
        <v>30000</v>
      </c>
    </row>
    <row r="23" spans="1:3">
      <c r="A23" s="31" t="s">
        <v>101</v>
      </c>
      <c r="B23" s="33">
        <v>12400</v>
      </c>
    </row>
    <row r="24" spans="1:3">
      <c r="A24" s="31" t="s">
        <v>100</v>
      </c>
      <c r="B24" s="33">
        <v>18240</v>
      </c>
    </row>
    <row r="25" spans="1:3">
      <c r="A25" s="31" t="s">
        <v>99</v>
      </c>
      <c r="B25" s="33">
        <v>840</v>
      </c>
    </row>
    <row r="26" spans="1:3">
      <c r="A26" s="31" t="s">
        <v>21</v>
      </c>
      <c r="B26" s="30">
        <f>SUM(B22:B25)</f>
        <v>61480</v>
      </c>
    </row>
    <row r="27" spans="1:3" ht="4.5" customHeight="1"/>
    <row r="28" spans="1:3" ht="15" thickBot="1">
      <c r="A28" s="48" t="s">
        <v>18</v>
      </c>
      <c r="B28" s="48"/>
      <c r="C28" s="48"/>
    </row>
    <row r="29" spans="1:3">
      <c r="A29" s="31" t="s">
        <v>98</v>
      </c>
      <c r="B29" s="33">
        <v>2480</v>
      </c>
    </row>
    <row r="30" spans="1:3">
      <c r="A30" s="31" t="s">
        <v>97</v>
      </c>
      <c r="B30" s="33">
        <v>3840</v>
      </c>
    </row>
    <row r="31" spans="1:3">
      <c r="A31" s="31" t="s">
        <v>19</v>
      </c>
      <c r="B31" s="30">
        <f>SUM(B29:B30)</f>
        <v>6320</v>
      </c>
    </row>
    <row r="32" spans="1:3" ht="4.5" customHeight="1"/>
    <row r="33" spans="1:3" ht="15" thickBot="1">
      <c r="A33" s="48" t="s">
        <v>16</v>
      </c>
      <c r="B33" s="48"/>
      <c r="C33" s="48"/>
    </row>
    <row r="34" spans="1:3">
      <c r="A34" s="31" t="s">
        <v>96</v>
      </c>
      <c r="B34" s="33">
        <v>8340</v>
      </c>
    </row>
    <row r="35" spans="1:3">
      <c r="A35" s="31" t="s">
        <v>95</v>
      </c>
      <c r="B35" s="33">
        <v>9820</v>
      </c>
    </row>
    <row r="36" spans="1:3">
      <c r="A36" s="31" t="s">
        <v>94</v>
      </c>
      <c r="B36" s="33">
        <v>840</v>
      </c>
    </row>
    <row r="37" spans="1:3">
      <c r="A37" s="31" t="s">
        <v>93</v>
      </c>
      <c r="B37" s="33">
        <v>1240</v>
      </c>
    </row>
    <row r="38" spans="1:3">
      <c r="A38" s="31" t="s">
        <v>17</v>
      </c>
      <c r="B38" s="30">
        <f>SUM(B34:B37)</f>
        <v>20240</v>
      </c>
    </row>
    <row r="39" spans="1:3" ht="4.5" customHeight="1" thickBot="1"/>
    <row r="40" spans="1:3" ht="15" thickBot="1">
      <c r="A40" s="29" t="s">
        <v>92</v>
      </c>
      <c r="B40" s="28">
        <f>B26+B31+B38</f>
        <v>88040</v>
      </c>
    </row>
    <row r="42" spans="1:3">
      <c r="A42" s="38" t="s">
        <v>91</v>
      </c>
      <c r="B42" s="37">
        <f>B19-B40</f>
        <v>-2690</v>
      </c>
    </row>
  </sheetData>
  <mergeCells count="7">
    <mergeCell ref="A28:C28"/>
    <mergeCell ref="A33:C33"/>
    <mergeCell ref="A1:C1"/>
    <mergeCell ref="A2:C2"/>
    <mergeCell ref="A5:C5"/>
    <mergeCell ref="A12:C12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E16"/>
  <sheetViews>
    <sheetView zoomScale="77" workbookViewId="0"/>
  </sheetViews>
  <sheetFormatPr defaultRowHeight="15.6"/>
  <cols>
    <col min="1" max="1" width="111.6640625" style="8" bestFit="1" customWidth="1"/>
    <col min="2" max="2" width="16.33203125" style="13" customWidth="1"/>
    <col min="3" max="16384" width="8.88671875" style="8"/>
  </cols>
  <sheetData>
    <row r="1" spans="1:5">
      <c r="A1" s="7" t="s">
        <v>24</v>
      </c>
      <c r="B1" s="7" t="s">
        <v>0</v>
      </c>
      <c r="C1" s="7" t="s">
        <v>1</v>
      </c>
    </row>
    <row r="2" spans="1:5">
      <c r="A2" s="9" t="s">
        <v>114</v>
      </c>
      <c r="B2" s="10"/>
      <c r="C2" s="1" t="s">
        <v>113</v>
      </c>
    </row>
    <row r="3" spans="1:5">
      <c r="A3" s="9" t="s">
        <v>115</v>
      </c>
      <c r="B3" s="10"/>
      <c r="C3" s="1" t="s">
        <v>113</v>
      </c>
    </row>
    <row r="4" spans="1:5">
      <c r="A4" s="9" t="s">
        <v>116</v>
      </c>
      <c r="B4" s="10"/>
      <c r="C4" s="1" t="s">
        <v>113</v>
      </c>
    </row>
    <row r="5" spans="1:5">
      <c r="A5" s="9" t="s">
        <v>117</v>
      </c>
      <c r="B5" s="10"/>
      <c r="C5" s="1" t="s">
        <v>113</v>
      </c>
    </row>
    <row r="6" spans="1:5">
      <c r="A6" s="9" t="s">
        <v>118</v>
      </c>
      <c r="B6" s="10"/>
      <c r="C6" s="1" t="s">
        <v>113</v>
      </c>
    </row>
    <row r="7" spans="1:5">
      <c r="A7" s="9" t="s">
        <v>119</v>
      </c>
      <c r="B7" s="10"/>
      <c r="C7" s="1" t="s">
        <v>113</v>
      </c>
      <c r="D7" s="8" t="s">
        <v>4</v>
      </c>
    </row>
    <row r="8" spans="1:5">
      <c r="A8" s="9" t="s">
        <v>120</v>
      </c>
      <c r="B8" s="10"/>
      <c r="C8" s="1" t="s">
        <v>113</v>
      </c>
    </row>
    <row r="9" spans="1:5">
      <c r="A9" s="9" t="s">
        <v>121</v>
      </c>
      <c r="B9" s="15"/>
      <c r="C9" s="1" t="s">
        <v>3</v>
      </c>
    </row>
    <row r="10" spans="1:5">
      <c r="A10" s="9" t="s">
        <v>122</v>
      </c>
      <c r="B10" s="15"/>
      <c r="C10" s="1" t="s">
        <v>3</v>
      </c>
    </row>
    <row r="11" spans="1:5">
      <c r="A11" s="9" t="s">
        <v>123</v>
      </c>
      <c r="B11" s="15"/>
      <c r="C11" s="1" t="s">
        <v>3</v>
      </c>
      <c r="D11" s="8" t="s">
        <v>4</v>
      </c>
    </row>
    <row r="12" spans="1:5">
      <c r="A12" s="9" t="s">
        <v>124</v>
      </c>
      <c r="B12" s="15"/>
      <c r="C12" s="1" t="s">
        <v>3</v>
      </c>
    </row>
    <row r="13" spans="1:5">
      <c r="A13" s="9" t="s">
        <v>125</v>
      </c>
      <c r="B13" s="15"/>
      <c r="C13" s="1" t="s">
        <v>3</v>
      </c>
      <c r="D13" s="8" t="s">
        <v>4</v>
      </c>
    </row>
    <row r="14" spans="1:5">
      <c r="A14" s="9" t="s">
        <v>126</v>
      </c>
      <c r="B14" s="15"/>
      <c r="C14" s="1" t="s">
        <v>3</v>
      </c>
    </row>
    <row r="15" spans="1:5">
      <c r="A15" s="9" t="s">
        <v>127</v>
      </c>
      <c r="B15" s="15"/>
      <c r="C15" s="1" t="s">
        <v>3</v>
      </c>
      <c r="E15" s="8" t="s">
        <v>4</v>
      </c>
    </row>
    <row r="16" spans="1:5">
      <c r="A16" s="9" t="s">
        <v>128</v>
      </c>
      <c r="B16" s="15"/>
      <c r="C16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FY2024 Budget</vt:lpstr>
      <vt:lpstr>Statement of PL</vt:lpstr>
      <vt:lpstr>Statement of Financial Position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2026-04-11T22:44:12Z</dcterms:modified>
</cp:coreProperties>
</file>