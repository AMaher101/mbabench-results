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\Sum-of-the-Parts Valuation\FourShops\starting_files\"/>
    </mc:Choice>
  </mc:AlternateContent>
  <xr:revisionPtr revIDLastSave="0" documentId="13_ncr:1_{6234B09E-36FF-40DE-A3BD-39EB616BBE61}" xr6:coauthVersionLast="47" xr6:coauthVersionMax="47" xr10:uidLastSave="{00000000-0000-0000-0000-000000000000}"/>
  <bookViews>
    <workbookView xWindow="-108" yWindow="-108" windowWidth="23256" windowHeight="12456" tabRatio="734" xr2:uid="{9D050BFD-007E-4C38-9D7B-ED1AFA0D54D5}"/>
  </bookViews>
  <sheets>
    <sheet name="Instructions" sheetId="2" r:id="rId1"/>
    <sheet name="Assumption" sheetId="9" r:id="rId2"/>
    <sheet name="Questions" sheetId="6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<sst xmlns="http://schemas.openxmlformats.org/spreadsheetml/2006/main" count="1391" uniqueCount="162">
  <si>
    <t>Answers</t>
  </si>
  <si>
    <t>Assumptions sheet may be also in the text on the Instructions tab - please use the assumptions on this sheet for your model</t>
  </si>
  <si>
    <t>End Sheet</t>
  </si>
  <si>
    <t>Questions (please round your answers to two decimal places)</t>
  </si>
  <si>
    <t>Current Assets</t>
  </si>
  <si>
    <t>Current Liabilities</t>
  </si>
  <si>
    <t>Unit</t>
  </si>
  <si>
    <t>Answer the questions using your model.</t>
  </si>
  <si>
    <t>[$m]</t>
  </si>
  <si>
    <t>Model basics</t>
  </si>
  <si>
    <t xml:space="preserve"> </t>
  </si>
  <si>
    <t>Financial data</t>
  </si>
  <si>
    <t>EBITDA</t>
  </si>
  <si>
    <t>EBIT</t>
  </si>
  <si>
    <t>Tax</t>
  </si>
  <si>
    <t>Total Assets</t>
  </si>
  <si>
    <t>Cash and Cash Equivalents</t>
  </si>
  <si>
    <t>Short-Term Debt</t>
  </si>
  <si>
    <t>Total Debt</t>
  </si>
  <si>
    <t>2026e</t>
  </si>
  <si>
    <t>2027e</t>
  </si>
  <si>
    <t>Valuation basis date</t>
  </si>
  <si>
    <t>Valuation date</t>
  </si>
  <si>
    <t>Market Variables</t>
  </si>
  <si>
    <t>Risk-free interest rate</t>
  </si>
  <si>
    <t>Adjusted beta, 3-year daily</t>
  </si>
  <si>
    <t>Market risk premium</t>
  </si>
  <si>
    <t>Cost of debt</t>
  </si>
  <si>
    <t>[%]</t>
  </si>
  <si>
    <t>Growth</t>
  </si>
  <si>
    <t>g1</t>
  </si>
  <si>
    <t>g1 until</t>
  </si>
  <si>
    <t>g2</t>
  </si>
  <si>
    <t>Total Equity</t>
  </si>
  <si>
    <t>Pretax Income</t>
  </si>
  <si>
    <t>Use the iterative method to calculate the WACC.</t>
  </si>
  <si>
    <t>Do not question the data provided.</t>
  </si>
  <si>
    <t>Assume book value of debt = market value of debt.</t>
  </si>
  <si>
    <t>Assume no changes regarding the balance sheet data provided between the Valuation basis date and the Valuation date.</t>
  </si>
  <si>
    <t>p.a.</t>
  </si>
  <si>
    <t>Valuation Task</t>
  </si>
  <si>
    <t>Perform a Sum-of-the-Parts valuation for the whole company creating separate DCF models for the business lines.</t>
  </si>
  <si>
    <t>Do combine the results in an overview table deriving the whole companies equity value.</t>
  </si>
  <si>
    <t>2028e</t>
  </si>
  <si>
    <t>2029e</t>
  </si>
  <si>
    <t>2030e</t>
  </si>
  <si>
    <t>Whole company</t>
  </si>
  <si>
    <t>What is the Equity value at Valuation date?</t>
  </si>
  <si>
    <t>2031e</t>
  </si>
  <si>
    <t>Sum-of-the-Parts Valuation - Four Shops</t>
  </si>
  <si>
    <t>The company to value has four different business lines in the B2C business:</t>
  </si>
  <si>
    <t>- Home Improvement (HI)</t>
  </si>
  <si>
    <t>- Supermarket (S)</t>
  </si>
  <si>
    <t>- Auto Parts (AP)</t>
  </si>
  <si>
    <t>Compute the tax rate at the whole-company level for each year from 2025 through 2031 (7 years) and use the simple average as the constant tax rate in all segment DCF models.</t>
  </si>
  <si>
    <t>You are given 6 years of explicit Forecast data - after those six years, calculate the terminal value using the data given.</t>
  </si>
  <si>
    <t>The Home Improvement and Supermarket business lines are using a regular terminal value, while the Pharmacy and Auto Parts business line is valued using a two-stage terminal value.</t>
  </si>
  <si>
    <t>EBITDA;2026e</t>
  </si>
  <si>
    <t>EBITDA;2027e</t>
  </si>
  <si>
    <t>EBITDA;2028e</t>
  </si>
  <si>
    <t>EBITDA;2029e</t>
  </si>
  <si>
    <t>EBITDA;2030e</t>
  </si>
  <si>
    <t>EBITDA;2031e</t>
  </si>
  <si>
    <t>EBIT;2025</t>
  </si>
  <si>
    <t>EBIT;2026e</t>
  </si>
  <si>
    <t>EBIT;2027e</t>
  </si>
  <si>
    <t>EBIT;2028e</t>
  </si>
  <si>
    <t>EBIT;2029e</t>
  </si>
  <si>
    <t>EBIT;2030e</t>
  </si>
  <si>
    <t>EBIT;2031e</t>
  </si>
  <si>
    <t>Pretax Income;2025</t>
  </si>
  <si>
    <t>Pretax Income;2026e</t>
  </si>
  <si>
    <t>Pretax Income;2027e</t>
  </si>
  <si>
    <t>Pretax Income;2028e</t>
  </si>
  <si>
    <t>Pretax Income;2029e</t>
  </si>
  <si>
    <t>Pretax Income;2030e</t>
  </si>
  <si>
    <t>Pretax Income;2031e</t>
  </si>
  <si>
    <t>Tax;2025</t>
  </si>
  <si>
    <t>Tax;2026e</t>
  </si>
  <si>
    <t>Tax;2027e</t>
  </si>
  <si>
    <t>Tax;2028e</t>
  </si>
  <si>
    <t>Tax;2029e</t>
  </si>
  <si>
    <t>Tax;2030e</t>
  </si>
  <si>
    <t>Tax;2031e</t>
  </si>
  <si>
    <t>Total Assets;2024</t>
  </si>
  <si>
    <t>Total Assets;2025</t>
  </si>
  <si>
    <t>Total Assets;2026e</t>
  </si>
  <si>
    <t>Total Assets;2027e</t>
  </si>
  <si>
    <t>Total Assets;2028e</t>
  </si>
  <si>
    <t>Total Assets;2029e</t>
  </si>
  <si>
    <t>Total Assets;2030e</t>
  </si>
  <si>
    <t>Total Assets;2031e</t>
  </si>
  <si>
    <t>Current Assets;2024</t>
  </si>
  <si>
    <t>Current Assets;2025</t>
  </si>
  <si>
    <t>Current Assets;2026e</t>
  </si>
  <si>
    <t>Current Assets;2027e</t>
  </si>
  <si>
    <t>Current Assets;2028e</t>
  </si>
  <si>
    <t>Current Assets;2029e</t>
  </si>
  <si>
    <t>Current Assets;2030e</t>
  </si>
  <si>
    <t>Current Assets;2031e</t>
  </si>
  <si>
    <t>Cash and Cash Equivalents;2024</t>
  </si>
  <si>
    <t>Cash and Cash Equivalents;2025</t>
  </si>
  <si>
    <t>Cash and Cash Equivalents;2026e</t>
  </si>
  <si>
    <t>Cash and Cash Equivalents;2027e</t>
  </si>
  <si>
    <t>Cash and Cash Equivalents;2028e</t>
  </si>
  <si>
    <t>Cash and Cash Equivalents;2029e</t>
  </si>
  <si>
    <t>Cash and Cash Equivalents;2030e</t>
  </si>
  <si>
    <t>Cash and Cash Equivalents;2031e</t>
  </si>
  <si>
    <t>Current Liabilities;2025</t>
  </si>
  <si>
    <t>Current Liabilities;2026e</t>
  </si>
  <si>
    <t>Current Liabilities;2027e</t>
  </si>
  <si>
    <t>Current Liabilities;2028e</t>
  </si>
  <si>
    <t>Current Liabilities;2029e</t>
  </si>
  <si>
    <t>Current Liabilities;2030e</t>
  </si>
  <si>
    <t>Current Liabilities;2031e</t>
  </si>
  <si>
    <t>Short-Term Debt;2025</t>
  </si>
  <si>
    <t>Short-Term Debt;2026e</t>
  </si>
  <si>
    <t>Short-Term Debt;2027e</t>
  </si>
  <si>
    <t>Short-Term Debt;2028e</t>
  </si>
  <si>
    <t>Short-Term Debt;2029e</t>
  </si>
  <si>
    <t>Short-Term Debt;2030e</t>
  </si>
  <si>
    <t>Short-Term Debt;2031e</t>
  </si>
  <si>
    <t>For Auto Parts and Home Improvement, use the simple arithmetic average of the last 3 explicit forecast period FCFFs (2029-2031) as the base cash flow (TV).</t>
  </si>
  <si>
    <t>For Supermarket and Pharmacy, use the simple arithmetic average of the 6 explicit forecast period FCFFs (2026-2031) as the base cash flow (TV).</t>
  </si>
  <si>
    <t>Home Improvement</t>
  </si>
  <si>
    <t>Supermarket</t>
  </si>
  <si>
    <t>Pharmacy</t>
  </si>
  <si>
    <t>Auto Parts</t>
  </si>
  <si>
    <t>(from 2032 on)</t>
  </si>
  <si>
    <t>- Pharmacy (P)</t>
  </si>
  <si>
    <t>What is the Discounted FCFF (to Valuation basis date) for the segment Home Improvement for the period 2026?</t>
  </si>
  <si>
    <t>What is the Discounted FCFF (to Valuation basis date) for the segment Home Improvement for the period 2027?</t>
  </si>
  <si>
    <t>What is the Discounted FCFF (to Valuation basis date) for the segment Home Improvement for the period 2028?</t>
  </si>
  <si>
    <t>What is the Discounted FCFF (to Valuation basis date) for the segment Home Improvement for the period 2029?</t>
  </si>
  <si>
    <t>What is the Discounted FCFF (to Valuation basis date) for the segment Home Improvement for the period 2030?</t>
  </si>
  <si>
    <t>What is the Discounted FCFF (to Valuation basis date) for the segment Home Improvement for the period 2031?</t>
  </si>
  <si>
    <t>What is the Discounted FCFF (to Valuation basis date) for the segment Home Improvement for the period TV?</t>
  </si>
  <si>
    <t>What is the Discounted FCFF (to Valuation basis date) for the segment Supermarket for the period 2026?</t>
  </si>
  <si>
    <t>What is the Discounted FCFF (to Valuation basis date) for the segment Supermarket for the period 2027?</t>
  </si>
  <si>
    <t>What is the Discounted FCFF (to Valuation basis date) for the segment Supermarket for the period 2028?</t>
  </si>
  <si>
    <t>What is the Discounted FCFF (to Valuation basis date) for the segment Supermarket for the period 2029?</t>
  </si>
  <si>
    <t>What is the Discounted FCFF (to Valuation basis date) for the segment Supermarket for the period 2030?</t>
  </si>
  <si>
    <t>What is the Discounted FCFF (to Valuation basis date) for the segment Supermarket for the period 2031?</t>
  </si>
  <si>
    <t>What is the Discounted FCFF (to Valuation basis date) for the segment Supermarket for the period TV?</t>
  </si>
  <si>
    <t>What is the Discounted FCFF (to Valuation basis date) for the segment Pharmacy for the period 2026?</t>
  </si>
  <si>
    <t>What is the Discounted FCFF (to Valuation basis date) for the segment Pharmacy for the period 2027?</t>
  </si>
  <si>
    <t>What is the Discounted FCFF (to Valuation basis date) for the segment Pharmacy for the period 2028?</t>
  </si>
  <si>
    <t>What is the Discounted FCFF (to Valuation basis date) for the segment Pharmacy for the period 2029?</t>
  </si>
  <si>
    <t>What is the Discounted FCFF (to Valuation basis date) for the segment Pharmacy for the period 2030?</t>
  </si>
  <si>
    <t>What is the Discounted FCFF (to Valuation basis date) for the segment Pharmacy for the period 2031?</t>
  </si>
  <si>
    <t>What is the Discounted FCFF (to Valuation basis date) for the segment Pharmacy for the period TV?</t>
  </si>
  <si>
    <t>What is the Discounted FCFF (to Valuation basis date) for the segment Auto Parts for the period 2026?</t>
  </si>
  <si>
    <t>What is the Discounted FCFF (to Valuation basis date) for the segment Auto Parts for the period 2027?</t>
  </si>
  <si>
    <t>What is the Discounted FCFF (to Valuation basis date) for the segment Auto Parts for the period 2028?</t>
  </si>
  <si>
    <t>What is the Discounted FCFF (to Valuation basis date) for the segment Auto Parts for the period 2029?</t>
  </si>
  <si>
    <t>What is the Discounted FCFF (to Valuation basis date) for the segment Auto Parts for the period 2030?</t>
  </si>
  <si>
    <t>What is the Discounted FCFF (to Valuation basis date) for the segment Auto Parts for the period 2031?</t>
  </si>
  <si>
    <t>What is the Discounted FCFF (to Valuation basis date) for the segment Auto Parts for the period TV?</t>
  </si>
  <si>
    <t>The model should reflect the entity value as of the valuation date, not the valuation basis date</t>
  </si>
  <si>
    <t>Don't use mid year convention.</t>
  </si>
  <si>
    <t>g1 applies for years 2032 through 2035 inclusive (4 years)</t>
  </si>
  <si>
    <t>g1 applies for years 2032 through 2040 inclusive (9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</si>
</sst>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2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2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0" fillId="5" borderId="2">
      <alignment horizontal="left"/>
    </xf>
    <xf numFmtId="0" fontId="13" fillId="0" borderId="0"/>
  </cellStyleXfs>
  <cellXfs count="29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2" fillId="0" borderId="0" xfId="0" applyFont="1"/>
    <xf numFmtId="0" fontId="8" fillId="0" borderId="0" xfId="2" applyFont="1"/>
    <xf numFmtId="0" fontId="5" fillId="0" borderId="0" xfId="2"/>
    <xf numFmtId="4" fontId="3" fillId="3" borderId="5" xfId="1" applyNumberFormat="1" applyFont="1" applyFill="1" applyBorder="1" applyAlignment="1">
      <alignment horizontal="center"/>
    </xf>
    <xf numFmtId="0" fontId="9" fillId="0" borderId="0" xfId="0" applyFont="1"/>
    <xf numFmtId="4" fontId="11" fillId="6" borderId="2" xfId="4" applyFont="1" applyFill="1">
      <alignment horizontal="left"/>
    </xf>
    <xf numFmtId="4" fontId="2" fillId="6" borderId="2" xfId="4" applyFont="1" applyFill="1">
      <alignment horizontal="left"/>
    </xf>
    <xf numFmtId="0" fontId="12" fillId="6" borderId="0" xfId="0" applyFont="1" applyFill="1"/>
    <xf numFmtId="10" fontId="9" fillId="4" borderId="5" xfId="3" applyNumberFormat="1" applyFont="1" applyFill="1" applyBorder="1"/>
    <xf numFmtId="3" fontId="9" fillId="4" borderId="5" xfId="3" applyNumberFormat="1" applyFont="1" applyFill="1" applyBorder="1"/>
    <xf numFmtId="0" fontId="14" fillId="0" borderId="0" xfId="0" applyFont="1"/>
    <xf numFmtId="0" fontId="15" fillId="0" borderId="0" xfId="0" applyFont="1"/>
    <xf numFmtId="14" fontId="9" fillId="4" borderId="5" xfId="3" applyNumberFormat="1" applyFont="1" applyFill="1" applyBorder="1"/>
    <xf numFmtId="4" fontId="9" fillId="4" borderId="5" xfId="3" applyNumberFormat="1" applyFont="1" applyFill="1" applyBorder="1"/>
    <xf numFmtId="0" fontId="9" fillId="4" borderId="5" xfId="3" applyNumberFormat="1" applyFont="1" applyFill="1" applyBorder="1"/>
    <xf numFmtId="0" fontId="3" fillId="0" borderId="0" xfId="1" quotePrefix="1" applyFont="1" applyAlignment="1">
      <alignment horizontal="left"/>
    </xf>
    <xf numFmtId="0" fontId="3" fillId="0" borderId="0" xfId="1" quotePrefix="1" applyFont="1"/>
    <xf numFmtId="3" fontId="0" fillId="0" borderId="0" xfId="0" applyNumberFormat="1"/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6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Normal 4" xfId="5" xr:uid="{273FDE25-047F-448D-BEF1-698059824ACE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0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26.33203125" style="4" bestFit="1" customWidth="1"/>
    <col min="8" max="8" width="40.1093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24" t="s">
        <v>40</v>
      </c>
      <c r="C2" s="25"/>
      <c r="D2" s="25"/>
      <c r="E2" s="25"/>
      <c r="F2" s="25"/>
      <c r="G2" s="25"/>
      <c r="H2" s="25"/>
      <c r="I2" s="25"/>
      <c r="J2" s="25"/>
      <c r="K2" s="26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27" t="s">
        <v>49</v>
      </c>
      <c r="C4" s="28"/>
      <c r="D4" s="28"/>
      <c r="E4" s="28"/>
      <c r="F4" s="28"/>
      <c r="G4" s="28"/>
      <c r="H4" s="28"/>
      <c r="I4" s="28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15" customHeight="1">
      <c r="B6" s="1" t="s">
        <v>50</v>
      </c>
      <c r="C6" s="1"/>
      <c r="D6" s="1"/>
      <c r="E6" s="1"/>
      <c r="F6" s="1"/>
      <c r="G6" s="1"/>
      <c r="H6" s="1"/>
      <c r="I6" s="1"/>
      <c r="J6" s="1"/>
      <c r="K6" s="1"/>
    </row>
    <row r="7" spans="2:11" ht="15" customHeight="1">
      <c r="B7" s="22" t="s">
        <v>51</v>
      </c>
      <c r="C7" s="1"/>
      <c r="D7" s="1"/>
      <c r="E7" s="1"/>
      <c r="F7" s="1"/>
      <c r="G7" s="1"/>
      <c r="H7" s="1"/>
      <c r="I7" s="1"/>
      <c r="J7" s="1"/>
      <c r="K7" s="1"/>
    </row>
    <row r="8" spans="2:11" ht="15" customHeight="1">
      <c r="B8" s="22" t="s">
        <v>52</v>
      </c>
      <c r="C8" s="1"/>
      <c r="D8" s="1"/>
      <c r="E8" s="1"/>
      <c r="F8" s="1"/>
      <c r="G8" s="1"/>
      <c r="H8" s="1"/>
      <c r="I8" s="1"/>
      <c r="J8" s="1"/>
      <c r="K8" s="1"/>
    </row>
    <row r="9" spans="2:11" ht="15" customHeight="1">
      <c r="B9" s="22" t="s">
        <v>129</v>
      </c>
      <c r="C9" s="1"/>
      <c r="D9" s="1"/>
      <c r="E9" s="1"/>
      <c r="F9" s="1"/>
      <c r="G9" s="1"/>
      <c r="H9" s="1"/>
      <c r="I9" s="1"/>
      <c r="J9" s="1"/>
      <c r="K9" s="1"/>
    </row>
    <row r="10" spans="2:11" ht="15" customHeight="1">
      <c r="B10" s="22" t="s">
        <v>53</v>
      </c>
      <c r="C10" s="1"/>
      <c r="D10" s="1"/>
      <c r="E10" s="1"/>
      <c r="F10" s="1"/>
      <c r="G10" s="1"/>
      <c r="H10" s="1"/>
      <c r="I10" s="1"/>
      <c r="J10" s="1"/>
      <c r="K10" s="1"/>
    </row>
    <row r="11" spans="2:11" ht="15" customHeight="1">
      <c r="B11" s="22"/>
      <c r="C11" s="1"/>
      <c r="D11" s="1"/>
      <c r="E11" s="1"/>
      <c r="F11" s="1"/>
      <c r="G11" s="1"/>
      <c r="H11" s="1"/>
      <c r="I11" s="1"/>
      <c r="J11" s="1"/>
      <c r="K11" s="1"/>
    </row>
    <row r="12" spans="2:11" ht="15" customHeight="1">
      <c r="B12" s="22" t="s">
        <v>41</v>
      </c>
      <c r="C12" s="1"/>
      <c r="D12" s="1"/>
      <c r="E12" s="1"/>
      <c r="F12" s="1"/>
      <c r="G12" s="1"/>
      <c r="H12" s="1"/>
      <c r="I12" s="1"/>
      <c r="J12" s="1"/>
      <c r="K12" s="1"/>
    </row>
    <row r="13" spans="2:11" ht="15" customHeight="1">
      <c r="B13" s="22" t="s">
        <v>42</v>
      </c>
      <c r="C13" s="1"/>
      <c r="D13" s="1"/>
      <c r="E13" s="1"/>
      <c r="F13" s="1"/>
      <c r="G13" s="1"/>
      <c r="H13" s="1"/>
      <c r="I13" s="1"/>
      <c r="J13" s="1"/>
      <c r="K13" s="1"/>
    </row>
    <row r="14" spans="2:11">
      <c r="B14" s="3" t="s">
        <v>35</v>
      </c>
    </row>
    <row r="15" spans="2:11">
      <c r="B15" s="3" t="s">
        <v>37</v>
      </c>
    </row>
    <row r="16" spans="2:11">
      <c r="B16" s="3" t="s">
        <v>54</v>
      </c>
    </row>
    <row r="17" spans="2:2">
      <c r="B17" s="3" t="s">
        <v>55</v>
      </c>
    </row>
    <row r="18" spans="2:2">
      <c r="B18" s="3" t="s">
        <v>122</v>
      </c>
    </row>
    <row r="19" spans="2:2">
      <c r="B19" s="3" t="s">
        <v>123</v>
      </c>
    </row>
    <row r="20" spans="2:2">
      <c r="B20" s="3" t="s">
        <v>56</v>
      </c>
    </row>
    <row r="21" spans="2:2">
      <c r="B21" s="3" t="s">
        <v>38</v>
      </c>
    </row>
    <row r="22" spans="2:2">
      <c r="B22" s="3" t="s">
        <v>36</v>
      </c>
    </row>
    <row r="23" spans="2:2">
      <c r="B23" s="3" t="s">
        <v>159</v>
      </c>
    </row>
    <row r="24" spans="2:2">
      <c r="B24" s="3" t="s">
        <v>158</v>
      </c>
    </row>
    <row r="25" spans="2:2">
      <c r="B25" s="3"/>
    </row>
    <row r="26" spans="2:2">
      <c r="B26" s="3" t="s">
        <v>7</v>
      </c>
    </row>
    <row r="29" spans="2:2">
      <c r="B29" s="3"/>
    </row>
    <row r="30" spans="2:2">
      <c r="B30" s="3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AN542"/>
  <sheetViews>
    <sheetView showGridLines="0" zoomScale="74" workbookViewId="0"/>
  </sheetViews>
  <sheetFormatPr defaultRowHeight="14.4"/>
  <cols>
    <col min="1" max="1" width="4.77734375" style="6" customWidth="1"/>
    <col min="2" max="2" width="5.33203125" style="6" customWidth="1"/>
    <col min="3" max="3" width="24.5546875" customWidth="1"/>
    <col min="5" max="5" width="29.21875" bestFit="1" customWidth="1"/>
    <col min="6" max="12" width="17.88671875" customWidth="1"/>
    <col min="13" max="13" width="17.33203125" customWidth="1"/>
    <col min="14" max="110" width="10.109375" bestFit="1" customWidth="1"/>
  </cols>
  <sheetData>
    <row r="1" spans="1:40">
      <c r="A1" s="6" t="str">
        <f>Instructions!B2&amp;": "&amp;Instructions!B4</f>
        <v>Valuation Task: Sum-of-the-Parts Valuation - Four Shops</v>
      </c>
    </row>
    <row r="2" spans="1:40">
      <c r="A2" s="6" t="s">
        <v>1</v>
      </c>
    </row>
    <row r="4" spans="1:40" s="13" customFormat="1" ht="14.4" customHeight="1">
      <c r="A4" s="11"/>
      <c r="B4" s="12" t="s">
        <v>9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6" spans="1:40">
      <c r="C6" t="s">
        <v>21</v>
      </c>
      <c r="F6" s="18">
        <v>46053</v>
      </c>
      <c r="G6" s="10"/>
    </row>
    <row r="7" spans="1:40">
      <c r="C7" t="s">
        <v>22</v>
      </c>
      <c r="F7" s="18">
        <v>46149</v>
      </c>
      <c r="G7" s="10"/>
    </row>
    <row r="9" spans="1:40" s="13" customFormat="1" ht="14.4" customHeight="1">
      <c r="A9" s="11"/>
      <c r="B9" s="12" t="s">
        <v>23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1" spans="1:40">
      <c r="C11" t="s">
        <v>24</v>
      </c>
      <c r="F11" s="14">
        <v>3.9699999999999999E-2</v>
      </c>
      <c r="G11" s="10" t="s">
        <v>28</v>
      </c>
    </row>
    <row r="12" spans="1:40">
      <c r="C12" t="s">
        <v>25</v>
      </c>
      <c r="F12" s="19">
        <v>0.83</v>
      </c>
    </row>
    <row r="13" spans="1:40">
      <c r="C13" t="s">
        <v>26</v>
      </c>
      <c r="F13" s="14">
        <v>2.785E-2</v>
      </c>
      <c r="G13" s="10" t="s">
        <v>28</v>
      </c>
    </row>
    <row r="14" spans="1:40">
      <c r="C14" t="s">
        <v>27</v>
      </c>
      <c r="F14" s="14">
        <v>4.8674105263157894E-2</v>
      </c>
      <c r="G14" s="10" t="s">
        <v>28</v>
      </c>
    </row>
    <row r="16" spans="1:40" s="13" customFormat="1" ht="14.4" customHeight="1">
      <c r="A16" s="11"/>
      <c r="B16" s="12" t="s">
        <v>29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8" spans="1:40">
      <c r="C18" t="s">
        <v>30</v>
      </c>
      <c r="E18" t="s">
        <v>126</v>
      </c>
      <c r="F18" s="14">
        <v>2.5000000000000001E-2</v>
      </c>
      <c r="G18" s="10" t="s">
        <v>28</v>
      </c>
      <c r="H18" t="s">
        <v>39</v>
      </c>
      <c r="J18" s="3"/>
    </row>
    <row r="19" spans="1:40">
      <c r="C19" t="s">
        <v>31</v>
      </c>
      <c r="D19" t="s">
        <v>128</v>
      </c>
      <c r="E19" t="s">
        <v>126</v>
      </c>
      <c r="F19" s="20">
        <v>2035</v>
      </c>
      <c r="G19" s="10"/>
      <c r="I19" t="s">
        <v>160</v>
      </c>
    </row>
    <row r="20" spans="1:40">
      <c r="C20" t="s">
        <v>32</v>
      </c>
      <c r="E20" t="s">
        <v>126</v>
      </c>
      <c r="F20" s="14">
        <v>0.02</v>
      </c>
      <c r="G20" s="10" t="s">
        <v>28</v>
      </c>
      <c r="H20" t="s">
        <v>39</v>
      </c>
    </row>
    <row r="21" spans="1:40">
      <c r="C21" t="s">
        <v>30</v>
      </c>
      <c r="E21" t="s">
        <v>127</v>
      </c>
      <c r="F21" s="14">
        <v>0.05</v>
      </c>
      <c r="G21" s="10" t="s">
        <v>28</v>
      </c>
      <c r="H21" t="s">
        <v>39</v>
      </c>
    </row>
    <row r="22" spans="1:40">
      <c r="C22" t="s">
        <v>31</v>
      </c>
      <c r="D22" t="s">
        <v>128</v>
      </c>
      <c r="E22" t="s">
        <v>127</v>
      </c>
      <c r="F22" s="20">
        <v>2040</v>
      </c>
      <c r="G22" s="10"/>
      <c r="I22" t="s">
        <v>161</v>
      </c>
    </row>
    <row r="23" spans="1:40">
      <c r="C23" t="s">
        <v>32</v>
      </c>
      <c r="E23" t="s">
        <v>127</v>
      </c>
      <c r="F23" s="14">
        <v>2.1999999999999999E-2</v>
      </c>
      <c r="G23" s="10" t="s">
        <v>28</v>
      </c>
      <c r="H23" t="s">
        <v>39</v>
      </c>
    </row>
    <row r="24" spans="1:40">
      <c r="C24" t="s">
        <v>32</v>
      </c>
      <c r="E24" t="s">
        <v>124</v>
      </c>
      <c r="F24" s="14">
        <v>1.0999999999999999E-2</v>
      </c>
      <c r="G24" s="10" t="s">
        <v>28</v>
      </c>
      <c r="H24" t="s">
        <v>39</v>
      </c>
    </row>
    <row r="25" spans="1:40">
      <c r="C25" t="s">
        <v>32</v>
      </c>
      <c r="E25" t="s">
        <v>125</v>
      </c>
      <c r="F25" s="14">
        <v>1.35E-2</v>
      </c>
      <c r="G25" s="10" t="s">
        <v>28</v>
      </c>
      <c r="H25" t="s">
        <v>39</v>
      </c>
    </row>
    <row r="27" spans="1:40" s="13" customFormat="1" ht="14.4" customHeight="1">
      <c r="A27" s="11"/>
      <c r="B27" s="12" t="s">
        <v>11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9" spans="1:40">
      <c r="C29" t="s">
        <v>33</v>
      </c>
      <c r="D29">
        <v>2025</v>
      </c>
      <c r="E29" t="s">
        <v>46</v>
      </c>
      <c r="F29" s="15">
        <v>56789</v>
      </c>
      <c r="G29" s="10" t="s">
        <v>8</v>
      </c>
    </row>
    <row r="30" spans="1:40">
      <c r="C30" t="s">
        <v>18</v>
      </c>
      <c r="D30">
        <v>2025</v>
      </c>
      <c r="E30" t="s">
        <v>46</v>
      </c>
      <c r="F30" s="15">
        <v>181818</v>
      </c>
      <c r="G30" s="10" t="s">
        <v>8</v>
      </c>
      <c r="H30" s="23"/>
    </row>
    <row r="31" spans="1:40">
      <c r="B31"/>
      <c r="C31" t="s">
        <v>16</v>
      </c>
      <c r="D31">
        <v>2024</v>
      </c>
      <c r="E31" t="s">
        <v>124</v>
      </c>
      <c r="F31" s="15">
        <v>1378</v>
      </c>
      <c r="G31" s="10" t="s">
        <v>8</v>
      </c>
    </row>
    <row r="32" spans="1:40">
      <c r="B32"/>
      <c r="C32" t="s">
        <v>16</v>
      </c>
      <c r="D32">
        <v>2025</v>
      </c>
      <c r="E32" t="s">
        <v>124</v>
      </c>
      <c r="F32" s="15">
        <v>1720.6666666666667</v>
      </c>
      <c r="G32" s="10" t="s">
        <v>8</v>
      </c>
    </row>
    <row r="33" spans="2:7">
      <c r="B33"/>
      <c r="C33" t="s">
        <v>16</v>
      </c>
      <c r="D33" t="s">
        <v>19</v>
      </c>
      <c r="E33" t="s">
        <v>124</v>
      </c>
      <c r="F33" s="15">
        <v>2316</v>
      </c>
      <c r="G33" s="10" t="s">
        <v>8</v>
      </c>
    </row>
    <row r="34" spans="2:7">
      <c r="B34"/>
      <c r="C34" t="s">
        <v>16</v>
      </c>
      <c r="D34" t="s">
        <v>20</v>
      </c>
      <c r="E34" t="s">
        <v>124</v>
      </c>
      <c r="F34" s="15">
        <v>1053.3333333333333</v>
      </c>
      <c r="G34" s="10" t="s">
        <v>8</v>
      </c>
    </row>
    <row r="35" spans="2:7">
      <c r="B35"/>
      <c r="C35" t="s">
        <v>16</v>
      </c>
      <c r="D35" t="s">
        <v>43</v>
      </c>
      <c r="E35" t="s">
        <v>124</v>
      </c>
      <c r="F35" s="15">
        <v>786.66666666666663</v>
      </c>
      <c r="G35" s="10" t="s">
        <v>8</v>
      </c>
    </row>
    <row r="36" spans="2:7">
      <c r="B36"/>
      <c r="C36" t="s">
        <v>16</v>
      </c>
      <c r="D36" t="s">
        <v>44</v>
      </c>
      <c r="E36" t="s">
        <v>124</v>
      </c>
      <c r="F36" s="15">
        <v>1384.6666666666667</v>
      </c>
      <c r="G36" s="10" t="s">
        <v>8</v>
      </c>
    </row>
    <row r="37" spans="2:7">
      <c r="B37"/>
      <c r="C37" t="s">
        <v>16</v>
      </c>
      <c r="D37" t="s">
        <v>45</v>
      </c>
      <c r="E37" t="s">
        <v>124</v>
      </c>
      <c r="F37" s="15">
        <v>1026</v>
      </c>
      <c r="G37" s="10" t="s">
        <v>8</v>
      </c>
    </row>
    <row r="38" spans="2:7">
      <c r="B38"/>
      <c r="C38" t="s">
        <v>16</v>
      </c>
      <c r="D38" t="s">
        <v>48</v>
      </c>
      <c r="E38" t="s">
        <v>124</v>
      </c>
      <c r="F38" s="15">
        <v>1432</v>
      </c>
      <c r="G38" s="10" t="s">
        <v>8</v>
      </c>
    </row>
    <row r="39" spans="2:7">
      <c r="B39"/>
      <c r="C39" t="s">
        <v>16</v>
      </c>
      <c r="D39">
        <v>2024</v>
      </c>
      <c r="E39" t="s">
        <v>125</v>
      </c>
      <c r="F39" s="15">
        <v>8655.3333333333339</v>
      </c>
      <c r="G39" s="10" t="s">
        <v>8</v>
      </c>
    </row>
    <row r="40" spans="2:7">
      <c r="B40"/>
      <c r="C40" s="17" t="s">
        <v>16</v>
      </c>
      <c r="D40">
        <v>2025</v>
      </c>
      <c r="E40" t="s">
        <v>125</v>
      </c>
      <c r="F40" s="15">
        <v>5544.666666666667</v>
      </c>
      <c r="G40" s="10" t="s">
        <v>8</v>
      </c>
    </row>
    <row r="41" spans="2:7">
      <c r="B41"/>
      <c r="C41" s="17" t="s">
        <v>16</v>
      </c>
      <c r="D41" t="s">
        <v>19</v>
      </c>
      <c r="E41" t="s">
        <v>125</v>
      </c>
      <c r="F41" s="15">
        <v>6077.333333333333</v>
      </c>
      <c r="G41" s="10" t="s">
        <v>8</v>
      </c>
    </row>
    <row r="42" spans="2:7">
      <c r="B42"/>
      <c r="C42" s="17" t="s">
        <v>16</v>
      </c>
      <c r="D42" t="s">
        <v>20</v>
      </c>
      <c r="E42" t="s">
        <v>125</v>
      </c>
      <c r="F42" s="15">
        <v>5752</v>
      </c>
      <c r="G42" s="10" t="s">
        <v>8</v>
      </c>
    </row>
    <row r="43" spans="2:7">
      <c r="B43"/>
      <c r="C43" s="17" t="s">
        <v>16</v>
      </c>
      <c r="D43" t="s">
        <v>43</v>
      </c>
      <c r="E43" t="s">
        <v>125</v>
      </c>
      <c r="F43" s="15">
        <v>6080</v>
      </c>
      <c r="G43" s="10" t="s">
        <v>8</v>
      </c>
    </row>
    <row r="44" spans="2:7">
      <c r="B44"/>
      <c r="C44" s="17" t="s">
        <v>16</v>
      </c>
      <c r="D44" t="s">
        <v>44</v>
      </c>
      <c r="E44" t="s">
        <v>125</v>
      </c>
      <c r="F44" s="15">
        <v>6468</v>
      </c>
      <c r="G44" s="10" t="s">
        <v>8</v>
      </c>
    </row>
    <row r="45" spans="2:7">
      <c r="B45"/>
      <c r="C45" t="s">
        <v>16</v>
      </c>
      <c r="D45" t="s">
        <v>45</v>
      </c>
      <c r="E45" t="s">
        <v>125</v>
      </c>
      <c r="F45" s="15">
        <v>5335.333333333333</v>
      </c>
      <c r="G45" s="10" t="s">
        <v>8</v>
      </c>
    </row>
    <row r="46" spans="2:7">
      <c r="B46"/>
      <c r="C46" t="s">
        <v>16</v>
      </c>
      <c r="D46" t="s">
        <v>48</v>
      </c>
      <c r="E46" t="s">
        <v>125</v>
      </c>
      <c r="F46" s="15">
        <v>5496.666666666667</v>
      </c>
      <c r="G46" s="10" t="s">
        <v>8</v>
      </c>
    </row>
    <row r="47" spans="2:7">
      <c r="B47"/>
      <c r="C47" t="s">
        <v>16</v>
      </c>
      <c r="D47">
        <v>2024</v>
      </c>
      <c r="E47" t="s">
        <v>126</v>
      </c>
      <c r="F47" s="15">
        <v>8047.333333333333</v>
      </c>
      <c r="G47" s="10" t="s">
        <v>8</v>
      </c>
    </row>
    <row r="48" spans="2:7">
      <c r="B48"/>
      <c r="C48" t="s">
        <v>16</v>
      </c>
      <c r="D48">
        <v>2025</v>
      </c>
      <c r="E48" t="s">
        <v>126</v>
      </c>
      <c r="F48" s="15">
        <v>5079.333333333333</v>
      </c>
      <c r="G48" s="10" t="s">
        <v>8</v>
      </c>
    </row>
    <row r="49" spans="2:7">
      <c r="B49"/>
      <c r="C49" t="s">
        <v>16</v>
      </c>
      <c r="D49" t="s">
        <v>19</v>
      </c>
      <c r="E49" t="s">
        <v>126</v>
      </c>
      <c r="F49" s="15">
        <v>5518</v>
      </c>
      <c r="G49" s="10" t="s">
        <v>8</v>
      </c>
    </row>
    <row r="50" spans="2:7">
      <c r="B50"/>
      <c r="C50" t="s">
        <v>16</v>
      </c>
      <c r="D50" t="s">
        <v>20</v>
      </c>
      <c r="E50" t="s">
        <v>126</v>
      </c>
      <c r="F50" s="15">
        <v>4730</v>
      </c>
      <c r="G50" s="10" t="s">
        <v>8</v>
      </c>
    </row>
    <row r="51" spans="2:7">
      <c r="B51"/>
      <c r="C51" s="17" t="s">
        <v>16</v>
      </c>
      <c r="D51" t="s">
        <v>43</v>
      </c>
      <c r="E51" t="s">
        <v>126</v>
      </c>
      <c r="F51" s="15">
        <v>5893.333333333333</v>
      </c>
      <c r="G51" s="10" t="s">
        <v>8</v>
      </c>
    </row>
    <row r="52" spans="2:7">
      <c r="B52"/>
      <c r="C52" s="17" t="s">
        <v>16</v>
      </c>
      <c r="D52" t="s">
        <v>44</v>
      </c>
      <c r="E52" t="s">
        <v>126</v>
      </c>
      <c r="F52" s="15">
        <v>7857.333333333333</v>
      </c>
      <c r="G52" s="10" t="s">
        <v>8</v>
      </c>
    </row>
    <row r="53" spans="2:7">
      <c r="B53"/>
      <c r="C53" s="17" t="s">
        <v>16</v>
      </c>
      <c r="D53" t="s">
        <v>45</v>
      </c>
      <c r="E53" t="s">
        <v>126</v>
      </c>
      <c r="F53" s="15">
        <v>6952</v>
      </c>
      <c r="G53" s="10" t="s">
        <v>8</v>
      </c>
    </row>
    <row r="54" spans="2:7">
      <c r="B54"/>
      <c r="C54" s="17" t="s">
        <v>16</v>
      </c>
      <c r="D54" t="s">
        <v>48</v>
      </c>
      <c r="E54" t="s">
        <v>126</v>
      </c>
      <c r="F54" s="15">
        <v>8951.3333333333339</v>
      </c>
      <c r="G54" s="10" t="s">
        <v>8</v>
      </c>
    </row>
    <row r="55" spans="2:7">
      <c r="B55"/>
      <c r="C55" s="17" t="s">
        <v>16</v>
      </c>
      <c r="D55">
        <v>2024</v>
      </c>
      <c r="E55" t="s">
        <v>127</v>
      </c>
      <c r="F55" s="15">
        <v>176</v>
      </c>
      <c r="G55" s="10" t="s">
        <v>8</v>
      </c>
    </row>
    <row r="56" spans="2:7">
      <c r="B56"/>
      <c r="C56" t="s">
        <v>16</v>
      </c>
      <c r="D56">
        <v>2025</v>
      </c>
      <c r="E56" t="s">
        <v>127</v>
      </c>
      <c r="F56" s="15">
        <v>172.66666666666666</v>
      </c>
      <c r="G56" s="10" t="s">
        <v>8</v>
      </c>
    </row>
    <row r="57" spans="2:7">
      <c r="B57"/>
      <c r="C57" t="s">
        <v>16</v>
      </c>
      <c r="D57" t="s">
        <v>19</v>
      </c>
      <c r="E57" t="s">
        <v>127</v>
      </c>
      <c r="F57" s="15">
        <v>178</v>
      </c>
      <c r="G57" s="10" t="s">
        <v>8</v>
      </c>
    </row>
    <row r="58" spans="2:7">
      <c r="B58"/>
      <c r="C58" t="s">
        <v>16</v>
      </c>
      <c r="D58" t="s">
        <v>20</v>
      </c>
      <c r="E58" t="s">
        <v>127</v>
      </c>
      <c r="F58" s="15">
        <v>154</v>
      </c>
      <c r="G58" s="10" t="s">
        <v>8</v>
      </c>
    </row>
    <row r="59" spans="2:7">
      <c r="B59"/>
      <c r="C59" t="s">
        <v>16</v>
      </c>
      <c r="D59" t="s">
        <v>43</v>
      </c>
      <c r="E59" t="s">
        <v>127</v>
      </c>
      <c r="F59" s="15">
        <v>771.33333333333337</v>
      </c>
      <c r="G59" s="10" t="s">
        <v>8</v>
      </c>
    </row>
    <row r="60" spans="2:7">
      <c r="B60"/>
      <c r="C60" t="s">
        <v>16</v>
      </c>
      <c r="D60" t="s">
        <v>44</v>
      </c>
      <c r="E60" t="s">
        <v>127</v>
      </c>
      <c r="F60" s="15">
        <v>1068.6666666666667</v>
      </c>
      <c r="G60" s="10" t="s">
        <v>8</v>
      </c>
    </row>
    <row r="61" spans="2:7">
      <c r="B61"/>
      <c r="C61" t="s">
        <v>16</v>
      </c>
      <c r="D61" t="s">
        <v>45</v>
      </c>
      <c r="E61" t="s">
        <v>127</v>
      </c>
      <c r="F61" s="15">
        <v>720.66666666666663</v>
      </c>
      <c r="G61" s="10" t="s">
        <v>8</v>
      </c>
    </row>
    <row r="62" spans="2:7">
      <c r="B62"/>
      <c r="C62" s="17" t="s">
        <v>16</v>
      </c>
      <c r="D62" t="s">
        <v>48</v>
      </c>
      <c r="E62" t="s">
        <v>127</v>
      </c>
      <c r="F62" s="15">
        <v>637.33333333333337</v>
      </c>
      <c r="G62" s="10" t="s">
        <v>8</v>
      </c>
    </row>
    <row r="63" spans="2:7">
      <c r="B63"/>
      <c r="C63" s="17" t="s">
        <v>4</v>
      </c>
      <c r="D63">
        <v>2024</v>
      </c>
      <c r="E63" t="s">
        <v>124</v>
      </c>
      <c r="F63" s="15">
        <v>17089.333333333332</v>
      </c>
      <c r="G63" s="10" t="s">
        <v>8</v>
      </c>
    </row>
    <row r="64" spans="2:7">
      <c r="B64"/>
      <c r="C64" s="17" t="s">
        <v>4</v>
      </c>
      <c r="D64">
        <v>2025</v>
      </c>
      <c r="E64" t="s">
        <v>124</v>
      </c>
      <c r="F64" s="15">
        <v>20262.666666666668</v>
      </c>
      <c r="G64" s="10" t="s">
        <v>8</v>
      </c>
    </row>
    <row r="65" spans="2:7">
      <c r="B65"/>
      <c r="C65" s="17" t="s">
        <v>4</v>
      </c>
      <c r="D65" t="s">
        <v>19</v>
      </c>
      <c r="E65" t="s">
        <v>124</v>
      </c>
      <c r="F65" s="15">
        <v>18340</v>
      </c>
      <c r="G65" s="10" t="s">
        <v>8</v>
      </c>
    </row>
    <row r="66" spans="2:7">
      <c r="B66"/>
      <c r="C66" s="17" t="s">
        <v>4</v>
      </c>
      <c r="D66" t="s">
        <v>20</v>
      </c>
      <c r="E66" t="s">
        <v>124</v>
      </c>
      <c r="F66" s="15">
        <v>20120</v>
      </c>
      <c r="G66" s="10" t="s">
        <v>8</v>
      </c>
    </row>
    <row r="67" spans="2:7">
      <c r="B67"/>
      <c r="C67" t="s">
        <v>4</v>
      </c>
      <c r="D67" t="s">
        <v>43</v>
      </c>
      <c r="E67" t="s">
        <v>124</v>
      </c>
      <c r="F67" s="15">
        <v>19474</v>
      </c>
      <c r="G67" s="10" t="s">
        <v>8</v>
      </c>
    </row>
    <row r="68" spans="2:7">
      <c r="B68"/>
      <c r="C68" t="s">
        <v>4</v>
      </c>
      <c r="D68" t="s">
        <v>44</v>
      </c>
      <c r="E68" t="s">
        <v>124</v>
      </c>
      <c r="F68" s="15">
        <v>20697.333333333332</v>
      </c>
      <c r="G68" s="10" t="s">
        <v>8</v>
      </c>
    </row>
    <row r="69" spans="2:7">
      <c r="B69"/>
      <c r="C69" t="s">
        <v>4</v>
      </c>
      <c r="D69" t="s">
        <v>45</v>
      </c>
      <c r="E69" t="s">
        <v>124</v>
      </c>
      <c r="F69" s="15">
        <v>20877.333333333332</v>
      </c>
      <c r="G69" s="10" t="s">
        <v>8</v>
      </c>
    </row>
    <row r="70" spans="2:7">
      <c r="B70"/>
      <c r="C70" t="s">
        <v>4</v>
      </c>
      <c r="D70" t="s">
        <v>48</v>
      </c>
      <c r="E70" t="s">
        <v>124</v>
      </c>
      <c r="F70" s="15">
        <v>22505.333333333332</v>
      </c>
      <c r="G70" s="10" t="s">
        <v>8</v>
      </c>
    </row>
    <row r="71" spans="2:7">
      <c r="B71"/>
      <c r="C71" t="s">
        <v>4</v>
      </c>
      <c r="D71">
        <v>2024</v>
      </c>
      <c r="E71" t="s">
        <v>125</v>
      </c>
      <c r="F71" s="15">
        <v>47540.666666666664</v>
      </c>
      <c r="G71" s="10" t="s">
        <v>8</v>
      </c>
    </row>
    <row r="72" spans="2:7">
      <c r="B72"/>
      <c r="C72" t="s">
        <v>4</v>
      </c>
      <c r="D72">
        <v>2025</v>
      </c>
      <c r="E72" t="s">
        <v>125</v>
      </c>
      <c r="F72" s="15">
        <v>47372</v>
      </c>
      <c r="G72" s="10" t="s">
        <v>8</v>
      </c>
    </row>
    <row r="73" spans="2:7">
      <c r="B73"/>
      <c r="C73" t="s">
        <v>4</v>
      </c>
      <c r="D73" t="s">
        <v>19</v>
      </c>
      <c r="E73" t="s">
        <v>125</v>
      </c>
      <c r="F73" s="15">
        <v>47352</v>
      </c>
      <c r="G73" s="10" t="s">
        <v>8</v>
      </c>
    </row>
    <row r="74" spans="2:7">
      <c r="B74"/>
      <c r="C74" t="s">
        <v>4</v>
      </c>
      <c r="D74" t="s">
        <v>20</v>
      </c>
      <c r="E74" t="s">
        <v>125</v>
      </c>
      <c r="F74" s="15">
        <v>50572.666666666664</v>
      </c>
      <c r="G74" s="10" t="s">
        <v>8</v>
      </c>
    </row>
    <row r="75" spans="2:7">
      <c r="B75"/>
      <c r="C75" t="s">
        <v>4</v>
      </c>
      <c r="D75" t="s">
        <v>43</v>
      </c>
      <c r="E75" t="s">
        <v>125</v>
      </c>
      <c r="F75" s="15">
        <v>48104</v>
      </c>
      <c r="G75" s="10" t="s">
        <v>8</v>
      </c>
    </row>
    <row r="76" spans="2:7">
      <c r="B76"/>
      <c r="C76" t="s">
        <v>4</v>
      </c>
      <c r="D76" t="s">
        <v>44</v>
      </c>
      <c r="E76" t="s">
        <v>125</v>
      </c>
      <c r="F76" s="15">
        <v>50050</v>
      </c>
      <c r="G76" s="10" t="s">
        <v>8</v>
      </c>
    </row>
    <row r="77" spans="2:7">
      <c r="B77"/>
      <c r="C77" t="s">
        <v>4</v>
      </c>
      <c r="D77" t="s">
        <v>45</v>
      </c>
      <c r="E77" t="s">
        <v>125</v>
      </c>
      <c r="F77" s="15">
        <v>51248.666666666664</v>
      </c>
      <c r="G77" s="10" t="s">
        <v>8</v>
      </c>
    </row>
    <row r="78" spans="2:7">
      <c r="B78"/>
      <c r="C78" t="s">
        <v>4</v>
      </c>
      <c r="D78" t="s">
        <v>48</v>
      </c>
      <c r="E78" t="s">
        <v>125</v>
      </c>
      <c r="F78" s="15">
        <v>50992.666666666664</v>
      </c>
      <c r="G78" s="10" t="s">
        <v>8</v>
      </c>
    </row>
    <row r="79" spans="2:7">
      <c r="B79"/>
      <c r="C79" t="s">
        <v>4</v>
      </c>
      <c r="D79">
        <v>2024</v>
      </c>
      <c r="E79" t="s">
        <v>126</v>
      </c>
      <c r="F79" s="15">
        <v>40830</v>
      </c>
      <c r="G79" s="10" t="s">
        <v>8</v>
      </c>
    </row>
    <row r="80" spans="2:7">
      <c r="B80"/>
      <c r="C80" t="s">
        <v>4</v>
      </c>
      <c r="D80">
        <v>2025</v>
      </c>
      <c r="E80" t="s">
        <v>126</v>
      </c>
      <c r="F80" s="15">
        <v>42053.333333333336</v>
      </c>
      <c r="G80" s="10" t="s">
        <v>8</v>
      </c>
    </row>
    <row r="81" spans="2:7">
      <c r="B81"/>
      <c r="C81" t="s">
        <v>4</v>
      </c>
      <c r="D81" t="s">
        <v>19</v>
      </c>
      <c r="E81" t="s">
        <v>126</v>
      </c>
      <c r="F81" s="15">
        <v>44115.333333333336</v>
      </c>
      <c r="G81" s="10" t="s">
        <v>8</v>
      </c>
    </row>
    <row r="82" spans="2:7">
      <c r="B82"/>
      <c r="C82" t="s">
        <v>4</v>
      </c>
      <c r="D82" t="s">
        <v>20</v>
      </c>
      <c r="E82" t="s">
        <v>126</v>
      </c>
      <c r="F82" s="15">
        <v>41806</v>
      </c>
      <c r="G82" s="10" t="s">
        <v>8</v>
      </c>
    </row>
    <row r="83" spans="2:7">
      <c r="B83"/>
      <c r="C83" t="s">
        <v>4</v>
      </c>
      <c r="D83" t="s">
        <v>43</v>
      </c>
      <c r="E83" t="s">
        <v>126</v>
      </c>
      <c r="F83" s="15">
        <v>44234.666666666664</v>
      </c>
      <c r="G83" s="10" t="s">
        <v>8</v>
      </c>
    </row>
    <row r="84" spans="2:7">
      <c r="B84"/>
      <c r="C84" t="s">
        <v>4</v>
      </c>
      <c r="D84" t="s">
        <v>44</v>
      </c>
      <c r="E84" t="s">
        <v>126</v>
      </c>
      <c r="F84" s="15">
        <v>47597.333333333336</v>
      </c>
      <c r="G84" s="10" t="s">
        <v>8</v>
      </c>
    </row>
    <row r="85" spans="2:7">
      <c r="B85"/>
      <c r="C85" t="s">
        <v>4</v>
      </c>
      <c r="D85" t="s">
        <v>45</v>
      </c>
      <c r="E85" t="s">
        <v>126</v>
      </c>
      <c r="F85" s="15">
        <v>48176.666666666664</v>
      </c>
      <c r="G85" s="10" t="s">
        <v>8</v>
      </c>
    </row>
    <row r="86" spans="2:7">
      <c r="B86"/>
      <c r="C86" t="s">
        <v>4</v>
      </c>
      <c r="D86" t="s">
        <v>48</v>
      </c>
      <c r="E86" t="s">
        <v>126</v>
      </c>
      <c r="F86" s="15">
        <v>53885.333333333336</v>
      </c>
      <c r="G86" s="10" t="s">
        <v>8</v>
      </c>
    </row>
    <row r="87" spans="2:7">
      <c r="B87"/>
      <c r="C87" t="s">
        <v>4</v>
      </c>
      <c r="D87">
        <v>2024</v>
      </c>
      <c r="E87" t="s">
        <v>127</v>
      </c>
      <c r="F87" s="15">
        <v>4413.333333333333</v>
      </c>
      <c r="G87" s="10" t="s">
        <v>8</v>
      </c>
    </row>
    <row r="88" spans="2:7">
      <c r="B88"/>
      <c r="C88" t="s">
        <v>4</v>
      </c>
      <c r="D88">
        <v>2025</v>
      </c>
      <c r="E88" t="s">
        <v>127</v>
      </c>
      <c r="F88" s="15">
        <v>4227.333333333333</v>
      </c>
      <c r="G88" s="10" t="s">
        <v>8</v>
      </c>
    </row>
    <row r="89" spans="2:7">
      <c r="B89"/>
      <c r="C89" t="s">
        <v>4</v>
      </c>
      <c r="D89" t="s">
        <v>19</v>
      </c>
      <c r="E89" t="s">
        <v>127</v>
      </c>
      <c r="F89" s="15">
        <v>4368.666666666667</v>
      </c>
      <c r="G89" s="10" t="s">
        <v>8</v>
      </c>
    </row>
    <row r="90" spans="2:7">
      <c r="B90"/>
      <c r="C90" t="s">
        <v>4</v>
      </c>
      <c r="D90" t="s">
        <v>20</v>
      </c>
      <c r="E90" t="s">
        <v>127</v>
      </c>
      <c r="F90" s="15">
        <v>4620.666666666667</v>
      </c>
      <c r="G90" s="10" t="s">
        <v>8</v>
      </c>
    </row>
    <row r="91" spans="2:7">
      <c r="B91"/>
      <c r="C91" t="s">
        <v>4</v>
      </c>
      <c r="D91" t="s">
        <v>43</v>
      </c>
      <c r="E91" t="s">
        <v>127</v>
      </c>
      <c r="F91" s="15">
        <v>5352</v>
      </c>
      <c r="G91" s="10" t="s">
        <v>8</v>
      </c>
    </row>
    <row r="92" spans="2:7">
      <c r="B92"/>
      <c r="C92" t="s">
        <v>4</v>
      </c>
      <c r="D92" t="s">
        <v>44</v>
      </c>
      <c r="E92" t="s">
        <v>127</v>
      </c>
      <c r="F92" s="15">
        <v>5746.666666666667</v>
      </c>
      <c r="G92" s="10" t="s">
        <v>8</v>
      </c>
    </row>
    <row r="93" spans="2:7">
      <c r="B93"/>
      <c r="C93" t="s">
        <v>4</v>
      </c>
      <c r="D93" t="s">
        <v>45</v>
      </c>
      <c r="E93" t="s">
        <v>127</v>
      </c>
      <c r="F93" s="15">
        <v>4961.333333333333</v>
      </c>
      <c r="G93" s="10" t="s">
        <v>8</v>
      </c>
    </row>
    <row r="94" spans="2:7">
      <c r="B94"/>
      <c r="C94" t="s">
        <v>4</v>
      </c>
      <c r="D94" t="s">
        <v>48</v>
      </c>
      <c r="E94" t="s">
        <v>127</v>
      </c>
      <c r="F94" s="15">
        <v>5027.333333333333</v>
      </c>
      <c r="G94" s="10" t="s">
        <v>8</v>
      </c>
    </row>
    <row r="95" spans="2:7">
      <c r="B95"/>
      <c r="C95" t="s">
        <v>5</v>
      </c>
      <c r="D95">
        <v>2025</v>
      </c>
      <c r="E95" t="s">
        <v>124</v>
      </c>
      <c r="F95" s="15">
        <v>14421.333333333334</v>
      </c>
      <c r="G95" s="10" t="s">
        <v>8</v>
      </c>
    </row>
    <row r="96" spans="2:7">
      <c r="B96"/>
      <c r="C96" t="s">
        <v>5</v>
      </c>
      <c r="D96" t="s">
        <v>19</v>
      </c>
      <c r="E96" t="s">
        <v>124</v>
      </c>
      <c r="F96" s="15">
        <v>13560</v>
      </c>
      <c r="G96" s="10" t="s">
        <v>8</v>
      </c>
    </row>
    <row r="97" spans="2:7">
      <c r="B97"/>
      <c r="C97" t="s">
        <v>5</v>
      </c>
      <c r="D97" t="s">
        <v>20</v>
      </c>
      <c r="E97" t="s">
        <v>124</v>
      </c>
      <c r="F97" s="15">
        <v>18200.666666666668</v>
      </c>
      <c r="G97" s="10" t="s">
        <v>8</v>
      </c>
    </row>
    <row r="98" spans="2:7">
      <c r="B98"/>
      <c r="C98" t="s">
        <v>5</v>
      </c>
      <c r="D98" t="s">
        <v>43</v>
      </c>
      <c r="E98" t="s">
        <v>124</v>
      </c>
      <c r="F98" s="15">
        <v>18360</v>
      </c>
      <c r="G98" s="10" t="s">
        <v>8</v>
      </c>
    </row>
    <row r="99" spans="2:7">
      <c r="B99"/>
      <c r="C99" t="s">
        <v>5</v>
      </c>
      <c r="D99" t="s">
        <v>44</v>
      </c>
      <c r="E99" t="s">
        <v>124</v>
      </c>
      <c r="F99" s="15">
        <v>17542</v>
      </c>
      <c r="G99" s="10" t="s">
        <v>8</v>
      </c>
    </row>
    <row r="100" spans="2:7">
      <c r="B100"/>
      <c r="C100" t="s">
        <v>5</v>
      </c>
      <c r="D100" t="s">
        <v>45</v>
      </c>
      <c r="E100" t="s">
        <v>124</v>
      </c>
      <c r="F100" s="15">
        <v>17657.333333333332</v>
      </c>
      <c r="G100" s="10" t="s">
        <v>8</v>
      </c>
    </row>
    <row r="101" spans="2:7">
      <c r="B101"/>
      <c r="C101" t="s">
        <v>5</v>
      </c>
      <c r="D101" t="s">
        <v>48</v>
      </c>
      <c r="E101" t="s">
        <v>124</v>
      </c>
      <c r="F101" s="15">
        <v>20643.333333333332</v>
      </c>
      <c r="G101" s="10" t="s">
        <v>8</v>
      </c>
    </row>
    <row r="102" spans="2:7">
      <c r="B102"/>
      <c r="C102" t="s">
        <v>5</v>
      </c>
      <c r="D102">
        <v>2025</v>
      </c>
      <c r="E102" t="s">
        <v>125</v>
      </c>
      <c r="F102" s="15">
        <v>57695.333333333336</v>
      </c>
      <c r="G102" s="10" t="s">
        <v>8</v>
      </c>
    </row>
    <row r="103" spans="2:7">
      <c r="B103"/>
      <c r="C103" t="s">
        <v>5</v>
      </c>
      <c r="D103" t="s">
        <v>19</v>
      </c>
      <c r="E103" t="s">
        <v>125</v>
      </c>
      <c r="F103" s="15">
        <v>56922.666666666664</v>
      </c>
      <c r="G103" s="10" t="s">
        <v>8</v>
      </c>
    </row>
    <row r="104" spans="2:7">
      <c r="B104"/>
      <c r="C104" t="s">
        <v>5</v>
      </c>
      <c r="D104" t="s">
        <v>20</v>
      </c>
      <c r="E104" t="s">
        <v>125</v>
      </c>
      <c r="F104" s="15">
        <v>61472.666666666664</v>
      </c>
      <c r="G104" s="10" t="s">
        <v>8</v>
      </c>
    </row>
    <row r="105" spans="2:7">
      <c r="B105"/>
      <c r="C105" t="s">
        <v>5</v>
      </c>
      <c r="D105" t="s">
        <v>43</v>
      </c>
      <c r="E105" t="s">
        <v>125</v>
      </c>
      <c r="F105" s="15">
        <v>60910.666666666664</v>
      </c>
      <c r="G105" s="10" t="s">
        <v>8</v>
      </c>
    </row>
    <row r="106" spans="2:7">
      <c r="B106"/>
      <c r="C106" t="s">
        <v>5</v>
      </c>
      <c r="D106" t="s">
        <v>44</v>
      </c>
      <c r="E106" t="s">
        <v>125</v>
      </c>
      <c r="F106" s="15">
        <v>61338</v>
      </c>
      <c r="G106" s="10" t="s">
        <v>8</v>
      </c>
    </row>
    <row r="107" spans="2:7">
      <c r="B107"/>
      <c r="C107" t="s">
        <v>5</v>
      </c>
      <c r="D107" t="s">
        <v>45</v>
      </c>
      <c r="E107" t="s">
        <v>125</v>
      </c>
      <c r="F107" s="15">
        <v>62958</v>
      </c>
      <c r="G107" s="10" t="s">
        <v>8</v>
      </c>
    </row>
    <row r="108" spans="2:7">
      <c r="B108"/>
      <c r="C108" t="s">
        <v>5</v>
      </c>
      <c r="D108" t="s">
        <v>48</v>
      </c>
      <c r="E108" t="s">
        <v>125</v>
      </c>
      <c r="F108" s="15">
        <v>67163.333333333328</v>
      </c>
      <c r="G108" s="10" t="s">
        <v>8</v>
      </c>
    </row>
    <row r="109" spans="2:7">
      <c r="B109"/>
      <c r="C109" t="s">
        <v>5</v>
      </c>
      <c r="D109">
        <v>2025</v>
      </c>
      <c r="E109" t="s">
        <v>126</v>
      </c>
      <c r="F109" s="15">
        <v>49075.333333333336</v>
      </c>
      <c r="G109" s="10" t="s">
        <v>8</v>
      </c>
    </row>
    <row r="110" spans="2:7">
      <c r="B110"/>
      <c r="C110" t="s">
        <v>5</v>
      </c>
      <c r="D110" t="s">
        <v>19</v>
      </c>
      <c r="E110" t="s">
        <v>126</v>
      </c>
      <c r="F110" s="15">
        <v>54375.333333333336</v>
      </c>
      <c r="G110" s="10" t="s">
        <v>8</v>
      </c>
    </row>
    <row r="111" spans="2:7">
      <c r="B111"/>
      <c r="C111" t="s">
        <v>5</v>
      </c>
      <c r="D111" t="s">
        <v>20</v>
      </c>
      <c r="E111" t="s">
        <v>126</v>
      </c>
      <c r="F111" s="15">
        <v>49626.666666666664</v>
      </c>
      <c r="G111" s="10" t="s">
        <v>8</v>
      </c>
    </row>
    <row r="112" spans="2:7">
      <c r="B112"/>
      <c r="C112" t="s">
        <v>5</v>
      </c>
      <c r="D112" t="s">
        <v>43</v>
      </c>
      <c r="E112" t="s">
        <v>126</v>
      </c>
      <c r="F112" s="15">
        <v>47981.333333333336</v>
      </c>
      <c r="G112" s="10" t="s">
        <v>8</v>
      </c>
    </row>
    <row r="113" spans="2:7">
      <c r="B113"/>
      <c r="C113" t="s">
        <v>5</v>
      </c>
      <c r="D113" t="s">
        <v>44</v>
      </c>
      <c r="E113" t="s">
        <v>126</v>
      </c>
      <c r="F113" s="15">
        <v>48750</v>
      </c>
      <c r="G113" s="10" t="s">
        <v>8</v>
      </c>
    </row>
    <row r="114" spans="2:7">
      <c r="B114"/>
      <c r="C114" t="s">
        <v>5</v>
      </c>
      <c r="D114" t="s">
        <v>45</v>
      </c>
      <c r="E114" t="s">
        <v>126</v>
      </c>
      <c r="F114" s="15">
        <v>49291.333333333336</v>
      </c>
      <c r="G114" s="10" t="s">
        <v>8</v>
      </c>
    </row>
    <row r="115" spans="2:7">
      <c r="B115"/>
      <c r="C115" t="s">
        <v>5</v>
      </c>
      <c r="D115" t="s">
        <v>48</v>
      </c>
      <c r="E115" t="s">
        <v>126</v>
      </c>
      <c r="F115" s="15">
        <v>53030.666666666664</v>
      </c>
      <c r="G115" s="10" t="s">
        <v>8</v>
      </c>
    </row>
    <row r="116" spans="2:7">
      <c r="B116"/>
      <c r="C116" t="s">
        <v>5</v>
      </c>
      <c r="D116">
        <v>2025</v>
      </c>
      <c r="E116" t="s">
        <v>127</v>
      </c>
      <c r="F116" s="15">
        <v>5308</v>
      </c>
      <c r="G116" s="10" t="s">
        <v>8</v>
      </c>
    </row>
    <row r="117" spans="2:7">
      <c r="B117"/>
      <c r="C117" t="s">
        <v>5</v>
      </c>
      <c r="D117" t="s">
        <v>19</v>
      </c>
      <c r="E117" t="s">
        <v>127</v>
      </c>
      <c r="F117" s="15">
        <v>5210</v>
      </c>
      <c r="G117" s="10" t="s">
        <v>8</v>
      </c>
    </row>
    <row r="118" spans="2:7">
      <c r="B118"/>
      <c r="C118" t="s">
        <v>5</v>
      </c>
      <c r="D118" t="s">
        <v>20</v>
      </c>
      <c r="E118" t="s">
        <v>127</v>
      </c>
      <c r="F118" s="15">
        <v>5254</v>
      </c>
      <c r="G118" s="10" t="s">
        <v>8</v>
      </c>
    </row>
    <row r="119" spans="2:7">
      <c r="B119"/>
      <c r="C119" t="s">
        <v>5</v>
      </c>
      <c r="D119" t="s">
        <v>43</v>
      </c>
      <c r="E119" t="s">
        <v>127</v>
      </c>
      <c r="F119" s="15">
        <v>5761.333333333333</v>
      </c>
      <c r="G119" s="10" t="s">
        <v>8</v>
      </c>
    </row>
    <row r="120" spans="2:7">
      <c r="B120"/>
      <c r="C120" t="s">
        <v>5</v>
      </c>
      <c r="D120" t="s">
        <v>44</v>
      </c>
      <c r="E120" t="s">
        <v>127</v>
      </c>
      <c r="F120" s="15">
        <v>6045.333333333333</v>
      </c>
      <c r="G120" s="10" t="s">
        <v>8</v>
      </c>
    </row>
    <row r="121" spans="2:7">
      <c r="B121"/>
      <c r="C121" t="s">
        <v>5</v>
      </c>
      <c r="D121" t="s">
        <v>45</v>
      </c>
      <c r="E121" t="s">
        <v>127</v>
      </c>
      <c r="F121" s="15">
        <v>6464.666666666667</v>
      </c>
      <c r="G121" s="10" t="s">
        <v>8</v>
      </c>
    </row>
    <row r="122" spans="2:7">
      <c r="B122"/>
      <c r="C122" t="s">
        <v>5</v>
      </c>
      <c r="D122" t="s">
        <v>48</v>
      </c>
      <c r="E122" t="s">
        <v>127</v>
      </c>
      <c r="F122" s="15">
        <v>6852</v>
      </c>
      <c r="G122" s="10" t="s">
        <v>8</v>
      </c>
    </row>
    <row r="123" spans="2:7">
      <c r="B123"/>
      <c r="C123" t="s">
        <v>13</v>
      </c>
      <c r="D123">
        <v>2025</v>
      </c>
      <c r="E123" t="s">
        <v>124</v>
      </c>
      <c r="F123" s="15">
        <v>15000.666666666666</v>
      </c>
      <c r="G123" s="10" t="s">
        <v>8</v>
      </c>
    </row>
    <row r="124" spans="2:7">
      <c r="B124"/>
      <c r="C124" t="s">
        <v>13</v>
      </c>
      <c r="D124" t="s">
        <v>19</v>
      </c>
      <c r="E124" t="s">
        <v>124</v>
      </c>
      <c r="F124" s="15">
        <v>13359.333333333334</v>
      </c>
      <c r="G124" s="10" t="s">
        <v>8</v>
      </c>
    </row>
    <row r="125" spans="2:7">
      <c r="B125"/>
      <c r="C125" t="s">
        <v>13</v>
      </c>
      <c r="D125" t="s">
        <v>20</v>
      </c>
      <c r="E125" t="s">
        <v>124</v>
      </c>
      <c r="F125" s="15">
        <v>13940</v>
      </c>
      <c r="G125" s="10" t="s">
        <v>8</v>
      </c>
    </row>
    <row r="126" spans="2:7">
      <c r="B126"/>
      <c r="C126" t="s">
        <v>13</v>
      </c>
      <c r="D126" t="s">
        <v>43</v>
      </c>
      <c r="E126" t="s">
        <v>124</v>
      </c>
      <c r="F126" s="15">
        <v>12172.666666666666</v>
      </c>
      <c r="G126" s="10" t="s">
        <v>8</v>
      </c>
    </row>
    <row r="127" spans="2:7">
      <c r="B127"/>
      <c r="C127" t="s">
        <v>13</v>
      </c>
      <c r="D127" t="s">
        <v>44</v>
      </c>
      <c r="E127" t="s">
        <v>124</v>
      </c>
      <c r="F127" s="15">
        <v>12428</v>
      </c>
      <c r="G127" s="10" t="s">
        <v>8</v>
      </c>
    </row>
    <row r="128" spans="2:7">
      <c r="B128"/>
      <c r="C128" t="s">
        <v>13</v>
      </c>
      <c r="D128" t="s">
        <v>45</v>
      </c>
      <c r="E128" t="s">
        <v>124</v>
      </c>
      <c r="F128" s="15">
        <v>13220.666666666666</v>
      </c>
      <c r="G128" s="10" t="s">
        <v>8</v>
      </c>
    </row>
    <row r="129" spans="2:7">
      <c r="B129"/>
      <c r="C129" t="s">
        <v>13</v>
      </c>
      <c r="D129" t="s">
        <v>48</v>
      </c>
      <c r="E129" t="s">
        <v>124</v>
      </c>
      <c r="F129" s="15">
        <v>14094</v>
      </c>
      <c r="G129" s="10" t="s">
        <v>8</v>
      </c>
    </row>
    <row r="130" spans="2:7">
      <c r="B130"/>
      <c r="C130" t="s">
        <v>13</v>
      </c>
      <c r="D130">
        <v>2025</v>
      </c>
      <c r="E130" t="s">
        <v>125</v>
      </c>
      <c r="F130" s="15">
        <v>15403.333333333334</v>
      </c>
      <c r="G130" s="10" t="s">
        <v>8</v>
      </c>
    </row>
    <row r="131" spans="2:7">
      <c r="B131"/>
      <c r="C131" t="s">
        <v>13</v>
      </c>
      <c r="D131" t="s">
        <v>19</v>
      </c>
      <c r="E131" t="s">
        <v>125</v>
      </c>
      <c r="F131" s="15">
        <v>16695.333333333332</v>
      </c>
      <c r="G131" s="10" t="s">
        <v>8</v>
      </c>
    </row>
    <row r="132" spans="2:7">
      <c r="B132"/>
      <c r="C132" t="s">
        <v>13</v>
      </c>
      <c r="D132" t="s">
        <v>20</v>
      </c>
      <c r="E132" t="s">
        <v>125</v>
      </c>
      <c r="F132" s="15">
        <v>18778.666666666668</v>
      </c>
      <c r="G132" s="10" t="s">
        <v>8</v>
      </c>
    </row>
    <row r="133" spans="2:7">
      <c r="B133"/>
      <c r="C133" t="s">
        <v>13</v>
      </c>
      <c r="D133" t="s">
        <v>43</v>
      </c>
      <c r="E133" t="s">
        <v>125</v>
      </c>
      <c r="F133" s="15">
        <v>17624.666666666668</v>
      </c>
      <c r="G133" s="10" t="s">
        <v>8</v>
      </c>
    </row>
    <row r="134" spans="2:7">
      <c r="B134"/>
      <c r="C134" t="s">
        <v>13</v>
      </c>
      <c r="D134" t="s">
        <v>44</v>
      </c>
      <c r="E134" t="s">
        <v>125</v>
      </c>
      <c r="F134" s="15">
        <v>19211.333333333332</v>
      </c>
      <c r="G134" s="10" t="s">
        <v>8</v>
      </c>
    </row>
    <row r="135" spans="2:7">
      <c r="B135"/>
      <c r="C135" t="s">
        <v>13</v>
      </c>
      <c r="D135" t="s">
        <v>45</v>
      </c>
      <c r="E135" t="s">
        <v>125</v>
      </c>
      <c r="F135" s="15">
        <v>21320</v>
      </c>
      <c r="G135" s="10" t="s">
        <v>8</v>
      </c>
    </row>
    <row r="136" spans="2:7">
      <c r="B136"/>
      <c r="C136" t="s">
        <v>13</v>
      </c>
      <c r="D136" t="s">
        <v>48</v>
      </c>
      <c r="E136" t="s">
        <v>125</v>
      </c>
      <c r="F136" s="15">
        <v>23659.333333333332</v>
      </c>
      <c r="G136" s="10" t="s">
        <v>8</v>
      </c>
    </row>
    <row r="137" spans="2:7">
      <c r="B137"/>
      <c r="C137" t="s">
        <v>13</v>
      </c>
      <c r="D137">
        <v>2025</v>
      </c>
      <c r="E137" t="s">
        <v>126</v>
      </c>
      <c r="F137" s="15">
        <v>10866</v>
      </c>
      <c r="G137" s="10" t="s">
        <v>8</v>
      </c>
    </row>
    <row r="138" spans="2:7">
      <c r="B138"/>
      <c r="C138" t="s">
        <v>13</v>
      </c>
      <c r="D138" t="s">
        <v>19</v>
      </c>
      <c r="E138" t="s">
        <v>126</v>
      </c>
      <c r="F138" s="15">
        <v>7696.666666666667</v>
      </c>
      <c r="G138" s="10" t="s">
        <v>8</v>
      </c>
    </row>
    <row r="139" spans="2:7">
      <c r="B139"/>
      <c r="C139" t="s">
        <v>13</v>
      </c>
      <c r="D139" t="s">
        <v>20</v>
      </c>
      <c r="E139" t="s">
        <v>126</v>
      </c>
      <c r="F139" s="15">
        <v>8081.333333333333</v>
      </c>
      <c r="G139" s="10" t="s">
        <v>8</v>
      </c>
    </row>
    <row r="140" spans="2:7">
      <c r="B140"/>
      <c r="C140" t="s">
        <v>13</v>
      </c>
      <c r="D140" t="s">
        <v>43</v>
      </c>
      <c r="E140" t="s">
        <v>126</v>
      </c>
      <c r="F140" s="15">
        <v>8737.3333333333339</v>
      </c>
      <c r="G140" s="10" t="s">
        <v>8</v>
      </c>
    </row>
    <row r="141" spans="2:7">
      <c r="B141"/>
      <c r="C141" t="s">
        <v>13</v>
      </c>
      <c r="D141" t="s">
        <v>44</v>
      </c>
      <c r="E141" t="s">
        <v>126</v>
      </c>
      <c r="F141" s="15">
        <v>9610</v>
      </c>
      <c r="G141" s="10" t="s">
        <v>8</v>
      </c>
    </row>
    <row r="142" spans="2:7">
      <c r="B142"/>
      <c r="C142" t="s">
        <v>13</v>
      </c>
      <c r="D142" t="s">
        <v>45</v>
      </c>
      <c r="E142" t="s">
        <v>126</v>
      </c>
      <c r="F142" s="15">
        <v>10649.333333333334</v>
      </c>
      <c r="G142" s="10" t="s">
        <v>8</v>
      </c>
    </row>
    <row r="143" spans="2:7">
      <c r="B143"/>
      <c r="C143" t="s">
        <v>13</v>
      </c>
      <c r="D143" t="s">
        <v>48</v>
      </c>
      <c r="E143" t="s">
        <v>126</v>
      </c>
      <c r="F143" s="15">
        <v>11156</v>
      </c>
      <c r="G143" s="10" t="s">
        <v>8</v>
      </c>
    </row>
    <row r="144" spans="2:7">
      <c r="B144"/>
      <c r="C144" t="s">
        <v>13</v>
      </c>
      <c r="D144">
        <v>2025</v>
      </c>
      <c r="E144" t="s">
        <v>127</v>
      </c>
      <c r="F144" s="15">
        <v>2166.6666666666665</v>
      </c>
      <c r="G144" s="10" t="s">
        <v>8</v>
      </c>
    </row>
    <row r="145" spans="2:7">
      <c r="B145"/>
      <c r="C145" t="s">
        <v>13</v>
      </c>
      <c r="D145" t="s">
        <v>19</v>
      </c>
      <c r="E145" t="s">
        <v>127</v>
      </c>
      <c r="F145" s="15">
        <v>2265.3333333333335</v>
      </c>
      <c r="G145" s="10" t="s">
        <v>8</v>
      </c>
    </row>
    <row r="146" spans="2:7">
      <c r="B146"/>
      <c r="C146" t="s">
        <v>13</v>
      </c>
      <c r="D146" t="s">
        <v>20</v>
      </c>
      <c r="E146" t="s">
        <v>127</v>
      </c>
      <c r="F146" s="15">
        <v>2040.6666666666667</v>
      </c>
      <c r="G146" s="10" t="s">
        <v>8</v>
      </c>
    </row>
    <row r="147" spans="2:7">
      <c r="B147"/>
      <c r="C147" t="s">
        <v>13</v>
      </c>
      <c r="D147" t="s">
        <v>43</v>
      </c>
      <c r="E147" t="s">
        <v>127</v>
      </c>
      <c r="F147" s="15">
        <v>2069.3333333333335</v>
      </c>
      <c r="G147" s="10" t="s">
        <v>8</v>
      </c>
    </row>
    <row r="148" spans="2:7">
      <c r="B148"/>
      <c r="C148" t="s">
        <v>13</v>
      </c>
      <c r="D148" t="s">
        <v>44</v>
      </c>
      <c r="E148" t="s">
        <v>127</v>
      </c>
      <c r="F148" s="15">
        <v>2335.3333333333335</v>
      </c>
      <c r="G148" s="10" t="s">
        <v>8</v>
      </c>
    </row>
    <row r="149" spans="2:7">
      <c r="B149"/>
      <c r="C149" t="s">
        <v>13</v>
      </c>
      <c r="D149" t="s">
        <v>45</v>
      </c>
      <c r="E149" t="s">
        <v>127</v>
      </c>
      <c r="F149" s="15">
        <v>2526</v>
      </c>
      <c r="G149" s="10" t="s">
        <v>8</v>
      </c>
    </row>
    <row r="150" spans="2:7">
      <c r="B150"/>
      <c r="C150" t="s">
        <v>13</v>
      </c>
      <c r="D150" t="s">
        <v>48</v>
      </c>
      <c r="E150" t="s">
        <v>127</v>
      </c>
      <c r="F150" s="15">
        <v>2826</v>
      </c>
      <c r="G150" s="10" t="s">
        <v>8</v>
      </c>
    </row>
    <row r="151" spans="2:7">
      <c r="B151"/>
      <c r="C151" t="s">
        <v>12</v>
      </c>
      <c r="D151" t="s">
        <v>19</v>
      </c>
      <c r="E151" t="s">
        <v>124</v>
      </c>
      <c r="F151" s="15">
        <v>15359.333333333334</v>
      </c>
      <c r="G151" s="10" t="s">
        <v>8</v>
      </c>
    </row>
    <row r="152" spans="2:7">
      <c r="B152"/>
      <c r="C152" t="s">
        <v>12</v>
      </c>
      <c r="D152" t="s">
        <v>20</v>
      </c>
      <c r="E152" t="s">
        <v>124</v>
      </c>
      <c r="F152" s="15">
        <v>16058</v>
      </c>
      <c r="G152" s="10" t="s">
        <v>8</v>
      </c>
    </row>
    <row r="153" spans="2:7">
      <c r="B153"/>
      <c r="C153" t="s">
        <v>12</v>
      </c>
      <c r="D153" t="s">
        <v>43</v>
      </c>
      <c r="E153" t="s">
        <v>124</v>
      </c>
      <c r="F153" s="15">
        <v>14162.666666666666</v>
      </c>
      <c r="G153" s="10" t="s">
        <v>8</v>
      </c>
    </row>
    <row r="154" spans="2:7">
      <c r="B154"/>
      <c r="C154" t="s">
        <v>12</v>
      </c>
      <c r="D154" t="s">
        <v>44</v>
      </c>
      <c r="E154" t="s">
        <v>124</v>
      </c>
      <c r="F154" s="15">
        <v>14280</v>
      </c>
      <c r="G154" s="10" t="s">
        <v>8</v>
      </c>
    </row>
    <row r="155" spans="2:7">
      <c r="B155"/>
      <c r="C155" t="s">
        <v>12</v>
      </c>
      <c r="D155" t="s">
        <v>45</v>
      </c>
      <c r="E155" t="s">
        <v>124</v>
      </c>
      <c r="F155" s="15">
        <v>15261.333333333334</v>
      </c>
      <c r="G155" s="10" t="s">
        <v>8</v>
      </c>
    </row>
    <row r="156" spans="2:7">
      <c r="B156"/>
      <c r="C156" t="s">
        <v>12</v>
      </c>
      <c r="D156" t="s">
        <v>48</v>
      </c>
      <c r="E156" t="s">
        <v>124</v>
      </c>
      <c r="F156" s="15">
        <v>16212</v>
      </c>
      <c r="G156" s="10" t="s">
        <v>8</v>
      </c>
    </row>
    <row r="157" spans="2:7">
      <c r="B157"/>
      <c r="C157" t="s">
        <v>12</v>
      </c>
      <c r="D157" t="s">
        <v>19</v>
      </c>
      <c r="E157" t="s">
        <v>125</v>
      </c>
      <c r="F157" s="15">
        <v>23996</v>
      </c>
      <c r="G157" s="10" t="s">
        <v>8</v>
      </c>
    </row>
    <row r="158" spans="2:7">
      <c r="B158"/>
      <c r="C158" t="s">
        <v>12</v>
      </c>
      <c r="D158" t="s">
        <v>20</v>
      </c>
      <c r="E158" t="s">
        <v>125</v>
      </c>
      <c r="F158" s="15">
        <v>27035.333333333332</v>
      </c>
      <c r="G158" s="10" t="s">
        <v>8</v>
      </c>
    </row>
    <row r="159" spans="2:7">
      <c r="B159"/>
      <c r="C159" t="s">
        <v>12</v>
      </c>
      <c r="D159" t="s">
        <v>43</v>
      </c>
      <c r="E159" t="s">
        <v>125</v>
      </c>
      <c r="F159" s="15">
        <v>25610</v>
      </c>
      <c r="G159" s="10" t="s">
        <v>8</v>
      </c>
    </row>
    <row r="160" spans="2:7">
      <c r="B160"/>
      <c r="C160" t="s">
        <v>12</v>
      </c>
      <c r="D160" t="s">
        <v>44</v>
      </c>
      <c r="E160" t="s">
        <v>125</v>
      </c>
      <c r="F160" s="15">
        <v>27876.666666666668</v>
      </c>
      <c r="G160" s="10" t="s">
        <v>8</v>
      </c>
    </row>
    <row r="161" spans="2:7">
      <c r="B161"/>
      <c r="C161" t="s">
        <v>12</v>
      </c>
      <c r="D161" t="s">
        <v>45</v>
      </c>
      <c r="E161" t="s">
        <v>125</v>
      </c>
      <c r="F161" s="15">
        <v>30534.666666666668</v>
      </c>
      <c r="G161" s="10" t="s">
        <v>8</v>
      </c>
    </row>
    <row r="162" spans="2:7">
      <c r="B162"/>
      <c r="C162" t="s">
        <v>12</v>
      </c>
      <c r="D162" t="s">
        <v>48</v>
      </c>
      <c r="E162" t="s">
        <v>125</v>
      </c>
      <c r="F162" s="15">
        <v>33444</v>
      </c>
      <c r="G162" s="10" t="s">
        <v>8</v>
      </c>
    </row>
    <row r="163" spans="2:7">
      <c r="B163"/>
      <c r="C163" t="s">
        <v>12</v>
      </c>
      <c r="D163" t="s">
        <v>19</v>
      </c>
      <c r="E163" t="s">
        <v>126</v>
      </c>
      <c r="F163" s="15">
        <v>9349.3333333333339</v>
      </c>
      <c r="G163" s="10" t="s">
        <v>8</v>
      </c>
    </row>
    <row r="164" spans="2:7">
      <c r="B164"/>
      <c r="C164" t="s">
        <v>12</v>
      </c>
      <c r="D164" t="s">
        <v>20</v>
      </c>
      <c r="E164" t="s">
        <v>126</v>
      </c>
      <c r="F164" s="15">
        <v>9553.3333333333339</v>
      </c>
      <c r="G164" s="10" t="s">
        <v>8</v>
      </c>
    </row>
    <row r="165" spans="2:7">
      <c r="B165"/>
      <c r="C165" t="s">
        <v>12</v>
      </c>
      <c r="D165" t="s">
        <v>43</v>
      </c>
      <c r="E165" t="s">
        <v>126</v>
      </c>
      <c r="F165" s="15">
        <v>10263.333333333334</v>
      </c>
      <c r="G165" s="10" t="s">
        <v>8</v>
      </c>
    </row>
    <row r="166" spans="2:7">
      <c r="B166"/>
      <c r="C166" t="s">
        <v>12</v>
      </c>
      <c r="D166" t="s">
        <v>44</v>
      </c>
      <c r="E166" t="s">
        <v>126</v>
      </c>
      <c r="F166" s="15">
        <v>11229.333333333334</v>
      </c>
      <c r="G166" s="10" t="s">
        <v>8</v>
      </c>
    </row>
    <row r="167" spans="2:7">
      <c r="B167"/>
      <c r="C167" t="s">
        <v>12</v>
      </c>
      <c r="D167" t="s">
        <v>45</v>
      </c>
      <c r="E167" t="s">
        <v>126</v>
      </c>
      <c r="F167" s="15">
        <v>12491.333333333334</v>
      </c>
      <c r="G167" s="10" t="s">
        <v>8</v>
      </c>
    </row>
    <row r="168" spans="2:7">
      <c r="B168"/>
      <c r="C168" t="s">
        <v>12</v>
      </c>
      <c r="D168" t="s">
        <v>48</v>
      </c>
      <c r="E168" t="s">
        <v>126</v>
      </c>
      <c r="F168" s="15">
        <v>12259.333333333334</v>
      </c>
      <c r="G168" s="10" t="s">
        <v>8</v>
      </c>
    </row>
    <row r="169" spans="2:7">
      <c r="B169"/>
      <c r="C169" t="s">
        <v>12</v>
      </c>
      <c r="D169" t="s">
        <v>19</v>
      </c>
      <c r="E169" t="s">
        <v>127</v>
      </c>
      <c r="F169" s="15">
        <v>2594</v>
      </c>
      <c r="G169" s="10" t="s">
        <v>8</v>
      </c>
    </row>
    <row r="170" spans="2:7">
      <c r="B170"/>
      <c r="C170" t="s">
        <v>12</v>
      </c>
      <c r="D170" t="s">
        <v>20</v>
      </c>
      <c r="E170" t="s">
        <v>127</v>
      </c>
      <c r="F170" s="15">
        <v>2386.6666666666665</v>
      </c>
      <c r="G170" s="10" t="s">
        <v>8</v>
      </c>
    </row>
    <row r="171" spans="2:7">
      <c r="B171"/>
      <c r="C171" t="s">
        <v>12</v>
      </c>
      <c r="D171" t="s">
        <v>43</v>
      </c>
      <c r="E171" t="s">
        <v>127</v>
      </c>
      <c r="F171" s="15">
        <v>2460</v>
      </c>
      <c r="G171" s="10" t="s">
        <v>8</v>
      </c>
    </row>
    <row r="172" spans="2:7">
      <c r="B172"/>
      <c r="C172" t="s">
        <v>12</v>
      </c>
      <c r="D172" t="s">
        <v>44</v>
      </c>
      <c r="E172" t="s">
        <v>127</v>
      </c>
      <c r="F172" s="15">
        <v>2777.3333333333335</v>
      </c>
      <c r="G172" s="10" t="s">
        <v>8</v>
      </c>
    </row>
    <row r="173" spans="2:7">
      <c r="B173"/>
      <c r="C173" t="s">
        <v>12</v>
      </c>
      <c r="D173" t="s">
        <v>45</v>
      </c>
      <c r="E173" t="s">
        <v>127</v>
      </c>
      <c r="F173" s="15">
        <v>2968</v>
      </c>
      <c r="G173" s="10" t="s">
        <v>8</v>
      </c>
    </row>
    <row r="174" spans="2:7">
      <c r="B174"/>
      <c r="C174" t="s">
        <v>12</v>
      </c>
      <c r="D174" t="s">
        <v>48</v>
      </c>
      <c r="E174" t="s">
        <v>127</v>
      </c>
      <c r="F174" s="15">
        <v>2826</v>
      </c>
      <c r="G174" s="10" t="s">
        <v>8</v>
      </c>
    </row>
    <row r="175" spans="2:7">
      <c r="B175"/>
      <c r="C175" t="s">
        <v>34</v>
      </c>
      <c r="D175">
        <v>2025</v>
      </c>
      <c r="E175" t="s">
        <v>124</v>
      </c>
      <c r="F175" s="15">
        <v>14026</v>
      </c>
      <c r="G175" s="10" t="s">
        <v>8</v>
      </c>
    </row>
    <row r="176" spans="2:7">
      <c r="B176"/>
      <c r="C176" t="s">
        <v>34</v>
      </c>
      <c r="D176" t="s">
        <v>19</v>
      </c>
      <c r="E176" t="s">
        <v>124</v>
      </c>
      <c r="F176" s="15">
        <v>12272</v>
      </c>
      <c r="G176" s="10" t="s">
        <v>8</v>
      </c>
    </row>
    <row r="177" spans="2:7">
      <c r="B177"/>
      <c r="C177" t="s">
        <v>34</v>
      </c>
      <c r="D177" t="s">
        <v>20</v>
      </c>
      <c r="E177" t="s">
        <v>124</v>
      </c>
      <c r="F177" s="15">
        <v>12590</v>
      </c>
      <c r="G177" s="10" t="s">
        <v>8</v>
      </c>
    </row>
    <row r="178" spans="2:7">
      <c r="B178"/>
      <c r="C178" t="s">
        <v>34</v>
      </c>
      <c r="D178" t="s">
        <v>43</v>
      </c>
      <c r="E178" t="s">
        <v>124</v>
      </c>
      <c r="F178" s="15">
        <v>10877.333333333334</v>
      </c>
      <c r="G178" s="10" t="s">
        <v>8</v>
      </c>
    </row>
    <row r="179" spans="2:7">
      <c r="B179"/>
      <c r="C179" t="s">
        <v>34</v>
      </c>
      <c r="D179" t="s">
        <v>44</v>
      </c>
      <c r="E179" t="s">
        <v>124</v>
      </c>
      <c r="F179" s="15">
        <v>11118</v>
      </c>
      <c r="G179" s="10" t="s">
        <v>8</v>
      </c>
    </row>
    <row r="180" spans="2:7">
      <c r="B180"/>
      <c r="C180" t="s">
        <v>34</v>
      </c>
      <c r="D180" t="s">
        <v>45</v>
      </c>
      <c r="E180" t="s">
        <v>124</v>
      </c>
      <c r="F180" s="15">
        <v>11982</v>
      </c>
      <c r="G180" s="10" t="s">
        <v>8</v>
      </c>
    </row>
    <row r="181" spans="2:7">
      <c r="B181"/>
      <c r="C181" t="s">
        <v>34</v>
      </c>
      <c r="D181" t="s">
        <v>48</v>
      </c>
      <c r="E181" t="s">
        <v>124</v>
      </c>
      <c r="F181" s="15">
        <v>12881.333333333334</v>
      </c>
      <c r="G181" s="10" t="s">
        <v>8</v>
      </c>
    </row>
    <row r="182" spans="2:7">
      <c r="B182"/>
      <c r="C182" t="s">
        <v>34</v>
      </c>
      <c r="D182">
        <v>2025</v>
      </c>
      <c r="E182" t="s">
        <v>125</v>
      </c>
      <c r="F182" s="15">
        <v>14265.333333333334</v>
      </c>
      <c r="G182" s="10" t="s">
        <v>8</v>
      </c>
    </row>
    <row r="183" spans="2:7">
      <c r="B183"/>
      <c r="C183" t="s">
        <v>34</v>
      </c>
      <c r="D183" t="s">
        <v>19</v>
      </c>
      <c r="E183" t="s">
        <v>125</v>
      </c>
      <c r="F183" s="15">
        <v>15413.333333333334</v>
      </c>
      <c r="G183" s="10" t="s">
        <v>8</v>
      </c>
    </row>
    <row r="184" spans="2:7">
      <c r="B184"/>
      <c r="C184" t="s">
        <v>34</v>
      </c>
      <c r="D184" t="s">
        <v>20</v>
      </c>
      <c r="E184" t="s">
        <v>125</v>
      </c>
      <c r="F184" s="15">
        <v>17412.666666666668</v>
      </c>
      <c r="G184" s="10" t="s">
        <v>8</v>
      </c>
    </row>
    <row r="185" spans="2:7">
      <c r="B185"/>
      <c r="C185" t="s">
        <v>34</v>
      </c>
      <c r="D185" t="s">
        <v>43</v>
      </c>
      <c r="E185" t="s">
        <v>125</v>
      </c>
      <c r="F185" s="15">
        <v>16220.666666666666</v>
      </c>
      <c r="G185" s="10" t="s">
        <v>8</v>
      </c>
    </row>
    <row r="186" spans="2:7">
      <c r="B186"/>
      <c r="C186" t="s">
        <v>34</v>
      </c>
      <c r="D186" t="s">
        <v>44</v>
      </c>
      <c r="E186" t="s">
        <v>125</v>
      </c>
      <c r="F186" s="15">
        <v>17656.666666666668</v>
      </c>
      <c r="G186" s="10" t="s">
        <v>8</v>
      </c>
    </row>
    <row r="187" spans="2:7">
      <c r="B187"/>
      <c r="C187" t="s">
        <v>34</v>
      </c>
      <c r="D187" t="s">
        <v>45</v>
      </c>
      <c r="E187" t="s">
        <v>125</v>
      </c>
      <c r="F187" s="15">
        <v>19803.333333333332</v>
      </c>
      <c r="G187" s="10" t="s">
        <v>8</v>
      </c>
    </row>
    <row r="188" spans="2:7">
      <c r="B188"/>
      <c r="C188" t="s">
        <v>34</v>
      </c>
      <c r="D188" t="s">
        <v>48</v>
      </c>
      <c r="E188" t="s">
        <v>125</v>
      </c>
      <c r="F188" s="15">
        <v>22275.333333333332</v>
      </c>
      <c r="G188" s="10" t="s">
        <v>8</v>
      </c>
    </row>
    <row r="189" spans="2:7">
      <c r="B189"/>
      <c r="C189" t="s">
        <v>34</v>
      </c>
      <c r="D189">
        <v>2025</v>
      </c>
      <c r="E189" t="s">
        <v>126</v>
      </c>
      <c r="F189" s="15">
        <v>9273.3333333333339</v>
      </c>
      <c r="G189" s="10" t="s">
        <v>8</v>
      </c>
    </row>
    <row r="190" spans="2:7">
      <c r="B190"/>
      <c r="C190" t="s">
        <v>34</v>
      </c>
      <c r="D190" t="s">
        <v>19</v>
      </c>
      <c r="E190" t="s">
        <v>126</v>
      </c>
      <c r="F190" s="15">
        <v>5859.333333333333</v>
      </c>
      <c r="G190" s="10" t="s">
        <v>8</v>
      </c>
    </row>
    <row r="191" spans="2:7">
      <c r="B191"/>
      <c r="C191" t="s">
        <v>34</v>
      </c>
      <c r="D191" t="s">
        <v>20</v>
      </c>
      <c r="E191" t="s">
        <v>126</v>
      </c>
      <c r="F191" s="15">
        <v>6398.666666666667</v>
      </c>
      <c r="G191" s="10" t="s">
        <v>8</v>
      </c>
    </row>
    <row r="192" spans="2:7">
      <c r="B192"/>
      <c r="C192" t="s">
        <v>34</v>
      </c>
      <c r="D192" t="s">
        <v>43</v>
      </c>
      <c r="E192" t="s">
        <v>126</v>
      </c>
      <c r="F192" s="15">
        <v>6706.666666666667</v>
      </c>
      <c r="G192" s="10" t="s">
        <v>8</v>
      </c>
    </row>
    <row r="193" spans="2:7">
      <c r="B193"/>
      <c r="C193" t="s">
        <v>34</v>
      </c>
      <c r="D193" t="s">
        <v>44</v>
      </c>
      <c r="E193" t="s">
        <v>126</v>
      </c>
      <c r="F193" s="15">
        <v>7664.666666666667</v>
      </c>
      <c r="G193" s="10" t="s">
        <v>8</v>
      </c>
    </row>
    <row r="194" spans="2:7">
      <c r="B194"/>
      <c r="C194" t="s">
        <v>34</v>
      </c>
      <c r="D194" t="s">
        <v>45</v>
      </c>
      <c r="E194" t="s">
        <v>126</v>
      </c>
      <c r="F194" s="15">
        <v>8730</v>
      </c>
      <c r="G194" s="10" t="s">
        <v>8</v>
      </c>
    </row>
    <row r="195" spans="2:7">
      <c r="B195"/>
      <c r="C195" t="s">
        <v>34</v>
      </c>
      <c r="D195" t="s">
        <v>48</v>
      </c>
      <c r="E195" t="s">
        <v>126</v>
      </c>
      <c r="F195" s="15">
        <v>9520</v>
      </c>
      <c r="G195" s="10" t="s">
        <v>8</v>
      </c>
    </row>
    <row r="196" spans="2:7">
      <c r="B196"/>
      <c r="C196" t="s">
        <v>34</v>
      </c>
      <c r="D196">
        <v>2025</v>
      </c>
      <c r="E196" t="s">
        <v>127</v>
      </c>
      <c r="F196" s="15">
        <v>1975.3333333333333</v>
      </c>
      <c r="G196" s="10" t="s">
        <v>8</v>
      </c>
    </row>
    <row r="197" spans="2:7">
      <c r="B197"/>
      <c r="C197" t="s">
        <v>34</v>
      </c>
      <c r="D197" t="s">
        <v>19</v>
      </c>
      <c r="E197" t="s">
        <v>127</v>
      </c>
      <c r="F197" s="15">
        <v>1995.3333333333333</v>
      </c>
      <c r="G197" s="10" t="s">
        <v>8</v>
      </c>
    </row>
    <row r="198" spans="2:7">
      <c r="B198"/>
      <c r="C198" t="s">
        <v>34</v>
      </c>
      <c r="D198" t="s">
        <v>20</v>
      </c>
      <c r="E198" t="s">
        <v>127</v>
      </c>
      <c r="F198" s="15">
        <v>1771.3333333333333</v>
      </c>
      <c r="G198" s="10" t="s">
        <v>8</v>
      </c>
    </row>
    <row r="199" spans="2:7">
      <c r="B199"/>
      <c r="C199" t="s">
        <v>34</v>
      </c>
      <c r="D199" t="s">
        <v>43</v>
      </c>
      <c r="E199" t="s">
        <v>127</v>
      </c>
      <c r="F199" s="15">
        <v>1805.3333333333333</v>
      </c>
      <c r="G199" s="10" t="s">
        <v>8</v>
      </c>
    </row>
    <row r="200" spans="2:7">
      <c r="B200"/>
      <c r="C200" t="s">
        <v>34</v>
      </c>
      <c r="D200" t="s">
        <v>44</v>
      </c>
      <c r="E200" t="s">
        <v>127</v>
      </c>
      <c r="F200" s="15">
        <v>2068.6666666666665</v>
      </c>
      <c r="G200" s="10" t="s">
        <v>8</v>
      </c>
    </row>
    <row r="201" spans="2:7">
      <c r="B201"/>
      <c r="C201" t="s">
        <v>34</v>
      </c>
      <c r="D201" t="s">
        <v>45</v>
      </c>
      <c r="E201" t="s">
        <v>127</v>
      </c>
      <c r="F201" s="15">
        <v>2256</v>
      </c>
      <c r="G201" s="10" t="s">
        <v>8</v>
      </c>
    </row>
    <row r="202" spans="2:7">
      <c r="B202"/>
      <c r="C202" t="s">
        <v>34</v>
      </c>
      <c r="D202" t="s">
        <v>48</v>
      </c>
      <c r="E202" t="s">
        <v>127</v>
      </c>
      <c r="F202" s="15">
        <v>2491.3333333333335</v>
      </c>
      <c r="G202" s="10" t="s">
        <v>8</v>
      </c>
    </row>
    <row r="203" spans="2:7">
      <c r="B203"/>
      <c r="C203" t="s">
        <v>17</v>
      </c>
      <c r="D203">
        <v>2025</v>
      </c>
      <c r="E203" t="s">
        <v>124</v>
      </c>
      <c r="F203" s="15">
        <v>768</v>
      </c>
      <c r="G203" s="10" t="s">
        <v>8</v>
      </c>
    </row>
    <row r="204" spans="2:7">
      <c r="B204"/>
      <c r="C204" t="s">
        <v>17</v>
      </c>
      <c r="D204" t="s">
        <v>19</v>
      </c>
      <c r="E204" t="s">
        <v>124</v>
      </c>
      <c r="F204" s="15">
        <v>842.66666666666663</v>
      </c>
      <c r="G204" s="10" t="s">
        <v>8</v>
      </c>
    </row>
    <row r="205" spans="2:7">
      <c r="B205"/>
      <c r="C205" t="s">
        <v>17</v>
      </c>
      <c r="D205" t="s">
        <v>20</v>
      </c>
      <c r="E205" t="s">
        <v>124</v>
      </c>
      <c r="F205" s="15">
        <v>200.66666666666666</v>
      </c>
      <c r="G205" s="10" t="s">
        <v>8</v>
      </c>
    </row>
    <row r="206" spans="2:7">
      <c r="B206"/>
      <c r="C206" t="s">
        <v>17</v>
      </c>
      <c r="D206" t="s">
        <v>43</v>
      </c>
      <c r="E206" t="s">
        <v>124</v>
      </c>
      <c r="F206" s="15">
        <v>2812.6666666666665</v>
      </c>
      <c r="G206" s="10" t="s">
        <v>8</v>
      </c>
    </row>
    <row r="207" spans="2:7">
      <c r="B207"/>
      <c r="C207" t="s">
        <v>17</v>
      </c>
      <c r="D207" t="s">
        <v>44</v>
      </c>
      <c r="E207" t="s">
        <v>124</v>
      </c>
      <c r="F207" s="15">
        <v>2889.3333333333335</v>
      </c>
      <c r="G207" s="10" t="s">
        <v>8</v>
      </c>
    </row>
    <row r="208" spans="2:7">
      <c r="B208"/>
      <c r="C208" t="s">
        <v>17</v>
      </c>
      <c r="D208" t="s">
        <v>45</v>
      </c>
      <c r="E208" t="s">
        <v>124</v>
      </c>
      <c r="F208" s="15">
        <v>2440</v>
      </c>
      <c r="G208" s="10" t="s">
        <v>8</v>
      </c>
    </row>
    <row r="209" spans="2:7">
      <c r="B209"/>
      <c r="C209" t="s">
        <v>17</v>
      </c>
      <c r="D209" t="s">
        <v>48</v>
      </c>
      <c r="E209" t="s">
        <v>124</v>
      </c>
      <c r="F209" s="15">
        <v>2669.3333333333335</v>
      </c>
      <c r="G209" s="10" t="s">
        <v>8</v>
      </c>
    </row>
    <row r="210" spans="2:7">
      <c r="B210"/>
      <c r="C210" t="s">
        <v>17</v>
      </c>
      <c r="D210">
        <v>2025</v>
      </c>
      <c r="E210" t="s">
        <v>125</v>
      </c>
      <c r="F210" s="15">
        <v>232</v>
      </c>
      <c r="G210" s="10" t="s">
        <v>8</v>
      </c>
    </row>
    <row r="211" spans="2:7">
      <c r="B211"/>
      <c r="C211" t="s">
        <v>17</v>
      </c>
      <c r="D211" t="s">
        <v>19</v>
      </c>
      <c r="E211" t="s">
        <v>125</v>
      </c>
      <c r="F211" s="15">
        <v>2664</v>
      </c>
      <c r="G211" s="10" t="s">
        <v>8</v>
      </c>
    </row>
    <row r="212" spans="2:7">
      <c r="B212"/>
      <c r="C212" t="s">
        <v>17</v>
      </c>
      <c r="D212" t="s">
        <v>20</v>
      </c>
      <c r="E212" t="s">
        <v>125</v>
      </c>
      <c r="F212" s="15">
        <v>1952.6666666666667</v>
      </c>
      <c r="G212" s="10" t="s">
        <v>8</v>
      </c>
    </row>
    <row r="213" spans="2:7">
      <c r="B213"/>
      <c r="C213" t="s">
        <v>17</v>
      </c>
      <c r="D213" t="s">
        <v>43</v>
      </c>
      <c r="E213" t="s">
        <v>125</v>
      </c>
      <c r="F213" s="15">
        <v>3738.6666666666665</v>
      </c>
      <c r="G213" s="10" t="s">
        <v>8</v>
      </c>
    </row>
    <row r="214" spans="2:7">
      <c r="B214"/>
      <c r="C214" t="s">
        <v>17</v>
      </c>
      <c r="D214" t="s">
        <v>44</v>
      </c>
      <c r="E214" t="s">
        <v>125</v>
      </c>
      <c r="F214" s="15">
        <v>3296</v>
      </c>
      <c r="G214" s="10" t="s">
        <v>8</v>
      </c>
    </row>
    <row r="215" spans="2:7">
      <c r="B215"/>
      <c r="C215" t="s">
        <v>17</v>
      </c>
      <c r="D215" t="s">
        <v>45</v>
      </c>
      <c r="E215" t="s">
        <v>125</v>
      </c>
      <c r="F215" s="15">
        <v>2871.3333333333335</v>
      </c>
      <c r="G215" s="10" t="s">
        <v>8</v>
      </c>
    </row>
    <row r="216" spans="2:7">
      <c r="B216"/>
      <c r="C216" t="s">
        <v>17</v>
      </c>
      <c r="D216" t="s">
        <v>48</v>
      </c>
      <c r="E216" t="s">
        <v>125</v>
      </c>
      <c r="F216" s="15">
        <v>3734</v>
      </c>
      <c r="G216" s="10" t="s">
        <v>8</v>
      </c>
    </row>
    <row r="217" spans="2:7">
      <c r="B217"/>
      <c r="C217" t="s">
        <v>17</v>
      </c>
      <c r="D217">
        <v>2025</v>
      </c>
      <c r="E217" t="s">
        <v>126</v>
      </c>
      <c r="F217" s="15">
        <v>124</v>
      </c>
      <c r="G217" s="10" t="s">
        <v>8</v>
      </c>
    </row>
    <row r="218" spans="2:7">
      <c r="B218"/>
      <c r="C218" t="s">
        <v>17</v>
      </c>
      <c r="D218" t="s">
        <v>19</v>
      </c>
      <c r="E218" t="s">
        <v>126</v>
      </c>
      <c r="F218" s="15">
        <v>1845.3333333333333</v>
      </c>
      <c r="G218" s="10" t="s">
        <v>8</v>
      </c>
    </row>
    <row r="219" spans="2:7">
      <c r="B219"/>
      <c r="C219" t="s">
        <v>17</v>
      </c>
      <c r="D219" t="s">
        <v>20</v>
      </c>
      <c r="E219" t="s">
        <v>126</v>
      </c>
      <c r="F219" s="15">
        <v>2276</v>
      </c>
      <c r="G219" s="10" t="s">
        <v>8</v>
      </c>
    </row>
    <row r="220" spans="2:7">
      <c r="B220"/>
      <c r="C220" t="s">
        <v>17</v>
      </c>
      <c r="D220" t="s">
        <v>43</v>
      </c>
      <c r="E220" t="s">
        <v>126</v>
      </c>
      <c r="F220" s="15">
        <v>1786</v>
      </c>
      <c r="G220" s="10" t="s">
        <v>8</v>
      </c>
    </row>
    <row r="221" spans="2:7">
      <c r="B221"/>
      <c r="C221" t="s">
        <v>17</v>
      </c>
      <c r="D221" t="s">
        <v>44</v>
      </c>
      <c r="E221" t="s">
        <v>126</v>
      </c>
      <c r="F221" s="15">
        <v>1786</v>
      </c>
      <c r="G221" s="10" t="s">
        <v>8</v>
      </c>
    </row>
    <row r="222" spans="2:7">
      <c r="B222"/>
      <c r="C222" t="s">
        <v>17</v>
      </c>
      <c r="D222" t="s">
        <v>45</v>
      </c>
      <c r="E222" t="s">
        <v>126</v>
      </c>
      <c r="F222" s="15">
        <v>2302.6666666666665</v>
      </c>
      <c r="G222" s="10" t="s">
        <v>8</v>
      </c>
    </row>
    <row r="223" spans="2:7">
      <c r="B223"/>
      <c r="C223" t="s">
        <v>17</v>
      </c>
      <c r="D223" t="s">
        <v>48</v>
      </c>
      <c r="E223" t="s">
        <v>126</v>
      </c>
      <c r="F223" s="15">
        <v>2302.6666666666665</v>
      </c>
      <c r="G223" s="10" t="s">
        <v>8</v>
      </c>
    </row>
    <row r="224" spans="2:7">
      <c r="B224"/>
      <c r="C224" t="s">
        <v>17</v>
      </c>
      <c r="D224">
        <v>2025</v>
      </c>
      <c r="E224" t="s">
        <v>127</v>
      </c>
      <c r="F224" s="15">
        <v>86</v>
      </c>
      <c r="G224" s="10" t="s">
        <v>8</v>
      </c>
    </row>
    <row r="225" spans="2:7">
      <c r="B225"/>
      <c r="C225" t="s">
        <v>17</v>
      </c>
      <c r="D225" t="s">
        <v>19</v>
      </c>
      <c r="E225" t="s">
        <v>127</v>
      </c>
      <c r="F225" s="15">
        <v>76.666666666666671</v>
      </c>
      <c r="G225" s="10" t="s">
        <v>8</v>
      </c>
    </row>
    <row r="226" spans="2:7">
      <c r="B226"/>
      <c r="C226" t="s">
        <v>17</v>
      </c>
      <c r="D226" t="s">
        <v>20</v>
      </c>
      <c r="E226" t="s">
        <v>127</v>
      </c>
      <c r="F226" s="15">
        <v>76.666666666666671</v>
      </c>
      <c r="G226" s="10" t="s">
        <v>8</v>
      </c>
    </row>
    <row r="227" spans="2:7">
      <c r="B227"/>
      <c r="C227" t="s">
        <v>17</v>
      </c>
      <c r="D227" t="s">
        <v>43</v>
      </c>
      <c r="E227" t="s">
        <v>127</v>
      </c>
      <c r="F227" s="15">
        <v>160.66666666666666</v>
      </c>
      <c r="G227" s="10" t="s">
        <v>8</v>
      </c>
    </row>
    <row r="228" spans="2:7">
      <c r="B228"/>
      <c r="C228" t="s">
        <v>17</v>
      </c>
      <c r="D228" t="s">
        <v>44</v>
      </c>
      <c r="E228" t="s">
        <v>127</v>
      </c>
      <c r="F228" s="15">
        <v>160.66666666666666</v>
      </c>
      <c r="G228" s="10" t="s">
        <v>8</v>
      </c>
    </row>
    <row r="229" spans="2:7">
      <c r="B229"/>
      <c r="C229" t="s">
        <v>17</v>
      </c>
      <c r="D229" t="s">
        <v>45</v>
      </c>
      <c r="E229" t="s">
        <v>127</v>
      </c>
      <c r="F229" s="15">
        <v>0</v>
      </c>
      <c r="G229" s="10" t="s">
        <v>8</v>
      </c>
    </row>
    <row r="230" spans="2:7">
      <c r="B230"/>
      <c r="C230" t="s">
        <v>17</v>
      </c>
      <c r="D230" t="s">
        <v>48</v>
      </c>
      <c r="E230" t="s">
        <v>127</v>
      </c>
      <c r="F230" s="15">
        <v>0</v>
      </c>
      <c r="G230" s="10" t="s">
        <v>8</v>
      </c>
    </row>
    <row r="231" spans="2:7">
      <c r="B231"/>
      <c r="C231" t="s">
        <v>14</v>
      </c>
      <c r="D231">
        <v>2025</v>
      </c>
      <c r="E231" t="s">
        <v>124</v>
      </c>
      <c r="F231" s="15">
        <v>3352</v>
      </c>
      <c r="G231" s="10" t="s">
        <v>8</v>
      </c>
    </row>
    <row r="232" spans="2:7">
      <c r="B232"/>
      <c r="C232" t="s">
        <v>14</v>
      </c>
      <c r="D232" t="s">
        <v>19</v>
      </c>
      <c r="E232" t="s">
        <v>124</v>
      </c>
      <c r="F232" s="15">
        <v>2944.6666666666665</v>
      </c>
      <c r="G232" s="10" t="s">
        <v>8</v>
      </c>
    </row>
    <row r="233" spans="2:7">
      <c r="B233"/>
      <c r="C233" t="s">
        <v>14</v>
      </c>
      <c r="D233" t="s">
        <v>20</v>
      </c>
      <c r="E233" t="s">
        <v>124</v>
      </c>
      <c r="F233" s="15">
        <v>2978</v>
      </c>
      <c r="G233" s="10" t="s">
        <v>8</v>
      </c>
    </row>
    <row r="234" spans="2:7">
      <c r="B234"/>
      <c r="C234" t="s">
        <v>14</v>
      </c>
      <c r="D234" t="s">
        <v>43</v>
      </c>
      <c r="E234" t="s">
        <v>124</v>
      </c>
      <c r="F234" s="15">
        <v>2596.6666666666665</v>
      </c>
      <c r="G234" s="10" t="s">
        <v>8</v>
      </c>
    </row>
    <row r="235" spans="2:7">
      <c r="B235"/>
      <c r="C235" t="s">
        <v>14</v>
      </c>
      <c r="D235" t="s">
        <v>44</v>
      </c>
      <c r="E235" t="s">
        <v>124</v>
      </c>
      <c r="F235" s="15">
        <v>2695.3333333333335</v>
      </c>
      <c r="G235" s="10" t="s">
        <v>8</v>
      </c>
    </row>
    <row r="236" spans="2:7">
      <c r="B236"/>
      <c r="C236" t="s">
        <v>14</v>
      </c>
      <c r="D236" t="s">
        <v>45</v>
      </c>
      <c r="E236" t="s">
        <v>124</v>
      </c>
      <c r="F236" s="15">
        <v>2904</v>
      </c>
      <c r="G236" s="10" t="s">
        <v>8</v>
      </c>
    </row>
    <row r="237" spans="2:7">
      <c r="B237"/>
      <c r="C237" t="s">
        <v>14</v>
      </c>
      <c r="D237" t="s">
        <v>48</v>
      </c>
      <c r="E237" t="s">
        <v>124</v>
      </c>
      <c r="F237" s="15">
        <v>3062.6666666666665</v>
      </c>
      <c r="G237" s="10" t="s">
        <v>8</v>
      </c>
    </row>
    <row r="238" spans="2:7">
      <c r="B238"/>
      <c r="C238" t="s">
        <v>14</v>
      </c>
      <c r="D238">
        <v>2025</v>
      </c>
      <c r="E238" t="s">
        <v>125</v>
      </c>
      <c r="F238" s="15">
        <v>3572</v>
      </c>
      <c r="G238" s="10" t="s">
        <v>8</v>
      </c>
    </row>
    <row r="239" spans="2:7">
      <c r="B239"/>
      <c r="C239" t="s">
        <v>14</v>
      </c>
      <c r="D239" t="s">
        <v>19</v>
      </c>
      <c r="E239" t="s">
        <v>125</v>
      </c>
      <c r="F239" s="15">
        <v>3855.3333333333335</v>
      </c>
      <c r="G239" s="10" t="s">
        <v>8</v>
      </c>
    </row>
    <row r="240" spans="2:7">
      <c r="B240"/>
      <c r="C240" t="s">
        <v>14</v>
      </c>
      <c r="D240" t="s">
        <v>20</v>
      </c>
      <c r="E240" t="s">
        <v>125</v>
      </c>
      <c r="F240" s="15">
        <v>4060</v>
      </c>
      <c r="G240" s="10" t="s">
        <v>8</v>
      </c>
    </row>
    <row r="241" spans="2:7">
      <c r="B241"/>
      <c r="C241" t="s">
        <v>14</v>
      </c>
      <c r="D241" t="s">
        <v>43</v>
      </c>
      <c r="E241" t="s">
        <v>125</v>
      </c>
      <c r="F241" s="15">
        <v>3994</v>
      </c>
      <c r="G241" s="10" t="s">
        <v>8</v>
      </c>
    </row>
    <row r="242" spans="2:7">
      <c r="B242"/>
      <c r="C242" t="s">
        <v>14</v>
      </c>
      <c r="D242" t="s">
        <v>44</v>
      </c>
      <c r="E242" t="s">
        <v>125</v>
      </c>
      <c r="F242" s="15">
        <v>4231.333333333333</v>
      </c>
      <c r="G242" s="10" t="s">
        <v>8</v>
      </c>
    </row>
    <row r="243" spans="2:7">
      <c r="B243"/>
      <c r="C243" t="s">
        <v>14</v>
      </c>
      <c r="D243" t="s">
        <v>45</v>
      </c>
      <c r="E243" t="s">
        <v>125</v>
      </c>
      <c r="F243" s="15">
        <v>4718</v>
      </c>
      <c r="G243" s="10" t="s">
        <v>8</v>
      </c>
    </row>
    <row r="244" spans="2:7">
      <c r="B244"/>
      <c r="C244" t="s">
        <v>14</v>
      </c>
      <c r="D244" t="s">
        <v>48</v>
      </c>
      <c r="E244" t="s">
        <v>125</v>
      </c>
      <c r="F244" s="15">
        <v>5006.666666666667</v>
      </c>
      <c r="G244" s="10" t="s">
        <v>8</v>
      </c>
    </row>
    <row r="245" spans="2:7">
      <c r="B245"/>
      <c r="C245" t="s">
        <v>14</v>
      </c>
      <c r="D245">
        <v>2025</v>
      </c>
      <c r="E245" t="s">
        <v>126</v>
      </c>
      <c r="F245" s="15">
        <v>2007.3333333333333</v>
      </c>
      <c r="G245" s="10" t="s">
        <v>8</v>
      </c>
    </row>
    <row r="246" spans="2:7">
      <c r="B246"/>
      <c r="C246" t="s">
        <v>14</v>
      </c>
      <c r="D246" t="s">
        <v>19</v>
      </c>
      <c r="E246" t="s">
        <v>126</v>
      </c>
      <c r="F246" s="15">
        <v>1122</v>
      </c>
      <c r="G246" s="10" t="s">
        <v>8</v>
      </c>
    </row>
    <row r="247" spans="2:7">
      <c r="B247"/>
      <c r="C247" t="s">
        <v>14</v>
      </c>
      <c r="D247" t="s">
        <v>20</v>
      </c>
      <c r="E247" t="s">
        <v>126</v>
      </c>
      <c r="F247" s="15">
        <v>1624.6666666666667</v>
      </c>
      <c r="G247" s="10" t="s">
        <v>8</v>
      </c>
    </row>
    <row r="248" spans="2:7">
      <c r="B248"/>
      <c r="C248" t="s">
        <v>14</v>
      </c>
      <c r="D248" t="s">
        <v>43</v>
      </c>
      <c r="E248" t="s">
        <v>126</v>
      </c>
      <c r="F248" s="15">
        <v>1670</v>
      </c>
      <c r="G248" s="10" t="s">
        <v>8</v>
      </c>
    </row>
    <row r="249" spans="2:7">
      <c r="B249"/>
      <c r="C249" t="s">
        <v>14</v>
      </c>
      <c r="D249" t="s">
        <v>44</v>
      </c>
      <c r="E249" t="s">
        <v>126</v>
      </c>
      <c r="F249" s="15">
        <v>1904</v>
      </c>
      <c r="G249" s="10" t="s">
        <v>8</v>
      </c>
    </row>
    <row r="250" spans="2:7">
      <c r="B250"/>
      <c r="C250" t="s">
        <v>14</v>
      </c>
      <c r="D250" t="s">
        <v>45</v>
      </c>
      <c r="E250" t="s">
        <v>126</v>
      </c>
      <c r="F250" s="15">
        <v>2196.6666666666665</v>
      </c>
      <c r="G250" s="10" t="s">
        <v>8</v>
      </c>
    </row>
    <row r="251" spans="2:7">
      <c r="B251"/>
      <c r="C251" t="s">
        <v>14</v>
      </c>
      <c r="D251" t="s">
        <v>48</v>
      </c>
      <c r="E251" t="s">
        <v>126</v>
      </c>
      <c r="F251" s="15">
        <v>2474.6666666666665</v>
      </c>
      <c r="G251" s="10" t="s">
        <v>8</v>
      </c>
    </row>
    <row r="252" spans="2:7">
      <c r="B252"/>
      <c r="C252" t="s">
        <v>14</v>
      </c>
      <c r="D252">
        <v>2025</v>
      </c>
      <c r="E252" t="s">
        <v>127</v>
      </c>
      <c r="F252" s="15">
        <v>398.66666666666669</v>
      </c>
      <c r="G252" s="10" t="s">
        <v>8</v>
      </c>
    </row>
    <row r="253" spans="2:7">
      <c r="B253"/>
      <c r="C253" t="s">
        <v>14</v>
      </c>
      <c r="D253" t="s">
        <v>19</v>
      </c>
      <c r="E253" t="s">
        <v>127</v>
      </c>
      <c r="F253" s="15">
        <v>403.33333333333331</v>
      </c>
      <c r="G253" s="10" t="s">
        <v>8</v>
      </c>
    </row>
    <row r="254" spans="2:7">
      <c r="B254"/>
      <c r="C254" t="s">
        <v>14</v>
      </c>
      <c r="D254" t="s">
        <v>20</v>
      </c>
      <c r="E254" t="s">
        <v>127</v>
      </c>
      <c r="F254" s="15">
        <v>359.33333333333331</v>
      </c>
      <c r="G254" s="10" t="s">
        <v>8</v>
      </c>
    </row>
    <row r="255" spans="2:7">
      <c r="B255"/>
      <c r="C255" t="s">
        <v>14</v>
      </c>
      <c r="D255" t="s">
        <v>43</v>
      </c>
      <c r="E255" t="s">
        <v>127</v>
      </c>
      <c r="F255" s="15">
        <v>380</v>
      </c>
      <c r="G255" s="10" t="s">
        <v>8</v>
      </c>
    </row>
    <row r="256" spans="2:7">
      <c r="B256"/>
      <c r="C256" t="s">
        <v>14</v>
      </c>
      <c r="D256" t="s">
        <v>44</v>
      </c>
      <c r="E256" t="s">
        <v>127</v>
      </c>
      <c r="F256" s="15">
        <v>435.33333333333331</v>
      </c>
      <c r="G256" s="10" t="s">
        <v>8</v>
      </c>
    </row>
    <row r="257" spans="1:7">
      <c r="B257"/>
      <c r="C257" t="s">
        <v>14</v>
      </c>
      <c r="D257" t="s">
        <v>45</v>
      </c>
      <c r="E257" t="s">
        <v>127</v>
      </c>
      <c r="F257" s="15">
        <v>478.66666666666669</v>
      </c>
      <c r="G257" s="10" t="s">
        <v>8</v>
      </c>
    </row>
    <row r="258" spans="1:7">
      <c r="B258"/>
      <c r="C258" t="s">
        <v>14</v>
      </c>
      <c r="D258" t="s">
        <v>48</v>
      </c>
      <c r="E258" t="s">
        <v>127</v>
      </c>
      <c r="F258" s="15">
        <v>580</v>
      </c>
      <c r="G258" s="10" t="s">
        <v>8</v>
      </c>
    </row>
    <row r="259" spans="1:7">
      <c r="B259"/>
      <c r="C259" t="s">
        <v>15</v>
      </c>
      <c r="D259">
        <v>2024</v>
      </c>
      <c r="E259" t="s">
        <v>124</v>
      </c>
      <c r="F259" s="15">
        <v>42276</v>
      </c>
      <c r="G259" s="10" t="s">
        <v>8</v>
      </c>
    </row>
    <row r="260" spans="1:7">
      <c r="B260"/>
      <c r="C260" t="s">
        <v>15</v>
      </c>
      <c r="D260">
        <v>2025</v>
      </c>
      <c r="E260" t="s">
        <v>124</v>
      </c>
      <c r="F260" s="15">
        <v>47702.666666666664</v>
      </c>
      <c r="G260" s="10" t="s">
        <v>8</v>
      </c>
    </row>
    <row r="261" spans="1:7">
      <c r="B261"/>
      <c r="C261" t="s">
        <v>15</v>
      </c>
      <c r="D261" t="s">
        <v>19</v>
      </c>
      <c r="E261" t="s">
        <v>124</v>
      </c>
      <c r="F261" s="15">
        <v>47138</v>
      </c>
      <c r="G261" s="10" t="s">
        <v>8</v>
      </c>
    </row>
    <row r="262" spans="1:7">
      <c r="B262"/>
      <c r="C262" t="s">
        <v>15</v>
      </c>
      <c r="D262" t="s">
        <v>20</v>
      </c>
      <c r="E262" t="s">
        <v>124</v>
      </c>
      <c r="F262" s="15">
        <v>61039.333333333336</v>
      </c>
      <c r="G262" s="10" t="s">
        <v>8</v>
      </c>
    </row>
    <row r="263" spans="1:7">
      <c r="B263"/>
      <c r="C263" t="s">
        <v>15</v>
      </c>
      <c r="D263" t="s">
        <v>43</v>
      </c>
      <c r="E263" t="s">
        <v>124</v>
      </c>
      <c r="F263" s="15">
        <v>59509.333333333336</v>
      </c>
      <c r="G263" s="10" t="s">
        <v>8</v>
      </c>
    </row>
    <row r="264" spans="1:7">
      <c r="C264" t="s">
        <v>15</v>
      </c>
      <c r="D264" t="s">
        <v>44</v>
      </c>
      <c r="E264" t="s">
        <v>124</v>
      </c>
      <c r="F264" s="15">
        <v>61992</v>
      </c>
      <c r="G264" s="10" t="s">
        <v>8</v>
      </c>
    </row>
    <row r="265" spans="1:7">
      <c r="B265"/>
      <c r="C265" t="s">
        <v>15</v>
      </c>
      <c r="D265" t="s">
        <v>45</v>
      </c>
      <c r="E265" t="s">
        <v>124</v>
      </c>
      <c r="F265" s="15">
        <v>63597.333333333336</v>
      </c>
      <c r="G265" s="10" t="s">
        <v>8</v>
      </c>
    </row>
    <row r="266" spans="1:7">
      <c r="A266"/>
      <c r="B266"/>
      <c r="C266" t="s">
        <v>15</v>
      </c>
      <c r="D266" t="s">
        <v>48</v>
      </c>
      <c r="E266" t="s">
        <v>124</v>
      </c>
      <c r="F266" s="15">
        <v>66483.333333333328</v>
      </c>
      <c r="G266" s="10" t="s">
        <v>8</v>
      </c>
    </row>
    <row r="267" spans="1:7">
      <c r="A267"/>
      <c r="B267"/>
      <c r="C267" t="s">
        <v>15</v>
      </c>
      <c r="D267">
        <v>2024</v>
      </c>
      <c r="E267" t="s">
        <v>125</v>
      </c>
      <c r="F267" s="15">
        <v>143590</v>
      </c>
      <c r="G267" s="10" t="s">
        <v>8</v>
      </c>
    </row>
    <row r="268" spans="1:7">
      <c r="A268"/>
      <c r="B268"/>
      <c r="C268" t="s">
        <v>15</v>
      </c>
      <c r="D268">
        <v>2025</v>
      </c>
      <c r="E268" t="s">
        <v>125</v>
      </c>
      <c r="F268" s="15">
        <v>151920.66666666666</v>
      </c>
      <c r="G268" s="10" t="s">
        <v>8</v>
      </c>
    </row>
    <row r="269" spans="1:7">
      <c r="A269"/>
      <c r="B269"/>
      <c r="C269" t="s">
        <v>15</v>
      </c>
      <c r="D269" t="s">
        <v>19</v>
      </c>
      <c r="E269" t="s">
        <v>125</v>
      </c>
      <c r="F269" s="15">
        <v>155463.33333333334</v>
      </c>
      <c r="G269" s="10" t="s">
        <v>8</v>
      </c>
    </row>
    <row r="270" spans="1:7">
      <c r="A270"/>
      <c r="B270"/>
      <c r="C270" t="s">
        <v>15</v>
      </c>
      <c r="D270" t="s">
        <v>20</v>
      </c>
      <c r="E270" t="s">
        <v>125</v>
      </c>
      <c r="F270" s="15">
        <v>166005.33333333334</v>
      </c>
      <c r="G270" s="10" t="s">
        <v>8</v>
      </c>
    </row>
    <row r="271" spans="1:7">
      <c r="A271"/>
      <c r="B271"/>
      <c r="C271" t="s">
        <v>15</v>
      </c>
      <c r="D271" t="s">
        <v>43</v>
      </c>
      <c r="E271" t="s">
        <v>125</v>
      </c>
      <c r="F271" s="15">
        <v>161342</v>
      </c>
      <c r="G271" s="10" t="s">
        <v>8</v>
      </c>
    </row>
    <row r="272" spans="1:7">
      <c r="A272"/>
      <c r="B272"/>
      <c r="C272" t="s">
        <v>15</v>
      </c>
      <c r="D272" t="s">
        <v>44</v>
      </c>
      <c r="E272" t="s">
        <v>125</v>
      </c>
      <c r="F272" s="15">
        <v>167957.33333333334</v>
      </c>
      <c r="G272" s="10" t="s">
        <v>8</v>
      </c>
    </row>
    <row r="273" spans="1:22">
      <c r="A273"/>
      <c r="B273"/>
      <c r="C273" t="s">
        <v>15</v>
      </c>
      <c r="D273" t="s">
        <v>45</v>
      </c>
      <c r="E273" t="s">
        <v>125</v>
      </c>
      <c r="F273" s="15">
        <v>175266</v>
      </c>
      <c r="G273" s="10" t="s">
        <v>8</v>
      </c>
    </row>
    <row r="274" spans="1:22">
      <c r="A274"/>
      <c r="B274"/>
      <c r="C274" t="s">
        <v>15</v>
      </c>
      <c r="D274" t="s">
        <v>48</v>
      </c>
      <c r="E274" t="s">
        <v>125</v>
      </c>
      <c r="F274" s="15">
        <v>181454</v>
      </c>
      <c r="G274" s="10" t="s">
        <v>8</v>
      </c>
    </row>
    <row r="275" spans="1:22">
      <c r="A275"/>
      <c r="B275"/>
      <c r="C275" t="s">
        <v>15</v>
      </c>
      <c r="D275">
        <v>2024</v>
      </c>
      <c r="E275" t="s">
        <v>126</v>
      </c>
      <c r="F275" s="15">
        <v>141902.66666666666</v>
      </c>
      <c r="G275" s="10" t="s">
        <v>8</v>
      </c>
    </row>
    <row r="276" spans="1:22">
      <c r="A276"/>
      <c r="B276"/>
      <c r="C276" t="s">
        <v>15</v>
      </c>
      <c r="D276">
        <v>2025</v>
      </c>
      <c r="E276" t="s">
        <v>126</v>
      </c>
      <c r="F276" s="15">
        <v>154762</v>
      </c>
      <c r="G276" s="10" t="s">
        <v>8</v>
      </c>
    </row>
    <row r="277" spans="1:22">
      <c r="A277"/>
      <c r="B277"/>
      <c r="C277" t="s">
        <v>15</v>
      </c>
      <c r="D277" t="s">
        <v>19</v>
      </c>
      <c r="E277" t="s">
        <v>126</v>
      </c>
      <c r="F277" s="15">
        <v>162732</v>
      </c>
      <c r="G277" s="10" t="s">
        <v>8</v>
      </c>
    </row>
    <row r="278" spans="1:22">
      <c r="A278"/>
      <c r="B278"/>
      <c r="C278" t="s">
        <v>15</v>
      </c>
      <c r="D278" t="s">
        <v>20</v>
      </c>
      <c r="E278" t="s">
        <v>126</v>
      </c>
      <c r="F278" s="15">
        <v>141865.33333333334</v>
      </c>
      <c r="G278" s="10" t="s">
        <v>8</v>
      </c>
    </row>
    <row r="279" spans="1:22">
      <c r="A279"/>
      <c r="B279"/>
      <c r="C279" t="s">
        <v>15</v>
      </c>
      <c r="D279" t="s">
        <v>43</v>
      </c>
      <c r="E279" t="s">
        <v>126</v>
      </c>
      <c r="F279" s="15">
        <v>144973.33333333334</v>
      </c>
      <c r="G279" s="10" t="s">
        <v>8</v>
      </c>
    </row>
    <row r="280" spans="1:22">
      <c r="A280"/>
      <c r="B280"/>
      <c r="C280" t="s">
        <v>15</v>
      </c>
      <c r="D280" t="s">
        <v>44</v>
      </c>
      <c r="E280" t="s">
        <v>126</v>
      </c>
      <c r="F280" s="15">
        <v>147985.33333333334</v>
      </c>
      <c r="G280" s="10" t="s">
        <v>8</v>
      </c>
    </row>
    <row r="281" spans="1:22">
      <c r="C281" t="s">
        <v>15</v>
      </c>
      <c r="D281" t="s">
        <v>45</v>
      </c>
      <c r="E281" t="s">
        <v>126</v>
      </c>
      <c r="F281" s="15">
        <v>148951.33333333334</v>
      </c>
      <c r="G281" s="10" t="s">
        <v>8</v>
      </c>
    </row>
    <row r="282" spans="1:22">
      <c r="C282" t="s">
        <v>15</v>
      </c>
      <c r="D282" t="s">
        <v>48</v>
      </c>
      <c r="E282" t="s">
        <v>126</v>
      </c>
      <c r="F282" s="15">
        <v>155702</v>
      </c>
      <c r="G282" s="10" t="s">
        <v>8</v>
      </c>
    </row>
    <row r="283" spans="1:22">
      <c r="C283" t="s">
        <v>15</v>
      </c>
      <c r="D283">
        <v>2024</v>
      </c>
      <c r="E283" t="s">
        <v>127</v>
      </c>
      <c r="F283" s="15">
        <v>10170.666666666666</v>
      </c>
      <c r="G283" s="10" t="s">
        <v>8</v>
      </c>
      <c r="U283">
        <v>15359.333333333334</v>
      </c>
      <c r="V283" t="s">
        <v>57</v>
      </c>
    </row>
    <row r="284" spans="1:22">
      <c r="C284" t="s">
        <v>15</v>
      </c>
      <c r="D284">
        <v>2025</v>
      </c>
      <c r="E284" t="s">
        <v>127</v>
      </c>
      <c r="F284" s="15">
        <v>9969.3333333333339</v>
      </c>
      <c r="G284" s="10" t="s">
        <v>8</v>
      </c>
      <c r="U284">
        <v>16058</v>
      </c>
      <c r="V284" t="s">
        <v>58</v>
      </c>
    </row>
    <row r="285" spans="1:22">
      <c r="C285" t="s">
        <v>15</v>
      </c>
      <c r="D285" t="s">
        <v>19</v>
      </c>
      <c r="E285" t="s">
        <v>127</v>
      </c>
      <c r="F285" s="15">
        <v>10269.333333333334</v>
      </c>
      <c r="G285" s="10" t="s">
        <v>8</v>
      </c>
      <c r="U285">
        <v>14162.666666666666</v>
      </c>
      <c r="V285" t="s">
        <v>59</v>
      </c>
    </row>
    <row r="286" spans="1:22">
      <c r="C286" t="s">
        <v>15</v>
      </c>
      <c r="D286" t="s">
        <v>20</v>
      </c>
      <c r="E286" t="s">
        <v>127</v>
      </c>
      <c r="F286" s="15">
        <v>10650</v>
      </c>
      <c r="G286" s="10" t="s">
        <v>8</v>
      </c>
      <c r="U286">
        <v>14280</v>
      </c>
      <c r="V286" t="s">
        <v>60</v>
      </c>
    </row>
    <row r="287" spans="1:22">
      <c r="C287" t="s">
        <v>15</v>
      </c>
      <c r="D287" t="s">
        <v>43</v>
      </c>
      <c r="E287" t="s">
        <v>127</v>
      </c>
      <c r="F287" s="15">
        <v>12088</v>
      </c>
      <c r="G287" s="10" t="s">
        <v>8</v>
      </c>
      <c r="U287">
        <v>15261.333333333334</v>
      </c>
      <c r="V287" t="s">
        <v>61</v>
      </c>
    </row>
    <row r="288" spans="1:22">
      <c r="C288" t="s">
        <v>15</v>
      </c>
      <c r="D288" t="s">
        <v>44</v>
      </c>
      <c r="E288" t="s">
        <v>127</v>
      </c>
      <c r="F288" s="15">
        <v>13103.333333333334</v>
      </c>
      <c r="G288" s="10" t="s">
        <v>8</v>
      </c>
      <c r="U288">
        <v>16212</v>
      </c>
      <c r="V288" t="s">
        <v>62</v>
      </c>
    </row>
    <row r="289" spans="1:40">
      <c r="C289" t="s">
        <v>15</v>
      </c>
      <c r="D289" t="s">
        <v>45</v>
      </c>
      <c r="E289" t="s">
        <v>127</v>
      </c>
      <c r="F289" s="15">
        <v>12924</v>
      </c>
      <c r="G289" s="10" t="s">
        <v>8</v>
      </c>
      <c r="U289">
        <v>15000.666666666666</v>
      </c>
      <c r="V289" t="s">
        <v>63</v>
      </c>
    </row>
    <row r="290" spans="1:40">
      <c r="C290" t="s">
        <v>15</v>
      </c>
      <c r="D290" t="s">
        <v>48</v>
      </c>
      <c r="E290" t="s">
        <v>127</v>
      </c>
      <c r="F290" s="15">
        <v>13599.333333333334</v>
      </c>
      <c r="G290" s="10" t="s">
        <v>8</v>
      </c>
      <c r="U290">
        <v>13359.333333333334</v>
      </c>
      <c r="V290" t="s">
        <v>64</v>
      </c>
    </row>
    <row r="291" spans="1:40">
      <c r="U291">
        <v>13940</v>
      </c>
      <c r="V291" t="s">
        <v>65</v>
      </c>
    </row>
    <row r="292" spans="1:40" s="13" customFormat="1" ht="14.4" customHeight="1">
      <c r="A292" s="11"/>
      <c r="B292" s="12" t="s">
        <v>2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</row>
    <row r="293" spans="1:40">
      <c r="U293">
        <v>12428</v>
      </c>
      <c r="V293" t="s">
        <v>67</v>
      </c>
    </row>
    <row r="294" spans="1:40">
      <c r="U294">
        <v>13220.666666666666</v>
      </c>
      <c r="V294" t="s">
        <v>68</v>
      </c>
    </row>
    <row r="295" spans="1:40">
      <c r="U295">
        <v>14094</v>
      </c>
      <c r="V295" t="s">
        <v>69</v>
      </c>
    </row>
    <row r="296" spans="1:40">
      <c r="U296">
        <v>14026</v>
      </c>
      <c r="V296" t="s">
        <v>70</v>
      </c>
    </row>
    <row r="297" spans="1:40">
      <c r="U297">
        <v>12272</v>
      </c>
      <c r="V297" t="s">
        <v>71</v>
      </c>
    </row>
    <row r="298" spans="1:40">
      <c r="U298">
        <v>12590</v>
      </c>
      <c r="V298" t="s">
        <v>72</v>
      </c>
    </row>
    <row r="299" spans="1:40">
      <c r="U299">
        <v>10877.333333333334</v>
      </c>
      <c r="V299" t="s">
        <v>73</v>
      </c>
    </row>
    <row r="300" spans="1:40">
      <c r="U300">
        <v>11118</v>
      </c>
      <c r="V300" t="s">
        <v>74</v>
      </c>
    </row>
    <row r="301" spans="1:40">
      <c r="U301">
        <v>11982</v>
      </c>
      <c r="V301" t="s">
        <v>75</v>
      </c>
    </row>
    <row r="302" spans="1:40">
      <c r="U302">
        <v>12881.333333333334</v>
      </c>
      <c r="V302" t="s">
        <v>76</v>
      </c>
    </row>
    <row r="303" spans="1:40">
      <c r="U303">
        <v>3352</v>
      </c>
      <c r="V303" t="s">
        <v>77</v>
      </c>
    </row>
    <row r="304" spans="1:40">
      <c r="U304">
        <v>2944.6666666666665</v>
      </c>
      <c r="V304" t="s">
        <v>78</v>
      </c>
    </row>
    <row r="305" spans="21:22">
      <c r="U305">
        <v>2978</v>
      </c>
      <c r="V305" t="s">
        <v>79</v>
      </c>
    </row>
    <row r="306" spans="21:22">
      <c r="U306">
        <v>2596.6666666666665</v>
      </c>
      <c r="V306" t="s">
        <v>80</v>
      </c>
    </row>
    <row r="307" spans="21:22">
      <c r="U307">
        <v>2695.3333333333335</v>
      </c>
      <c r="V307" t="s">
        <v>81</v>
      </c>
    </row>
    <row r="308" spans="21:22">
      <c r="U308">
        <v>2904</v>
      </c>
      <c r="V308" t="s">
        <v>82</v>
      </c>
    </row>
    <row r="309" spans="21:22">
      <c r="U309">
        <v>3062.6666666666665</v>
      </c>
      <c r="V309" t="s">
        <v>83</v>
      </c>
    </row>
    <row r="310" spans="21:22">
      <c r="U310">
        <v>42276</v>
      </c>
      <c r="V310" t="s">
        <v>84</v>
      </c>
    </row>
    <row r="311" spans="21:22">
      <c r="U311">
        <v>47702.666666666664</v>
      </c>
      <c r="V311" t="s">
        <v>85</v>
      </c>
    </row>
    <row r="312" spans="21:22">
      <c r="U312">
        <v>47138</v>
      </c>
      <c r="V312" t="s">
        <v>86</v>
      </c>
    </row>
    <row r="313" spans="21:22">
      <c r="U313">
        <v>61039.333333333336</v>
      </c>
      <c r="V313" t="s">
        <v>87</v>
      </c>
    </row>
    <row r="314" spans="21:22">
      <c r="U314">
        <v>59509.333333333336</v>
      </c>
      <c r="V314" t="s">
        <v>88</v>
      </c>
    </row>
    <row r="315" spans="21:22">
      <c r="U315">
        <v>61992</v>
      </c>
      <c r="V315" t="s">
        <v>89</v>
      </c>
    </row>
    <row r="316" spans="21:22">
      <c r="U316">
        <v>63597.333333333336</v>
      </c>
      <c r="V316" t="s">
        <v>90</v>
      </c>
    </row>
    <row r="317" spans="21:22">
      <c r="U317">
        <v>66483.333333333328</v>
      </c>
      <c r="V317" t="s">
        <v>91</v>
      </c>
    </row>
    <row r="318" spans="21:22">
      <c r="U318">
        <v>17089.333333333332</v>
      </c>
      <c r="V318" t="s">
        <v>92</v>
      </c>
    </row>
    <row r="319" spans="21:22">
      <c r="U319">
        <v>20262.666666666668</v>
      </c>
      <c r="V319" t="s">
        <v>93</v>
      </c>
    </row>
    <row r="320" spans="21:22">
      <c r="U320">
        <v>18340</v>
      </c>
      <c r="V320" t="s">
        <v>94</v>
      </c>
    </row>
    <row r="321" spans="21:22">
      <c r="U321">
        <v>20120</v>
      </c>
      <c r="V321" t="s">
        <v>95</v>
      </c>
    </row>
    <row r="322" spans="21:22">
      <c r="U322">
        <v>19474</v>
      </c>
      <c r="V322" t="s">
        <v>96</v>
      </c>
    </row>
    <row r="323" spans="21:22">
      <c r="U323">
        <v>20697.333333333332</v>
      </c>
      <c r="V323" t="s">
        <v>97</v>
      </c>
    </row>
    <row r="324" spans="21:22">
      <c r="U324">
        <v>20877.333333333332</v>
      </c>
      <c r="V324" t="s">
        <v>98</v>
      </c>
    </row>
    <row r="325" spans="21:22">
      <c r="U325">
        <v>22505.333333333332</v>
      </c>
      <c r="V325" t="s">
        <v>99</v>
      </c>
    </row>
    <row r="326" spans="21:22">
      <c r="U326">
        <v>1378</v>
      </c>
      <c r="V326" t="s">
        <v>100</v>
      </c>
    </row>
    <row r="327" spans="21:22">
      <c r="U327">
        <v>1720.6666666666667</v>
      </c>
      <c r="V327" t="s">
        <v>101</v>
      </c>
    </row>
    <row r="328" spans="21:22">
      <c r="U328">
        <v>2316</v>
      </c>
      <c r="V328" t="s">
        <v>102</v>
      </c>
    </row>
    <row r="329" spans="21:22">
      <c r="U329">
        <v>1053.3333333333333</v>
      </c>
      <c r="V329" t="s">
        <v>103</v>
      </c>
    </row>
    <row r="330" spans="21:22">
      <c r="U330">
        <v>786.66666666666663</v>
      </c>
      <c r="V330" t="s">
        <v>104</v>
      </c>
    </row>
    <row r="331" spans="21:22">
      <c r="U331">
        <v>1384.6666666666667</v>
      </c>
      <c r="V331" t="s">
        <v>105</v>
      </c>
    </row>
    <row r="332" spans="21:22">
      <c r="U332">
        <v>1026</v>
      </c>
      <c r="V332" t="s">
        <v>106</v>
      </c>
    </row>
    <row r="333" spans="21:22">
      <c r="U333">
        <v>1432</v>
      </c>
      <c r="V333" t="s">
        <v>107</v>
      </c>
    </row>
    <row r="334" spans="21:22">
      <c r="U334">
        <v>14421.333333333334</v>
      </c>
      <c r="V334" t="s">
        <v>108</v>
      </c>
    </row>
    <row r="335" spans="21:22">
      <c r="U335">
        <v>13560</v>
      </c>
      <c r="V335" t="s">
        <v>109</v>
      </c>
    </row>
    <row r="336" spans="21:22">
      <c r="U336">
        <v>18200.666666666668</v>
      </c>
      <c r="V336" t="s">
        <v>110</v>
      </c>
    </row>
    <row r="337" spans="21:22">
      <c r="U337">
        <v>18360</v>
      </c>
      <c r="V337" t="s">
        <v>111</v>
      </c>
    </row>
    <row r="338" spans="21:22">
      <c r="U338">
        <v>17542</v>
      </c>
      <c r="V338" t="s">
        <v>112</v>
      </c>
    </row>
    <row r="339" spans="21:22">
      <c r="U339">
        <v>17657.333333333332</v>
      </c>
      <c r="V339" t="s">
        <v>113</v>
      </c>
    </row>
    <row r="340" spans="21:22">
      <c r="U340">
        <v>20643.333333333332</v>
      </c>
      <c r="V340" t="s">
        <v>114</v>
      </c>
    </row>
    <row r="341" spans="21:22">
      <c r="U341">
        <v>768</v>
      </c>
      <c r="V341" t="s">
        <v>115</v>
      </c>
    </row>
    <row r="342" spans="21:22">
      <c r="U342">
        <v>842.66666666666663</v>
      </c>
      <c r="V342" t="s">
        <v>116</v>
      </c>
    </row>
    <row r="343" spans="21:22">
      <c r="U343">
        <v>200.66666666666666</v>
      </c>
      <c r="V343" t="s">
        <v>117</v>
      </c>
    </row>
    <row r="344" spans="21:22">
      <c r="U344">
        <v>2812.6666666666665</v>
      </c>
      <c r="V344" t="s">
        <v>118</v>
      </c>
    </row>
    <row r="345" spans="21:22">
      <c r="U345">
        <v>2889.3333333333335</v>
      </c>
      <c r="V345" t="s">
        <v>119</v>
      </c>
    </row>
    <row r="346" spans="21:22">
      <c r="U346">
        <v>2440</v>
      </c>
      <c r="V346" t="s">
        <v>120</v>
      </c>
    </row>
    <row r="347" spans="21:22">
      <c r="U347">
        <v>2669.3333333333335</v>
      </c>
      <c r="V347" t="s">
        <v>121</v>
      </c>
    </row>
    <row r="348" spans="21:22">
      <c r="U348">
        <v>23996</v>
      </c>
      <c r="V348" t="s">
        <v>57</v>
      </c>
    </row>
    <row r="349" spans="21:22">
      <c r="U349">
        <v>27035.333333333332</v>
      </c>
      <c r="V349" t="s">
        <v>58</v>
      </c>
    </row>
    <row r="350" spans="21:22">
      <c r="U350">
        <v>25610</v>
      </c>
      <c r="V350" t="s">
        <v>59</v>
      </c>
    </row>
    <row r="351" spans="21:22">
      <c r="U351">
        <v>27876.666666666668</v>
      </c>
      <c r="V351" t="s">
        <v>60</v>
      </c>
    </row>
    <row r="352" spans="21:22">
      <c r="U352">
        <v>30534.666666666668</v>
      </c>
      <c r="V352" t="s">
        <v>61</v>
      </c>
    </row>
    <row r="353" spans="21:22">
      <c r="U353">
        <v>33444</v>
      </c>
      <c r="V353" t="s">
        <v>62</v>
      </c>
    </row>
    <row r="354" spans="21:22">
      <c r="U354">
        <v>15403.333333333334</v>
      </c>
      <c r="V354" t="s">
        <v>63</v>
      </c>
    </row>
    <row r="355" spans="21:22">
      <c r="U355">
        <v>16695.333333333332</v>
      </c>
      <c r="V355" t="s">
        <v>64</v>
      </c>
    </row>
    <row r="356" spans="21:22">
      <c r="U356">
        <v>18778.666666666668</v>
      </c>
      <c r="V356" t="s">
        <v>65</v>
      </c>
    </row>
    <row r="357" spans="21:22">
      <c r="U357">
        <v>17624.666666666668</v>
      </c>
      <c r="V357" t="s">
        <v>66</v>
      </c>
    </row>
    <row r="358" spans="21:22">
      <c r="U358">
        <v>19211.333333333332</v>
      </c>
      <c r="V358" t="s">
        <v>67</v>
      </c>
    </row>
    <row r="359" spans="21:22">
      <c r="U359">
        <v>21320</v>
      </c>
      <c r="V359" t="s">
        <v>68</v>
      </c>
    </row>
    <row r="360" spans="21:22">
      <c r="U360">
        <v>23659.333333333332</v>
      </c>
      <c r="V360" t="s">
        <v>69</v>
      </c>
    </row>
    <row r="361" spans="21:22">
      <c r="U361">
        <v>14265.333333333334</v>
      </c>
      <c r="V361" t="s">
        <v>70</v>
      </c>
    </row>
    <row r="362" spans="21:22">
      <c r="U362">
        <v>15413.333333333334</v>
      </c>
      <c r="V362" t="s">
        <v>71</v>
      </c>
    </row>
    <row r="363" spans="21:22">
      <c r="U363">
        <v>17412.666666666668</v>
      </c>
      <c r="V363" t="s">
        <v>72</v>
      </c>
    </row>
    <row r="364" spans="21:22">
      <c r="U364">
        <v>16220.666666666666</v>
      </c>
      <c r="V364" t="s">
        <v>73</v>
      </c>
    </row>
    <row r="365" spans="21:22">
      <c r="U365">
        <v>17656.666666666668</v>
      </c>
      <c r="V365" t="s">
        <v>74</v>
      </c>
    </row>
    <row r="366" spans="21:22">
      <c r="U366">
        <v>19803.333333333332</v>
      </c>
      <c r="V366" t="s">
        <v>75</v>
      </c>
    </row>
    <row r="367" spans="21:22">
      <c r="U367">
        <v>22275.333333333332</v>
      </c>
      <c r="V367" t="s">
        <v>76</v>
      </c>
    </row>
    <row r="368" spans="21:22">
      <c r="U368">
        <v>3572</v>
      </c>
      <c r="V368" t="s">
        <v>77</v>
      </c>
    </row>
    <row r="369" spans="21:22">
      <c r="U369">
        <v>3855.3333333333335</v>
      </c>
      <c r="V369" t="s">
        <v>78</v>
      </c>
    </row>
    <row r="370" spans="21:22">
      <c r="U370">
        <v>4060</v>
      </c>
      <c r="V370" t="s">
        <v>79</v>
      </c>
    </row>
    <row r="371" spans="21:22">
      <c r="U371">
        <v>3994</v>
      </c>
      <c r="V371" t="s">
        <v>80</v>
      </c>
    </row>
    <row r="372" spans="21:22">
      <c r="U372">
        <v>4231.333333333333</v>
      </c>
      <c r="V372" t="s">
        <v>81</v>
      </c>
    </row>
    <row r="373" spans="21:22">
      <c r="U373">
        <v>4718</v>
      </c>
      <c r="V373" t="s">
        <v>82</v>
      </c>
    </row>
    <row r="374" spans="21:22">
      <c r="U374">
        <v>5006.666666666667</v>
      </c>
      <c r="V374" t="s">
        <v>83</v>
      </c>
    </row>
    <row r="375" spans="21:22">
      <c r="U375">
        <v>143590</v>
      </c>
      <c r="V375" t="s">
        <v>84</v>
      </c>
    </row>
    <row r="376" spans="21:22">
      <c r="U376">
        <v>151920.66666666666</v>
      </c>
      <c r="V376" t="s">
        <v>85</v>
      </c>
    </row>
    <row r="377" spans="21:22">
      <c r="U377">
        <v>155463.33333333334</v>
      </c>
      <c r="V377" t="s">
        <v>86</v>
      </c>
    </row>
    <row r="378" spans="21:22">
      <c r="U378">
        <v>166005.33333333334</v>
      </c>
      <c r="V378" t="s">
        <v>87</v>
      </c>
    </row>
    <row r="379" spans="21:22">
      <c r="U379">
        <v>161342</v>
      </c>
      <c r="V379" t="s">
        <v>88</v>
      </c>
    </row>
    <row r="380" spans="21:22">
      <c r="U380">
        <v>167957.33333333334</v>
      </c>
      <c r="V380" t="s">
        <v>89</v>
      </c>
    </row>
    <row r="381" spans="21:22">
      <c r="U381">
        <v>175266</v>
      </c>
      <c r="V381" t="s">
        <v>90</v>
      </c>
    </row>
    <row r="382" spans="21:22">
      <c r="U382">
        <v>181454</v>
      </c>
      <c r="V382" t="s">
        <v>91</v>
      </c>
    </row>
    <row r="383" spans="21:22">
      <c r="U383">
        <v>47540.666666666664</v>
      </c>
      <c r="V383" t="s">
        <v>92</v>
      </c>
    </row>
    <row r="384" spans="21:22">
      <c r="U384">
        <v>47372</v>
      </c>
      <c r="V384" t="s">
        <v>93</v>
      </c>
    </row>
    <row r="385" spans="21:22">
      <c r="U385">
        <v>47352</v>
      </c>
      <c r="V385" t="s">
        <v>94</v>
      </c>
    </row>
    <row r="386" spans="21:22">
      <c r="U386">
        <v>50572.666666666664</v>
      </c>
      <c r="V386" t="s">
        <v>95</v>
      </c>
    </row>
    <row r="387" spans="21:22">
      <c r="U387">
        <v>48104</v>
      </c>
      <c r="V387" t="s">
        <v>96</v>
      </c>
    </row>
    <row r="388" spans="21:22">
      <c r="U388">
        <v>50050</v>
      </c>
      <c r="V388" t="s">
        <v>97</v>
      </c>
    </row>
    <row r="389" spans="21:22">
      <c r="U389">
        <v>51248.666666666664</v>
      </c>
      <c r="V389" t="s">
        <v>98</v>
      </c>
    </row>
    <row r="390" spans="21:22">
      <c r="U390">
        <v>50992.666666666664</v>
      </c>
      <c r="V390" t="s">
        <v>99</v>
      </c>
    </row>
    <row r="391" spans="21:22">
      <c r="U391">
        <v>8655.3333333333339</v>
      </c>
      <c r="V391" t="s">
        <v>100</v>
      </c>
    </row>
    <row r="392" spans="21:22">
      <c r="U392">
        <v>5544.666666666667</v>
      </c>
      <c r="V392" t="s">
        <v>101</v>
      </c>
    </row>
    <row r="393" spans="21:22">
      <c r="U393">
        <v>6077.333333333333</v>
      </c>
      <c r="V393" t="s">
        <v>102</v>
      </c>
    </row>
    <row r="394" spans="21:22">
      <c r="U394">
        <v>5752</v>
      </c>
      <c r="V394" t="s">
        <v>103</v>
      </c>
    </row>
    <row r="395" spans="21:22">
      <c r="U395">
        <v>6080</v>
      </c>
      <c r="V395" t="s">
        <v>104</v>
      </c>
    </row>
    <row r="396" spans="21:22">
      <c r="U396">
        <v>6468</v>
      </c>
      <c r="V396" t="s">
        <v>105</v>
      </c>
    </row>
    <row r="397" spans="21:22">
      <c r="U397">
        <v>5335.333333333333</v>
      </c>
      <c r="V397" t="s">
        <v>106</v>
      </c>
    </row>
    <row r="398" spans="21:22">
      <c r="U398">
        <v>5496.666666666667</v>
      </c>
      <c r="V398" t="s">
        <v>107</v>
      </c>
    </row>
    <row r="399" spans="21:22">
      <c r="U399">
        <v>57695.333333333336</v>
      </c>
      <c r="V399" t="s">
        <v>108</v>
      </c>
    </row>
    <row r="400" spans="21:22">
      <c r="U400">
        <v>56922.666666666664</v>
      </c>
      <c r="V400" t="s">
        <v>109</v>
      </c>
    </row>
    <row r="401" spans="21:22">
      <c r="U401">
        <v>61472.666666666664</v>
      </c>
      <c r="V401" t="s">
        <v>110</v>
      </c>
    </row>
    <row r="402" spans="21:22">
      <c r="U402">
        <v>60910.666666666664</v>
      </c>
      <c r="V402" t="s">
        <v>111</v>
      </c>
    </row>
    <row r="403" spans="21:22">
      <c r="U403">
        <v>61338</v>
      </c>
      <c r="V403" t="s">
        <v>112</v>
      </c>
    </row>
    <row r="404" spans="21:22">
      <c r="U404">
        <v>62958</v>
      </c>
      <c r="V404" t="s">
        <v>113</v>
      </c>
    </row>
    <row r="405" spans="21:22">
      <c r="U405">
        <v>67163.333333333328</v>
      </c>
      <c r="V405" t="s">
        <v>114</v>
      </c>
    </row>
    <row r="406" spans="21:22">
      <c r="U406">
        <v>232</v>
      </c>
      <c r="V406" t="s">
        <v>115</v>
      </c>
    </row>
    <row r="407" spans="21:22">
      <c r="U407">
        <v>2664</v>
      </c>
      <c r="V407" t="s">
        <v>116</v>
      </c>
    </row>
    <row r="408" spans="21:22">
      <c r="U408">
        <v>1952.6666666666667</v>
      </c>
      <c r="V408" t="s">
        <v>117</v>
      </c>
    </row>
    <row r="409" spans="21:22">
      <c r="U409">
        <v>3738.6666666666665</v>
      </c>
      <c r="V409" t="s">
        <v>118</v>
      </c>
    </row>
    <row r="410" spans="21:22">
      <c r="U410">
        <v>3296</v>
      </c>
      <c r="V410" t="s">
        <v>119</v>
      </c>
    </row>
    <row r="411" spans="21:22">
      <c r="U411">
        <v>2871.3333333333335</v>
      </c>
      <c r="V411" t="s">
        <v>120</v>
      </c>
    </row>
    <row r="412" spans="21:22">
      <c r="U412">
        <v>3734</v>
      </c>
      <c r="V412" t="s">
        <v>121</v>
      </c>
    </row>
    <row r="413" spans="21:22">
      <c r="U413">
        <v>9349.3333333333339</v>
      </c>
      <c r="V413" t="s">
        <v>57</v>
      </c>
    </row>
    <row r="414" spans="21:22">
      <c r="U414">
        <v>9553.3333333333339</v>
      </c>
      <c r="V414" t="s">
        <v>58</v>
      </c>
    </row>
    <row r="415" spans="21:22">
      <c r="U415">
        <v>10263.333333333334</v>
      </c>
      <c r="V415" t="s">
        <v>59</v>
      </c>
    </row>
    <row r="416" spans="21:22">
      <c r="U416">
        <v>11229.333333333334</v>
      </c>
      <c r="V416" t="s">
        <v>60</v>
      </c>
    </row>
    <row r="417" spans="21:22">
      <c r="U417">
        <v>12491.333333333334</v>
      </c>
      <c r="V417" t="s">
        <v>61</v>
      </c>
    </row>
    <row r="418" spans="21:22">
      <c r="U418">
        <v>12259.333333333334</v>
      </c>
      <c r="V418" t="s">
        <v>62</v>
      </c>
    </row>
    <row r="419" spans="21:22">
      <c r="U419">
        <v>10866</v>
      </c>
      <c r="V419" t="s">
        <v>63</v>
      </c>
    </row>
    <row r="420" spans="21:22">
      <c r="U420">
        <v>7696.666666666667</v>
      </c>
      <c r="V420" t="s">
        <v>64</v>
      </c>
    </row>
    <row r="421" spans="21:22">
      <c r="U421">
        <v>8081.333333333333</v>
      </c>
      <c r="V421" t="s">
        <v>65</v>
      </c>
    </row>
    <row r="422" spans="21:22">
      <c r="U422">
        <v>8737.3333333333339</v>
      </c>
      <c r="V422" t="s">
        <v>66</v>
      </c>
    </row>
    <row r="423" spans="21:22">
      <c r="U423">
        <v>9610</v>
      </c>
      <c r="V423" t="s">
        <v>67</v>
      </c>
    </row>
    <row r="424" spans="21:22">
      <c r="U424">
        <v>10649.333333333334</v>
      </c>
      <c r="V424" t="s">
        <v>68</v>
      </c>
    </row>
    <row r="425" spans="21:22">
      <c r="U425">
        <v>11156</v>
      </c>
      <c r="V425" t="s">
        <v>69</v>
      </c>
    </row>
    <row r="426" spans="21:22">
      <c r="U426">
        <v>9273.3333333333339</v>
      </c>
      <c r="V426" t="s">
        <v>70</v>
      </c>
    </row>
    <row r="427" spans="21:22">
      <c r="U427">
        <v>5859.333333333333</v>
      </c>
      <c r="V427" t="s">
        <v>71</v>
      </c>
    </row>
    <row r="428" spans="21:22">
      <c r="U428">
        <v>6398.666666666667</v>
      </c>
      <c r="V428" t="s">
        <v>72</v>
      </c>
    </row>
    <row r="429" spans="21:22">
      <c r="U429">
        <v>6706.666666666667</v>
      </c>
      <c r="V429" t="s">
        <v>73</v>
      </c>
    </row>
    <row r="430" spans="21:22">
      <c r="U430">
        <v>7664.666666666667</v>
      </c>
      <c r="V430" t="s">
        <v>74</v>
      </c>
    </row>
    <row r="431" spans="21:22">
      <c r="U431">
        <v>8730</v>
      </c>
      <c r="V431" t="s">
        <v>75</v>
      </c>
    </row>
    <row r="432" spans="21:22">
      <c r="U432">
        <v>9520</v>
      </c>
      <c r="V432" t="s">
        <v>76</v>
      </c>
    </row>
    <row r="433" spans="21:22">
      <c r="U433">
        <v>2007.3333333333333</v>
      </c>
      <c r="V433" t="s">
        <v>77</v>
      </c>
    </row>
    <row r="434" spans="21:22">
      <c r="U434">
        <v>1122</v>
      </c>
      <c r="V434" t="s">
        <v>78</v>
      </c>
    </row>
    <row r="435" spans="21:22">
      <c r="U435">
        <v>1624.6666666666667</v>
      </c>
      <c r="V435" t="s">
        <v>79</v>
      </c>
    </row>
    <row r="436" spans="21:22">
      <c r="U436">
        <v>1670</v>
      </c>
      <c r="V436" t="s">
        <v>80</v>
      </c>
    </row>
    <row r="437" spans="21:22">
      <c r="U437">
        <v>1904</v>
      </c>
      <c r="V437" t="s">
        <v>81</v>
      </c>
    </row>
    <row r="438" spans="21:22">
      <c r="U438">
        <v>2196.6666666666665</v>
      </c>
      <c r="V438" t="s">
        <v>82</v>
      </c>
    </row>
    <row r="439" spans="21:22">
      <c r="U439">
        <v>2474.6666666666665</v>
      </c>
      <c r="V439" t="s">
        <v>83</v>
      </c>
    </row>
    <row r="440" spans="21:22">
      <c r="U440">
        <v>141902.66666666666</v>
      </c>
      <c r="V440" t="s">
        <v>84</v>
      </c>
    </row>
    <row r="441" spans="21:22">
      <c r="U441">
        <v>154762</v>
      </c>
      <c r="V441" t="s">
        <v>85</v>
      </c>
    </row>
    <row r="442" spans="21:22">
      <c r="U442">
        <v>162732</v>
      </c>
      <c r="V442" t="s">
        <v>86</v>
      </c>
    </row>
    <row r="443" spans="21:22">
      <c r="U443">
        <v>141865.33333333334</v>
      </c>
      <c r="V443" t="s">
        <v>87</v>
      </c>
    </row>
    <row r="444" spans="21:22">
      <c r="U444">
        <v>144973.33333333334</v>
      </c>
      <c r="V444" t="s">
        <v>88</v>
      </c>
    </row>
    <row r="445" spans="21:22">
      <c r="U445">
        <v>147985.33333333334</v>
      </c>
      <c r="V445" t="s">
        <v>89</v>
      </c>
    </row>
    <row r="446" spans="21:22">
      <c r="U446">
        <v>148951.33333333334</v>
      </c>
      <c r="V446" t="s">
        <v>90</v>
      </c>
    </row>
    <row r="447" spans="21:22">
      <c r="U447">
        <v>155702</v>
      </c>
      <c r="V447" t="s">
        <v>91</v>
      </c>
    </row>
    <row r="448" spans="21:22">
      <c r="U448">
        <v>40830</v>
      </c>
      <c r="V448" t="s">
        <v>92</v>
      </c>
    </row>
    <row r="449" spans="21:22">
      <c r="U449">
        <v>42053.333333333336</v>
      </c>
      <c r="V449" t="s">
        <v>93</v>
      </c>
    </row>
    <row r="450" spans="21:22">
      <c r="U450">
        <v>44115.333333333336</v>
      </c>
      <c r="V450" t="s">
        <v>94</v>
      </c>
    </row>
    <row r="451" spans="21:22">
      <c r="U451">
        <v>41806</v>
      </c>
      <c r="V451" t="s">
        <v>95</v>
      </c>
    </row>
    <row r="452" spans="21:22">
      <c r="U452">
        <v>44234.666666666664</v>
      </c>
      <c r="V452" t="s">
        <v>96</v>
      </c>
    </row>
    <row r="453" spans="21:22">
      <c r="U453">
        <v>47597.333333333336</v>
      </c>
      <c r="V453" t="s">
        <v>97</v>
      </c>
    </row>
    <row r="454" spans="21:22">
      <c r="U454">
        <v>48176.666666666664</v>
      </c>
      <c r="V454" t="s">
        <v>98</v>
      </c>
    </row>
    <row r="455" spans="21:22">
      <c r="U455">
        <v>53885.333333333336</v>
      </c>
      <c r="V455" t="s">
        <v>99</v>
      </c>
    </row>
    <row r="456" spans="21:22">
      <c r="U456">
        <v>8047.333333333333</v>
      </c>
      <c r="V456" t="s">
        <v>100</v>
      </c>
    </row>
    <row r="457" spans="21:22">
      <c r="U457">
        <v>5079.333333333333</v>
      </c>
      <c r="V457" t="s">
        <v>101</v>
      </c>
    </row>
    <row r="458" spans="21:22">
      <c r="U458">
        <v>5518</v>
      </c>
      <c r="V458" t="s">
        <v>102</v>
      </c>
    </row>
    <row r="459" spans="21:22">
      <c r="U459">
        <v>4730</v>
      </c>
      <c r="V459" t="s">
        <v>103</v>
      </c>
    </row>
    <row r="460" spans="21:22">
      <c r="U460">
        <v>5893.333333333333</v>
      </c>
      <c r="V460" t="s">
        <v>104</v>
      </c>
    </row>
    <row r="461" spans="21:22">
      <c r="U461">
        <v>7857.333333333333</v>
      </c>
      <c r="V461" t="s">
        <v>105</v>
      </c>
    </row>
    <row r="462" spans="21:22">
      <c r="U462">
        <v>6952</v>
      </c>
      <c r="V462" t="s">
        <v>106</v>
      </c>
    </row>
    <row r="463" spans="21:22">
      <c r="U463">
        <v>8951.3333333333339</v>
      </c>
      <c r="V463" t="s">
        <v>107</v>
      </c>
    </row>
    <row r="464" spans="21:22">
      <c r="U464">
        <v>49075.333333333336</v>
      </c>
      <c r="V464" t="s">
        <v>108</v>
      </c>
    </row>
    <row r="465" spans="21:22">
      <c r="U465">
        <v>54375.333333333336</v>
      </c>
      <c r="V465" t="s">
        <v>109</v>
      </c>
    </row>
    <row r="466" spans="21:22">
      <c r="U466">
        <v>49626.666666666664</v>
      </c>
      <c r="V466" t="s">
        <v>110</v>
      </c>
    </row>
    <row r="467" spans="21:22">
      <c r="U467">
        <v>47981.333333333336</v>
      </c>
      <c r="V467" t="s">
        <v>111</v>
      </c>
    </row>
    <row r="468" spans="21:22">
      <c r="U468">
        <v>48750</v>
      </c>
      <c r="V468" t="s">
        <v>112</v>
      </c>
    </row>
    <row r="469" spans="21:22">
      <c r="U469">
        <v>49291.333333333336</v>
      </c>
      <c r="V469" t="s">
        <v>113</v>
      </c>
    </row>
    <row r="470" spans="21:22">
      <c r="U470">
        <v>53030.666666666664</v>
      </c>
      <c r="V470" t="s">
        <v>114</v>
      </c>
    </row>
    <row r="471" spans="21:22">
      <c r="U471">
        <v>124</v>
      </c>
      <c r="V471" t="s">
        <v>115</v>
      </c>
    </row>
    <row r="472" spans="21:22">
      <c r="U472">
        <v>1845.3333333333333</v>
      </c>
      <c r="V472" t="s">
        <v>116</v>
      </c>
    </row>
    <row r="473" spans="21:22">
      <c r="U473">
        <v>2276</v>
      </c>
      <c r="V473" t="s">
        <v>117</v>
      </c>
    </row>
    <row r="474" spans="21:22">
      <c r="U474">
        <v>1786</v>
      </c>
      <c r="V474" t="s">
        <v>118</v>
      </c>
    </row>
    <row r="475" spans="21:22">
      <c r="U475">
        <v>1786</v>
      </c>
      <c r="V475" t="s">
        <v>119</v>
      </c>
    </row>
    <row r="476" spans="21:22">
      <c r="U476">
        <v>2302.6666666666665</v>
      </c>
      <c r="V476" t="s">
        <v>120</v>
      </c>
    </row>
    <row r="477" spans="21:22">
      <c r="U477">
        <v>2302.6666666666665</v>
      </c>
      <c r="V477" t="s">
        <v>121</v>
      </c>
    </row>
    <row r="478" spans="21:22">
      <c r="U478">
        <v>2594</v>
      </c>
      <c r="V478" t="s">
        <v>57</v>
      </c>
    </row>
    <row r="479" spans="21:22">
      <c r="U479">
        <v>2386.6666666666665</v>
      </c>
      <c r="V479" t="s">
        <v>58</v>
      </c>
    </row>
    <row r="480" spans="21:22">
      <c r="U480">
        <v>2460</v>
      </c>
      <c r="V480" t="s">
        <v>59</v>
      </c>
    </row>
    <row r="481" spans="21:22">
      <c r="U481">
        <v>2777.3333333333335</v>
      </c>
      <c r="V481" t="s">
        <v>60</v>
      </c>
    </row>
    <row r="482" spans="21:22">
      <c r="U482">
        <v>2968</v>
      </c>
      <c r="V482" t="s">
        <v>61</v>
      </c>
    </row>
    <row r="483" spans="21:22">
      <c r="U483">
        <v>2826</v>
      </c>
      <c r="V483" t="s">
        <v>62</v>
      </c>
    </row>
    <row r="484" spans="21:22">
      <c r="U484">
        <v>2166.6666666666665</v>
      </c>
      <c r="V484" t="s">
        <v>63</v>
      </c>
    </row>
    <row r="485" spans="21:22">
      <c r="U485">
        <v>2265.3333333333335</v>
      </c>
      <c r="V485" t="s">
        <v>64</v>
      </c>
    </row>
    <row r="486" spans="21:22">
      <c r="U486">
        <v>2040.6666666666667</v>
      </c>
      <c r="V486" t="s">
        <v>65</v>
      </c>
    </row>
    <row r="487" spans="21:22">
      <c r="U487">
        <v>2069.3333333333335</v>
      </c>
      <c r="V487" t="s">
        <v>66</v>
      </c>
    </row>
    <row r="488" spans="21:22">
      <c r="U488">
        <v>2335.3333333333335</v>
      </c>
      <c r="V488" t="s">
        <v>67</v>
      </c>
    </row>
    <row r="489" spans="21:22">
      <c r="U489">
        <v>2526</v>
      </c>
      <c r="V489" t="s">
        <v>68</v>
      </c>
    </row>
    <row r="490" spans="21:22">
      <c r="U490">
        <v>2826</v>
      </c>
      <c r="V490" t="s">
        <v>69</v>
      </c>
    </row>
    <row r="491" spans="21:22">
      <c r="U491">
        <v>1975.3333333333333</v>
      </c>
      <c r="V491" t="s">
        <v>70</v>
      </c>
    </row>
    <row r="492" spans="21:22">
      <c r="U492">
        <v>1995.3333333333333</v>
      </c>
      <c r="V492" t="s">
        <v>71</v>
      </c>
    </row>
    <row r="493" spans="21:22">
      <c r="U493">
        <v>1771.3333333333333</v>
      </c>
      <c r="V493" t="s">
        <v>72</v>
      </c>
    </row>
    <row r="494" spans="21:22">
      <c r="U494">
        <v>1805.3333333333333</v>
      </c>
      <c r="V494" t="s">
        <v>73</v>
      </c>
    </row>
    <row r="495" spans="21:22">
      <c r="U495">
        <v>2068.6666666666665</v>
      </c>
      <c r="V495" t="s">
        <v>74</v>
      </c>
    </row>
    <row r="496" spans="21:22">
      <c r="U496">
        <v>2256</v>
      </c>
      <c r="V496" t="s">
        <v>75</v>
      </c>
    </row>
    <row r="497" spans="21:22">
      <c r="U497">
        <v>2491.3333333333335</v>
      </c>
      <c r="V497" t="s">
        <v>76</v>
      </c>
    </row>
    <row r="498" spans="21:22">
      <c r="U498">
        <v>398.66666666666669</v>
      </c>
      <c r="V498" t="s">
        <v>77</v>
      </c>
    </row>
    <row r="499" spans="21:22">
      <c r="U499">
        <v>403.33333333333331</v>
      </c>
      <c r="V499" t="s">
        <v>78</v>
      </c>
    </row>
    <row r="500" spans="21:22">
      <c r="U500">
        <v>359.33333333333331</v>
      </c>
      <c r="V500" t="s">
        <v>79</v>
      </c>
    </row>
    <row r="501" spans="21:22">
      <c r="U501">
        <v>380</v>
      </c>
      <c r="V501" t="s">
        <v>80</v>
      </c>
    </row>
    <row r="502" spans="21:22">
      <c r="U502">
        <v>435.33333333333331</v>
      </c>
      <c r="V502" t="s">
        <v>81</v>
      </c>
    </row>
    <row r="503" spans="21:22">
      <c r="U503">
        <v>478.66666666666669</v>
      </c>
      <c r="V503" t="s">
        <v>82</v>
      </c>
    </row>
    <row r="504" spans="21:22">
      <c r="U504">
        <v>580</v>
      </c>
      <c r="V504" t="s">
        <v>83</v>
      </c>
    </row>
    <row r="505" spans="21:22">
      <c r="U505">
        <v>10170.666666666666</v>
      </c>
      <c r="V505" t="s">
        <v>84</v>
      </c>
    </row>
    <row r="506" spans="21:22">
      <c r="U506">
        <v>9969.3333333333339</v>
      </c>
      <c r="V506" t="s">
        <v>85</v>
      </c>
    </row>
    <row r="507" spans="21:22">
      <c r="U507">
        <v>10269.333333333334</v>
      </c>
      <c r="V507" t="s">
        <v>86</v>
      </c>
    </row>
    <row r="508" spans="21:22">
      <c r="U508">
        <v>10650</v>
      </c>
      <c r="V508" t="s">
        <v>87</v>
      </c>
    </row>
    <row r="509" spans="21:22">
      <c r="U509">
        <v>12088</v>
      </c>
      <c r="V509" t="s">
        <v>88</v>
      </c>
    </row>
    <row r="510" spans="21:22">
      <c r="U510">
        <v>13103.333333333334</v>
      </c>
      <c r="V510" t="s">
        <v>89</v>
      </c>
    </row>
    <row r="511" spans="21:22">
      <c r="U511">
        <v>12924</v>
      </c>
      <c r="V511" t="s">
        <v>90</v>
      </c>
    </row>
    <row r="512" spans="21:22">
      <c r="U512">
        <v>13599.333333333334</v>
      </c>
      <c r="V512" t="s">
        <v>91</v>
      </c>
    </row>
    <row r="513" spans="21:22">
      <c r="U513">
        <v>4413.333333333333</v>
      </c>
      <c r="V513" t="s">
        <v>92</v>
      </c>
    </row>
    <row r="514" spans="21:22">
      <c r="U514">
        <v>4227.333333333333</v>
      </c>
      <c r="V514" t="s">
        <v>93</v>
      </c>
    </row>
    <row r="515" spans="21:22">
      <c r="U515">
        <v>4368.666666666667</v>
      </c>
      <c r="V515" t="s">
        <v>94</v>
      </c>
    </row>
    <row r="516" spans="21:22">
      <c r="U516">
        <v>4620.666666666667</v>
      </c>
      <c r="V516" t="s">
        <v>95</v>
      </c>
    </row>
    <row r="517" spans="21:22">
      <c r="U517">
        <v>5352</v>
      </c>
      <c r="V517" t="s">
        <v>96</v>
      </c>
    </row>
    <row r="518" spans="21:22">
      <c r="U518">
        <v>5746.666666666667</v>
      </c>
      <c r="V518" t="s">
        <v>97</v>
      </c>
    </row>
    <row r="519" spans="21:22">
      <c r="U519">
        <v>4961.333333333333</v>
      </c>
      <c r="V519" t="s">
        <v>98</v>
      </c>
    </row>
    <row r="520" spans="21:22">
      <c r="U520">
        <v>5027.333333333333</v>
      </c>
      <c r="V520" t="s">
        <v>99</v>
      </c>
    </row>
    <row r="521" spans="21:22">
      <c r="U521">
        <v>176</v>
      </c>
      <c r="V521" t="s">
        <v>100</v>
      </c>
    </row>
    <row r="522" spans="21:22">
      <c r="U522">
        <v>172.66666666666666</v>
      </c>
      <c r="V522" t="s">
        <v>101</v>
      </c>
    </row>
    <row r="523" spans="21:22">
      <c r="U523">
        <v>178</v>
      </c>
      <c r="V523" t="s">
        <v>102</v>
      </c>
    </row>
    <row r="524" spans="21:22">
      <c r="U524">
        <v>154</v>
      </c>
      <c r="V524" t="s">
        <v>103</v>
      </c>
    </row>
    <row r="525" spans="21:22">
      <c r="U525">
        <v>771.33333333333337</v>
      </c>
      <c r="V525" t="s">
        <v>104</v>
      </c>
    </row>
    <row r="526" spans="21:22">
      <c r="U526">
        <v>1068.6666666666667</v>
      </c>
      <c r="V526" t="s">
        <v>105</v>
      </c>
    </row>
    <row r="527" spans="21:22">
      <c r="U527">
        <v>720.66666666666663</v>
      </c>
      <c r="V527" t="s">
        <v>106</v>
      </c>
    </row>
    <row r="528" spans="21:22">
      <c r="U528">
        <v>637.33333333333337</v>
      </c>
      <c r="V528" t="s">
        <v>107</v>
      </c>
    </row>
    <row r="529" spans="21:22">
      <c r="U529">
        <v>5308</v>
      </c>
      <c r="V529" t="s">
        <v>108</v>
      </c>
    </row>
    <row r="530" spans="21:22">
      <c r="U530">
        <v>5210</v>
      </c>
      <c r="V530" t="s">
        <v>109</v>
      </c>
    </row>
    <row r="531" spans="21:22">
      <c r="U531">
        <v>5254</v>
      </c>
      <c r="V531" t="s">
        <v>110</v>
      </c>
    </row>
    <row r="532" spans="21:22">
      <c r="U532">
        <v>5761.333333333333</v>
      </c>
      <c r="V532" t="s">
        <v>111</v>
      </c>
    </row>
    <row r="533" spans="21:22">
      <c r="U533">
        <v>6045.333333333333</v>
      </c>
      <c r="V533" t="s">
        <v>112</v>
      </c>
    </row>
    <row r="534" spans="21:22">
      <c r="U534">
        <v>6464.666666666667</v>
      </c>
      <c r="V534" t="s">
        <v>113</v>
      </c>
    </row>
    <row r="535" spans="21:22">
      <c r="U535">
        <v>6852</v>
      </c>
      <c r="V535" t="s">
        <v>114</v>
      </c>
    </row>
    <row r="536" spans="21:22">
      <c r="U536">
        <v>86</v>
      </c>
      <c r="V536" t="s">
        <v>115</v>
      </c>
    </row>
    <row r="537" spans="21:22">
      <c r="U537">
        <v>76.666666666666671</v>
      </c>
      <c r="V537" t="s">
        <v>116</v>
      </c>
    </row>
    <row r="538" spans="21:22">
      <c r="U538">
        <v>76.666666666666671</v>
      </c>
      <c r="V538" t="s">
        <v>117</v>
      </c>
    </row>
    <row r="539" spans="21:22">
      <c r="U539">
        <v>160.66666666666666</v>
      </c>
      <c r="V539" t="s">
        <v>118</v>
      </c>
    </row>
    <row r="540" spans="21:22">
      <c r="U540">
        <v>160.66666666666666</v>
      </c>
      <c r="V540" t="s">
        <v>119</v>
      </c>
    </row>
    <row r="541" spans="21:22">
      <c r="U541">
        <v>0</v>
      </c>
      <c r="V541" t="s">
        <v>120</v>
      </c>
    </row>
    <row r="542" spans="21:22">
      <c r="U542">
        <v>0</v>
      </c>
      <c r="V54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D30"/>
  <sheetViews>
    <sheetView zoomScale="77" workbookViewId="0"/>
  </sheetViews>
  <sheetFormatPr defaultRowHeight="15.6"/>
  <cols>
    <col min="1" max="1" width="147.109375" style="8" customWidth="1"/>
    <col min="2" max="2" width="16.33203125" style="8" customWidth="1"/>
    <col min="3" max="16384" width="8.88671875" style="8"/>
  </cols>
  <sheetData>
    <row r="1" spans="1:4">
      <c r="A1" s="7" t="s">
        <v>3</v>
      </c>
      <c r="B1" s="7" t="s">
        <v>0</v>
      </c>
      <c r="C1" s="7" t="s">
        <v>6</v>
      </c>
    </row>
    <row r="2" spans="1:4">
      <c r="A2" s="3" t="s">
        <v>47</v>
      </c>
      <c r="B2" s="9"/>
      <c r="C2" s="16" t="s">
        <v>8</v>
      </c>
    </row>
    <row r="3" spans="1:4">
      <c r="A3" s="21" t="s">
        <v>130</v>
      </c>
      <c r="B3" s="9"/>
      <c r="C3" s="16" t="s">
        <v>8</v>
      </c>
    </row>
    <row r="4" spans="1:4">
      <c r="A4" s="3" t="s">
        <v>131</v>
      </c>
      <c r="B4" s="9"/>
      <c r="C4" s="16" t="s">
        <v>8</v>
      </c>
    </row>
    <row r="5" spans="1:4">
      <c r="A5" s="3" t="s">
        <v>132</v>
      </c>
      <c r="B5" s="9"/>
      <c r="C5" s="16" t="s">
        <v>8</v>
      </c>
    </row>
    <row r="6" spans="1:4">
      <c r="A6" s="3" t="s">
        <v>133</v>
      </c>
      <c r="B6" s="9"/>
      <c r="C6" s="16" t="s">
        <v>8</v>
      </c>
    </row>
    <row r="7" spans="1:4">
      <c r="A7" s="3" t="s">
        <v>134</v>
      </c>
      <c r="B7" s="9"/>
      <c r="C7" s="16" t="s">
        <v>8</v>
      </c>
    </row>
    <row r="8" spans="1:4">
      <c r="A8" s="3" t="s">
        <v>135</v>
      </c>
      <c r="B8" s="9"/>
      <c r="C8" s="16" t="s">
        <v>8</v>
      </c>
      <c r="D8" s="8" t="s">
        <v>10</v>
      </c>
    </row>
    <row r="9" spans="1:4">
      <c r="A9" s="3" t="s">
        <v>136</v>
      </c>
      <c r="B9" s="9"/>
      <c r="C9" s="16" t="s">
        <v>8</v>
      </c>
    </row>
    <row r="10" spans="1:4">
      <c r="A10" s="21" t="s">
        <v>137</v>
      </c>
      <c r="B10" s="9"/>
      <c r="C10" s="16" t="s">
        <v>8</v>
      </c>
    </row>
    <row r="11" spans="1:4">
      <c r="A11" s="3" t="s">
        <v>138</v>
      </c>
      <c r="B11" s="9"/>
      <c r="C11" s="16" t="s">
        <v>8</v>
      </c>
    </row>
    <row r="12" spans="1:4">
      <c r="A12" s="3" t="s">
        <v>139</v>
      </c>
      <c r="B12" s="9"/>
      <c r="C12" s="16" t="s">
        <v>8</v>
      </c>
    </row>
    <row r="13" spans="1:4">
      <c r="A13" s="3" t="s">
        <v>140</v>
      </c>
      <c r="B13" s="9"/>
      <c r="C13" s="16" t="s">
        <v>8</v>
      </c>
    </row>
    <row r="14" spans="1:4">
      <c r="A14" s="3" t="s">
        <v>141</v>
      </c>
      <c r="B14" s="9"/>
      <c r="C14" s="16" t="s">
        <v>8</v>
      </c>
    </row>
    <row r="15" spans="1:4">
      <c r="A15" s="3" t="s">
        <v>142</v>
      </c>
      <c r="B15" s="9"/>
      <c r="C15" s="16" t="s">
        <v>8</v>
      </c>
    </row>
    <row r="16" spans="1:4">
      <c r="A16" s="3" t="s">
        <v>143</v>
      </c>
      <c r="B16" s="9"/>
      <c r="C16" s="16" t="s">
        <v>8</v>
      </c>
    </row>
    <row r="17" spans="1:3">
      <c r="A17" s="21" t="s">
        <v>144</v>
      </c>
      <c r="B17" s="9"/>
      <c r="C17" s="16" t="s">
        <v>8</v>
      </c>
    </row>
    <row r="18" spans="1:3">
      <c r="A18" s="3" t="s">
        <v>145</v>
      </c>
      <c r="B18" s="9"/>
      <c r="C18" s="16" t="s">
        <v>8</v>
      </c>
    </row>
    <row r="19" spans="1:3">
      <c r="A19" s="3" t="s">
        <v>146</v>
      </c>
      <c r="B19" s="9"/>
      <c r="C19" s="16" t="s">
        <v>8</v>
      </c>
    </row>
    <row r="20" spans="1:3">
      <c r="A20" s="3" t="s">
        <v>147</v>
      </c>
      <c r="B20" s="9"/>
      <c r="C20" s="16" t="s">
        <v>8</v>
      </c>
    </row>
    <row r="21" spans="1:3">
      <c r="A21" s="3" t="s">
        <v>148</v>
      </c>
      <c r="B21" s="9"/>
      <c r="C21" s="16" t="s">
        <v>8</v>
      </c>
    </row>
    <row r="22" spans="1:3">
      <c r="A22" s="3" t="s">
        <v>149</v>
      </c>
      <c r="B22" s="9"/>
      <c r="C22" s="16" t="s">
        <v>8</v>
      </c>
    </row>
    <row r="23" spans="1:3">
      <c r="A23" s="3" t="s">
        <v>150</v>
      </c>
      <c r="B23" s="9"/>
      <c r="C23" s="16" t="s">
        <v>8</v>
      </c>
    </row>
    <row r="24" spans="1:3">
      <c r="A24" s="21" t="s">
        <v>151</v>
      </c>
      <c r="B24" s="9"/>
      <c r="C24" s="16" t="s">
        <v>8</v>
      </c>
    </row>
    <row r="25" spans="1:3">
      <c r="A25" s="3" t="s">
        <v>152</v>
      </c>
      <c r="B25" s="9"/>
      <c r="C25" s="16" t="s">
        <v>8</v>
      </c>
    </row>
    <row r="26" spans="1:3">
      <c r="A26" s="3" t="s">
        <v>153</v>
      </c>
      <c r="B26" s="9"/>
      <c r="C26" s="16" t="s">
        <v>8</v>
      </c>
    </row>
    <row r="27" spans="1:3">
      <c r="A27" s="3" t="s">
        <v>154</v>
      </c>
      <c r="B27" s="9"/>
      <c r="C27" s="16" t="s">
        <v>8</v>
      </c>
    </row>
    <row r="28" spans="1:3">
      <c r="A28" s="3" t="s">
        <v>155</v>
      </c>
      <c r="B28" s="9"/>
      <c r="C28" s="16" t="s">
        <v>8</v>
      </c>
    </row>
    <row r="29" spans="1:3">
      <c r="A29" s="3" t="s">
        <v>156</v>
      </c>
      <c r="B29" s="9"/>
      <c r="C29" s="16" t="s">
        <v>8</v>
      </c>
    </row>
    <row r="30" spans="1:3">
      <c r="A30" s="3" t="s">
        <v>157</v>
      </c>
      <c r="B30" s="9"/>
      <c r="C30" s="16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2026-05-08T04:35:39Z</dcterms:modified>
</cp:coreProperties>
</file>