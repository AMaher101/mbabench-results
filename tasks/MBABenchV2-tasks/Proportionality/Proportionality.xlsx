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atio Analysis\Proportionality\starting_files\"/>
    </mc:Choice>
  </mc:AlternateContent>
  <xr:revisionPtr revIDLastSave="0" documentId="13_ncr:1_{51FE75C3-4058-46D0-8F2E-AA07E93170E6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MPHG IS" sheetId="16" r:id="rId2"/>
    <sheet name="MPHG BS" sheetId="17" r:id="rId3"/>
    <sheet name="Questions" sheetId="6" r:id="rId4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7" l="1"/>
  <c r="J43" i="17"/>
  <c r="I43" i="17"/>
  <c r="H43" i="17"/>
  <c r="G43" i="17"/>
  <c r="F43" i="17"/>
  <c r="E43" i="17"/>
  <c r="D43" i="17"/>
  <c r="C43" i="17"/>
  <c r="B43" i="17"/>
  <c r="K35" i="17"/>
  <c r="J35" i="17"/>
  <c r="I35" i="17"/>
  <c r="H35" i="17"/>
  <c r="G35" i="17"/>
  <c r="F35" i="17"/>
  <c r="E35" i="17"/>
  <c r="E36" i="17" s="1"/>
  <c r="E44" i="17" s="1"/>
  <c r="D35" i="17"/>
  <c r="C35" i="17"/>
  <c r="C36" i="17" s="1"/>
  <c r="C44" i="17" s="1"/>
  <c r="B35" i="17"/>
  <c r="B36" i="17" s="1"/>
  <c r="B44" i="17" s="1"/>
  <c r="K30" i="17"/>
  <c r="K36" i="17" s="1"/>
  <c r="K44" i="17" s="1"/>
  <c r="J30" i="17"/>
  <c r="J36" i="17" s="1"/>
  <c r="J44" i="17" s="1"/>
  <c r="I30" i="17"/>
  <c r="I36" i="17" s="1"/>
  <c r="I44" i="17" s="1"/>
  <c r="H30" i="17"/>
  <c r="H36" i="17" s="1"/>
  <c r="H44" i="17" s="1"/>
  <c r="G30" i="17"/>
  <c r="G36" i="17" s="1"/>
  <c r="G44" i="17" s="1"/>
  <c r="F30" i="17"/>
  <c r="F36" i="17" s="1"/>
  <c r="F44" i="17" s="1"/>
  <c r="E30" i="17"/>
  <c r="D30" i="17"/>
  <c r="D36" i="17" s="1"/>
  <c r="D44" i="17" s="1"/>
  <c r="C30" i="17"/>
  <c r="B30" i="17"/>
  <c r="K24" i="17"/>
  <c r="J24" i="17"/>
  <c r="H24" i="17"/>
  <c r="D24" i="17"/>
  <c r="B24" i="17"/>
  <c r="K23" i="17"/>
  <c r="J23" i="17"/>
  <c r="I23" i="17"/>
  <c r="H23" i="17"/>
  <c r="G23" i="17"/>
  <c r="F23" i="17"/>
  <c r="E23" i="17"/>
  <c r="D23" i="17"/>
  <c r="C23" i="17"/>
  <c r="B23" i="17"/>
  <c r="K16" i="17"/>
  <c r="J16" i="17"/>
  <c r="I16" i="17"/>
  <c r="I24" i="17" s="1"/>
  <c r="H16" i="17"/>
  <c r="G16" i="17"/>
  <c r="G24" i="17" s="1"/>
  <c r="F16" i="17"/>
  <c r="F24" i="17" s="1"/>
  <c r="E16" i="17"/>
  <c r="E24" i="17" s="1"/>
  <c r="D16" i="17"/>
  <c r="C16" i="17"/>
  <c r="C24" i="17" s="1"/>
  <c r="B16" i="17"/>
  <c r="K49" i="16"/>
  <c r="J49" i="16"/>
  <c r="I49" i="16"/>
  <c r="H49" i="16"/>
  <c r="G49" i="16"/>
  <c r="F49" i="16"/>
  <c r="E49" i="16"/>
  <c r="D49" i="16"/>
  <c r="C49" i="16"/>
  <c r="B49" i="16"/>
  <c r="K25" i="16"/>
  <c r="K24" i="16" s="1"/>
  <c r="J25" i="16"/>
  <c r="J24" i="16" s="1"/>
  <c r="I25" i="16"/>
  <c r="I24" i="16" s="1"/>
  <c r="H25" i="16"/>
  <c r="H24" i="16" s="1"/>
  <c r="G25" i="16"/>
  <c r="G24" i="16" s="1"/>
  <c r="F25" i="16"/>
  <c r="F24" i="16" s="1"/>
  <c r="E25" i="16"/>
  <c r="E24" i="16" s="1"/>
  <c r="D25" i="16"/>
  <c r="D24" i="16" s="1"/>
  <c r="C25" i="16"/>
  <c r="C24" i="16" s="1"/>
  <c r="B25" i="16"/>
  <c r="B24" i="16" s="1"/>
  <c r="K22" i="16"/>
  <c r="J22" i="16"/>
  <c r="I22" i="16"/>
  <c r="H22" i="16"/>
  <c r="G22" i="16"/>
  <c r="F22" i="16"/>
  <c r="E22" i="16"/>
  <c r="D22" i="16"/>
  <c r="C22" i="16"/>
  <c r="B22" i="16"/>
  <c r="K19" i="16"/>
  <c r="J19" i="16"/>
  <c r="I19" i="16"/>
  <c r="H19" i="16"/>
  <c r="G19" i="16"/>
  <c r="F19" i="16"/>
  <c r="E19" i="16"/>
  <c r="D19" i="16"/>
  <c r="C19" i="16"/>
  <c r="B19" i="16"/>
  <c r="B18" i="16"/>
  <c r="B48" i="16" s="1"/>
  <c r="B47" i="16" s="1"/>
  <c r="K15" i="16"/>
  <c r="J15" i="16"/>
  <c r="I15" i="16"/>
  <c r="H15" i="16"/>
  <c r="G15" i="16"/>
  <c r="F15" i="16"/>
  <c r="E15" i="16"/>
  <c r="D15" i="16"/>
  <c r="C15" i="16"/>
  <c r="B15" i="16"/>
  <c r="K14" i="16"/>
  <c r="K18" i="16" s="1"/>
  <c r="J14" i="16"/>
  <c r="J18" i="16" s="1"/>
  <c r="I14" i="16"/>
  <c r="I18" i="16" s="1"/>
  <c r="H14" i="16"/>
  <c r="H18" i="16" s="1"/>
  <c r="G14" i="16"/>
  <c r="G18" i="16" s="1"/>
  <c r="F14" i="16"/>
  <c r="F18" i="16" s="1"/>
  <c r="E14" i="16"/>
  <c r="E18" i="16" s="1"/>
  <c r="D14" i="16"/>
  <c r="D18" i="16" s="1"/>
  <c r="C14" i="16"/>
  <c r="C18" i="16" s="1"/>
  <c r="B14" i="16"/>
  <c r="K11" i="16"/>
  <c r="J11" i="16"/>
  <c r="I11" i="16"/>
  <c r="H11" i="16"/>
  <c r="G11" i="16"/>
  <c r="F11" i="16"/>
  <c r="E11" i="16"/>
  <c r="D11" i="16"/>
  <c r="C11" i="16"/>
  <c r="B11" i="16"/>
  <c r="C29" i="16" l="1"/>
  <c r="C48" i="16"/>
  <c r="C47" i="16" s="1"/>
  <c r="D29" i="16"/>
  <c r="D48" i="16"/>
  <c r="D47" i="16" s="1"/>
  <c r="E48" i="16"/>
  <c r="E47" i="16" s="1"/>
  <c r="E29" i="16"/>
  <c r="F48" i="16"/>
  <c r="F47" i="16" s="1"/>
  <c r="F29" i="16"/>
  <c r="H29" i="16"/>
  <c r="H48" i="16"/>
  <c r="H47" i="16" s="1"/>
  <c r="I48" i="16"/>
  <c r="I47" i="16" s="1"/>
  <c r="I29" i="16"/>
  <c r="G48" i="16"/>
  <c r="G47" i="16" s="1"/>
  <c r="G29" i="16"/>
  <c r="J48" i="16"/>
  <c r="J47" i="16" s="1"/>
  <c r="J29" i="16"/>
  <c r="K48" i="16"/>
  <c r="K47" i="16" s="1"/>
  <c r="K29" i="16"/>
  <c r="B29" i="16"/>
  <c r="D51" i="16" l="1"/>
  <c r="D32" i="16"/>
  <c r="D34" i="16" s="1"/>
  <c r="K51" i="16"/>
  <c r="K32" i="16"/>
  <c r="K34" i="16" s="1"/>
  <c r="J51" i="16"/>
  <c r="J32" i="16"/>
  <c r="J34" i="16" s="1"/>
  <c r="G51" i="16"/>
  <c r="G32" i="16"/>
  <c r="G34" i="16" s="1"/>
  <c r="I51" i="16"/>
  <c r="I32" i="16"/>
  <c r="I34" i="16" s="1"/>
  <c r="B51" i="16"/>
  <c r="B32" i="16"/>
  <c r="B34" i="16" s="1"/>
  <c r="H51" i="16"/>
  <c r="H32" i="16"/>
  <c r="H34" i="16" s="1"/>
  <c r="F51" i="16"/>
  <c r="F32" i="16"/>
  <c r="F34" i="16" s="1"/>
  <c r="E51" i="16"/>
  <c r="E32" i="16"/>
  <c r="E34" i="16" s="1"/>
  <c r="C51" i="16"/>
  <c r="C32" i="16"/>
  <c r="C34" i="16" s="1"/>
  <c r="F41" i="16" l="1"/>
  <c r="F35" i="16"/>
  <c r="F38" i="16"/>
  <c r="F45" i="16" s="1"/>
  <c r="E38" i="16"/>
  <c r="E45" i="16" s="1"/>
  <c r="E41" i="16"/>
  <c r="E35" i="16"/>
  <c r="B41" i="16"/>
  <c r="B38" i="16"/>
  <c r="B45" i="16" s="1"/>
  <c r="B35" i="16"/>
  <c r="G41" i="16"/>
  <c r="G38" i="16"/>
  <c r="G45" i="16" s="1"/>
  <c r="G35" i="16"/>
  <c r="J38" i="16"/>
  <c r="J45" i="16" s="1"/>
  <c r="J35" i="16"/>
  <c r="J41" i="16"/>
  <c r="I38" i="16"/>
  <c r="I45" i="16" s="1"/>
  <c r="I35" i="16"/>
  <c r="I41" i="16"/>
  <c r="K38" i="16"/>
  <c r="K45" i="16" s="1"/>
  <c r="K35" i="16"/>
  <c r="K41" i="16"/>
  <c r="H38" i="16"/>
  <c r="H45" i="16" s="1"/>
  <c r="H41" i="16"/>
  <c r="H35" i="16"/>
  <c r="C38" i="16"/>
  <c r="C45" i="16" s="1"/>
  <c r="C41" i="16"/>
  <c r="C35" i="16"/>
  <c r="D35" i="16"/>
  <c r="D38" i="16"/>
  <c r="D45" i="16" s="1"/>
  <c r="D41" i="16"/>
</calcChain>
</file>

<file path=xl/sharedStrings.xml><?xml version="1.0" encoding="utf-8"?>
<sst xmlns="http://schemas.openxmlformats.org/spreadsheetml/2006/main" count="173" uniqueCount="155">
  <si>
    <t>Answers</t>
  </si>
  <si>
    <t>FP&amp;A Task</t>
  </si>
  <si>
    <t>Questions (please round your answers to two decimal places)</t>
  </si>
  <si>
    <t>ASSETS</t>
  </si>
  <si>
    <t>FY '21</t>
  </si>
  <si>
    <t>FY '22</t>
  </si>
  <si>
    <t>FY '23</t>
  </si>
  <si>
    <t>FY '24</t>
  </si>
  <si>
    <t xml:space="preserve"> </t>
  </si>
  <si>
    <t>You have been provided with an income statement and a balance sheet.</t>
  </si>
  <si>
    <t>- Debt-to-equity ratio</t>
  </si>
  <si>
    <t>- Current ratio</t>
  </si>
  <si>
    <t>- Quick ratio</t>
  </si>
  <si>
    <t>- Accounts receivable days</t>
  </si>
  <si>
    <t>- Inventory days</t>
  </si>
  <si>
    <t>- Accounts payable days</t>
  </si>
  <si>
    <t>- Net profit margin</t>
  </si>
  <si>
    <t>- Return on equity</t>
  </si>
  <si>
    <t>- Dividend payout ratio</t>
  </si>
  <si>
    <t>- Revenue growth</t>
  </si>
  <si>
    <t>- Net income growth</t>
  </si>
  <si>
    <t>Answer the questions using your calculated ratios.</t>
  </si>
  <si>
    <t>If in doubt use the standard/ most often used formula to calculate the ratio.</t>
  </si>
  <si>
    <t>Use average balance sheet values where applicable unless specified otherwise.</t>
  </si>
  <si>
    <t>- Gearing ratio (Debt-to-Capital)</t>
  </si>
  <si>
    <t>- Interest coverage ratio (use EBIT)</t>
  </si>
  <si>
    <t>- Fixed asset turnover (use avg. net fixed assets)</t>
  </si>
  <si>
    <t>- Return on assets (use net income)</t>
  </si>
  <si>
    <t>- Inventory turnover (use COGS)</t>
  </si>
  <si>
    <t>- Receivable turnover (use revenue)</t>
  </si>
  <si>
    <t>Balance Sheet</t>
  </si>
  <si>
    <t>Short-term Investments</t>
  </si>
  <si>
    <t>Total Assets</t>
  </si>
  <si>
    <t>Accounts Payable</t>
  </si>
  <si>
    <t>Total Liabilities</t>
  </si>
  <si>
    <t>EBIT</t>
  </si>
  <si>
    <t>Interest Expense</t>
  </si>
  <si>
    <t>Net Income</t>
  </si>
  <si>
    <t>Meridian Pharma Group, Inc. (MPHG-US)</t>
  </si>
  <si>
    <t>$125.60</t>
  </si>
  <si>
    <t>Meridian Pharma Group, Inc.</t>
  </si>
  <si>
    <t>MPHG-US   NYSE   Common Stock</t>
  </si>
  <si>
    <t>Source: Illustrative / Fictional Data</t>
  </si>
  <si>
    <t>FY '20</t>
  </si>
  <si>
    <t>FY '19</t>
  </si>
  <si>
    <t>FY '18</t>
  </si>
  <si>
    <t>FY '17</t>
  </si>
  <si>
    <t>FY '16</t>
  </si>
  <si>
    <t>FY '15</t>
  </si>
  <si>
    <t>GAAP/IFRS Income Statement</t>
  </si>
  <si>
    <t>Sales</t>
  </si>
  <si>
    <t>Cost of Goods Sold (COGS) incl. D&amp;A</t>
  </si>
  <si>
    <t>COGS excluding D&amp;A</t>
  </si>
  <si>
    <t>Depreciation &amp; Amortization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</si>
  <si>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</si>
  <si>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</si>
  <si>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</si>
  <si>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</si>
  <si>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</si>
  <si>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</si>
  <si>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</si>
  <si>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Other Income (Expense)</t>
  </si>
  <si>
    <t>Gross Interest Expense</t>
  </si>
  <si>
    <t>Unusual Expense - Net</t>
  </si>
  <si>
    <t>Impairments</t>
  </si>
  <si>
    <t>Property, Plant &amp; Equipment</t>
  </si>
  <si>
    <t>Restructuring Expense</t>
  </si>
  <si>
    <t>Legal Claim Expense</t>
  </si>
  <si>
    <t>Pretax Income</t>
  </si>
  <si>
    <t>Income Taxes</t>
  </si>
  <si>
    <t>Equity in Earnings of Affiliates</t>
  </si>
  <si>
    <t>Consolidated Net Income</t>
  </si>
  <si>
    <t>Minority Interest</t>
  </si>
  <si>
    <t>Net Income available to Common</t>
  </si>
  <si>
    <t>Per Share</t>
  </si>
  <si>
    <t>EPS (recurring)</t>
  </si>
  <si>
    <t>EPS (basic)</t>
  </si>
  <si>
    <t>Basic Shares Outstanding (mm)</t>
  </si>
  <si>
    <t>Total Shares Outstanding (mm)</t>
  </si>
  <si>
    <t>EPS (diluted)</t>
  </si>
  <si>
    <t>Diluted Shares Outstanding (mm)</t>
  </si>
  <si>
    <t>Earnings Persistence</t>
  </si>
  <si>
    <t>Dividends per Share</t>
  </si>
  <si>
    <t>Payout Ratio (%)</t>
  </si>
  <si>
    <t>EBITDA</t>
  </si>
  <si>
    <t>Supplemental</t>
  </si>
  <si>
    <t>Effective Tax Rate (%)</t>
  </si>
  <si>
    <t>All figures in millions of U.S. Dollar except per share items. Source: Illustrative/Fictional — for demonstration purposes only.</t>
  </si>
  <si>
    <t>Cash &amp; Cash Equivalents</t>
  </si>
  <si>
    <t>Accounts Receivable, Net</t>
  </si>
  <si>
    <t>Inventories</t>
  </si>
  <si>
    <t>Prepaid &amp; Other Current Assets</t>
  </si>
  <si>
    <t>Total Current Assets</t>
  </si>
  <si>
    <t>Net Property, Plant &amp; Equipment</t>
  </si>
  <si>
    <t>Goodwill</t>
  </si>
  <si>
    <t>Other Intangible Assets, Net</t>
  </si>
  <si>
    <t>Long-term Investments</t>
  </si>
  <si>
    <t>Deferred Tax Assets</t>
  </si>
  <si>
    <t>Other Non-Current Assets</t>
  </si>
  <si>
    <t>Total Non-Current Assets</t>
  </si>
  <si>
    <t>LIABILITIES</t>
  </si>
  <si>
    <t>Short-term Debt &amp; Current Portion</t>
  </si>
  <si>
    <t>Accrued Liabilities</t>
  </si>
  <si>
    <t>Other Current Liabilities (fin.)</t>
  </si>
  <si>
    <t>Total Current Liabilities</t>
  </si>
  <si>
    <t>Long-term Debt</t>
  </si>
  <si>
    <t>Deferred Tax Liabilities</t>
  </si>
  <si>
    <t>Pension &amp; Post-retirement Liab.</t>
  </si>
  <si>
    <t>Other Non-Current Liabilities</t>
  </si>
  <si>
    <t>Total Non-Current Liabilities</t>
  </si>
  <si>
    <t>SHAREHOLDERS' EQUITY</t>
  </si>
  <si>
    <t>Common Stock &amp; Par Value</t>
  </si>
  <si>
    <t>Additional Paid-in Capital</t>
  </si>
  <si>
    <t>Retained Earnings</t>
  </si>
  <si>
    <t>Accumulated Other Comprehensive Inc.</t>
  </si>
  <si>
    <t>Noncontrolling Interests</t>
  </si>
  <si>
    <t>Total Equity</t>
  </si>
  <si>
    <t>Total Liabilities &amp; Equity</t>
  </si>
  <si>
    <t>All figures in millions of U.S. Dollar. Source: Illustrative/Fictional — for demonstration purposes only.</t>
  </si>
  <si>
    <t>Ratio Analysis - Proportionality</t>
  </si>
  <si>
    <t>Calculate ratios given for all years (2015-2024) where sufficient data is available - also list the financial formula (not Excel formula) used to calculate each ratio:</t>
  </si>
  <si>
    <t>Assume no changes between the 2014 balance sheet and the 2015 balance sheet and the 2014 income state and the 2015 income statement.</t>
  </si>
  <si>
    <t>- Gross profit margin</t>
  </si>
  <si>
    <t>- Operating (EBIT) margin</t>
  </si>
  <si>
    <t>- CCC</t>
  </si>
  <si>
    <t>What is the ratio: Accounts payable days for the year 2016?</t>
  </si>
  <si>
    <t>What is the ratio: Accounts payable days for the year 2021?</t>
  </si>
  <si>
    <t>What is the ratio: CCC for the year 2015?</t>
  </si>
  <si>
    <t>What is the ratio: CCC for the year 2019?</t>
  </si>
  <si>
    <t>What is the ratio: Current ratio for the year 2015?</t>
  </si>
  <si>
    <t>What is the ratio: Current ratio for the year 2018?</t>
  </si>
  <si>
    <t>What is the ratio: Dividend payout ratio for the year 2016?</t>
  </si>
  <si>
    <t>What is the ratio: Dividend payout ratio for the year 2021?</t>
  </si>
  <si>
    <t>What is the ratio: Dividend payout ratio for the year 2023?</t>
  </si>
  <si>
    <t>What is the ratio: Dividend payout ratio for the year 2024?</t>
  </si>
  <si>
    <t>What is the ratio: Fixed asset turnover for the year 2016?</t>
  </si>
  <si>
    <t>What is the ratio: Fixed asset turnover for the year 2023?</t>
  </si>
  <si>
    <t>What is the ratio: Gross profit margin for the year 2015?</t>
  </si>
  <si>
    <t>What is the ratio: Gross profit margin for the year 2017?</t>
  </si>
  <si>
    <t>What is the ratio: Interest coverage ratio for the year 2020?</t>
  </si>
  <si>
    <t>What is the ratio: Inventory days for the year 2015?</t>
  </si>
  <si>
    <t>What is the ratio: Inventory days for the year 2022?</t>
  </si>
  <si>
    <t>What is the ratio: Inventory turnover for the year 2015?</t>
  </si>
  <si>
    <t>What is the ratio: Inventory turnover for the year 2017?</t>
  </si>
  <si>
    <t>What is the ratio: Net income growth for the year 2017?</t>
  </si>
  <si>
    <t>What is the ratio: Net income growth for the year 2023?</t>
  </si>
  <si>
    <t>What is the ratio: Net income growth for the year 2024?</t>
  </si>
  <si>
    <t>What is the ratio: Net profit margin for the year 2017?</t>
  </si>
  <si>
    <t>What is the ratio: Net profit margin for the year 2018?</t>
  </si>
  <si>
    <t>What is the ratio: Operating (EBIT) margin for the year 2018?</t>
  </si>
  <si>
    <t>What is the ratio: Receivable turnover for the year 2016?</t>
  </si>
  <si>
    <t>What is the ratio: Return on equity for the year 2015?</t>
  </si>
  <si>
    <t>What is the ratio: Return on equity for the year 2024?</t>
  </si>
  <si>
    <t>What is the ratio: Net profit margin for the year 2022?</t>
  </si>
  <si>
    <t>What is the ratio: Revenue growth for the year 2021?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</si>
</sst>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8"/>
      <color rgb="FF000000"/>
      <name val="Arial"/>
      <family val="2"/>
    </font>
    <font>
      <b/>
      <sz val="8"/>
      <color rgb="FF003366"/>
      <name val="Arial"/>
      <family val="2"/>
    </font>
    <font>
      <sz val="8"/>
      <color rgb="FFFF0000"/>
      <name val="Arial"/>
      <family val="2"/>
    </font>
    <font>
      <b/>
      <sz val="10"/>
      <color rgb="FF003366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7"/>
      <color rgb="FF646464"/>
      <name val="Arial"/>
      <family val="2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8C8C8"/>
        <bgColor rgb="FFCCCCFF"/>
      </patternFill>
    </fill>
    <fill>
      <patternFill patternType="solid">
        <fgColor rgb="FFF0F0F0"/>
        <b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</cellStyleXfs>
  <cellXfs count="38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9" fillId="0" borderId="0" xfId="4"/>
    <xf numFmtId="0" fontId="2" fillId="0" borderId="0" xfId="1" quotePrefix="1" applyFont="1"/>
    <xf numFmtId="0" fontId="13" fillId="0" borderId="0" xfId="4" applyFont="1"/>
    <xf numFmtId="0" fontId="14" fillId="0" borderId="0" xfId="4" applyFont="1"/>
    <xf numFmtId="0" fontId="11" fillId="5" borderId="0" xfId="4" applyFont="1" applyFill="1" applyAlignment="1">
      <alignment horizontal="left"/>
    </xf>
    <xf numFmtId="0" fontId="9" fillId="5" borderId="0" xfId="4" applyFill="1"/>
    <xf numFmtId="0" fontId="14" fillId="0" borderId="0" xfId="4" applyFont="1" applyAlignment="1">
      <alignment horizontal="left"/>
    </xf>
    <xf numFmtId="0" fontId="15" fillId="6" borderId="0" xfId="4" applyFont="1" applyFill="1" applyAlignment="1">
      <alignment horizontal="left"/>
    </xf>
    <xf numFmtId="3" fontId="11" fillId="6" borderId="0" xfId="4" applyNumberFormat="1" applyFont="1" applyFill="1" applyAlignment="1">
      <alignment horizontal="right"/>
    </xf>
    <xf numFmtId="0" fontId="15" fillId="0" borderId="0" xfId="4" applyFont="1" applyAlignment="1">
      <alignment horizontal="left"/>
    </xf>
    <xf numFmtId="3" fontId="11" fillId="0" borderId="0" xfId="4" applyNumberFormat="1" applyFont="1" applyAlignment="1">
      <alignment horizontal="right"/>
    </xf>
    <xf numFmtId="0" fontId="10" fillId="6" borderId="0" xfId="4" applyFont="1" applyFill="1" applyAlignment="1">
      <alignment horizontal="left"/>
    </xf>
    <xf numFmtId="3" fontId="10" fillId="6" borderId="0" xfId="4" applyNumberFormat="1" applyFont="1" applyFill="1" applyAlignment="1">
      <alignment horizontal="right"/>
    </xf>
    <xf numFmtId="0" fontId="10" fillId="0" borderId="0" xfId="4" applyFont="1" applyAlignment="1">
      <alignment horizontal="left"/>
    </xf>
    <xf numFmtId="3" fontId="10" fillId="0" borderId="0" xfId="4" applyNumberFormat="1" applyFont="1" applyAlignment="1">
      <alignment horizontal="right"/>
    </xf>
    <xf numFmtId="3" fontId="12" fillId="0" borderId="0" xfId="4" applyNumberFormat="1" applyFont="1" applyAlignment="1">
      <alignment horizontal="right"/>
    </xf>
    <xf numFmtId="0" fontId="11" fillId="6" borderId="0" xfId="4" applyFont="1" applyFill="1"/>
    <xf numFmtId="4" fontId="10" fillId="0" borderId="0" xfId="4" applyNumberFormat="1" applyFont="1" applyAlignment="1">
      <alignment horizontal="right"/>
    </xf>
    <xf numFmtId="4" fontId="11" fillId="6" borderId="0" xfId="4" applyNumberFormat="1" applyFont="1" applyFill="1" applyAlignment="1">
      <alignment horizontal="right"/>
    </xf>
    <xf numFmtId="4" fontId="10" fillId="6" borderId="0" xfId="4" applyNumberFormat="1" applyFont="1" applyFill="1" applyAlignment="1">
      <alignment horizontal="right"/>
    </xf>
    <xf numFmtId="4" fontId="11" fillId="0" borderId="0" xfId="4" applyNumberFormat="1" applyFont="1" applyAlignment="1">
      <alignment horizontal="right"/>
    </xf>
    <xf numFmtId="164" fontId="10" fillId="0" borderId="0" xfId="4" applyNumberFormat="1" applyFont="1" applyAlignment="1">
      <alignment horizontal="right"/>
    </xf>
    <xf numFmtId="0" fontId="16" fillId="0" borderId="0" xfId="4" applyFont="1"/>
    <xf numFmtId="0" fontId="11" fillId="0" borderId="0" xfId="4" applyFont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5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2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5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36" t="s">
        <v>119</v>
      </c>
      <c r="C4" s="37"/>
      <c r="D4" s="37"/>
      <c r="E4" s="37"/>
      <c r="F4" s="37"/>
      <c r="G4" s="37"/>
      <c r="H4" s="37"/>
      <c r="I4" s="37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9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120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22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23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1" t="s">
        <v>121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10" t="s">
        <v>24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10" t="s">
        <v>25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0" t="s">
        <v>122</v>
      </c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0" t="s">
        <v>123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0" t="s">
        <v>29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1" t="s">
        <v>13</v>
      </c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0" t="s">
        <v>28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" t="s">
        <v>14</v>
      </c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0" t="s">
        <v>124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10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 t="s">
        <v>16</v>
      </c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0" t="s">
        <v>27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 t="s">
        <v>17</v>
      </c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 t="s">
        <v>18</v>
      </c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 t="s">
        <v>19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 t="s">
        <v>20</v>
      </c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3" t="s">
        <v>21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C39D-A735-4FD7-A561-50F17D1A3C25}">
  <sheetPr>
    <tabColor theme="8" tint="0.39997558519241921"/>
  </sheetPr>
  <dimension ref="A1:K52"/>
  <sheetViews>
    <sheetView zoomScaleNormal="100" workbookViewId="0"/>
  </sheetViews>
  <sheetFormatPr defaultColWidth="8.6640625" defaultRowHeight="14.4"/>
  <cols>
    <col min="1" max="1" width="42" style="9" customWidth="1"/>
    <col min="2" max="11" width="9.5546875" style="9" customWidth="1"/>
    <col min="12" max="16384" width="8.6640625" style="9"/>
  </cols>
  <sheetData>
    <row r="1" spans="1:11" ht="15.75" customHeight="1">
      <c r="A1" s="11" t="s">
        <v>38</v>
      </c>
    </row>
    <row r="2" spans="1:11" ht="13.5" customHeight="1">
      <c r="A2" s="12" t="s">
        <v>39</v>
      </c>
    </row>
    <row r="3" spans="1:11" ht="6" customHeight="1"/>
    <row r="4" spans="1:11" ht="6" customHeight="1"/>
    <row r="5" spans="1:11" ht="13.5" customHeight="1">
      <c r="A5" s="13" t="s">
        <v>40</v>
      </c>
    </row>
    <row r="6" spans="1:11" ht="13.5" customHeight="1">
      <c r="A6" s="13" t="s">
        <v>41</v>
      </c>
    </row>
    <row r="7" spans="1:11" ht="13.5" customHeight="1">
      <c r="A7" s="13" t="s">
        <v>42</v>
      </c>
    </row>
    <row r="8" spans="1:11" ht="13.5" customHeight="1">
      <c r="A8" s="14"/>
      <c r="B8" s="13" t="s">
        <v>7</v>
      </c>
      <c r="C8" s="13" t="s">
        <v>6</v>
      </c>
      <c r="D8" s="13" t="s">
        <v>5</v>
      </c>
      <c r="E8" s="13" t="s">
        <v>4</v>
      </c>
      <c r="F8" s="13" t="s">
        <v>43</v>
      </c>
      <c r="G8" s="13" t="s">
        <v>44</v>
      </c>
      <c r="H8" s="13" t="s">
        <v>45</v>
      </c>
      <c r="I8" s="13" t="s">
        <v>46</v>
      </c>
      <c r="J8" s="13" t="s">
        <v>47</v>
      </c>
      <c r="K8" s="13" t="s">
        <v>48</v>
      </c>
    </row>
    <row r="9" spans="1:11" ht="13.5" customHeight="1">
      <c r="A9" s="15" t="s">
        <v>49</v>
      </c>
    </row>
    <row r="10" spans="1:11" ht="13.5" customHeight="1">
      <c r="A10" s="16" t="s">
        <v>50</v>
      </c>
      <c r="B10" s="17">
        <v>23456</v>
      </c>
      <c r="C10" s="17">
        <v>21876</v>
      </c>
      <c r="D10" s="17">
        <v>20234</v>
      </c>
      <c r="E10" s="17">
        <v>19012</v>
      </c>
      <c r="F10" s="17">
        <v>16789</v>
      </c>
      <c r="G10" s="17">
        <v>18456</v>
      </c>
      <c r="H10" s="17">
        <v>17234</v>
      </c>
      <c r="I10" s="17">
        <v>16123</v>
      </c>
      <c r="J10" s="17">
        <v>15234</v>
      </c>
      <c r="K10" s="17">
        <v>14456</v>
      </c>
    </row>
    <row r="11" spans="1:11" ht="13.5" customHeight="1">
      <c r="A11" s="18" t="s">
        <v>51</v>
      </c>
      <c r="B11" s="19">
        <f t="shared" ref="B11:K11" si="0">B12+B13</f>
        <v>10034</v>
      </c>
      <c r="C11" s="19">
        <f t="shared" si="0"/>
        <v>9346</v>
      </c>
      <c r="D11" s="19">
        <f t="shared" si="0"/>
        <v>8655</v>
      </c>
      <c r="E11" s="19">
        <f t="shared" si="0"/>
        <v>8127</v>
      </c>
      <c r="F11" s="19">
        <f t="shared" si="0"/>
        <v>7168</v>
      </c>
      <c r="G11" s="19">
        <f t="shared" si="0"/>
        <v>7876</v>
      </c>
      <c r="H11" s="19">
        <f t="shared" si="0"/>
        <v>7356</v>
      </c>
      <c r="I11" s="19">
        <f t="shared" si="0"/>
        <v>6873</v>
      </c>
      <c r="J11" s="19">
        <f t="shared" si="0"/>
        <v>6472</v>
      </c>
      <c r="K11" s="19">
        <f t="shared" si="0"/>
        <v>6164</v>
      </c>
    </row>
    <row r="12" spans="1:11" ht="13.5" customHeight="1">
      <c r="A12" s="20" t="s">
        <v>52</v>
      </c>
      <c r="B12" s="21">
        <v>8978</v>
      </c>
      <c r="C12" s="21">
        <v>8362</v>
      </c>
      <c r="D12" s="21">
        <v>7744</v>
      </c>
      <c r="E12" s="21">
        <v>7271</v>
      </c>
      <c r="F12" s="21">
        <v>6412</v>
      </c>
      <c r="G12" s="21">
        <v>7045</v>
      </c>
      <c r="H12" s="21">
        <v>6580</v>
      </c>
      <c r="I12" s="21">
        <v>6147</v>
      </c>
      <c r="J12" s="21">
        <v>5787</v>
      </c>
      <c r="K12" s="21">
        <v>5513</v>
      </c>
    </row>
    <row r="13" spans="1:11" ht="13.5" customHeight="1">
      <c r="A13" s="22" t="s">
        <v>53</v>
      </c>
      <c r="B13" s="23">
        <v>1056</v>
      </c>
      <c r="C13" s="23">
        <v>984</v>
      </c>
      <c r="D13" s="23">
        <v>911</v>
      </c>
      <c r="E13" s="23">
        <v>856</v>
      </c>
      <c r="F13" s="23">
        <v>756</v>
      </c>
      <c r="G13" s="23">
        <v>831</v>
      </c>
      <c r="H13" s="23">
        <v>776</v>
      </c>
      <c r="I13" s="23">
        <v>726</v>
      </c>
      <c r="J13" s="23">
        <v>685</v>
      </c>
      <c r="K13" s="23">
        <v>651</v>
      </c>
    </row>
    <row r="14" spans="1:11" ht="13.5" customHeight="1">
      <c r="A14" s="16" t="s">
        <v>54</v>
      </c>
      <c r="B14" s="17">
        <f t="shared" ref="B14:K14" si="1">B10-B11</f>
        <v>13422</v>
      </c>
      <c r="C14" s="17">
        <f t="shared" si="1"/>
        <v>12530</v>
      </c>
      <c r="D14" s="17">
        <f t="shared" si="1"/>
        <v>11579</v>
      </c>
      <c r="E14" s="17">
        <f t="shared" si="1"/>
        <v>10885</v>
      </c>
      <c r="F14" s="17">
        <f t="shared" si="1"/>
        <v>9621</v>
      </c>
      <c r="G14" s="17">
        <f t="shared" si="1"/>
        <v>10580</v>
      </c>
      <c r="H14" s="17">
        <f t="shared" si="1"/>
        <v>9878</v>
      </c>
      <c r="I14" s="17">
        <f t="shared" si="1"/>
        <v>9250</v>
      </c>
      <c r="J14" s="17">
        <f t="shared" si="1"/>
        <v>8762</v>
      </c>
      <c r="K14" s="17">
        <f t="shared" si="1"/>
        <v>8292</v>
      </c>
    </row>
    <row r="15" spans="1:11" ht="13.5" customHeight="1">
      <c r="A15" s="18" t="s">
        <v>55</v>
      </c>
      <c r="B15" s="19">
        <f t="shared" ref="B15:K15" si="2">B16+B17</f>
        <v>6747</v>
      </c>
      <c r="C15" s="19">
        <f t="shared" si="2"/>
        <v>6283</v>
      </c>
      <c r="D15" s="19">
        <f t="shared" si="2"/>
        <v>5814</v>
      </c>
      <c r="E15" s="19">
        <f t="shared" si="2"/>
        <v>5461</v>
      </c>
      <c r="F15" s="19">
        <f t="shared" si="2"/>
        <v>4823</v>
      </c>
      <c r="G15" s="19">
        <f t="shared" si="2"/>
        <v>5292</v>
      </c>
      <c r="H15" s="19">
        <f t="shared" si="2"/>
        <v>4947</v>
      </c>
      <c r="I15" s="19">
        <f t="shared" si="2"/>
        <v>4625</v>
      </c>
      <c r="J15" s="19">
        <f t="shared" si="2"/>
        <v>4370</v>
      </c>
      <c r="K15" s="19">
        <f t="shared" si="2"/>
        <v>4143</v>
      </c>
    </row>
    <row r="16" spans="1:11" ht="13.5" customHeight="1">
      <c r="A16" s="20" t="s">
        <v>56</v>
      </c>
      <c r="B16" s="21">
        <v>2725</v>
      </c>
      <c r="C16" s="21">
        <v>2538</v>
      </c>
      <c r="D16" s="21">
        <v>2348</v>
      </c>
      <c r="E16" s="21">
        <v>2207</v>
      </c>
      <c r="F16" s="21">
        <v>1948</v>
      </c>
      <c r="G16" s="21">
        <v>2144</v>
      </c>
      <c r="H16" s="21">
        <v>2003</v>
      </c>
      <c r="I16" s="21">
        <v>1872</v>
      </c>
      <c r="J16" s="21">
        <v>1769</v>
      </c>
      <c r="K16" s="21">
        <v>1678</v>
      </c>
    </row>
    <row r="17" spans="1:11" ht="13.5" customHeight="1">
      <c r="A17" s="22" t="s">
        <v>57</v>
      </c>
      <c r="B17" s="23">
        <v>4022</v>
      </c>
      <c r="C17" s="23">
        <v>3745</v>
      </c>
      <c r="D17" s="23">
        <v>3466</v>
      </c>
      <c r="E17" s="23">
        <v>3254</v>
      </c>
      <c r="F17" s="23">
        <v>2875</v>
      </c>
      <c r="G17" s="23">
        <v>3148</v>
      </c>
      <c r="H17" s="23">
        <v>2944</v>
      </c>
      <c r="I17" s="23">
        <v>2753</v>
      </c>
      <c r="J17" s="23">
        <v>2601</v>
      </c>
      <c r="K17" s="23">
        <v>2465</v>
      </c>
    </row>
    <row r="18" spans="1:11" ht="13.5" customHeight="1">
      <c r="A18" s="16" t="s">
        <v>58</v>
      </c>
      <c r="B18" s="17">
        <f t="shared" ref="B18:K18" si="3">B14-B15</f>
        <v>6675</v>
      </c>
      <c r="C18" s="17">
        <f t="shared" si="3"/>
        <v>6247</v>
      </c>
      <c r="D18" s="17">
        <f t="shared" si="3"/>
        <v>5765</v>
      </c>
      <c r="E18" s="17">
        <f t="shared" si="3"/>
        <v>5424</v>
      </c>
      <c r="F18" s="17">
        <f t="shared" si="3"/>
        <v>4798</v>
      </c>
      <c r="G18" s="17">
        <f t="shared" si="3"/>
        <v>5288</v>
      </c>
      <c r="H18" s="17">
        <f t="shared" si="3"/>
        <v>4931</v>
      </c>
      <c r="I18" s="17">
        <f t="shared" si="3"/>
        <v>4625</v>
      </c>
      <c r="J18" s="17">
        <f t="shared" si="3"/>
        <v>4392</v>
      </c>
      <c r="K18" s="17">
        <f t="shared" si="3"/>
        <v>4149</v>
      </c>
    </row>
    <row r="19" spans="1:11" ht="13.5" customHeight="1">
      <c r="A19" s="18" t="s">
        <v>59</v>
      </c>
      <c r="B19" s="19">
        <f t="shared" ref="B19:K19" si="4">B20+B21</f>
        <v>423</v>
      </c>
      <c r="C19" s="19">
        <f t="shared" si="4"/>
        <v>56</v>
      </c>
      <c r="D19" s="19">
        <f t="shared" si="4"/>
        <v>412</v>
      </c>
      <c r="E19" s="19">
        <f t="shared" si="4"/>
        <v>279</v>
      </c>
      <c r="F19" s="19">
        <f t="shared" si="4"/>
        <v>-25</v>
      </c>
      <c r="G19" s="19">
        <f t="shared" si="4"/>
        <v>234</v>
      </c>
      <c r="H19" s="19">
        <f t="shared" si="4"/>
        <v>78</v>
      </c>
      <c r="I19" s="19">
        <f t="shared" si="4"/>
        <v>210</v>
      </c>
      <c r="J19" s="19">
        <f t="shared" si="4"/>
        <v>64</v>
      </c>
      <c r="K19" s="19">
        <f t="shared" si="4"/>
        <v>143</v>
      </c>
    </row>
    <row r="20" spans="1:11" ht="13.5" customHeight="1">
      <c r="A20" s="20" t="s">
        <v>60</v>
      </c>
      <c r="B20" s="21">
        <v>289</v>
      </c>
      <c r="C20" s="21">
        <v>245</v>
      </c>
      <c r="D20" s="21">
        <v>178</v>
      </c>
      <c r="E20" s="21">
        <v>134</v>
      </c>
      <c r="F20" s="21">
        <v>98</v>
      </c>
      <c r="G20" s="21">
        <v>156</v>
      </c>
      <c r="H20" s="21">
        <v>134</v>
      </c>
      <c r="I20" s="21">
        <v>112</v>
      </c>
      <c r="J20" s="21">
        <v>98</v>
      </c>
      <c r="K20" s="21">
        <v>87</v>
      </c>
    </row>
    <row r="21" spans="1:11" ht="13.5" customHeight="1">
      <c r="A21" s="22" t="s">
        <v>61</v>
      </c>
      <c r="B21" s="23">
        <v>134</v>
      </c>
      <c r="C21" s="24">
        <v>-189</v>
      </c>
      <c r="D21" s="23">
        <v>234</v>
      </c>
      <c r="E21" s="23">
        <v>145</v>
      </c>
      <c r="F21" s="24">
        <v>-123</v>
      </c>
      <c r="G21" s="23">
        <v>78</v>
      </c>
      <c r="H21" s="24">
        <v>-56</v>
      </c>
      <c r="I21" s="23">
        <v>98</v>
      </c>
      <c r="J21" s="24">
        <v>-34</v>
      </c>
      <c r="K21" s="23">
        <v>56</v>
      </c>
    </row>
    <row r="22" spans="1:11" ht="13.5" customHeight="1">
      <c r="A22" s="16" t="s">
        <v>36</v>
      </c>
      <c r="B22" s="17">
        <f t="shared" ref="B22:K22" si="5">B23</f>
        <v>567</v>
      </c>
      <c r="C22" s="17">
        <f t="shared" si="5"/>
        <v>612</v>
      </c>
      <c r="D22" s="17">
        <f t="shared" si="5"/>
        <v>589</v>
      </c>
      <c r="E22" s="17">
        <f t="shared" si="5"/>
        <v>534</v>
      </c>
      <c r="F22" s="17">
        <f t="shared" si="5"/>
        <v>598</v>
      </c>
      <c r="G22" s="17">
        <f t="shared" si="5"/>
        <v>523</v>
      </c>
      <c r="H22" s="17">
        <f t="shared" si="5"/>
        <v>487</v>
      </c>
      <c r="I22" s="17">
        <f t="shared" si="5"/>
        <v>445</v>
      </c>
      <c r="J22" s="17">
        <f t="shared" si="5"/>
        <v>412</v>
      </c>
      <c r="K22" s="17">
        <f t="shared" si="5"/>
        <v>378</v>
      </c>
    </row>
    <row r="23" spans="1:11" ht="13.5" customHeight="1">
      <c r="A23" s="22" t="s">
        <v>62</v>
      </c>
      <c r="B23" s="23">
        <v>567</v>
      </c>
      <c r="C23" s="23">
        <v>612</v>
      </c>
      <c r="D23" s="23">
        <v>589</v>
      </c>
      <c r="E23" s="23">
        <v>534</v>
      </c>
      <c r="F23" s="23">
        <v>598</v>
      </c>
      <c r="G23" s="23">
        <v>523</v>
      </c>
      <c r="H23" s="23">
        <v>487</v>
      </c>
      <c r="I23" s="23">
        <v>445</v>
      </c>
      <c r="J23" s="23">
        <v>412</v>
      </c>
      <c r="K23" s="23">
        <v>378</v>
      </c>
    </row>
    <row r="24" spans="1:11" ht="13.5" customHeight="1">
      <c r="A24" s="16" t="s">
        <v>63</v>
      </c>
      <c r="B24" s="17">
        <f t="shared" ref="B24:K24" si="6">B25+B27+B28</f>
        <v>368</v>
      </c>
      <c r="C24" s="17">
        <f t="shared" si="6"/>
        <v>857</v>
      </c>
      <c r="D24" s="17">
        <f t="shared" si="6"/>
        <v>379</v>
      </c>
      <c r="E24" s="17">
        <f t="shared" si="6"/>
        <v>278</v>
      </c>
      <c r="F24" s="17">
        <f t="shared" si="6"/>
        <v>1657</v>
      </c>
      <c r="G24" s="17">
        <f t="shared" si="6"/>
        <v>234</v>
      </c>
      <c r="H24" s="17">
        <f t="shared" si="6"/>
        <v>390</v>
      </c>
      <c r="I24" s="17">
        <f t="shared" si="6"/>
        <v>201</v>
      </c>
      <c r="J24" s="17">
        <f t="shared" si="6"/>
        <v>301</v>
      </c>
      <c r="K24" s="17">
        <f t="shared" si="6"/>
        <v>168</v>
      </c>
    </row>
    <row r="25" spans="1:11" ht="13.5" customHeight="1">
      <c r="A25" s="18" t="s">
        <v>64</v>
      </c>
      <c r="B25" s="19">
        <f t="shared" ref="B25:K25" si="7">B26</f>
        <v>0</v>
      </c>
      <c r="C25" s="19">
        <f t="shared" si="7"/>
        <v>456</v>
      </c>
      <c r="D25" s="19">
        <f t="shared" si="7"/>
        <v>0</v>
      </c>
      <c r="E25" s="19">
        <f t="shared" si="7"/>
        <v>0</v>
      </c>
      <c r="F25" s="19">
        <f t="shared" si="7"/>
        <v>1234</v>
      </c>
      <c r="G25" s="19">
        <f t="shared" si="7"/>
        <v>0</v>
      </c>
      <c r="H25" s="19">
        <f t="shared" si="7"/>
        <v>123</v>
      </c>
      <c r="I25" s="19">
        <f t="shared" si="7"/>
        <v>0</v>
      </c>
      <c r="J25" s="19">
        <f t="shared" si="7"/>
        <v>78</v>
      </c>
      <c r="K25" s="19">
        <f t="shared" si="7"/>
        <v>0</v>
      </c>
    </row>
    <row r="26" spans="1:11" ht="13.5" customHeight="1">
      <c r="A26" s="20" t="s">
        <v>65</v>
      </c>
      <c r="B26" s="21">
        <v>0</v>
      </c>
      <c r="C26" s="21">
        <v>456</v>
      </c>
      <c r="D26" s="21">
        <v>0</v>
      </c>
      <c r="E26" s="21">
        <v>0</v>
      </c>
      <c r="F26" s="21">
        <v>1234</v>
      </c>
      <c r="G26" s="21">
        <v>0</v>
      </c>
      <c r="H26" s="21">
        <v>123</v>
      </c>
      <c r="I26" s="21">
        <v>0</v>
      </c>
      <c r="J26" s="21">
        <v>78</v>
      </c>
      <c r="K26" s="21">
        <v>0</v>
      </c>
    </row>
    <row r="27" spans="1:11" ht="13.5" customHeight="1">
      <c r="A27" s="22" t="s">
        <v>66</v>
      </c>
      <c r="B27" s="23">
        <v>245</v>
      </c>
      <c r="C27" s="23">
        <v>267</v>
      </c>
      <c r="D27" s="23">
        <v>234</v>
      </c>
      <c r="E27" s="23">
        <v>189</v>
      </c>
      <c r="F27" s="23">
        <v>289</v>
      </c>
      <c r="G27" s="23">
        <v>167</v>
      </c>
      <c r="H27" s="23">
        <v>178</v>
      </c>
      <c r="I27" s="23">
        <v>145</v>
      </c>
      <c r="J27" s="23">
        <v>156</v>
      </c>
      <c r="K27" s="23">
        <v>123</v>
      </c>
    </row>
    <row r="28" spans="1:11" ht="13.5" customHeight="1">
      <c r="A28" s="20" t="s">
        <v>67</v>
      </c>
      <c r="B28" s="21">
        <v>123</v>
      </c>
      <c r="C28" s="21">
        <v>134</v>
      </c>
      <c r="D28" s="21">
        <v>145</v>
      </c>
      <c r="E28" s="21">
        <v>89</v>
      </c>
      <c r="F28" s="21">
        <v>134</v>
      </c>
      <c r="G28" s="21">
        <v>67</v>
      </c>
      <c r="H28" s="21">
        <v>89</v>
      </c>
      <c r="I28" s="21">
        <v>56</v>
      </c>
      <c r="J28" s="21">
        <v>67</v>
      </c>
      <c r="K28" s="21">
        <v>45</v>
      </c>
    </row>
    <row r="29" spans="1:11" ht="13.5" customHeight="1">
      <c r="A29" s="18" t="s">
        <v>68</v>
      </c>
      <c r="B29" s="19">
        <f t="shared" ref="B29:K29" si="8">B18+B19-B22-B24</f>
        <v>6163</v>
      </c>
      <c r="C29" s="19">
        <f t="shared" si="8"/>
        <v>4834</v>
      </c>
      <c r="D29" s="19">
        <f t="shared" si="8"/>
        <v>5209</v>
      </c>
      <c r="E29" s="19">
        <f t="shared" si="8"/>
        <v>4891</v>
      </c>
      <c r="F29" s="19">
        <f t="shared" si="8"/>
        <v>2518</v>
      </c>
      <c r="G29" s="19">
        <f t="shared" si="8"/>
        <v>4765</v>
      </c>
      <c r="H29" s="19">
        <f t="shared" si="8"/>
        <v>4132</v>
      </c>
      <c r="I29" s="19">
        <f t="shared" si="8"/>
        <v>4189</v>
      </c>
      <c r="J29" s="19">
        <f t="shared" si="8"/>
        <v>3743</v>
      </c>
      <c r="K29" s="19">
        <f t="shared" si="8"/>
        <v>3746</v>
      </c>
    </row>
    <row r="30" spans="1:11" ht="13.5" customHeight="1">
      <c r="A30" s="20" t="s">
        <v>69</v>
      </c>
      <c r="B30" s="21">
        <v>1325</v>
      </c>
      <c r="C30" s="21">
        <v>1078</v>
      </c>
      <c r="D30" s="21">
        <v>1083</v>
      </c>
      <c r="E30" s="21">
        <v>959</v>
      </c>
      <c r="F30" s="21">
        <v>466</v>
      </c>
      <c r="G30" s="21">
        <v>1010</v>
      </c>
      <c r="H30" s="21">
        <v>818</v>
      </c>
      <c r="I30" s="21">
        <v>1194</v>
      </c>
      <c r="J30" s="21">
        <v>1097</v>
      </c>
      <c r="K30" s="21">
        <v>1128</v>
      </c>
    </row>
    <row r="31" spans="1:11" ht="13.5" customHeight="1">
      <c r="A31" s="22" t="s">
        <v>70</v>
      </c>
      <c r="B31" s="24">
        <v>-28</v>
      </c>
      <c r="C31" s="24">
        <v>-32</v>
      </c>
      <c r="D31" s="24">
        <v>-25</v>
      </c>
      <c r="E31" s="24">
        <v>-19</v>
      </c>
      <c r="F31" s="24">
        <v>-34</v>
      </c>
      <c r="G31" s="24">
        <v>-28</v>
      </c>
      <c r="H31" s="24">
        <v>-22</v>
      </c>
      <c r="I31" s="24">
        <v>-18</v>
      </c>
      <c r="J31" s="24">
        <v>-15</v>
      </c>
      <c r="K31" s="24">
        <v>-12</v>
      </c>
    </row>
    <row r="32" spans="1:11" ht="13.5" customHeight="1">
      <c r="A32" s="16" t="s">
        <v>71</v>
      </c>
      <c r="B32" s="17">
        <f t="shared" ref="B32:K32" si="9">B29-B30+B31</f>
        <v>4810</v>
      </c>
      <c r="C32" s="17">
        <f t="shared" si="9"/>
        <v>3724</v>
      </c>
      <c r="D32" s="17">
        <f t="shared" si="9"/>
        <v>4101</v>
      </c>
      <c r="E32" s="17">
        <f t="shared" si="9"/>
        <v>3913</v>
      </c>
      <c r="F32" s="17">
        <f t="shared" si="9"/>
        <v>2018</v>
      </c>
      <c r="G32" s="17">
        <f t="shared" si="9"/>
        <v>3727</v>
      </c>
      <c r="H32" s="17">
        <f t="shared" si="9"/>
        <v>3292</v>
      </c>
      <c r="I32" s="17">
        <f t="shared" si="9"/>
        <v>2977</v>
      </c>
      <c r="J32" s="17">
        <f t="shared" si="9"/>
        <v>2631</v>
      </c>
      <c r="K32" s="17">
        <f t="shared" si="9"/>
        <v>2606</v>
      </c>
    </row>
    <row r="33" spans="1:11" ht="13.5" customHeight="1">
      <c r="A33" s="22" t="s">
        <v>72</v>
      </c>
      <c r="B33" s="23">
        <v>18</v>
      </c>
      <c r="C33" s="23">
        <v>21</v>
      </c>
      <c r="D33" s="23">
        <v>17</v>
      </c>
      <c r="E33" s="23">
        <v>14</v>
      </c>
      <c r="F33" s="23">
        <v>12</v>
      </c>
      <c r="G33" s="23">
        <v>16</v>
      </c>
      <c r="H33" s="23">
        <v>14</v>
      </c>
      <c r="I33" s="23">
        <v>11</v>
      </c>
      <c r="J33" s="23">
        <v>9</v>
      </c>
      <c r="K33" s="23">
        <v>8</v>
      </c>
    </row>
    <row r="34" spans="1:11" ht="13.5" customHeight="1">
      <c r="A34" s="16" t="s">
        <v>37</v>
      </c>
      <c r="B34" s="17">
        <f t="shared" ref="B34:K34" si="10">B32-B33</f>
        <v>4792</v>
      </c>
      <c r="C34" s="17">
        <f t="shared" si="10"/>
        <v>3703</v>
      </c>
      <c r="D34" s="17">
        <f t="shared" si="10"/>
        <v>4084</v>
      </c>
      <c r="E34" s="17">
        <f t="shared" si="10"/>
        <v>3899</v>
      </c>
      <c r="F34" s="17">
        <f t="shared" si="10"/>
        <v>2006</v>
      </c>
      <c r="G34" s="17">
        <f t="shared" si="10"/>
        <v>3711</v>
      </c>
      <c r="H34" s="17">
        <f t="shared" si="10"/>
        <v>3278</v>
      </c>
      <c r="I34" s="17">
        <f t="shared" si="10"/>
        <v>2966</v>
      </c>
      <c r="J34" s="17">
        <f t="shared" si="10"/>
        <v>2622</v>
      </c>
      <c r="K34" s="17">
        <f t="shared" si="10"/>
        <v>2598</v>
      </c>
    </row>
    <row r="35" spans="1:11" ht="13.5" customHeight="1">
      <c r="A35" s="22" t="s">
        <v>73</v>
      </c>
      <c r="B35" s="23">
        <f t="shared" ref="B35:K35" si="11">B34</f>
        <v>4792</v>
      </c>
      <c r="C35" s="23">
        <f t="shared" si="11"/>
        <v>3703</v>
      </c>
      <c r="D35" s="23">
        <f t="shared" si="11"/>
        <v>4084</v>
      </c>
      <c r="E35" s="23">
        <f t="shared" si="11"/>
        <v>3899</v>
      </c>
      <c r="F35" s="23">
        <f t="shared" si="11"/>
        <v>2006</v>
      </c>
      <c r="G35" s="23">
        <f t="shared" si="11"/>
        <v>3711</v>
      </c>
      <c r="H35" s="23">
        <f t="shared" si="11"/>
        <v>3278</v>
      </c>
      <c r="I35" s="23">
        <f t="shared" si="11"/>
        <v>2966</v>
      </c>
      <c r="J35" s="23">
        <f t="shared" si="11"/>
        <v>2622</v>
      </c>
      <c r="K35" s="23">
        <f t="shared" si="11"/>
        <v>2598</v>
      </c>
    </row>
    <row r="36" spans="1:11" ht="13.5" customHeight="1">
      <c r="A36" s="25" t="s">
        <v>74</v>
      </c>
    </row>
    <row r="37" spans="1:11" ht="13.5" customHeight="1">
      <c r="A37" s="22" t="s">
        <v>75</v>
      </c>
      <c r="B37" s="26">
        <v>10.54</v>
      </c>
      <c r="C37" s="26">
        <v>9.01</v>
      </c>
      <c r="D37" s="26">
        <v>9</v>
      </c>
      <c r="E37" s="26">
        <v>8.43</v>
      </c>
      <c r="F37" s="26">
        <v>6.85</v>
      </c>
      <c r="G37" s="26">
        <v>7.93</v>
      </c>
      <c r="H37" s="26">
        <v>7.3</v>
      </c>
      <c r="I37" s="26">
        <v>6.31</v>
      </c>
      <c r="J37" s="26">
        <v>5.74</v>
      </c>
      <c r="K37" s="26">
        <v>5.49</v>
      </c>
    </row>
    <row r="38" spans="1:11" ht="13.5" customHeight="1">
      <c r="A38" s="16" t="s">
        <v>76</v>
      </c>
      <c r="B38" s="27">
        <f t="shared" ref="B38:K38" si="12">IF(B39&lt;&gt;0,B34/B39,0)</f>
        <v>9.9419087136929463</v>
      </c>
      <c r="C38" s="27">
        <f t="shared" si="12"/>
        <v>7.635051546391753</v>
      </c>
      <c r="D38" s="27">
        <f t="shared" si="12"/>
        <v>8.386036960985626</v>
      </c>
      <c r="E38" s="27">
        <f t="shared" si="12"/>
        <v>7.9734151329243357</v>
      </c>
      <c r="F38" s="27">
        <f t="shared" si="12"/>
        <v>4.093877551020408</v>
      </c>
      <c r="G38" s="27">
        <f t="shared" si="12"/>
        <v>7.5580448065173114</v>
      </c>
      <c r="H38" s="27">
        <f t="shared" si="12"/>
        <v>6.6626016260162606</v>
      </c>
      <c r="I38" s="27">
        <f t="shared" si="12"/>
        <v>6.016227180527383</v>
      </c>
      <c r="J38" s="27">
        <f t="shared" si="12"/>
        <v>5.3076923076923075</v>
      </c>
      <c r="K38" s="27">
        <f t="shared" si="12"/>
        <v>5.2484848484848481</v>
      </c>
    </row>
    <row r="39" spans="1:11" ht="13.5" customHeight="1">
      <c r="A39" s="22" t="s">
        <v>77</v>
      </c>
      <c r="B39" s="26">
        <v>482</v>
      </c>
      <c r="C39" s="26">
        <v>485</v>
      </c>
      <c r="D39" s="26">
        <v>487</v>
      </c>
      <c r="E39" s="26">
        <v>489</v>
      </c>
      <c r="F39" s="26">
        <v>490</v>
      </c>
      <c r="G39" s="26">
        <v>491</v>
      </c>
      <c r="H39" s="26">
        <v>492</v>
      </c>
      <c r="I39" s="26">
        <v>493</v>
      </c>
      <c r="J39" s="26">
        <v>494</v>
      </c>
      <c r="K39" s="26">
        <v>495</v>
      </c>
    </row>
    <row r="40" spans="1:11" ht="13.5" customHeight="1">
      <c r="A40" s="20" t="s">
        <v>78</v>
      </c>
      <c r="B40" s="28">
        <v>482</v>
      </c>
      <c r="C40" s="28">
        <v>485</v>
      </c>
      <c r="D40" s="28">
        <v>487</v>
      </c>
      <c r="E40" s="28">
        <v>489</v>
      </c>
      <c r="F40" s="28">
        <v>490</v>
      </c>
      <c r="G40" s="28">
        <v>491</v>
      </c>
      <c r="H40" s="28">
        <v>492</v>
      </c>
      <c r="I40" s="28">
        <v>493</v>
      </c>
      <c r="J40" s="28">
        <v>494</v>
      </c>
      <c r="K40" s="28">
        <v>495</v>
      </c>
    </row>
    <row r="41" spans="1:11" ht="13.5" customHeight="1">
      <c r="A41" s="18" t="s">
        <v>79</v>
      </c>
      <c r="B41" s="29">
        <f t="shared" ref="B41:K41" si="13">IF(B42&lt;&gt;0,B34/B42,0)</f>
        <v>9.87633965375103</v>
      </c>
      <c r="C41" s="29">
        <f t="shared" si="13"/>
        <v>7.583452795412656</v>
      </c>
      <c r="D41" s="29">
        <f t="shared" si="13"/>
        <v>8.3329932666802691</v>
      </c>
      <c r="E41" s="29">
        <f t="shared" si="13"/>
        <v>7.9183590576766862</v>
      </c>
      <c r="F41" s="29">
        <f t="shared" si="13"/>
        <v>4.0648429584599794</v>
      </c>
      <c r="G41" s="29">
        <f t="shared" si="13"/>
        <v>7.5030327537403956</v>
      </c>
      <c r="H41" s="29">
        <f t="shared" si="13"/>
        <v>6.6128706879160788</v>
      </c>
      <c r="I41" s="29">
        <f t="shared" si="13"/>
        <v>5.9702093397745566</v>
      </c>
      <c r="J41" s="29">
        <f t="shared" si="13"/>
        <v>5.2661176943161276</v>
      </c>
      <c r="K41" s="29">
        <f t="shared" si="13"/>
        <v>5.2064128256513023</v>
      </c>
    </row>
    <row r="42" spans="1:11" ht="13.5" customHeight="1">
      <c r="A42" s="20" t="s">
        <v>80</v>
      </c>
      <c r="B42" s="28">
        <v>485.2</v>
      </c>
      <c r="C42" s="28">
        <v>488.3</v>
      </c>
      <c r="D42" s="28">
        <v>490.1</v>
      </c>
      <c r="E42" s="28">
        <v>492.4</v>
      </c>
      <c r="F42" s="28">
        <v>493.5</v>
      </c>
      <c r="G42" s="28">
        <v>494.6</v>
      </c>
      <c r="H42" s="28">
        <v>495.7</v>
      </c>
      <c r="I42" s="28">
        <v>496.8</v>
      </c>
      <c r="J42" s="28">
        <v>497.9</v>
      </c>
      <c r="K42" s="28">
        <v>499</v>
      </c>
    </row>
    <row r="43" spans="1:11" ht="13.5" customHeight="1">
      <c r="A43" s="22" t="s">
        <v>81</v>
      </c>
      <c r="B43" s="26">
        <v>87.3</v>
      </c>
      <c r="C43" s="26">
        <v>84.6</v>
      </c>
      <c r="D43" s="26">
        <v>86.9</v>
      </c>
      <c r="E43" s="26">
        <v>83.4</v>
      </c>
      <c r="F43" s="26">
        <v>80.099999999999994</v>
      </c>
      <c r="G43" s="26">
        <v>88.7</v>
      </c>
      <c r="H43" s="26">
        <v>85.3</v>
      </c>
      <c r="I43" s="26">
        <v>82.6</v>
      </c>
      <c r="J43" s="26">
        <v>79.8</v>
      </c>
      <c r="K43" s="26">
        <v>77.400000000000006</v>
      </c>
    </row>
    <row r="44" spans="1:11" ht="13.5" customHeight="1">
      <c r="A44" s="16" t="s">
        <v>82</v>
      </c>
      <c r="B44" s="27">
        <v>1.84</v>
      </c>
      <c r="C44" s="27">
        <v>1.68</v>
      </c>
      <c r="D44" s="27">
        <v>1.52</v>
      </c>
      <c r="E44" s="27">
        <v>1.36</v>
      </c>
      <c r="F44" s="27">
        <v>1.2</v>
      </c>
      <c r="G44" s="27">
        <v>1.04</v>
      </c>
      <c r="H44" s="27">
        <v>0.96</v>
      </c>
      <c r="I44" s="27">
        <v>0.88</v>
      </c>
      <c r="J44" s="27">
        <v>0.8</v>
      </c>
      <c r="K44" s="27">
        <v>0.72</v>
      </c>
    </row>
    <row r="45" spans="1:11" ht="13.5" customHeight="1">
      <c r="A45" s="22" t="s">
        <v>83</v>
      </c>
      <c r="B45" s="30">
        <f t="shared" ref="B45:K45" si="14">IF(B38&gt;0,B44/B38*100,0)</f>
        <v>18.507512520868115</v>
      </c>
      <c r="C45" s="30">
        <f t="shared" si="14"/>
        <v>22.003780718336483</v>
      </c>
      <c r="D45" s="30">
        <f t="shared" si="14"/>
        <v>18.125367286973557</v>
      </c>
      <c r="E45" s="30">
        <f t="shared" si="14"/>
        <v>17.056681200307771</v>
      </c>
      <c r="F45" s="30">
        <f t="shared" si="14"/>
        <v>29.31206380857428</v>
      </c>
      <c r="G45" s="30">
        <f t="shared" si="14"/>
        <v>13.760172460253303</v>
      </c>
      <c r="H45" s="30">
        <f t="shared" si="14"/>
        <v>14.408785845027456</v>
      </c>
      <c r="I45" s="30">
        <f t="shared" si="14"/>
        <v>14.627107215104518</v>
      </c>
      <c r="J45" s="30">
        <f t="shared" si="14"/>
        <v>15.072463768115943</v>
      </c>
      <c r="K45" s="30">
        <f t="shared" si="14"/>
        <v>13.718244803695152</v>
      </c>
    </row>
    <row r="46" spans="1:11" ht="13.5" customHeight="1">
      <c r="A46" s="25" t="s">
        <v>84</v>
      </c>
    </row>
    <row r="47" spans="1:11" ht="13.5" customHeight="1">
      <c r="A47" s="18" t="s">
        <v>84</v>
      </c>
      <c r="B47" s="19">
        <f t="shared" ref="B47:K47" si="15">B48+B49</f>
        <v>7731</v>
      </c>
      <c r="C47" s="19">
        <f t="shared" si="15"/>
        <v>7231</v>
      </c>
      <c r="D47" s="19">
        <f t="shared" si="15"/>
        <v>6676</v>
      </c>
      <c r="E47" s="19">
        <f t="shared" si="15"/>
        <v>6280</v>
      </c>
      <c r="F47" s="19">
        <f t="shared" si="15"/>
        <v>5554</v>
      </c>
      <c r="G47" s="19">
        <f t="shared" si="15"/>
        <v>6119</v>
      </c>
      <c r="H47" s="19">
        <f t="shared" si="15"/>
        <v>5707</v>
      </c>
      <c r="I47" s="19">
        <f t="shared" si="15"/>
        <v>5351</v>
      </c>
      <c r="J47" s="19">
        <f t="shared" si="15"/>
        <v>5077</v>
      </c>
      <c r="K47" s="19">
        <f t="shared" si="15"/>
        <v>4800</v>
      </c>
    </row>
    <row r="48" spans="1:11" ht="13.5" customHeight="1">
      <c r="A48" s="20" t="s">
        <v>35</v>
      </c>
      <c r="B48" s="21">
        <f t="shared" ref="B48:K48" si="16">B18</f>
        <v>6675</v>
      </c>
      <c r="C48" s="21">
        <f t="shared" si="16"/>
        <v>6247</v>
      </c>
      <c r="D48" s="21">
        <f t="shared" si="16"/>
        <v>5765</v>
      </c>
      <c r="E48" s="21">
        <f t="shared" si="16"/>
        <v>5424</v>
      </c>
      <c r="F48" s="21">
        <f t="shared" si="16"/>
        <v>4798</v>
      </c>
      <c r="G48" s="21">
        <f t="shared" si="16"/>
        <v>5288</v>
      </c>
      <c r="H48" s="21">
        <f t="shared" si="16"/>
        <v>4931</v>
      </c>
      <c r="I48" s="21">
        <f t="shared" si="16"/>
        <v>4625</v>
      </c>
      <c r="J48" s="21">
        <f t="shared" si="16"/>
        <v>4392</v>
      </c>
      <c r="K48" s="21">
        <f t="shared" si="16"/>
        <v>4149</v>
      </c>
    </row>
    <row r="49" spans="1:11" ht="13.5" customHeight="1">
      <c r="A49" s="22" t="s">
        <v>53</v>
      </c>
      <c r="B49" s="23">
        <f t="shared" ref="B49:K49" si="17">B13</f>
        <v>1056</v>
      </c>
      <c r="C49" s="23">
        <f t="shared" si="17"/>
        <v>984</v>
      </c>
      <c r="D49" s="23">
        <f t="shared" si="17"/>
        <v>911</v>
      </c>
      <c r="E49" s="23">
        <f t="shared" si="17"/>
        <v>856</v>
      </c>
      <c r="F49" s="23">
        <f t="shared" si="17"/>
        <v>756</v>
      </c>
      <c r="G49" s="23">
        <f t="shared" si="17"/>
        <v>831</v>
      </c>
      <c r="H49" s="23">
        <f t="shared" si="17"/>
        <v>776</v>
      </c>
      <c r="I49" s="23">
        <f t="shared" si="17"/>
        <v>726</v>
      </c>
      <c r="J49" s="23">
        <f t="shared" si="17"/>
        <v>685</v>
      </c>
      <c r="K49" s="23">
        <f t="shared" si="17"/>
        <v>651</v>
      </c>
    </row>
    <row r="50" spans="1:11" ht="13.5" customHeight="1">
      <c r="A50" s="12" t="s">
        <v>85</v>
      </c>
    </row>
    <row r="51" spans="1:11" ht="13.5" customHeight="1">
      <c r="A51" s="22" t="s">
        <v>86</v>
      </c>
      <c r="B51" s="30">
        <f t="shared" ref="B51:K51" si="18">IF(B29&gt;0,B30/B29*100,0)</f>
        <v>21.499269836118774</v>
      </c>
      <c r="C51" s="30">
        <f t="shared" si="18"/>
        <v>22.300372362432768</v>
      </c>
      <c r="D51" s="30">
        <f t="shared" si="18"/>
        <v>20.790938759838738</v>
      </c>
      <c r="E51" s="30">
        <f t="shared" si="18"/>
        <v>19.607442240850542</v>
      </c>
      <c r="F51" s="30">
        <f t="shared" si="18"/>
        <v>18.506751389992058</v>
      </c>
      <c r="G51" s="30">
        <f t="shared" si="18"/>
        <v>21.196222455403987</v>
      </c>
      <c r="H51" s="30">
        <f t="shared" si="18"/>
        <v>19.79670861568248</v>
      </c>
      <c r="I51" s="30">
        <f t="shared" si="18"/>
        <v>28.503222726187634</v>
      </c>
      <c r="J51" s="30">
        <f t="shared" si="18"/>
        <v>29.308041677798556</v>
      </c>
      <c r="K51" s="30">
        <f t="shared" si="18"/>
        <v>30.11211959423385</v>
      </c>
    </row>
    <row r="52" spans="1:11" ht="13.5" customHeight="1">
      <c r="A52" s="31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3823-F4EA-4DD2-A40E-68FBC815CEE0}">
  <sheetPr>
    <tabColor theme="8" tint="0.39997558519241921"/>
  </sheetPr>
  <dimension ref="A1:K45"/>
  <sheetViews>
    <sheetView zoomScaleNormal="100" workbookViewId="0"/>
  </sheetViews>
  <sheetFormatPr defaultColWidth="8.6640625" defaultRowHeight="14.4"/>
  <cols>
    <col min="1" max="1" width="42" style="9" customWidth="1"/>
    <col min="2" max="11" width="9.5546875" style="9" customWidth="1"/>
    <col min="12" max="16384" width="8.6640625" style="9"/>
  </cols>
  <sheetData>
    <row r="1" spans="1:11" ht="15.75" customHeight="1">
      <c r="A1" s="11" t="s">
        <v>38</v>
      </c>
    </row>
    <row r="2" spans="1:11" ht="13.5" customHeight="1">
      <c r="A2" s="12" t="s">
        <v>39</v>
      </c>
    </row>
    <row r="3" spans="1:11" ht="6" customHeight="1"/>
    <row r="4" spans="1:11" ht="6" customHeight="1"/>
    <row r="5" spans="1:11" ht="13.5" customHeight="1">
      <c r="A5" s="13" t="s">
        <v>40</v>
      </c>
    </row>
    <row r="6" spans="1:11" ht="13.5" customHeight="1">
      <c r="A6" s="13" t="s">
        <v>41</v>
      </c>
    </row>
    <row r="7" spans="1:11" ht="13.5" customHeight="1">
      <c r="A7" s="13" t="s">
        <v>42</v>
      </c>
    </row>
    <row r="8" spans="1:11" ht="13.5" customHeight="1">
      <c r="A8" s="14"/>
      <c r="B8" s="13" t="s">
        <v>7</v>
      </c>
      <c r="C8" s="13" t="s">
        <v>6</v>
      </c>
      <c r="D8" s="13" t="s">
        <v>5</v>
      </c>
      <c r="E8" s="13" t="s">
        <v>4</v>
      </c>
      <c r="F8" s="13" t="s">
        <v>43</v>
      </c>
      <c r="G8" s="13" t="s">
        <v>44</v>
      </c>
      <c r="H8" s="13" t="s">
        <v>45</v>
      </c>
      <c r="I8" s="13" t="s">
        <v>46</v>
      </c>
      <c r="J8" s="13" t="s">
        <v>47</v>
      </c>
      <c r="K8" s="13" t="s">
        <v>48</v>
      </c>
    </row>
    <row r="9" spans="1:11" ht="13.5" customHeight="1">
      <c r="A9" s="15" t="s">
        <v>30</v>
      </c>
    </row>
    <row r="10" spans="1:11" ht="13.5" customHeight="1">
      <c r="A10" s="25" t="s">
        <v>3</v>
      </c>
    </row>
    <row r="11" spans="1:11" ht="13.5" customHeight="1">
      <c r="A11" s="18" t="s">
        <v>88</v>
      </c>
      <c r="B11" s="19">
        <v>3456</v>
      </c>
      <c r="C11" s="19">
        <v>3123</v>
      </c>
      <c r="D11" s="19">
        <v>2756</v>
      </c>
      <c r="E11" s="19">
        <v>2945</v>
      </c>
      <c r="F11" s="19">
        <v>3234</v>
      </c>
      <c r="G11" s="19">
        <v>1987</v>
      </c>
      <c r="H11" s="19">
        <v>1756</v>
      </c>
      <c r="I11" s="19">
        <v>1534</v>
      </c>
      <c r="J11" s="19">
        <v>1356</v>
      </c>
      <c r="K11" s="19">
        <v>1198</v>
      </c>
    </row>
    <row r="12" spans="1:11" ht="13.5" customHeight="1">
      <c r="A12" s="20" t="s">
        <v>31</v>
      </c>
      <c r="B12" s="21">
        <v>1234</v>
      </c>
      <c r="C12" s="21">
        <v>987</v>
      </c>
      <c r="D12" s="21">
        <v>1123</v>
      </c>
      <c r="E12" s="21">
        <v>876</v>
      </c>
      <c r="F12" s="21">
        <v>756</v>
      </c>
      <c r="G12" s="21">
        <v>987</v>
      </c>
      <c r="H12" s="21">
        <v>876</v>
      </c>
      <c r="I12" s="21">
        <v>756</v>
      </c>
      <c r="J12" s="21">
        <v>645</v>
      </c>
      <c r="K12" s="21">
        <v>567</v>
      </c>
    </row>
    <row r="13" spans="1:11" ht="13.5" customHeight="1">
      <c r="A13" s="22" t="s">
        <v>89</v>
      </c>
      <c r="B13" s="23">
        <v>4234</v>
      </c>
      <c r="C13" s="23">
        <v>3987</v>
      </c>
      <c r="D13" s="23">
        <v>3678</v>
      </c>
      <c r="E13" s="23">
        <v>3456</v>
      </c>
      <c r="F13" s="23">
        <v>3012</v>
      </c>
      <c r="G13" s="23">
        <v>3378</v>
      </c>
      <c r="H13" s="23">
        <v>3156</v>
      </c>
      <c r="I13" s="23">
        <v>2956</v>
      </c>
      <c r="J13" s="23">
        <v>2789</v>
      </c>
      <c r="K13" s="23">
        <v>2645</v>
      </c>
    </row>
    <row r="14" spans="1:11" ht="13.5" customHeight="1">
      <c r="A14" s="20" t="s">
        <v>90</v>
      </c>
      <c r="B14" s="21">
        <v>3234</v>
      </c>
      <c r="C14" s="21">
        <v>3012</v>
      </c>
      <c r="D14" s="21">
        <v>2789</v>
      </c>
      <c r="E14" s="21">
        <v>2645</v>
      </c>
      <c r="F14" s="21">
        <v>2312</v>
      </c>
      <c r="G14" s="21">
        <v>2567</v>
      </c>
      <c r="H14" s="21">
        <v>2398</v>
      </c>
      <c r="I14" s="21">
        <v>2245</v>
      </c>
      <c r="J14" s="21">
        <v>2123</v>
      </c>
      <c r="K14" s="21">
        <v>2012</v>
      </c>
    </row>
    <row r="15" spans="1:11" ht="13.5" customHeight="1">
      <c r="A15" s="22" t="s">
        <v>91</v>
      </c>
      <c r="B15" s="23">
        <v>1456</v>
      </c>
      <c r="C15" s="23">
        <v>1345</v>
      </c>
      <c r="D15" s="23">
        <v>1234</v>
      </c>
      <c r="E15" s="23">
        <v>1156</v>
      </c>
      <c r="F15" s="23">
        <v>1012</v>
      </c>
      <c r="G15" s="23">
        <v>1145</v>
      </c>
      <c r="H15" s="23">
        <v>1067</v>
      </c>
      <c r="I15" s="23">
        <v>1012</v>
      </c>
      <c r="J15" s="23">
        <v>956</v>
      </c>
      <c r="K15" s="23">
        <v>912</v>
      </c>
    </row>
    <row r="16" spans="1:11" ht="13.5" customHeight="1">
      <c r="A16" s="16" t="s">
        <v>92</v>
      </c>
      <c r="B16" s="17">
        <f t="shared" ref="B16:K16" si="0">B11+B12+B13+B14+B15</f>
        <v>13614</v>
      </c>
      <c r="C16" s="17">
        <f t="shared" si="0"/>
        <v>12454</v>
      </c>
      <c r="D16" s="17">
        <f t="shared" si="0"/>
        <v>11580</v>
      </c>
      <c r="E16" s="17">
        <f t="shared" si="0"/>
        <v>11078</v>
      </c>
      <c r="F16" s="17">
        <f t="shared" si="0"/>
        <v>10326</v>
      </c>
      <c r="G16" s="17">
        <f t="shared" si="0"/>
        <v>10064</v>
      </c>
      <c r="H16" s="17">
        <f t="shared" si="0"/>
        <v>9253</v>
      </c>
      <c r="I16" s="17">
        <f t="shared" si="0"/>
        <v>8503</v>
      </c>
      <c r="J16" s="17">
        <f t="shared" si="0"/>
        <v>7869</v>
      </c>
      <c r="K16" s="17">
        <f t="shared" si="0"/>
        <v>7334</v>
      </c>
    </row>
    <row r="17" spans="1:11" ht="13.5" customHeight="1">
      <c r="A17" s="22" t="s">
        <v>93</v>
      </c>
      <c r="B17" s="23">
        <v>12345</v>
      </c>
      <c r="C17" s="23">
        <v>11678</v>
      </c>
      <c r="D17" s="23">
        <v>10987</v>
      </c>
      <c r="E17" s="23">
        <v>10456</v>
      </c>
      <c r="F17" s="23">
        <v>9876</v>
      </c>
      <c r="G17" s="23">
        <v>10678</v>
      </c>
      <c r="H17" s="23">
        <v>9987</v>
      </c>
      <c r="I17" s="23">
        <v>9345</v>
      </c>
      <c r="J17" s="23">
        <v>8789</v>
      </c>
      <c r="K17" s="23">
        <v>8234</v>
      </c>
    </row>
    <row r="18" spans="1:11" ht="13.5" customHeight="1">
      <c r="A18" s="20" t="s">
        <v>94</v>
      </c>
      <c r="B18" s="21">
        <v>15678</v>
      </c>
      <c r="C18" s="21">
        <v>15234</v>
      </c>
      <c r="D18" s="21">
        <v>14789</v>
      </c>
      <c r="E18" s="21">
        <v>14345</v>
      </c>
      <c r="F18" s="21">
        <v>13456</v>
      </c>
      <c r="G18" s="21">
        <v>14345</v>
      </c>
      <c r="H18" s="21">
        <v>13678</v>
      </c>
      <c r="I18" s="21">
        <v>12987</v>
      </c>
      <c r="J18" s="21">
        <v>12345</v>
      </c>
      <c r="K18" s="21">
        <v>11789</v>
      </c>
    </row>
    <row r="19" spans="1:11" ht="13.5" customHeight="1">
      <c r="A19" s="22" t="s">
        <v>95</v>
      </c>
      <c r="B19" s="23">
        <v>7234</v>
      </c>
      <c r="C19" s="23">
        <v>6987</v>
      </c>
      <c r="D19" s="23">
        <v>6756</v>
      </c>
      <c r="E19" s="23">
        <v>6512</v>
      </c>
      <c r="F19" s="23">
        <v>5987</v>
      </c>
      <c r="G19" s="23">
        <v>6567</v>
      </c>
      <c r="H19" s="23">
        <v>6234</v>
      </c>
      <c r="I19" s="23">
        <v>5987</v>
      </c>
      <c r="J19" s="23">
        <v>5712</v>
      </c>
      <c r="K19" s="23">
        <v>5456</v>
      </c>
    </row>
    <row r="20" spans="1:11" ht="13.5" customHeight="1">
      <c r="A20" s="20" t="s">
        <v>96</v>
      </c>
      <c r="B20" s="21">
        <v>1456</v>
      </c>
      <c r="C20" s="21">
        <v>1234</v>
      </c>
      <c r="D20" s="21">
        <v>1345</v>
      </c>
      <c r="E20" s="21">
        <v>1123</v>
      </c>
      <c r="F20" s="21">
        <v>987</v>
      </c>
      <c r="G20" s="21">
        <v>1145</v>
      </c>
      <c r="H20" s="21">
        <v>1067</v>
      </c>
      <c r="I20" s="21">
        <v>987</v>
      </c>
      <c r="J20" s="21">
        <v>912</v>
      </c>
      <c r="K20" s="21">
        <v>867</v>
      </c>
    </row>
    <row r="21" spans="1:11" ht="13.5" customHeight="1">
      <c r="A21" s="22" t="s">
        <v>97</v>
      </c>
      <c r="B21" s="23">
        <v>2345</v>
      </c>
      <c r="C21" s="23">
        <v>2234</v>
      </c>
      <c r="D21" s="23">
        <v>2145</v>
      </c>
      <c r="E21" s="23">
        <v>2056</v>
      </c>
      <c r="F21" s="23">
        <v>2234</v>
      </c>
      <c r="G21" s="23">
        <v>1978</v>
      </c>
      <c r="H21" s="23">
        <v>1812</v>
      </c>
      <c r="I21" s="23">
        <v>1656</v>
      </c>
      <c r="J21" s="23">
        <v>1534</v>
      </c>
      <c r="K21" s="23">
        <v>1423</v>
      </c>
    </row>
    <row r="22" spans="1:11" ht="13.5" customHeight="1">
      <c r="A22" s="20" t="s">
        <v>98</v>
      </c>
      <c r="B22" s="21">
        <v>1234</v>
      </c>
      <c r="C22" s="21">
        <v>1145</v>
      </c>
      <c r="D22" s="21">
        <v>1098</v>
      </c>
      <c r="E22" s="21">
        <v>1023</v>
      </c>
      <c r="F22" s="21">
        <v>978</v>
      </c>
      <c r="G22" s="21">
        <v>1067</v>
      </c>
      <c r="H22" s="21">
        <v>998</v>
      </c>
      <c r="I22" s="21">
        <v>934</v>
      </c>
      <c r="J22" s="21">
        <v>867</v>
      </c>
      <c r="K22" s="21">
        <v>812</v>
      </c>
    </row>
    <row r="23" spans="1:11" ht="13.5" customHeight="1">
      <c r="A23" s="18" t="s">
        <v>99</v>
      </c>
      <c r="B23" s="19">
        <f t="shared" ref="B23:K23" si="1">B17+B18+B19+B20+B21+B22</f>
        <v>40292</v>
      </c>
      <c r="C23" s="19">
        <f t="shared" si="1"/>
        <v>38512</v>
      </c>
      <c r="D23" s="19">
        <f t="shared" si="1"/>
        <v>37120</v>
      </c>
      <c r="E23" s="19">
        <f t="shared" si="1"/>
        <v>35515</v>
      </c>
      <c r="F23" s="19">
        <f t="shared" si="1"/>
        <v>33518</v>
      </c>
      <c r="G23" s="19">
        <f t="shared" si="1"/>
        <v>35780</v>
      </c>
      <c r="H23" s="19">
        <f t="shared" si="1"/>
        <v>33776</v>
      </c>
      <c r="I23" s="19">
        <f t="shared" si="1"/>
        <v>31896</v>
      </c>
      <c r="J23" s="19">
        <f t="shared" si="1"/>
        <v>30159</v>
      </c>
      <c r="K23" s="19">
        <f t="shared" si="1"/>
        <v>28581</v>
      </c>
    </row>
    <row r="24" spans="1:11" ht="13.5" customHeight="1">
      <c r="A24" s="16" t="s">
        <v>32</v>
      </c>
      <c r="B24" s="17">
        <f t="shared" ref="B24:K24" si="2">B16+B23</f>
        <v>53906</v>
      </c>
      <c r="C24" s="17">
        <f t="shared" si="2"/>
        <v>50966</v>
      </c>
      <c r="D24" s="17">
        <f t="shared" si="2"/>
        <v>48700</v>
      </c>
      <c r="E24" s="17">
        <f t="shared" si="2"/>
        <v>46593</v>
      </c>
      <c r="F24" s="17">
        <f t="shared" si="2"/>
        <v>43844</v>
      </c>
      <c r="G24" s="17">
        <f t="shared" si="2"/>
        <v>45844</v>
      </c>
      <c r="H24" s="17">
        <f t="shared" si="2"/>
        <v>43029</v>
      </c>
      <c r="I24" s="17">
        <f t="shared" si="2"/>
        <v>40399</v>
      </c>
      <c r="J24" s="17">
        <f t="shared" si="2"/>
        <v>38028</v>
      </c>
      <c r="K24" s="17">
        <f t="shared" si="2"/>
        <v>35915</v>
      </c>
    </row>
    <row r="25" spans="1:11" ht="13.5" customHeight="1">
      <c r="A25" s="32" t="s">
        <v>100</v>
      </c>
    </row>
    <row r="26" spans="1:11" ht="13.5" customHeight="1">
      <c r="A26" s="20" t="s">
        <v>33</v>
      </c>
      <c r="B26" s="21">
        <v>3456</v>
      </c>
      <c r="C26" s="21">
        <v>3234</v>
      </c>
      <c r="D26" s="21">
        <v>2987</v>
      </c>
      <c r="E26" s="21">
        <v>2756</v>
      </c>
      <c r="F26" s="21">
        <v>2456</v>
      </c>
      <c r="G26" s="21">
        <v>2789</v>
      </c>
      <c r="H26" s="21">
        <v>2567</v>
      </c>
      <c r="I26" s="21">
        <v>2387</v>
      </c>
      <c r="J26" s="21">
        <v>2234</v>
      </c>
      <c r="K26" s="21">
        <v>2112</v>
      </c>
    </row>
    <row r="27" spans="1:11" ht="13.5" customHeight="1">
      <c r="A27" s="22" t="s">
        <v>101</v>
      </c>
      <c r="B27" s="23">
        <v>1987</v>
      </c>
      <c r="C27" s="23">
        <v>1756</v>
      </c>
      <c r="D27" s="23">
        <v>2234</v>
      </c>
      <c r="E27" s="23">
        <v>1678</v>
      </c>
      <c r="F27" s="23">
        <v>2456</v>
      </c>
      <c r="G27" s="23">
        <v>1678</v>
      </c>
      <c r="H27" s="23">
        <v>1567</v>
      </c>
      <c r="I27" s="23">
        <v>1456</v>
      </c>
      <c r="J27" s="23">
        <v>1345</v>
      </c>
      <c r="K27" s="23">
        <v>1234</v>
      </c>
    </row>
    <row r="28" spans="1:11" ht="13.5" customHeight="1">
      <c r="A28" s="20" t="s">
        <v>102</v>
      </c>
      <c r="B28" s="21">
        <v>2789</v>
      </c>
      <c r="C28" s="21">
        <v>2567</v>
      </c>
      <c r="D28" s="21">
        <v>2345</v>
      </c>
      <c r="E28" s="21">
        <v>2234</v>
      </c>
      <c r="F28" s="21">
        <v>1987</v>
      </c>
      <c r="G28" s="21">
        <v>2245</v>
      </c>
      <c r="H28" s="21">
        <v>2098</v>
      </c>
      <c r="I28" s="21">
        <v>1978</v>
      </c>
      <c r="J28" s="21">
        <v>1856</v>
      </c>
      <c r="K28" s="21">
        <v>1756</v>
      </c>
    </row>
    <row r="29" spans="1:11" ht="13.5" customHeight="1">
      <c r="A29" s="22" t="s">
        <v>103</v>
      </c>
      <c r="B29" s="23">
        <v>1234</v>
      </c>
      <c r="C29" s="23">
        <v>1156</v>
      </c>
      <c r="D29" s="23">
        <v>1078</v>
      </c>
      <c r="E29" s="23">
        <v>987</v>
      </c>
      <c r="F29" s="23">
        <v>878</v>
      </c>
      <c r="G29" s="23">
        <v>1012</v>
      </c>
      <c r="H29" s="23">
        <v>956</v>
      </c>
      <c r="I29" s="23">
        <v>898</v>
      </c>
      <c r="J29" s="23">
        <v>845</v>
      </c>
      <c r="K29" s="23">
        <v>812</v>
      </c>
    </row>
    <row r="30" spans="1:11" ht="13.5" customHeight="1">
      <c r="A30" s="16" t="s">
        <v>104</v>
      </c>
      <c r="B30" s="17">
        <f t="shared" ref="B30:K30" si="3">B26+B27+B28+B29</f>
        <v>9466</v>
      </c>
      <c r="C30" s="17">
        <f t="shared" si="3"/>
        <v>8713</v>
      </c>
      <c r="D30" s="17">
        <f t="shared" si="3"/>
        <v>8644</v>
      </c>
      <c r="E30" s="17">
        <f t="shared" si="3"/>
        <v>7655</v>
      </c>
      <c r="F30" s="17">
        <f t="shared" si="3"/>
        <v>7777</v>
      </c>
      <c r="G30" s="17">
        <f t="shared" si="3"/>
        <v>7724</v>
      </c>
      <c r="H30" s="17">
        <f t="shared" si="3"/>
        <v>7188</v>
      </c>
      <c r="I30" s="17">
        <f t="shared" si="3"/>
        <v>6719</v>
      </c>
      <c r="J30" s="17">
        <f t="shared" si="3"/>
        <v>6280</v>
      </c>
      <c r="K30" s="17">
        <f t="shared" si="3"/>
        <v>5914</v>
      </c>
    </row>
    <row r="31" spans="1:11" ht="13.5" customHeight="1">
      <c r="A31" s="22" t="s">
        <v>105</v>
      </c>
      <c r="B31" s="23">
        <v>13456</v>
      </c>
      <c r="C31" s="23">
        <v>14234</v>
      </c>
      <c r="D31" s="23">
        <v>13789</v>
      </c>
      <c r="E31" s="23">
        <v>12567</v>
      </c>
      <c r="F31" s="23">
        <v>14234</v>
      </c>
      <c r="G31" s="23">
        <v>11567</v>
      </c>
      <c r="H31" s="23">
        <v>10987</v>
      </c>
      <c r="I31" s="23">
        <v>10234</v>
      </c>
      <c r="J31" s="23">
        <v>9567</v>
      </c>
      <c r="K31" s="23">
        <v>8987</v>
      </c>
    </row>
    <row r="32" spans="1:11" ht="13.5" customHeight="1">
      <c r="A32" s="20" t="s">
        <v>106</v>
      </c>
      <c r="B32" s="21">
        <v>1456</v>
      </c>
      <c r="C32" s="21">
        <v>1345</v>
      </c>
      <c r="D32" s="21">
        <v>1234</v>
      </c>
      <c r="E32" s="21">
        <v>1145</v>
      </c>
      <c r="F32" s="21">
        <v>1234</v>
      </c>
      <c r="G32" s="21">
        <v>1098</v>
      </c>
      <c r="H32" s="21">
        <v>1012</v>
      </c>
      <c r="I32" s="21">
        <v>956</v>
      </c>
      <c r="J32" s="21">
        <v>912</v>
      </c>
      <c r="K32" s="21">
        <v>867</v>
      </c>
    </row>
    <row r="33" spans="1:11" ht="13.5" customHeight="1">
      <c r="A33" s="22" t="s">
        <v>107</v>
      </c>
      <c r="B33" s="23">
        <v>3234</v>
      </c>
      <c r="C33" s="23">
        <v>3012</v>
      </c>
      <c r="D33" s="23">
        <v>2789</v>
      </c>
      <c r="E33" s="23">
        <v>2567</v>
      </c>
      <c r="F33" s="23">
        <v>2689</v>
      </c>
      <c r="G33" s="23">
        <v>2456</v>
      </c>
      <c r="H33" s="23">
        <v>2289</v>
      </c>
      <c r="I33" s="23">
        <v>2145</v>
      </c>
      <c r="J33" s="23">
        <v>2012</v>
      </c>
      <c r="K33" s="23">
        <v>1912</v>
      </c>
    </row>
    <row r="34" spans="1:11" ht="13.5" customHeight="1">
      <c r="A34" s="20" t="s">
        <v>108</v>
      </c>
      <c r="B34" s="21">
        <v>1123</v>
      </c>
      <c r="C34" s="21">
        <v>1045</v>
      </c>
      <c r="D34" s="21">
        <v>987</v>
      </c>
      <c r="E34" s="21">
        <v>934</v>
      </c>
      <c r="F34" s="21">
        <v>889</v>
      </c>
      <c r="G34" s="21">
        <v>978</v>
      </c>
      <c r="H34" s="21">
        <v>912</v>
      </c>
      <c r="I34" s="21">
        <v>856</v>
      </c>
      <c r="J34" s="21">
        <v>801</v>
      </c>
      <c r="K34" s="21">
        <v>756</v>
      </c>
    </row>
    <row r="35" spans="1:11" ht="13.5" customHeight="1">
      <c r="A35" s="18" t="s">
        <v>109</v>
      </c>
      <c r="B35" s="19">
        <f t="shared" ref="B35:K35" si="4">B31+B32+B33+B34</f>
        <v>19269</v>
      </c>
      <c r="C35" s="19">
        <f t="shared" si="4"/>
        <v>19636</v>
      </c>
      <c r="D35" s="19">
        <f t="shared" si="4"/>
        <v>18799</v>
      </c>
      <c r="E35" s="19">
        <f t="shared" si="4"/>
        <v>17213</v>
      </c>
      <c r="F35" s="19">
        <f t="shared" si="4"/>
        <v>19046</v>
      </c>
      <c r="G35" s="19">
        <f t="shared" si="4"/>
        <v>16099</v>
      </c>
      <c r="H35" s="19">
        <f t="shared" si="4"/>
        <v>15200</v>
      </c>
      <c r="I35" s="19">
        <f t="shared" si="4"/>
        <v>14191</v>
      </c>
      <c r="J35" s="19">
        <f t="shared" si="4"/>
        <v>13292</v>
      </c>
      <c r="K35" s="19">
        <f t="shared" si="4"/>
        <v>12522</v>
      </c>
    </row>
    <row r="36" spans="1:11" ht="13.5" customHeight="1">
      <c r="A36" s="16" t="s">
        <v>34</v>
      </c>
      <c r="B36" s="17">
        <f t="shared" ref="B36:K36" si="5">B30+B35</f>
        <v>28735</v>
      </c>
      <c r="C36" s="17">
        <f t="shared" si="5"/>
        <v>28349</v>
      </c>
      <c r="D36" s="17">
        <f t="shared" si="5"/>
        <v>27443</v>
      </c>
      <c r="E36" s="17">
        <f t="shared" si="5"/>
        <v>24868</v>
      </c>
      <c r="F36" s="17">
        <f t="shared" si="5"/>
        <v>26823</v>
      </c>
      <c r="G36" s="17">
        <f t="shared" si="5"/>
        <v>23823</v>
      </c>
      <c r="H36" s="17">
        <f t="shared" si="5"/>
        <v>22388</v>
      </c>
      <c r="I36" s="17">
        <f t="shared" si="5"/>
        <v>20910</v>
      </c>
      <c r="J36" s="17">
        <f t="shared" si="5"/>
        <v>19572</v>
      </c>
      <c r="K36" s="17">
        <f t="shared" si="5"/>
        <v>18436</v>
      </c>
    </row>
    <row r="37" spans="1:11" ht="13.5" customHeight="1">
      <c r="A37" s="32" t="s">
        <v>110</v>
      </c>
    </row>
    <row r="38" spans="1:11" ht="13.5" customHeight="1">
      <c r="A38" s="20" t="s">
        <v>111</v>
      </c>
      <c r="B38" s="21">
        <v>250</v>
      </c>
      <c r="C38" s="21">
        <v>250</v>
      </c>
      <c r="D38" s="21">
        <v>250</v>
      </c>
      <c r="E38" s="21">
        <v>250</v>
      </c>
      <c r="F38" s="21">
        <v>250</v>
      </c>
      <c r="G38" s="21">
        <v>250</v>
      </c>
      <c r="H38" s="21">
        <v>250</v>
      </c>
      <c r="I38" s="21">
        <v>250</v>
      </c>
      <c r="J38" s="21">
        <v>250</v>
      </c>
      <c r="K38" s="21">
        <v>250</v>
      </c>
    </row>
    <row r="39" spans="1:11" ht="13.5" customHeight="1">
      <c r="A39" s="22" t="s">
        <v>112</v>
      </c>
      <c r="B39" s="23">
        <v>9500</v>
      </c>
      <c r="C39" s="23">
        <v>9500</v>
      </c>
      <c r="D39" s="23">
        <v>9500</v>
      </c>
      <c r="E39" s="23">
        <v>9500</v>
      </c>
      <c r="F39" s="23">
        <v>9500</v>
      </c>
      <c r="G39" s="23">
        <v>9500</v>
      </c>
      <c r="H39" s="23">
        <v>9000</v>
      </c>
      <c r="I39" s="23">
        <v>9000</v>
      </c>
      <c r="J39" s="23">
        <v>8800</v>
      </c>
      <c r="K39" s="23">
        <v>8600</v>
      </c>
    </row>
    <row r="40" spans="1:11" ht="13.5" customHeight="1">
      <c r="A40" s="20" t="s">
        <v>113</v>
      </c>
      <c r="B40" s="21">
        <v>16199</v>
      </c>
      <c r="C40" s="21">
        <v>13567</v>
      </c>
      <c r="D40" s="21">
        <v>12105</v>
      </c>
      <c r="E40" s="21">
        <v>12495</v>
      </c>
      <c r="F40" s="21">
        <v>8004</v>
      </c>
      <c r="G40" s="21">
        <v>12693</v>
      </c>
      <c r="H40" s="21">
        <v>11761</v>
      </c>
      <c r="I40" s="21">
        <v>10581</v>
      </c>
      <c r="J40" s="21">
        <v>9729</v>
      </c>
      <c r="K40" s="21">
        <v>8940</v>
      </c>
    </row>
    <row r="41" spans="1:11" ht="13.5" customHeight="1">
      <c r="A41" s="22" t="s">
        <v>114</v>
      </c>
      <c r="B41" s="24">
        <v>-1234</v>
      </c>
      <c r="C41" s="24">
        <v>-1123</v>
      </c>
      <c r="D41" s="24">
        <v>-987</v>
      </c>
      <c r="E41" s="24">
        <v>-876</v>
      </c>
      <c r="F41" s="24">
        <v>-1045</v>
      </c>
      <c r="G41" s="24">
        <v>-789</v>
      </c>
      <c r="H41" s="24">
        <v>-712</v>
      </c>
      <c r="I41" s="24">
        <v>-654</v>
      </c>
      <c r="J41" s="24">
        <v>-612</v>
      </c>
      <c r="K41" s="24">
        <v>-578</v>
      </c>
    </row>
    <row r="42" spans="1:11" ht="13.5" customHeight="1">
      <c r="A42" s="20" t="s">
        <v>115</v>
      </c>
      <c r="B42" s="21">
        <v>456</v>
      </c>
      <c r="C42" s="21">
        <v>423</v>
      </c>
      <c r="D42" s="21">
        <v>389</v>
      </c>
      <c r="E42" s="21">
        <v>356</v>
      </c>
      <c r="F42" s="21">
        <v>312</v>
      </c>
      <c r="G42" s="21">
        <v>367</v>
      </c>
      <c r="H42" s="21">
        <v>342</v>
      </c>
      <c r="I42" s="21">
        <v>312</v>
      </c>
      <c r="J42" s="21">
        <v>289</v>
      </c>
      <c r="K42" s="21">
        <v>267</v>
      </c>
    </row>
    <row r="43" spans="1:11" ht="13.5" customHeight="1">
      <c r="A43" s="18" t="s">
        <v>116</v>
      </c>
      <c r="B43" s="19">
        <f t="shared" ref="B43:K43" si="6">B38+B39+B40+B41+B42</f>
        <v>25171</v>
      </c>
      <c r="C43" s="19">
        <f t="shared" si="6"/>
        <v>22617</v>
      </c>
      <c r="D43" s="19">
        <f t="shared" si="6"/>
        <v>21257</v>
      </c>
      <c r="E43" s="19">
        <f t="shared" si="6"/>
        <v>21725</v>
      </c>
      <c r="F43" s="19">
        <f t="shared" si="6"/>
        <v>17021</v>
      </c>
      <c r="G43" s="19">
        <f t="shared" si="6"/>
        <v>22021</v>
      </c>
      <c r="H43" s="19">
        <f t="shared" si="6"/>
        <v>20641</v>
      </c>
      <c r="I43" s="19">
        <f t="shared" si="6"/>
        <v>19489</v>
      </c>
      <c r="J43" s="19">
        <f t="shared" si="6"/>
        <v>18456</v>
      </c>
      <c r="K43" s="19">
        <f t="shared" si="6"/>
        <v>17479</v>
      </c>
    </row>
    <row r="44" spans="1:11" ht="13.5" customHeight="1">
      <c r="A44" s="16" t="s">
        <v>117</v>
      </c>
      <c r="B44" s="17">
        <f t="shared" ref="B44:K44" si="7">B36+B43</f>
        <v>53906</v>
      </c>
      <c r="C44" s="17">
        <f t="shared" si="7"/>
        <v>50966</v>
      </c>
      <c r="D44" s="17">
        <f t="shared" si="7"/>
        <v>48700</v>
      </c>
      <c r="E44" s="17">
        <f t="shared" si="7"/>
        <v>46593</v>
      </c>
      <c r="F44" s="17">
        <f t="shared" si="7"/>
        <v>43844</v>
      </c>
      <c r="G44" s="17">
        <f t="shared" si="7"/>
        <v>45844</v>
      </c>
      <c r="H44" s="17">
        <f t="shared" si="7"/>
        <v>43029</v>
      </c>
      <c r="I44" s="17">
        <f t="shared" si="7"/>
        <v>40399</v>
      </c>
      <c r="J44" s="17">
        <f t="shared" si="7"/>
        <v>38028</v>
      </c>
      <c r="K44" s="17">
        <f t="shared" si="7"/>
        <v>35915</v>
      </c>
    </row>
    <row r="45" spans="1:11" ht="13.5" customHeight="1">
      <c r="A45" s="31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31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4">
      <c r="A1" s="6" t="s">
        <v>2</v>
      </c>
      <c r="B1" s="6" t="s">
        <v>0</v>
      </c>
    </row>
    <row r="2" spans="1:4">
      <c r="A2" s="3" t="s">
        <v>125</v>
      </c>
      <c r="B2" s="8"/>
    </row>
    <row r="3" spans="1:4">
      <c r="A3" s="3" t="s">
        <v>126</v>
      </c>
      <c r="B3" s="8"/>
    </row>
    <row r="4" spans="1:4">
      <c r="A4" s="3" t="s">
        <v>127</v>
      </c>
      <c r="B4" s="8"/>
    </row>
    <row r="5" spans="1:4">
      <c r="A5" s="3" t="s">
        <v>128</v>
      </c>
      <c r="B5" s="8"/>
    </row>
    <row r="6" spans="1:4">
      <c r="A6" s="3" t="s">
        <v>129</v>
      </c>
      <c r="B6" s="8"/>
    </row>
    <row r="7" spans="1:4">
      <c r="A7" s="3" t="s">
        <v>130</v>
      </c>
      <c r="B7" s="8"/>
    </row>
    <row r="8" spans="1:4">
      <c r="A8" s="3" t="s">
        <v>131</v>
      </c>
      <c r="B8" s="8"/>
      <c r="C8" s="7" t="s">
        <v>8</v>
      </c>
    </row>
    <row r="9" spans="1:4">
      <c r="A9" s="3" t="s">
        <v>132</v>
      </c>
      <c r="B9" s="8"/>
    </row>
    <row r="10" spans="1:4">
      <c r="A10" s="3" t="s">
        <v>133</v>
      </c>
      <c r="B10" s="8"/>
    </row>
    <row r="11" spans="1:4">
      <c r="A11" s="3" t="s">
        <v>134</v>
      </c>
      <c r="B11" s="8"/>
    </row>
    <row r="12" spans="1:4">
      <c r="A12" s="3" t="s">
        <v>135</v>
      </c>
      <c r="B12" s="8"/>
      <c r="D12" s="7" t="s">
        <v>8</v>
      </c>
    </row>
    <row r="13" spans="1:4">
      <c r="A13" s="3" t="s">
        <v>136</v>
      </c>
      <c r="B13" s="8"/>
    </row>
    <row r="14" spans="1:4">
      <c r="A14" s="3" t="s">
        <v>137</v>
      </c>
      <c r="B14" s="8"/>
    </row>
    <row r="15" spans="1:4">
      <c r="A15" s="3" t="s">
        <v>138</v>
      </c>
      <c r="B15" s="8"/>
    </row>
    <row r="16" spans="1:4">
      <c r="A16" s="3" t="s">
        <v>139</v>
      </c>
      <c r="B16" s="8"/>
    </row>
    <row r="17" spans="1:2">
      <c r="A17" s="3" t="s">
        <v>140</v>
      </c>
      <c r="B17" s="8"/>
    </row>
    <row r="18" spans="1:2">
      <c r="A18" s="3" t="s">
        <v>141</v>
      </c>
      <c r="B18" s="8"/>
    </row>
    <row r="19" spans="1:2">
      <c r="A19" s="3" t="s">
        <v>142</v>
      </c>
      <c r="B19" s="8"/>
    </row>
    <row r="20" spans="1:2">
      <c r="A20" s="3" t="s">
        <v>143</v>
      </c>
      <c r="B20" s="8"/>
    </row>
    <row r="21" spans="1:2">
      <c r="A21" s="3" t="s">
        <v>144</v>
      </c>
      <c r="B21" s="8"/>
    </row>
    <row r="22" spans="1:2">
      <c r="A22" s="3" t="s">
        <v>145</v>
      </c>
      <c r="B22" s="8"/>
    </row>
    <row r="23" spans="1:2">
      <c r="A23" s="3" t="s">
        <v>146</v>
      </c>
      <c r="B23" s="8"/>
    </row>
    <row r="24" spans="1:2">
      <c r="A24" s="3" t="s">
        <v>147</v>
      </c>
      <c r="B24" s="8"/>
    </row>
    <row r="25" spans="1:2">
      <c r="A25" s="3" t="s">
        <v>148</v>
      </c>
      <c r="B25" s="8"/>
    </row>
    <row r="26" spans="1:2">
      <c r="A26" s="3" t="s">
        <v>153</v>
      </c>
      <c r="B26" s="8"/>
    </row>
    <row r="27" spans="1:2">
      <c r="A27" s="3" t="s">
        <v>149</v>
      </c>
      <c r="B27" s="8"/>
    </row>
    <row r="28" spans="1:2">
      <c r="A28" s="7" t="s">
        <v>150</v>
      </c>
      <c r="B28" s="8"/>
    </row>
    <row r="29" spans="1:2">
      <c r="A29" s="7" t="s">
        <v>151</v>
      </c>
      <c r="B29" s="8"/>
    </row>
    <row r="30" spans="1:2">
      <c r="A30" s="7" t="s">
        <v>152</v>
      </c>
      <c r="B30" s="8"/>
    </row>
    <row r="31" spans="1:2">
      <c r="A31" s="7" t="s">
        <v>154</v>
      </c>
      <c r="B3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MPHG IS</vt:lpstr>
      <vt:lpstr>MPHG BS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2026-04-06T23:16:28Z</dcterms:modified>
</cp:coreProperties>
</file>