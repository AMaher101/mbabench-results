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julia\Downloads\BizBench New Models\Retirement _ Savings Calculators\SpendingPlan\starting_files\"/>
    </mc:Choice>
  </mc:AlternateContent>
  <xr:revisionPtr revIDLastSave="0" documentId="13_ncr:1_{111AA2FE-54FD-45E8-B956-9001A644F90E}" xr6:coauthVersionLast="47" xr6:coauthVersionMax="47" xr10:uidLastSave="{00000000-0000-0000-0000-000000000000}"/>
  <bookViews>
    <workbookView xWindow="-108" yWindow="-108" windowWidth="23256" windowHeight="12456" tabRatio="709" xr2:uid="{9D050BFD-007E-4C38-9D7B-ED1AFA0D54D5}"/>
  </bookViews>
  <sheets>
    <sheet name="Instructions" sheetId="10" r:id="rId1"/>
    <sheet name="Assumptions" sheetId="9" r:id="rId2"/>
    <sheet name="Assumptions - Scenarios" sheetId="14" r:id="rId3"/>
    <sheet name="Questions Task 1" sheetId="11" r:id="rId4"/>
    <sheet name="Questions Task 2" sheetId="17" r:id="rId5"/>
  </sheets>
  <definedNames>
    <definedName name="_AtRisk_SimSetting_AutomaticResultsDisplayMode" hidden="1">2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GoalSeekTargetValue" hidden="1">0</definedName>
    <definedName name="_AtRisk_SimSetting_LiveUpdate" hidden="1">TRUE</definedName>
    <definedName name="_AtRisk_SimSetting_MacroMode" hidden="1">0</definedName>
    <definedName name="_AtRisk_SimSetting_MacroRecalculationBehavior" hidden="1">0</definedName>
    <definedName name="_AtRisk_SimSetting_MaxAutoIterations" hidden="1">50000</definedName>
    <definedName name="_AtRisk_SimSetting_MultipleCPUCount" hidden="1">2</definedName>
    <definedName name="_AtRisk_SimSetting_MultipleCPUManualCount" hidden="1">2</definedName>
    <definedName name="_AtRisk_SimSetting_MultipleCPUMode" hidden="1">2</definedName>
    <definedName name="_AtRisk_SimSetting_MultipleCPUModeV8" hidden="1">2</definedName>
    <definedName name="_AtRisk_SimSetting_RandomNumberGenerator" hidden="1">0</definedName>
    <definedName name="_AtRisk_SimSetting_ShowSimulationProgressWindow" hidden="1">TRUE</definedName>
    <definedName name="_AtRisk_SimSetting_SimName001" hidden="1">"Scen 1(Base=123.42, S0=126.12, V=31.97%)"</definedName>
    <definedName name="_AtRisk_SimSetting_SimName002" hidden="1">"Scen 2(Base=123.42, S0=130, V=31.97%)"</definedName>
    <definedName name="_AtRisk_SimSetting_SimName003" hidden="1">"Scen 3(Base=123.42, S0=132, V=31.97%)"</definedName>
    <definedName name="_AtRisk_SimSetting_SimName004" hidden="1">"Scen 4(Base=1, S0=1, V=31.97%)"</definedName>
    <definedName name="_AtRisk_SimSetting_SimNameCount" hidden="1">4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1</definedName>
    <definedName name="_AtRisk_SimSetting_StdRecalcWithoutRiskStatic" hidden="1">0</definedName>
    <definedName name="_AtRisk_SimSetting_StdRecalcWithoutRiskStaticPercentile" hidden="1">0.5</definedName>
    <definedName name="IQ_DNTM" hidden="1">700000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LATESTK" hidden="1">1000</definedName>
    <definedName name="IQ_LATESTQ" hidden="1">500</definedName>
    <definedName name="IQ_LTMMONTH" hidden="1">120000</definedName>
    <definedName name="IQ_MTD" hidden="1">800000</definedName>
    <definedName name="IQ_NAMES_REVISION_DATE_" hidden="1">44091.7196296296</definedName>
    <definedName name="IQ_QTD" hidden="1">750000</definedName>
    <definedName name="IQ_TODAY" hidden="1">0</definedName>
    <definedName name="IQ_YTDMONTH" hidden="1">130000</definedName>
    <definedName name="IQB_BOOKMARK_COUNT" hidden="1">0</definedName>
    <definedName name="Pal_Workbook_GUID" hidden="1">"KHB4MCAJCJC3RUEFU5N2FB3U"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8</definedName>
    <definedName name="RiskMinimizeOnStart" hidden="1">FALSE</definedName>
    <definedName name="RiskMonitorConvergence" hidden="1">FALSE</definedName>
    <definedName name="RiskMultipleCPUSupportEnabled" hidden="1">FALSE</definedName>
    <definedName name="RiskNumIterations" hidden="1">100000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2</definedName>
    <definedName name="RiskUpdateDisplay" hidden="1">FALSE</definedName>
    <definedName name="RiskUseDifferentSeedForEachSim" hidden="1">FALSE</definedName>
    <definedName name="RiskUseFixedSeed" hidden="1">TRUE</definedName>
    <definedName name="RiskUseMultipleCPUs" hidden="1">FALSE</definedName>
    <definedName name="solver_eng" localSheetId="0" hidden="1">1</definedName>
    <definedName name="solver_neg" localSheetId="0" hidden="1">1</definedName>
    <definedName name="solver_num" localSheetId="0" hidden="1">0</definedName>
    <definedName name="solver_opt" localSheetId="0" hidden="1">Instructions!#REF!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" i="17" l="1"/>
  <c r="C14" i="17" s="1"/>
  <c r="C15" i="17" s="1"/>
  <c r="C16" i="17" s="1"/>
  <c r="C17" i="17" s="1"/>
  <c r="C18" i="17" s="1"/>
  <c r="C19" i="17" s="1"/>
  <c r="C20" i="17" s="1"/>
  <c r="C21" i="17" s="1"/>
  <c r="C22" i="17" s="1"/>
  <c r="C23" i="17" s="1"/>
  <c r="C24" i="17" s="1"/>
  <c r="C25" i="17" s="1"/>
  <c r="C26" i="17" s="1"/>
  <c r="C6" i="17"/>
  <c r="C7" i="17" s="1"/>
  <c r="A1" i="14"/>
  <c r="C8" i="17" l="1"/>
  <c r="C9" i="17" l="1"/>
  <c r="C10" i="17" l="1"/>
  <c r="A1" i="9" l="1"/>
</calcChain>
</file>

<file path=xl/sharedStrings.xml><?xml version="1.0" encoding="utf-8"?>
<sst xmlns="http://schemas.openxmlformats.org/spreadsheetml/2006/main" count="206" uniqueCount="143">
  <si>
    <t>[years]</t>
  </si>
  <si>
    <t>End Sheet</t>
  </si>
  <si>
    <t>Assumptions sheet may be also in the text on the Instructions tab - please use the assumptions on this sheet for your model</t>
  </si>
  <si>
    <t>Questions (please round your answers to two decimal places)</t>
  </si>
  <si>
    <t>Answers</t>
  </si>
  <si>
    <t>Unit</t>
  </si>
  <si>
    <t>[% p.a.]</t>
  </si>
  <si>
    <t>Wealth Management Task</t>
  </si>
  <si>
    <t>Retirement / Savings Calculators - Spending Plan</t>
  </si>
  <si>
    <t>Model information</t>
  </si>
  <si>
    <t>Start date</t>
  </si>
  <si>
    <t>Age at start date</t>
  </si>
  <si>
    <t>Salary information</t>
  </si>
  <si>
    <t>Retirement age</t>
  </si>
  <si>
    <t>Maximum age</t>
  </si>
  <si>
    <t>Initial salary</t>
  </si>
  <si>
    <r>
      <t>[</t>
    </r>
    <r>
      <rPr>
        <sz val="10"/>
        <color rgb="FF0000FF"/>
        <rFont val="Aptos Narrow"/>
        <family val="2"/>
      </rPr>
      <t>€</t>
    </r>
    <r>
      <rPr>
        <sz val="10"/>
        <color rgb="FF0000FF"/>
        <rFont val="Aptos Narrow"/>
        <family val="2"/>
        <scheme val="minor"/>
      </rPr>
      <t>]</t>
    </r>
  </si>
  <si>
    <t>[€]</t>
  </si>
  <si>
    <t>Annual regular salary increase</t>
  </si>
  <si>
    <t>Promotion salary increase</t>
  </si>
  <si>
    <t>[%]</t>
  </si>
  <si>
    <t>Promotion every:</t>
  </si>
  <si>
    <t>Income Range (€)</t>
  </si>
  <si>
    <t>Tax Rate</t>
  </si>
  <si>
    <t>0 – 11,600</t>
  </si>
  <si>
    <t>11,600.01 – 17,000</t>
  </si>
  <si>
    <t>17,000.01 – 25,000</t>
  </si>
  <si>
    <t>25,000.01 – 40,000</t>
  </si>
  <si>
    <t>40,000.01 – 60,000</t>
  </si>
  <si>
    <t>60,000.01 – 80,000</t>
  </si>
  <si>
    <t>80,000.01 – 277,000</t>
  </si>
  <si>
    <t>277,000.01 and above</t>
  </si>
  <si>
    <t>Income Tax</t>
  </si>
  <si>
    <t>Category</t>
  </si>
  <si>
    <t>Monthly spend (starting from first workday on)</t>
  </si>
  <si>
    <t>Annual Inflation</t>
  </si>
  <si>
    <t>Housing / rent</t>
  </si>
  <si>
    <t>Groceries</t>
  </si>
  <si>
    <t>Transport</t>
  </si>
  <si>
    <t>Utilities &amp; energy</t>
  </si>
  <si>
    <t>Dining out</t>
  </si>
  <si>
    <t>Healthcare</t>
  </si>
  <si>
    <t>Entertainment</t>
  </si>
  <si>
    <t>Clothing</t>
  </si>
  <si>
    <t>Education</t>
  </si>
  <si>
    <t>Telecom &amp; subscriptions</t>
  </si>
  <si>
    <t>Holidays &amp; travel</t>
  </si>
  <si>
    <t>Bracket increase by year</t>
  </si>
  <si>
    <t>Debt</t>
  </si>
  <si>
    <t>Credit Card - Opening Balance</t>
  </si>
  <si>
    <t>Credit Card - Interest rate</t>
  </si>
  <si>
    <t>Student Loan - Opening Balance</t>
  </si>
  <si>
    <t>Student Loan - Interest rate</t>
  </si>
  <si>
    <t>Investments</t>
  </si>
  <si>
    <t>Cash on Hand (model start)</t>
  </si>
  <si>
    <t>Investment interest (before retirement)</t>
  </si>
  <si>
    <t>Investment interest (after retirement)</t>
  </si>
  <si>
    <t>He has to pay tax on the salary.</t>
  </si>
  <si>
    <t>The person has to repay his credit card debt as well as the student loan.</t>
  </si>
  <si>
    <t xml:space="preserve">Funds available after all payments are made are invested. </t>
  </si>
  <si>
    <t>Build an annual financial life plan (model) based on the instructions and the assumptions given.</t>
  </si>
  <si>
    <t>You are given assumptions about a person - you have to build their annual financial life plan.</t>
  </si>
  <si>
    <t>The persons spending amount is given in categories at the start - the spending is increasing by annual inflation and by the person spending more due to salary increases (lifestyle inflation) (product of both effects).</t>
  </si>
  <si>
    <t>The cash on hand should grow in line with the salary and is not used to repay debt or make other payments (just liquidity).</t>
  </si>
  <si>
    <t>Spending increase when gross salary +1%</t>
  </si>
  <si>
    <t>Rates are constant</t>
  </si>
  <si>
    <t>Assume that all payments are made/received at the end of a year (ie. % are calculated on the opening balances)/ all changes take place at the end of the year.</t>
  </si>
  <si>
    <t>In retirement the person is using his savings for covering expenses (only expenses are withdrawn), lifestyle inflation (only) does not apply anymore.</t>
  </si>
  <si>
    <t>Salary and expense data given are for the first model year and do not have to be inflated.</t>
  </si>
  <si>
    <t>In case of insufficient funds (insufficient to cover expenses or grow cash on hand), the credit card is used.</t>
  </si>
  <si>
    <t>Investments are tax free.</t>
  </si>
  <si>
    <t>Total spending: PY spending * (1+Inflation)*(1+(Spending increase when gross salary +1% * % gross salary increase))</t>
  </si>
  <si>
    <t>Expenses (monthly)</t>
  </si>
  <si>
    <t>Months per year</t>
  </si>
  <si>
    <t>The remaining amount is used to repay debt in order of their decreasing interest.</t>
  </si>
  <si>
    <t>There is no other information to factor in (eg. no other assets regarding net worth).</t>
  </si>
  <si>
    <t>If that's not enough, the person will use credit card debt, to cover expenses (even if this would lead to a debt spiral).</t>
  </si>
  <si>
    <t>What will the YE amount for Cash on hand be in the year 2031?</t>
  </si>
  <si>
    <t>What will the YE amount for Cash on hand be in the year 2059?</t>
  </si>
  <si>
    <t>What will the YE amount for Cash on hand be in the year 2077?</t>
  </si>
  <si>
    <t>What will the YE amount for Investments be in the year 2049?</t>
  </si>
  <si>
    <t>What will the YE amount for Investments be in the year 2052?</t>
  </si>
  <si>
    <t>What will the YE amount for Investments be in the year 2066?</t>
  </si>
  <si>
    <t>What will the YE amount for Investments be in the year 2086?</t>
  </si>
  <si>
    <t>What will the YE amount for Investments be in the year 2098?</t>
  </si>
  <si>
    <t>What will the YE amount for Net worth be in the year 2035?</t>
  </si>
  <si>
    <t>What will the YE amount for Net worth be in the year 2037?</t>
  </si>
  <si>
    <t>What will the YE amount for Net worth be in the year 2044?</t>
  </si>
  <si>
    <t>What will the YE amount for Net worth be in the year 2045?</t>
  </si>
  <si>
    <t>What will the YE amount for Net worth be in the year 2066?</t>
  </si>
  <si>
    <t>What will the YE amount for Net worth be in the year 2090?</t>
  </si>
  <si>
    <t>What will the YE amount for Net worth be in the year 2096?</t>
  </si>
  <si>
    <t>What will the YE amount for Net worth be in the year 2099?</t>
  </si>
  <si>
    <t>What will the YE amount for Salary after taxes be in the year 2028?</t>
  </si>
  <si>
    <t>What will the YE amount for Salary after taxes be in the year 2035?</t>
  </si>
  <si>
    <t>What will the YE amount for Salary after taxes be in the year 2040?</t>
  </si>
  <si>
    <t>What will the YE amount for Salary after taxes be in the year 2067?</t>
  </si>
  <si>
    <t>What will the YE amount for Salary after taxes be in the year 2097?</t>
  </si>
  <si>
    <t>What will the YE amount for Salary be in the year 2047?</t>
  </si>
  <si>
    <t>What will the YE amount for Salary be in the year 2051?</t>
  </si>
  <si>
    <t>What will the YE amount for Salary be in the year 2052?</t>
  </si>
  <si>
    <t>What will the YE amount for Salary be in the year 2066?</t>
  </si>
  <si>
    <t>What will the YE amount for Salary be in the year 2093?</t>
  </si>
  <si>
    <t>What will the YE amount for Total Expenses be in the year 2035?</t>
  </si>
  <si>
    <t>What will the YE amount for Total Expenses be in the year 2072?</t>
  </si>
  <si>
    <t>What will the YE amount for Investments be in the year 2026?</t>
  </si>
  <si>
    <t>What will the YE amount for Total Expenses be in the year 2028?</t>
  </si>
  <si>
    <t>This assumptions are only for the scenario analysis.</t>
  </si>
  <si>
    <t>Task 1:</t>
  </si>
  <si>
    <t>Task 2:</t>
  </si>
  <si>
    <t>Answer the questions (Questions Task 1) with the results from your model.</t>
  </si>
  <si>
    <t>Use the sheet Assumptions - Scenarios to swap out the selected assumptions given on the Assumptions sheet against the scenarios.</t>
  </si>
  <si>
    <t>Build an seperate annual financial life plan (model) based on the instructions and the assumptions, that is able to calculate all scenarios.</t>
  </si>
  <si>
    <t>Answer the questions (Questions Task 2) with the results from your model.</t>
  </si>
  <si>
    <t>All assumption on the sheet Assumptions - Scenarios are to be viewed in combination - there are therefore 7,500 different scenarios.</t>
  </si>
  <si>
    <t>Number for reference</t>
  </si>
  <si>
    <t>Questions</t>
  </si>
  <si>
    <t>Of the 7,500 scenarios, how many have a final net worth (age 100) less than -1,000,000,000 €.</t>
  </si>
  <si>
    <t>Of the 7,500 scenarios, how many have a final net worth (age 100) less than -800,000,000 €.</t>
  </si>
  <si>
    <t>Of the 7,500 scenarios, how many have a final net worth (age 100) less than -600,000,000 €.</t>
  </si>
  <si>
    <t>Of the 7,500 scenarios, how many have a final net worth (age 100) less than -400,000,000 €.</t>
  </si>
  <si>
    <t>Of the 7,500 scenarios, how many have a final net worth (age 100) less than -200,000,000 €.</t>
  </si>
  <si>
    <t>Of the 7,500 scenarios, how many have a final net worth (age 100) less than 0 €.</t>
  </si>
  <si>
    <t>Of the 7,500 scenarios, how many have a final net worth (age 100) more than 0 €.</t>
  </si>
  <si>
    <t>Of the 7,500 scenarios, how many have a final net worth (age 100) more than 100,000 €.</t>
  </si>
  <si>
    <t>Of the 7,500 scenarios, how many have a final net worth (age 100) more than 200,000 €.</t>
  </si>
  <si>
    <t>Of the 7,500 scenarios, how many have a final net worth (age 100) more than 400,000 €.</t>
  </si>
  <si>
    <t>Of the 7,500 scenarios, how many have a final net worth (age 100) more than 800,000 €.</t>
  </si>
  <si>
    <t>Of the 7,500 scenarios, how many have a final net worth (age 100) more than 1,600,000 €.</t>
  </si>
  <si>
    <t>Of the 7,500 scenarios, how many have a final net worth (age 100) more than 3,200,000 €.</t>
  </si>
  <si>
    <t>Of the 7,500 scenarios, how many have a final net worth (age 100) more than 6,400,000 €.</t>
  </si>
  <si>
    <t>Of the 7,500 scenarios, how many have a final net worth (age 100) more than 12,800,000 €.</t>
  </si>
  <si>
    <t>Of the 7,500 scenarios, how many have a final net worth (age 100) more than 25,600,000 €.</t>
  </si>
  <si>
    <t>Of the 7,500 scenarios, how many have a final net worth (age 100) more than 51,200,000 €.</t>
  </si>
  <si>
    <t>Of the 7,500 scenarios, how many have a final net worth (age 100) more than 102,400,000 €.</t>
  </si>
  <si>
    <t>Of the 7,500 scenarios, how many have a final net worth (age 100) more than 204,800,000 €.</t>
  </si>
  <si>
    <t>Of the 7,500 scenarios, how many have a final net worth (age 100) more than 409,600,000 €.</t>
  </si>
  <si>
    <t>Of the 7,500 scenarios, how many have a final net worth (age 100) more than 819,200,000 €.</t>
  </si>
  <si>
    <t>Of the 7,500 scenarios, how many have a final net worth (age 100) more than 1,638,400,000 €.</t>
  </si>
  <si>
    <t>Of the 7,500 scenarios, how many have a final net worth (age 100) less than -4,000,000,000 €.</t>
  </si>
  <si>
    <t>Of the 7,500 scenarios, how many have a final net worth (age 100) less than -3,000,000,000 €.</t>
  </si>
  <si>
    <t>Of the 7,500 scenarios, how many have a final net worth (age 100) less than -2,000,000,000 €.</t>
  </si>
  <si>
    <r>
      <t xml:space="preserve">The person is working from 25 until 67 (excluding) in a job where he either gets the annual salary increase </t>
    </r>
    <r>
      <rPr>
        <u/>
        <sz val="12"/>
        <color theme="1"/>
        <rFont val="Aptos"/>
        <family val="2"/>
      </rPr>
      <t>or</t>
    </r>
    <r>
      <rPr>
        <sz val="12"/>
        <color theme="1"/>
        <rFont val="Aptos"/>
        <family val="2"/>
      </rPr>
      <t xml:space="preserve"> is promoted (at YE) with a one-time (higher) salary increase (no regular annual increase in that year).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</si>
</sst>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_);\(#,##0\);\-"/>
    <numFmt numFmtId="165" formatCode="#,##0.00_);\(#,##0.00\);\-"/>
  </numFmts>
  <fonts count="2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0"/>
      <color rgb="FF0000FF"/>
      <name val="Aptos Narrow"/>
      <family val="2"/>
      <scheme val="minor"/>
    </font>
    <font>
      <sz val="11"/>
      <color rgb="FF0000FF"/>
      <name val="Aptos Narrow"/>
      <family val="2"/>
      <scheme val="minor"/>
    </font>
    <font>
      <b/>
      <sz val="10"/>
      <color theme="1"/>
      <name val="Arial"/>
      <family val="2"/>
    </font>
    <font>
      <b/>
      <sz val="10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color rgb="FF0000FF"/>
      <name val="Arial"/>
      <family val="2"/>
    </font>
    <font>
      <sz val="8"/>
      <name val="Aptos Narrow"/>
      <family val="2"/>
      <scheme val="minor"/>
    </font>
    <font>
      <sz val="11"/>
      <color theme="1"/>
      <name val="Roboto"/>
    </font>
    <font>
      <sz val="11"/>
      <name val="Roboto"/>
    </font>
    <font>
      <b/>
      <sz val="48"/>
      <color theme="0"/>
      <name val="ROBOTECH GP"/>
      <family val="2"/>
    </font>
    <font>
      <b/>
      <sz val="24"/>
      <color theme="0"/>
      <name val="ROBOTECH GP"/>
      <family val="2"/>
    </font>
    <font>
      <sz val="12"/>
      <color theme="1"/>
      <name val="Aptos"/>
      <family val="2"/>
    </font>
    <font>
      <b/>
      <sz val="12"/>
      <color theme="1"/>
      <name val="Aptos Narrow"/>
      <family val="2"/>
      <scheme val="minor"/>
    </font>
    <font>
      <sz val="10"/>
      <color rgb="FF0000FF"/>
      <name val="Aptos Narrow"/>
      <family val="2"/>
    </font>
    <font>
      <u/>
      <sz val="12"/>
      <color theme="1"/>
      <name val="Aptos"/>
      <family val="2"/>
    </font>
    <font>
      <b/>
      <sz val="12"/>
      <color theme="1"/>
      <name val="Aptos"/>
      <family val="2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gradientFill>
        <stop position="0">
          <color rgb="FF007B00"/>
        </stop>
        <stop position="1">
          <color rgb="FF020024"/>
        </stop>
      </gradient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7">
    <xf numFmtId="0" fontId="0" fillId="0" borderId="0"/>
    <xf numFmtId="0" fontId="1" fillId="0" borderId="0"/>
    <xf numFmtId="0" fontId="3" fillId="0" borderId="0"/>
    <xf numFmtId="4" fontId="6" fillId="3" borderId="1">
      <alignment horizontal="left"/>
    </xf>
    <xf numFmtId="164" fontId="8" fillId="0" borderId="0" applyBorder="0"/>
    <xf numFmtId="164" fontId="9" fillId="2" borderId="2">
      <protection locked="0"/>
    </xf>
    <xf numFmtId="0" fontId="9" fillId="0" borderId="0" applyNumberFormat="0" applyFill="0" applyBorder="0">
      <alignment horizontal="right"/>
    </xf>
  </cellStyleXfs>
  <cellXfs count="33">
    <xf numFmtId="0" fontId="0" fillId="0" borderId="0" xfId="0"/>
    <xf numFmtId="0" fontId="2" fillId="0" borderId="0" xfId="0" applyFont="1"/>
    <xf numFmtId="4" fontId="5" fillId="2" borderId="2" xfId="0" applyNumberFormat="1" applyFont="1" applyFill="1" applyBorder="1"/>
    <xf numFmtId="4" fontId="7" fillId="4" borderId="1" xfId="3" applyFont="1" applyFill="1">
      <alignment horizontal="left"/>
    </xf>
    <xf numFmtId="4" fontId="2" fillId="4" borderId="1" xfId="3" applyFont="1" applyFill="1">
      <alignment horizontal="left"/>
    </xf>
    <xf numFmtId="0" fontId="4" fillId="0" borderId="0" xfId="0" applyFont="1"/>
    <xf numFmtId="14" fontId="5" fillId="2" borderId="2" xfId="0" applyNumberFormat="1" applyFont="1" applyFill="1" applyBorder="1"/>
    <xf numFmtId="0" fontId="11" fillId="0" borderId="0" xfId="1" applyFont="1"/>
    <xf numFmtId="0" fontId="12" fillId="0" borderId="0" xfId="1" applyFont="1"/>
    <xf numFmtId="0" fontId="11" fillId="0" borderId="0" xfId="1" applyFont="1" applyAlignment="1">
      <alignment horizontal="center"/>
    </xf>
    <xf numFmtId="0" fontId="12" fillId="0" borderId="0" xfId="1" applyFont="1" applyAlignment="1">
      <alignment horizontal="center"/>
    </xf>
    <xf numFmtId="0" fontId="15" fillId="0" borderId="0" xfId="0" applyFont="1" applyAlignment="1">
      <alignment vertical="center"/>
    </xf>
    <xf numFmtId="0" fontId="16" fillId="0" borderId="0" xfId="2" applyFont="1"/>
    <xf numFmtId="0" fontId="3" fillId="0" borderId="0" xfId="2"/>
    <xf numFmtId="0" fontId="11" fillId="0" borderId="0" xfId="1" applyFont="1" applyAlignment="1">
      <alignment horizontal="left"/>
    </xf>
    <xf numFmtId="165" fontId="9" fillId="0" borderId="0" xfId="6" applyNumberFormat="1" applyAlignment="1">
      <alignment horizontal="left"/>
    </xf>
    <xf numFmtId="10" fontId="5" fillId="2" borderId="2" xfId="0" applyNumberFormat="1" applyFont="1" applyFill="1" applyBorder="1"/>
    <xf numFmtId="4" fontId="11" fillId="6" borderId="2" xfId="1" quotePrefix="1" applyNumberFormat="1" applyFont="1" applyFill="1" applyBorder="1" applyAlignment="1">
      <alignment horizontal="center"/>
    </xf>
    <xf numFmtId="3" fontId="5" fillId="2" borderId="2" xfId="0" applyNumberFormat="1" applyFont="1" applyFill="1" applyBorder="1"/>
    <xf numFmtId="4" fontId="0" fillId="0" borderId="0" xfId="0" applyNumberFormat="1"/>
    <xf numFmtId="10" fontId="0" fillId="0" borderId="0" xfId="0" applyNumberFormat="1"/>
    <xf numFmtId="4" fontId="16" fillId="0" borderId="0" xfId="2" applyNumberFormat="1" applyFont="1"/>
    <xf numFmtId="3" fontId="16" fillId="0" borderId="0" xfId="2" applyNumberFormat="1" applyFont="1"/>
    <xf numFmtId="3" fontId="11" fillId="6" borderId="2" xfId="1" quotePrefix="1" applyNumberFormat="1" applyFont="1" applyFill="1" applyBorder="1" applyAlignment="1">
      <alignment horizontal="center"/>
    </xf>
    <xf numFmtId="3" fontId="3" fillId="0" borderId="0" xfId="2" applyNumberFormat="1"/>
    <xf numFmtId="4" fontId="11" fillId="0" borderId="0" xfId="1" applyNumberFormat="1" applyFont="1"/>
    <xf numFmtId="4" fontId="3" fillId="0" borderId="0" xfId="2" applyNumberFormat="1"/>
    <xf numFmtId="0" fontId="19" fillId="0" borderId="0" xfId="0" applyFont="1" applyAlignment="1">
      <alignment vertical="center"/>
    </xf>
    <xf numFmtId="0" fontId="13" fillId="5" borderId="3" xfId="2" applyFont="1" applyFill="1" applyBorder="1" applyAlignment="1">
      <alignment horizontal="center" vertical="center"/>
    </xf>
    <xf numFmtId="0" fontId="13" fillId="5" borderId="1" xfId="2" applyFont="1" applyFill="1" applyBorder="1" applyAlignment="1">
      <alignment horizontal="center" vertical="center"/>
    </xf>
    <xf numFmtId="0" fontId="13" fillId="5" borderId="4" xfId="2" applyFont="1" applyFill="1" applyBorder="1" applyAlignment="1">
      <alignment horizontal="center" vertical="center"/>
    </xf>
    <xf numFmtId="0" fontId="14" fillId="5" borderId="5" xfId="2" applyFont="1" applyFill="1" applyBorder="1" applyAlignment="1">
      <alignment horizontal="center" vertical="center"/>
    </xf>
    <xf numFmtId="0" fontId="14" fillId="5" borderId="0" xfId="2" applyFont="1" applyFill="1" applyAlignment="1">
      <alignment horizontal="center" vertical="center"/>
    </xf>
  </cellXfs>
  <cellStyles count="7">
    <cellStyle name="M Section Header" xfId="3" xr:uid="{F944F0E6-F034-49F8-8B3F-D0C9E50BA2F6}"/>
    <cellStyle name="M Units" xfId="6" xr:uid="{B591442F-CADB-4FD5-9324-DD1119747805}"/>
    <cellStyle name="M-A 0dp" xfId="5" xr:uid="{80AB76FC-3C43-4EFF-B2A6-1E81FFBC781B}"/>
    <cellStyle name="M-C 0dp Num" xfId="4" xr:uid="{C7EF620F-9501-4FBB-93FF-813E47ED464B}"/>
    <cellStyle name="Normal" xfId="0" builtinId="0"/>
    <cellStyle name="Normal 2" xfId="2" xr:uid="{037B3D13-DA10-4240-9E6B-55FD128391C9}"/>
    <cellStyle name="Normal 3" xfId="1" xr:uid="{1C87C372-71EA-4FEE-904D-475CC6E05479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05585-2C4B-4272-9AD0-C24F524B71E1}">
  <sheetPr>
    <tabColor theme="8" tint="-0.249977111117893"/>
  </sheetPr>
  <dimension ref="A1:K36"/>
  <sheetViews>
    <sheetView showGridLines="0" tabSelected="1" zoomScale="79" zoomScaleNormal="80" zoomScaleSheetLayoutView="100" workbookViewId="0">
      <selection activeCell="B7" sqref="B7"/>
    </sheetView>
  </sheetViews>
  <sheetFormatPr defaultColWidth="5.21875" defaultRowHeight="14.4"/>
  <cols>
    <col min="1" max="1" width="1.88671875" style="7" customWidth="1"/>
    <col min="2" max="2" width="32.109375" style="9" customWidth="1"/>
    <col min="3" max="3" width="17.109375" style="9" bestFit="1" customWidth="1"/>
    <col min="4" max="4" width="20.88671875" style="9" bestFit="1" customWidth="1"/>
    <col min="5" max="5" width="24.109375" style="9" customWidth="1"/>
    <col min="6" max="6" width="21.5546875" style="9" customWidth="1"/>
    <col min="7" max="7" width="26.33203125" style="9" bestFit="1" customWidth="1"/>
    <col min="8" max="8" width="40.109375" style="9" customWidth="1"/>
    <col min="9" max="9" width="23.5546875" style="10" customWidth="1"/>
    <col min="10" max="10" width="23.5546875" style="8" customWidth="1"/>
    <col min="11" max="11" width="27.77734375" style="8" customWidth="1"/>
    <col min="12" max="12" width="20.5546875" style="8" customWidth="1"/>
    <col min="13" max="376" width="11.109375" style="8" bestFit="1" customWidth="1"/>
    <col min="377" max="377" width="5.21875" style="8"/>
    <col min="378" max="383" width="9.6640625" style="8" customWidth="1"/>
    <col min="384" max="384" width="5.21875" style="8"/>
    <col min="385" max="393" width="9.6640625" style="8" customWidth="1"/>
    <col min="394" max="16384" width="5.21875" style="8"/>
  </cols>
  <sheetData>
    <row r="1" spans="2:11" ht="15" customHeight="1">
      <c r="B1" s="7"/>
      <c r="C1" s="7"/>
      <c r="D1" s="7"/>
      <c r="E1" s="7"/>
      <c r="F1" s="7"/>
      <c r="G1" s="7"/>
      <c r="H1" s="7"/>
      <c r="I1" s="7"/>
      <c r="J1" s="7"/>
      <c r="K1" s="7"/>
    </row>
    <row r="2" spans="2:11" ht="60.75" customHeight="1">
      <c r="B2" s="28" t="s">
        <v>7</v>
      </c>
      <c r="C2" s="29"/>
      <c r="D2" s="29"/>
      <c r="E2" s="29"/>
      <c r="F2" s="29"/>
      <c r="G2" s="29"/>
      <c r="H2" s="29"/>
      <c r="I2" s="29"/>
      <c r="J2" s="29"/>
      <c r="K2" s="30"/>
    </row>
    <row r="3" spans="2:11" ht="15" customHeight="1">
      <c r="B3" s="7"/>
      <c r="C3" s="7"/>
      <c r="D3" s="7"/>
      <c r="E3" s="7"/>
      <c r="F3" s="7"/>
      <c r="G3" s="7"/>
      <c r="H3" s="7"/>
      <c r="I3" s="7"/>
      <c r="J3" s="7"/>
      <c r="K3" s="7"/>
    </row>
    <row r="4" spans="2:11" ht="33.75" customHeight="1">
      <c r="B4" s="31" t="s">
        <v>8</v>
      </c>
      <c r="C4" s="32"/>
      <c r="D4" s="32"/>
      <c r="E4" s="32"/>
      <c r="F4" s="32"/>
      <c r="G4" s="32"/>
      <c r="H4" s="32"/>
      <c r="I4" s="32"/>
      <c r="J4" s="7"/>
    </row>
    <row r="5" spans="2:11" ht="15" customHeight="1">
      <c r="B5" s="7"/>
      <c r="C5" s="7"/>
      <c r="D5" s="7"/>
      <c r="E5" s="7"/>
      <c r="F5" s="7"/>
      <c r="G5" s="7"/>
      <c r="H5" s="7"/>
      <c r="I5" s="7"/>
      <c r="J5" s="7"/>
      <c r="K5" s="7"/>
    </row>
    <row r="6" spans="2:11" ht="15.6">
      <c r="B6" s="11" t="s">
        <v>61</v>
      </c>
    </row>
    <row r="7" spans="2:11" ht="15.6">
      <c r="B7" s="11" t="s">
        <v>142</v>
      </c>
    </row>
    <row r="8" spans="2:11" ht="15.6">
      <c r="B8" s="11" t="s">
        <v>57</v>
      </c>
    </row>
    <row r="9" spans="2:11" ht="15.6">
      <c r="B9" s="11" t="s">
        <v>62</v>
      </c>
    </row>
    <row r="10" spans="2:11" ht="15.6">
      <c r="B10" s="11" t="s">
        <v>71</v>
      </c>
    </row>
    <row r="11" spans="2:11" ht="15.6">
      <c r="B11" s="11" t="s">
        <v>58</v>
      </c>
    </row>
    <row r="12" spans="2:11" ht="15.6">
      <c r="B12" s="11" t="s">
        <v>63</v>
      </c>
    </row>
    <row r="13" spans="2:11" ht="15.6">
      <c r="B13" s="11" t="s">
        <v>74</v>
      </c>
    </row>
    <row r="14" spans="2:11" ht="15.6">
      <c r="B14" s="11" t="s">
        <v>59</v>
      </c>
    </row>
    <row r="15" spans="2:11" ht="15.6">
      <c r="B15" s="11" t="s">
        <v>69</v>
      </c>
    </row>
    <row r="16" spans="2:11" ht="15.6">
      <c r="B16" s="11" t="s">
        <v>66</v>
      </c>
    </row>
    <row r="17" spans="2:2" ht="15.6">
      <c r="B17" s="11" t="s">
        <v>67</v>
      </c>
    </row>
    <row r="18" spans="2:2" ht="15.6">
      <c r="B18" s="11" t="s">
        <v>76</v>
      </c>
    </row>
    <row r="19" spans="2:2" ht="15.6">
      <c r="B19" s="11" t="s">
        <v>70</v>
      </c>
    </row>
    <row r="20" spans="2:2" ht="15.6">
      <c r="B20" s="11"/>
    </row>
    <row r="21" spans="2:2" ht="15.6">
      <c r="B21" s="11" t="s">
        <v>75</v>
      </c>
    </row>
    <row r="22" spans="2:2" ht="15.6">
      <c r="B22" s="11" t="s">
        <v>68</v>
      </c>
    </row>
    <row r="23" spans="2:2" ht="15.6">
      <c r="B23" s="11"/>
    </row>
    <row r="24" spans="2:2" ht="15.6">
      <c r="B24" s="27" t="s">
        <v>108</v>
      </c>
    </row>
    <row r="25" spans="2:2" ht="15.6">
      <c r="B25" s="11" t="s">
        <v>60</v>
      </c>
    </row>
    <row r="26" spans="2:2" ht="15.6">
      <c r="B26" s="11" t="s">
        <v>110</v>
      </c>
    </row>
    <row r="27" spans="2:2" ht="15.6">
      <c r="B27" s="11"/>
    </row>
    <row r="28" spans="2:2" ht="15.6">
      <c r="B28" s="27" t="s">
        <v>109</v>
      </c>
    </row>
    <row r="29" spans="2:2" ht="15.6">
      <c r="B29" s="11" t="s">
        <v>111</v>
      </c>
    </row>
    <row r="30" spans="2:2" ht="15.6">
      <c r="B30" s="11" t="s">
        <v>114</v>
      </c>
    </row>
    <row r="31" spans="2:2" ht="15.6">
      <c r="B31" s="11" t="s">
        <v>112</v>
      </c>
    </row>
    <row r="32" spans="2:2" ht="15.6">
      <c r="B32" s="11" t="s">
        <v>113</v>
      </c>
    </row>
    <row r="33" spans="2:2" ht="15.6">
      <c r="B33" s="11"/>
    </row>
    <row r="34" spans="2:2" ht="15.6">
      <c r="B34" s="11"/>
    </row>
    <row r="35" spans="2:2" ht="15.6">
      <c r="B35" s="11"/>
    </row>
    <row r="36" spans="2:2" ht="15.6">
      <c r="B36" s="11"/>
    </row>
  </sheetData>
  <mergeCells count="2">
    <mergeCell ref="B2:K2"/>
    <mergeCell ref="B4:I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6E261-F997-467D-9A31-CC6BD1702C23}">
  <sheetPr>
    <tabColor theme="8" tint="0.39997558519241921"/>
  </sheetPr>
  <dimension ref="A1:H61"/>
  <sheetViews>
    <sheetView showGridLines="0" zoomScale="80" workbookViewId="0"/>
  </sheetViews>
  <sheetFormatPr defaultRowHeight="14.4"/>
  <cols>
    <col min="1" max="1" width="4.77734375" style="1" customWidth="1"/>
    <col min="2" max="2" width="5.33203125" style="1" customWidth="1"/>
    <col min="3" max="3" width="47.21875" bestFit="1" customWidth="1"/>
    <col min="4" max="4" width="25.109375" bestFit="1" customWidth="1"/>
    <col min="5" max="5" width="9.88671875" bestFit="1" customWidth="1"/>
    <col min="6" max="6" width="10.44140625" customWidth="1"/>
    <col min="7" max="7" width="9" customWidth="1"/>
    <col min="8" max="8" width="9.109375" bestFit="1" customWidth="1"/>
    <col min="9" max="9" width="9.21875" bestFit="1" customWidth="1"/>
    <col min="10" max="10" width="9.109375" bestFit="1" customWidth="1"/>
    <col min="11" max="24" width="10.21875" bestFit="1" customWidth="1"/>
    <col min="25" max="27" width="9.109375" bestFit="1" customWidth="1"/>
    <col min="28" max="28" width="9.77734375" bestFit="1" customWidth="1"/>
    <col min="29" max="29" width="9.109375" bestFit="1" customWidth="1"/>
    <col min="30" max="30" width="9" bestFit="1" customWidth="1"/>
    <col min="31" max="32" width="9.109375" bestFit="1" customWidth="1"/>
    <col min="33" max="35" width="9" bestFit="1" customWidth="1"/>
    <col min="36" max="36" width="9.77734375" bestFit="1" customWidth="1"/>
    <col min="37" max="40" width="9.109375" bestFit="1" customWidth="1"/>
    <col min="41" max="42" width="9" bestFit="1" customWidth="1"/>
    <col min="43" max="45" width="9.109375" bestFit="1" customWidth="1"/>
    <col min="46" max="46" width="9" bestFit="1" customWidth="1"/>
    <col min="47" max="55" width="9.109375" bestFit="1" customWidth="1"/>
    <col min="56" max="56" width="9.77734375" bestFit="1" customWidth="1"/>
    <col min="57" max="58" width="9.109375" bestFit="1" customWidth="1"/>
    <col min="59" max="60" width="9" bestFit="1" customWidth="1"/>
    <col min="61" max="63" width="9.109375" bestFit="1" customWidth="1"/>
    <col min="64" max="64" width="9.77734375" bestFit="1" customWidth="1"/>
    <col min="65" max="65" width="9.109375" bestFit="1" customWidth="1"/>
    <col min="66" max="66" width="9" bestFit="1" customWidth="1"/>
    <col min="67" max="67" width="9.109375" bestFit="1" customWidth="1"/>
    <col min="68" max="69" width="9" bestFit="1" customWidth="1"/>
    <col min="70" max="70" width="9.109375" bestFit="1" customWidth="1"/>
    <col min="71" max="71" width="9.77734375" bestFit="1" customWidth="1"/>
    <col min="72" max="72" width="9.109375" bestFit="1" customWidth="1"/>
    <col min="73" max="73" width="9" bestFit="1" customWidth="1"/>
    <col min="74" max="74" width="9.109375" bestFit="1" customWidth="1"/>
    <col min="75" max="75" width="9" bestFit="1" customWidth="1"/>
    <col min="76" max="79" width="9.109375" bestFit="1" customWidth="1"/>
    <col min="80" max="80" width="9.77734375" bestFit="1" customWidth="1"/>
    <col min="81" max="81" width="9" bestFit="1" customWidth="1"/>
    <col min="82" max="84" width="9.109375" bestFit="1" customWidth="1"/>
    <col min="85" max="85" width="9" bestFit="1" customWidth="1"/>
    <col min="86" max="87" width="9.109375" bestFit="1" customWidth="1"/>
    <col min="88" max="90" width="9" bestFit="1" customWidth="1"/>
    <col min="91" max="94" width="9.109375" bestFit="1" customWidth="1"/>
    <col min="95" max="95" width="9.77734375" bestFit="1" customWidth="1"/>
    <col min="96" max="96" width="9.109375" bestFit="1" customWidth="1"/>
    <col min="97" max="99" width="9" bestFit="1" customWidth="1"/>
    <col min="100" max="100" width="9.109375" bestFit="1" customWidth="1"/>
    <col min="101" max="101" width="9.77734375" bestFit="1" customWidth="1"/>
    <col min="102" max="106" width="9.109375" bestFit="1" customWidth="1"/>
    <col min="107" max="107" width="9" bestFit="1" customWidth="1"/>
    <col min="108" max="113" width="9.109375" bestFit="1" customWidth="1"/>
    <col min="114" max="114" width="9" bestFit="1" customWidth="1"/>
    <col min="115" max="116" width="9.109375" bestFit="1" customWidth="1"/>
    <col min="117" max="117" width="9" bestFit="1" customWidth="1"/>
    <col min="118" max="118" width="9.109375" bestFit="1" customWidth="1"/>
    <col min="119" max="119" width="9.77734375" bestFit="1" customWidth="1"/>
    <col min="120" max="123" width="9.109375" bestFit="1" customWidth="1"/>
    <col min="124" max="124" width="9.77734375" bestFit="1" customWidth="1"/>
    <col min="125" max="126" width="9.109375" bestFit="1" customWidth="1"/>
    <col min="127" max="128" width="9.77734375" bestFit="1" customWidth="1"/>
    <col min="129" max="129" width="9.109375" bestFit="1" customWidth="1"/>
    <col min="130" max="133" width="9.77734375" bestFit="1" customWidth="1"/>
    <col min="134" max="140" width="9.109375" bestFit="1" customWidth="1"/>
    <col min="141" max="141" width="9" bestFit="1" customWidth="1"/>
    <col min="142" max="142" width="9.109375" bestFit="1" customWidth="1"/>
    <col min="143" max="143" width="9" bestFit="1" customWidth="1"/>
    <col min="144" max="145" width="9.109375" bestFit="1" customWidth="1"/>
    <col min="146" max="146" width="9.77734375" bestFit="1" customWidth="1"/>
    <col min="147" max="148" width="9.109375" bestFit="1" customWidth="1"/>
    <col min="149" max="149" width="9" bestFit="1" customWidth="1"/>
    <col min="150" max="151" width="9.109375" bestFit="1" customWidth="1"/>
    <col min="152" max="153" width="9.77734375" bestFit="1" customWidth="1"/>
    <col min="154" max="156" width="9.109375" bestFit="1" customWidth="1"/>
    <col min="157" max="158" width="9" bestFit="1" customWidth="1"/>
    <col min="159" max="161" width="9.109375" bestFit="1" customWidth="1"/>
    <col min="162" max="162" width="9" bestFit="1" customWidth="1"/>
    <col min="163" max="164" width="9.77734375" bestFit="1" customWidth="1"/>
    <col min="165" max="165" width="9.109375" bestFit="1" customWidth="1"/>
    <col min="166" max="166" width="9" bestFit="1" customWidth="1"/>
    <col min="167" max="172" width="9.109375" bestFit="1" customWidth="1"/>
    <col min="173" max="173" width="9" bestFit="1" customWidth="1"/>
    <col min="174" max="178" width="9.109375" bestFit="1" customWidth="1"/>
    <col min="179" max="179" width="9" bestFit="1" customWidth="1"/>
    <col min="180" max="180" width="9.109375" bestFit="1" customWidth="1"/>
    <col min="181" max="181" width="9.77734375" bestFit="1" customWidth="1"/>
    <col min="182" max="185" width="9.109375" bestFit="1" customWidth="1"/>
    <col min="186" max="186" width="9" bestFit="1" customWidth="1"/>
    <col min="187" max="194" width="9.109375" bestFit="1" customWidth="1"/>
    <col min="195" max="195" width="9.77734375" bestFit="1" customWidth="1"/>
    <col min="196" max="200" width="9.109375" bestFit="1" customWidth="1"/>
    <col min="201" max="201" width="10.109375" bestFit="1" customWidth="1"/>
    <col min="202" max="202" width="9" bestFit="1" customWidth="1"/>
    <col min="203" max="203" width="9.77734375" bestFit="1" customWidth="1"/>
    <col min="204" max="205" width="9.109375" bestFit="1" customWidth="1"/>
    <col min="206" max="206" width="10.109375" bestFit="1" customWidth="1"/>
    <col min="207" max="208" width="9.109375" bestFit="1" customWidth="1"/>
    <col min="209" max="209" width="9.77734375" bestFit="1" customWidth="1"/>
    <col min="210" max="210" width="9.109375" bestFit="1" customWidth="1"/>
    <col min="211" max="211" width="9" bestFit="1" customWidth="1"/>
    <col min="212" max="213" width="10.109375" bestFit="1" customWidth="1"/>
    <col min="214" max="214" width="9" bestFit="1" customWidth="1"/>
    <col min="215" max="217" width="9.109375" bestFit="1" customWidth="1"/>
    <col min="218" max="218" width="10.77734375" bestFit="1" customWidth="1"/>
    <col min="219" max="219" width="9.109375" bestFit="1" customWidth="1"/>
    <col min="220" max="220" width="9" bestFit="1" customWidth="1"/>
    <col min="221" max="221" width="10.109375" bestFit="1" customWidth="1"/>
    <col min="222" max="222" width="9" bestFit="1" customWidth="1"/>
    <col min="223" max="225" width="9.109375" bestFit="1" customWidth="1"/>
    <col min="226" max="226" width="9" bestFit="1" customWidth="1"/>
    <col min="227" max="227" width="9.109375" bestFit="1" customWidth="1"/>
    <col min="228" max="228" width="9.77734375" bestFit="1" customWidth="1"/>
    <col min="229" max="230" width="9.109375" bestFit="1" customWidth="1"/>
    <col min="231" max="231" width="10.109375" bestFit="1" customWidth="1"/>
    <col min="232" max="232" width="9.109375" bestFit="1" customWidth="1"/>
    <col min="233" max="233" width="10.109375" bestFit="1" customWidth="1"/>
    <col min="234" max="235" width="9.109375" bestFit="1" customWidth="1"/>
    <col min="236" max="236" width="9.77734375" bestFit="1" customWidth="1"/>
    <col min="237" max="237" width="9.109375" bestFit="1" customWidth="1"/>
    <col min="238" max="238" width="9.77734375" bestFit="1" customWidth="1"/>
    <col min="239" max="239" width="9" bestFit="1" customWidth="1"/>
    <col min="240" max="240" width="9.77734375" bestFit="1" customWidth="1"/>
    <col min="241" max="243" width="9.109375" bestFit="1" customWidth="1"/>
    <col min="244" max="244" width="9" bestFit="1" customWidth="1"/>
  </cols>
  <sheetData>
    <row r="1" spans="1:5">
      <c r="A1" s="1" t="str">
        <f>Instructions!B2&amp;": "&amp;Instructions!B4</f>
        <v>Wealth Management Task: Retirement / Savings Calculators - Spending Plan</v>
      </c>
    </row>
    <row r="2" spans="1:5">
      <c r="A2" s="1" t="s">
        <v>2</v>
      </c>
    </row>
    <row r="4" spans="1:5" s="3" customFormat="1" ht="14.4" customHeight="1">
      <c r="B4" s="4" t="s">
        <v>9</v>
      </c>
    </row>
    <row r="6" spans="1:5">
      <c r="C6" t="s">
        <v>10</v>
      </c>
      <c r="D6" s="6">
        <v>46023</v>
      </c>
      <c r="E6" s="15"/>
    </row>
    <row r="7" spans="1:5">
      <c r="C7" t="s">
        <v>11</v>
      </c>
      <c r="D7" s="18">
        <v>25</v>
      </c>
      <c r="E7" s="15" t="s">
        <v>0</v>
      </c>
    </row>
    <row r="8" spans="1:5">
      <c r="C8" t="s">
        <v>13</v>
      </c>
      <c r="D8" s="18">
        <v>67</v>
      </c>
      <c r="E8" s="15" t="s">
        <v>0</v>
      </c>
    </row>
    <row r="9" spans="1:5">
      <c r="C9" t="s">
        <v>14</v>
      </c>
      <c r="D9" s="18">
        <v>100</v>
      </c>
      <c r="E9" s="15" t="s">
        <v>0</v>
      </c>
    </row>
    <row r="10" spans="1:5">
      <c r="C10" t="s">
        <v>73</v>
      </c>
      <c r="D10" s="18">
        <v>12</v>
      </c>
      <c r="E10" s="15"/>
    </row>
    <row r="11" spans="1:5">
      <c r="E11" s="15"/>
    </row>
    <row r="12" spans="1:5" s="3" customFormat="1" ht="14.4" customHeight="1">
      <c r="B12" s="4" t="s">
        <v>12</v>
      </c>
    </row>
    <row r="13" spans="1:5">
      <c r="E13" s="15"/>
    </row>
    <row r="14" spans="1:5">
      <c r="C14" t="s">
        <v>15</v>
      </c>
      <c r="D14" s="2">
        <v>60000</v>
      </c>
      <c r="E14" s="15" t="s">
        <v>17</v>
      </c>
    </row>
    <row r="15" spans="1:5">
      <c r="C15" t="s">
        <v>18</v>
      </c>
      <c r="D15" s="16">
        <v>0.04</v>
      </c>
      <c r="E15" s="15" t="s">
        <v>20</v>
      </c>
    </row>
    <row r="16" spans="1:5">
      <c r="C16" t="s">
        <v>19</v>
      </c>
      <c r="D16" s="16">
        <v>0.2</v>
      </c>
      <c r="E16" s="15" t="s">
        <v>20</v>
      </c>
    </row>
    <row r="17" spans="2:6">
      <c r="C17" t="s">
        <v>21</v>
      </c>
      <c r="D17" s="18">
        <v>5</v>
      </c>
      <c r="E17" s="15" t="s">
        <v>0</v>
      </c>
    </row>
    <row r="18" spans="2:6">
      <c r="E18" s="15"/>
    </row>
    <row r="19" spans="2:6" s="3" customFormat="1" ht="14.4" customHeight="1">
      <c r="B19" s="4" t="s">
        <v>32</v>
      </c>
    </row>
    <row r="20" spans="2:6">
      <c r="E20" s="15"/>
    </row>
    <row r="21" spans="2:6">
      <c r="C21" s="1" t="s">
        <v>22</v>
      </c>
      <c r="D21" s="1" t="s">
        <v>23</v>
      </c>
      <c r="E21" s="15"/>
    </row>
    <row r="22" spans="2:6">
      <c r="C22" t="s">
        <v>24</v>
      </c>
      <c r="D22" s="16">
        <v>0</v>
      </c>
      <c r="E22" s="15" t="s">
        <v>20</v>
      </c>
      <c r="F22" s="19">
        <v>0</v>
      </c>
    </row>
    <row r="23" spans="2:6">
      <c r="C23" t="s">
        <v>25</v>
      </c>
      <c r="D23" s="16">
        <v>0.15</v>
      </c>
      <c r="E23" s="15" t="s">
        <v>20</v>
      </c>
      <c r="F23" s="19">
        <v>11600.01</v>
      </c>
    </row>
    <row r="24" spans="2:6">
      <c r="C24" t="s">
        <v>26</v>
      </c>
      <c r="D24" s="16">
        <v>0.2</v>
      </c>
      <c r="E24" s="15" t="s">
        <v>20</v>
      </c>
      <c r="F24" s="19">
        <v>17000.009999999998</v>
      </c>
    </row>
    <row r="25" spans="2:6">
      <c r="C25" t="s">
        <v>27</v>
      </c>
      <c r="D25" s="16">
        <v>0.25</v>
      </c>
      <c r="E25" s="15" t="s">
        <v>20</v>
      </c>
      <c r="F25" s="19">
        <v>25000.01</v>
      </c>
    </row>
    <row r="26" spans="2:6">
      <c r="C26" t="s">
        <v>28</v>
      </c>
      <c r="D26" s="16">
        <v>0.3</v>
      </c>
      <c r="E26" s="15" t="s">
        <v>20</v>
      </c>
      <c r="F26" s="19">
        <v>40000.01</v>
      </c>
    </row>
    <row r="27" spans="2:6">
      <c r="C27" t="s">
        <v>29</v>
      </c>
      <c r="D27" s="16">
        <v>0.35</v>
      </c>
      <c r="E27" s="15" t="s">
        <v>20</v>
      </c>
      <c r="F27" s="19">
        <v>60000.01</v>
      </c>
    </row>
    <row r="28" spans="2:6">
      <c r="C28" t="s">
        <v>30</v>
      </c>
      <c r="D28" s="16">
        <v>0.42</v>
      </c>
      <c r="E28" s="15" t="s">
        <v>20</v>
      </c>
      <c r="F28" s="19">
        <v>80000.009999999995</v>
      </c>
    </row>
    <row r="29" spans="2:6">
      <c r="C29" t="s">
        <v>31</v>
      </c>
      <c r="D29" s="16">
        <v>0.45</v>
      </c>
      <c r="E29" s="15" t="s">
        <v>20</v>
      </c>
      <c r="F29" s="19">
        <v>277000.01</v>
      </c>
    </row>
    <row r="30" spans="2:6">
      <c r="E30" s="15"/>
    </row>
    <row r="31" spans="2:6">
      <c r="C31" t="s">
        <v>47</v>
      </c>
      <c r="D31" s="16">
        <v>0.02</v>
      </c>
      <c r="E31" s="15" t="s">
        <v>20</v>
      </c>
      <c r="F31" t="s">
        <v>65</v>
      </c>
    </row>
    <row r="32" spans="2:6">
      <c r="E32" s="15"/>
    </row>
    <row r="33" spans="2:8" s="3" customFormat="1" ht="14.4" customHeight="1">
      <c r="B33" s="4" t="s">
        <v>72</v>
      </c>
    </row>
    <row r="34" spans="2:8">
      <c r="E34" s="15"/>
    </row>
    <row r="35" spans="2:8">
      <c r="C35" s="1" t="s">
        <v>33</v>
      </c>
      <c r="D35" s="1" t="s">
        <v>34</v>
      </c>
      <c r="E35" s="1" t="s">
        <v>64</v>
      </c>
      <c r="F35" s="1" t="s">
        <v>35</v>
      </c>
    </row>
    <row r="36" spans="2:8">
      <c r="C36" t="s">
        <v>36</v>
      </c>
      <c r="D36" s="2">
        <v>950</v>
      </c>
      <c r="E36" s="16">
        <v>7.5000000000000002E-4</v>
      </c>
      <c r="F36" s="16">
        <v>2.0000000000000004E-2</v>
      </c>
      <c r="H36" s="20"/>
    </row>
    <row r="37" spans="2:8">
      <c r="C37" t="s">
        <v>37</v>
      </c>
      <c r="D37" s="2">
        <v>380</v>
      </c>
      <c r="E37" s="16">
        <v>1.75E-3</v>
      </c>
      <c r="F37" s="16">
        <v>3.6999999999999998E-2</v>
      </c>
    </row>
    <row r="38" spans="2:8">
      <c r="C38" t="s">
        <v>38</v>
      </c>
      <c r="D38" s="2">
        <v>260</v>
      </c>
      <c r="E38" s="16">
        <v>4.2500000000000003E-3</v>
      </c>
      <c r="F38" s="16">
        <v>2.6000000000000002E-2</v>
      </c>
    </row>
    <row r="39" spans="2:8">
      <c r="C39" t="s">
        <v>39</v>
      </c>
      <c r="D39" s="2">
        <v>195</v>
      </c>
      <c r="E39" s="16">
        <v>5.0000000000000001E-4</v>
      </c>
      <c r="F39" s="16">
        <v>5.3000000000000005E-2</v>
      </c>
    </row>
    <row r="40" spans="2:8">
      <c r="C40" t="s">
        <v>40</v>
      </c>
      <c r="D40" s="2">
        <v>150</v>
      </c>
      <c r="E40" s="16">
        <v>8.9999999999999993E-3</v>
      </c>
      <c r="F40" s="16">
        <v>3.3000000000000002E-2</v>
      </c>
    </row>
    <row r="41" spans="2:8">
      <c r="C41" t="s">
        <v>41</v>
      </c>
      <c r="D41" s="2">
        <v>130</v>
      </c>
      <c r="E41" s="16">
        <v>1E-3</v>
      </c>
      <c r="F41" s="16">
        <v>1.7000000000000001E-2</v>
      </c>
    </row>
    <row r="42" spans="2:8">
      <c r="C42" t="s">
        <v>42</v>
      </c>
      <c r="D42" s="2">
        <v>110</v>
      </c>
      <c r="E42" s="16">
        <v>7.4999999999999997E-3</v>
      </c>
      <c r="F42" s="16">
        <v>6.0000000000000019E-3</v>
      </c>
    </row>
    <row r="43" spans="2:8">
      <c r="C43" t="s">
        <v>43</v>
      </c>
      <c r="D43" s="2">
        <v>85</v>
      </c>
      <c r="E43" s="16">
        <v>6.0000000000000001E-3</v>
      </c>
      <c r="F43" s="16">
        <v>1.3000000000000001E-2</v>
      </c>
    </row>
    <row r="44" spans="2:8">
      <c r="C44" t="s">
        <v>44</v>
      </c>
      <c r="D44" s="2">
        <v>70</v>
      </c>
      <c r="E44" s="16">
        <v>5.0000000000000001E-3</v>
      </c>
      <c r="F44" s="16">
        <v>0.03</v>
      </c>
    </row>
    <row r="45" spans="2:8">
      <c r="C45" t="s">
        <v>45</v>
      </c>
      <c r="D45" s="2">
        <v>60</v>
      </c>
      <c r="E45" s="16">
        <v>2E-3</v>
      </c>
      <c r="F45" s="16">
        <v>0</v>
      </c>
    </row>
    <row r="46" spans="2:8">
      <c r="C46" t="s">
        <v>46</v>
      </c>
      <c r="D46" s="2">
        <v>130</v>
      </c>
      <c r="E46" s="16">
        <v>0.01</v>
      </c>
      <c r="F46" s="16">
        <v>2.4E-2</v>
      </c>
    </row>
    <row r="47" spans="2:8">
      <c r="E47" s="15"/>
    </row>
    <row r="48" spans="2:8" s="3" customFormat="1" ht="14.4" customHeight="1">
      <c r="B48" s="4" t="s">
        <v>48</v>
      </c>
    </row>
    <row r="49" spans="2:5">
      <c r="E49" s="15"/>
    </row>
    <row r="50" spans="2:5">
      <c r="C50" t="s">
        <v>49</v>
      </c>
      <c r="D50" s="2">
        <v>10000</v>
      </c>
      <c r="E50" s="15" t="s">
        <v>17</v>
      </c>
    </row>
    <row r="51" spans="2:5">
      <c r="C51" t="s">
        <v>50</v>
      </c>
      <c r="D51" s="16">
        <v>0.2</v>
      </c>
      <c r="E51" s="15" t="s">
        <v>6</v>
      </c>
    </row>
    <row r="52" spans="2:5">
      <c r="C52" t="s">
        <v>51</v>
      </c>
      <c r="D52" s="2">
        <v>150000</v>
      </c>
      <c r="E52" s="15" t="s">
        <v>17</v>
      </c>
    </row>
    <row r="53" spans="2:5">
      <c r="C53" t="s">
        <v>52</v>
      </c>
      <c r="D53" s="16">
        <v>0.1</v>
      </c>
      <c r="E53" s="15" t="s">
        <v>6</v>
      </c>
    </row>
    <row r="55" spans="2:5" s="3" customFormat="1" ht="14.4" customHeight="1">
      <c r="B55" s="4" t="s">
        <v>53</v>
      </c>
    </row>
    <row r="57" spans="2:5">
      <c r="C57" t="s">
        <v>54</v>
      </c>
      <c r="D57" s="2">
        <v>1000</v>
      </c>
      <c r="E57" s="15" t="s">
        <v>17</v>
      </c>
    </row>
    <row r="58" spans="2:5">
      <c r="C58" t="s">
        <v>55</v>
      </c>
      <c r="D58" s="16">
        <v>0.08</v>
      </c>
      <c r="E58" s="15" t="s">
        <v>6</v>
      </c>
    </row>
    <row r="59" spans="2:5">
      <c r="C59" t="s">
        <v>56</v>
      </c>
      <c r="D59" s="16">
        <v>0.04</v>
      </c>
      <c r="E59" s="15" t="s">
        <v>6</v>
      </c>
    </row>
    <row r="61" spans="2:5" s="3" customFormat="1" ht="14.4" customHeight="1">
      <c r="B61" s="4" t="s">
        <v>1</v>
      </c>
    </row>
  </sheetData>
  <phoneticPr fontId="10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22A35-8071-4A88-AA3F-B72E01D01443}">
  <sheetPr>
    <tabColor theme="8" tint="0.39997558519241921"/>
  </sheetPr>
  <dimension ref="A1:H15"/>
  <sheetViews>
    <sheetView showGridLines="0" zoomScale="83" workbookViewId="0"/>
  </sheetViews>
  <sheetFormatPr defaultRowHeight="14.4"/>
  <cols>
    <col min="1" max="1" width="4.77734375" style="1" customWidth="1"/>
    <col min="2" max="2" width="5.33203125" style="1" customWidth="1"/>
    <col min="3" max="7" width="9.77734375" customWidth="1"/>
    <col min="8" max="8" width="9.21875" bestFit="1" customWidth="1"/>
    <col min="9" max="9" width="9.109375" bestFit="1" customWidth="1"/>
    <col min="10" max="23" width="10.21875" bestFit="1" customWidth="1"/>
    <col min="24" max="26" width="9.109375" bestFit="1" customWidth="1"/>
    <col min="27" max="27" width="9.77734375" bestFit="1" customWidth="1"/>
    <col min="28" max="28" width="9.109375" bestFit="1" customWidth="1"/>
    <col min="29" max="29" width="9" bestFit="1" customWidth="1"/>
    <col min="30" max="31" width="9.109375" bestFit="1" customWidth="1"/>
    <col min="32" max="34" width="9" bestFit="1" customWidth="1"/>
    <col min="35" max="35" width="9.77734375" bestFit="1" customWidth="1"/>
    <col min="36" max="39" width="9.109375" bestFit="1" customWidth="1"/>
    <col min="40" max="41" width="9" bestFit="1" customWidth="1"/>
    <col min="42" max="44" width="9.109375" bestFit="1" customWidth="1"/>
    <col min="45" max="45" width="9" bestFit="1" customWidth="1"/>
    <col min="46" max="54" width="9.109375" bestFit="1" customWidth="1"/>
    <col min="55" max="55" width="9.77734375" bestFit="1" customWidth="1"/>
    <col min="56" max="57" width="9.109375" bestFit="1" customWidth="1"/>
    <col min="58" max="59" width="9" bestFit="1" customWidth="1"/>
    <col min="60" max="62" width="9.109375" bestFit="1" customWidth="1"/>
    <col min="63" max="63" width="9.77734375" bestFit="1" customWidth="1"/>
    <col min="64" max="64" width="9.109375" bestFit="1" customWidth="1"/>
    <col min="65" max="65" width="9" bestFit="1" customWidth="1"/>
    <col min="66" max="66" width="9.109375" bestFit="1" customWidth="1"/>
    <col min="67" max="68" width="9" bestFit="1" customWidth="1"/>
    <col min="69" max="69" width="9.109375" bestFit="1" customWidth="1"/>
    <col min="70" max="70" width="9.77734375" bestFit="1" customWidth="1"/>
    <col min="71" max="71" width="9.109375" bestFit="1" customWidth="1"/>
    <col min="72" max="72" width="9" bestFit="1" customWidth="1"/>
    <col min="73" max="73" width="9.109375" bestFit="1" customWidth="1"/>
    <col min="74" max="74" width="9" bestFit="1" customWidth="1"/>
    <col min="75" max="78" width="9.109375" bestFit="1" customWidth="1"/>
    <col min="79" max="79" width="9.77734375" bestFit="1" customWidth="1"/>
    <col min="80" max="80" width="9" bestFit="1" customWidth="1"/>
    <col min="81" max="83" width="9.109375" bestFit="1" customWidth="1"/>
    <col min="84" max="84" width="9" bestFit="1" customWidth="1"/>
    <col min="85" max="86" width="9.109375" bestFit="1" customWidth="1"/>
    <col min="87" max="89" width="9" bestFit="1" customWidth="1"/>
    <col min="90" max="93" width="9.109375" bestFit="1" customWidth="1"/>
    <col min="94" max="94" width="9.77734375" bestFit="1" customWidth="1"/>
    <col min="95" max="95" width="9.109375" bestFit="1" customWidth="1"/>
    <col min="96" max="98" width="9" bestFit="1" customWidth="1"/>
    <col min="99" max="99" width="9.109375" bestFit="1" customWidth="1"/>
    <col min="100" max="100" width="9.77734375" bestFit="1" customWidth="1"/>
    <col min="101" max="105" width="9.109375" bestFit="1" customWidth="1"/>
    <col min="106" max="106" width="9" bestFit="1" customWidth="1"/>
    <col min="107" max="112" width="9.109375" bestFit="1" customWidth="1"/>
    <col min="113" max="113" width="9" bestFit="1" customWidth="1"/>
    <col min="114" max="115" width="9.109375" bestFit="1" customWidth="1"/>
    <col min="116" max="116" width="9" bestFit="1" customWidth="1"/>
    <col min="117" max="117" width="9.109375" bestFit="1" customWidth="1"/>
    <col min="118" max="118" width="9.77734375" bestFit="1" customWidth="1"/>
    <col min="119" max="122" width="9.109375" bestFit="1" customWidth="1"/>
    <col min="123" max="123" width="9.77734375" bestFit="1" customWidth="1"/>
    <col min="124" max="125" width="9.109375" bestFit="1" customWidth="1"/>
    <col min="126" max="127" width="9.77734375" bestFit="1" customWidth="1"/>
    <col min="128" max="128" width="9.109375" bestFit="1" customWidth="1"/>
    <col min="129" max="132" width="9.77734375" bestFit="1" customWidth="1"/>
    <col min="133" max="139" width="9.109375" bestFit="1" customWidth="1"/>
    <col min="140" max="140" width="9" bestFit="1" customWidth="1"/>
    <col min="141" max="141" width="9.109375" bestFit="1" customWidth="1"/>
    <col min="142" max="142" width="9" bestFit="1" customWidth="1"/>
    <col min="143" max="144" width="9.109375" bestFit="1" customWidth="1"/>
    <col min="145" max="145" width="9.77734375" bestFit="1" customWidth="1"/>
    <col min="146" max="147" width="9.109375" bestFit="1" customWidth="1"/>
    <col min="148" max="148" width="9" bestFit="1" customWidth="1"/>
    <col min="149" max="150" width="9.109375" bestFit="1" customWidth="1"/>
    <col min="151" max="152" width="9.77734375" bestFit="1" customWidth="1"/>
    <col min="153" max="155" width="9.109375" bestFit="1" customWidth="1"/>
    <col min="156" max="157" width="9" bestFit="1" customWidth="1"/>
    <col min="158" max="160" width="9.109375" bestFit="1" customWidth="1"/>
    <col min="161" max="161" width="9" bestFit="1" customWidth="1"/>
    <col min="162" max="163" width="9.77734375" bestFit="1" customWidth="1"/>
    <col min="164" max="164" width="9.109375" bestFit="1" customWidth="1"/>
    <col min="165" max="165" width="9" bestFit="1" customWidth="1"/>
    <col min="166" max="171" width="9.109375" bestFit="1" customWidth="1"/>
    <col min="172" max="172" width="9" bestFit="1" customWidth="1"/>
    <col min="173" max="177" width="9.109375" bestFit="1" customWidth="1"/>
    <col min="178" max="178" width="9" bestFit="1" customWidth="1"/>
    <col min="179" max="179" width="9.109375" bestFit="1" customWidth="1"/>
    <col min="180" max="180" width="9.77734375" bestFit="1" customWidth="1"/>
    <col min="181" max="184" width="9.109375" bestFit="1" customWidth="1"/>
    <col min="185" max="185" width="9" bestFit="1" customWidth="1"/>
    <col min="186" max="193" width="9.109375" bestFit="1" customWidth="1"/>
    <col min="194" max="194" width="9.77734375" bestFit="1" customWidth="1"/>
    <col min="195" max="199" width="9.109375" bestFit="1" customWidth="1"/>
    <col min="200" max="200" width="10.109375" bestFit="1" customWidth="1"/>
    <col min="201" max="201" width="9" bestFit="1" customWidth="1"/>
    <col min="202" max="202" width="9.77734375" bestFit="1" customWidth="1"/>
    <col min="203" max="204" width="9.109375" bestFit="1" customWidth="1"/>
    <col min="205" max="205" width="10.109375" bestFit="1" customWidth="1"/>
    <col min="206" max="207" width="9.109375" bestFit="1" customWidth="1"/>
    <col min="208" max="208" width="9.77734375" bestFit="1" customWidth="1"/>
    <col min="209" max="209" width="9.109375" bestFit="1" customWidth="1"/>
    <col min="210" max="210" width="9" bestFit="1" customWidth="1"/>
    <col min="211" max="212" width="10.109375" bestFit="1" customWidth="1"/>
    <col min="213" max="213" width="9" bestFit="1" customWidth="1"/>
    <col min="214" max="216" width="9.109375" bestFit="1" customWidth="1"/>
    <col min="217" max="217" width="10.77734375" bestFit="1" customWidth="1"/>
    <col min="218" max="218" width="9.109375" bestFit="1" customWidth="1"/>
    <col min="219" max="219" width="9" bestFit="1" customWidth="1"/>
    <col min="220" max="220" width="10.109375" bestFit="1" customWidth="1"/>
    <col min="221" max="221" width="9" bestFit="1" customWidth="1"/>
    <col min="222" max="224" width="9.109375" bestFit="1" customWidth="1"/>
    <col min="225" max="225" width="9" bestFit="1" customWidth="1"/>
    <col min="226" max="226" width="9.109375" bestFit="1" customWidth="1"/>
    <col min="227" max="227" width="9.77734375" bestFit="1" customWidth="1"/>
    <col min="228" max="229" width="9.109375" bestFit="1" customWidth="1"/>
    <col min="230" max="230" width="10.109375" bestFit="1" customWidth="1"/>
    <col min="231" max="231" width="9.109375" bestFit="1" customWidth="1"/>
    <col min="232" max="232" width="10.109375" bestFit="1" customWidth="1"/>
    <col min="233" max="234" width="9.109375" bestFit="1" customWidth="1"/>
    <col min="235" max="235" width="9.77734375" bestFit="1" customWidth="1"/>
    <col min="236" max="236" width="9.109375" bestFit="1" customWidth="1"/>
    <col min="237" max="237" width="9.77734375" bestFit="1" customWidth="1"/>
    <col min="238" max="238" width="9" bestFit="1" customWidth="1"/>
    <col min="239" max="239" width="9.77734375" bestFit="1" customWidth="1"/>
    <col min="240" max="242" width="9.109375" bestFit="1" customWidth="1"/>
    <col min="243" max="243" width="9" bestFit="1" customWidth="1"/>
  </cols>
  <sheetData>
    <row r="1" spans="1:8">
      <c r="A1" s="1" t="str">
        <f>Instructions!B2&amp;": "&amp;Instructions!B4</f>
        <v>Wealth Management Task: Retirement / Savings Calculators - Spending Plan</v>
      </c>
    </row>
    <row r="2" spans="1:8">
      <c r="A2" s="1" t="s">
        <v>107</v>
      </c>
    </row>
    <row r="4" spans="1:8" s="3" customFormat="1" ht="14.4" customHeight="1">
      <c r="B4" s="4" t="s">
        <v>9</v>
      </c>
    </row>
    <row r="7" spans="1:8">
      <c r="C7" t="s">
        <v>13</v>
      </c>
      <c r="D7" t="s">
        <v>15</v>
      </c>
      <c r="E7" t="s">
        <v>19</v>
      </c>
      <c r="F7" t="s">
        <v>21</v>
      </c>
      <c r="G7" t="s">
        <v>55</v>
      </c>
      <c r="H7" t="s">
        <v>56</v>
      </c>
    </row>
    <row r="8" spans="1:8">
      <c r="C8" s="15" t="s">
        <v>0</v>
      </c>
      <c r="D8" s="15" t="s">
        <v>17</v>
      </c>
      <c r="E8" s="15" t="s">
        <v>20</v>
      </c>
      <c r="F8" s="15" t="s">
        <v>0</v>
      </c>
      <c r="G8" s="15" t="s">
        <v>6</v>
      </c>
      <c r="H8" s="15" t="s">
        <v>6</v>
      </c>
    </row>
    <row r="9" spans="1:8">
      <c r="C9" s="18">
        <v>63</v>
      </c>
      <c r="D9" s="2">
        <v>50000</v>
      </c>
      <c r="E9" s="16">
        <v>0.1</v>
      </c>
      <c r="F9" s="18">
        <v>1</v>
      </c>
      <c r="G9" s="16">
        <v>0.05</v>
      </c>
      <c r="H9" s="16">
        <v>0.03</v>
      </c>
    </row>
    <row r="10" spans="1:8">
      <c r="C10" s="18">
        <v>64</v>
      </c>
      <c r="D10" s="2">
        <v>55000</v>
      </c>
      <c r="E10" s="16">
        <v>0.14000000000000001</v>
      </c>
      <c r="F10" s="18">
        <v>2</v>
      </c>
      <c r="G10" s="16">
        <v>0.06</v>
      </c>
      <c r="H10" s="16">
        <v>0.04</v>
      </c>
    </row>
    <row r="11" spans="1:8">
      <c r="C11" s="18">
        <v>65</v>
      </c>
      <c r="D11" s="2">
        <v>60000</v>
      </c>
      <c r="E11" s="16">
        <v>0.18</v>
      </c>
      <c r="F11" s="18">
        <v>3</v>
      </c>
      <c r="G11" s="16">
        <v>7.0000000000000007E-2</v>
      </c>
      <c r="H11" s="16">
        <v>0.05</v>
      </c>
    </row>
    <row r="12" spans="1:8">
      <c r="C12" s="18">
        <v>66</v>
      </c>
      <c r="D12" s="2">
        <v>65000</v>
      </c>
      <c r="E12" s="16">
        <v>0.21999999999999997</v>
      </c>
      <c r="F12" s="18">
        <v>4</v>
      </c>
      <c r="G12" s="16">
        <v>0.08</v>
      </c>
    </row>
    <row r="13" spans="1:8">
      <c r="C13" s="18">
        <v>67</v>
      </c>
      <c r="D13" s="2">
        <v>70000</v>
      </c>
      <c r="F13" s="18">
        <v>5</v>
      </c>
      <c r="G13" s="16">
        <v>0.09</v>
      </c>
    </row>
    <row r="15" spans="1:8" s="3" customFormat="1" ht="14.4" customHeight="1">
      <c r="B15" s="4" t="s">
        <v>1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15180-73C3-404B-AFCC-AC8D4B9E2E97}">
  <sheetPr>
    <tabColor theme="8" tint="0.79998168889431442"/>
  </sheetPr>
  <dimension ref="A1:C35"/>
  <sheetViews>
    <sheetView zoomScale="77" workbookViewId="0"/>
  </sheetViews>
  <sheetFormatPr defaultRowHeight="15.6"/>
  <cols>
    <col min="1" max="1" width="74.109375" style="13" bestFit="1" customWidth="1"/>
    <col min="2" max="2" width="16.33203125" style="13" customWidth="1"/>
    <col min="3" max="16384" width="8.88671875" style="13"/>
  </cols>
  <sheetData>
    <row r="1" spans="1:3">
      <c r="A1" s="12" t="s">
        <v>3</v>
      </c>
      <c r="B1" s="12" t="s">
        <v>4</v>
      </c>
      <c r="C1" s="12" t="s">
        <v>5</v>
      </c>
    </row>
    <row r="2" spans="1:3">
      <c r="A2" s="14" t="s">
        <v>77</v>
      </c>
      <c r="B2" s="17"/>
      <c r="C2" s="5" t="s">
        <v>16</v>
      </c>
    </row>
    <row r="3" spans="1:3">
      <c r="A3" s="14" t="s">
        <v>78</v>
      </c>
      <c r="B3" s="17"/>
      <c r="C3" s="5" t="s">
        <v>16</v>
      </c>
    </row>
    <row r="4" spans="1:3">
      <c r="A4" s="14" t="s">
        <v>79</v>
      </c>
      <c r="B4" s="17"/>
      <c r="C4" s="5" t="s">
        <v>16</v>
      </c>
    </row>
    <row r="5" spans="1:3">
      <c r="A5" s="14" t="s">
        <v>105</v>
      </c>
      <c r="B5" s="17"/>
      <c r="C5" s="5" t="s">
        <v>16</v>
      </c>
    </row>
    <row r="6" spans="1:3">
      <c r="A6" s="14" t="s">
        <v>80</v>
      </c>
      <c r="B6" s="17"/>
      <c r="C6" s="5" t="s">
        <v>16</v>
      </c>
    </row>
    <row r="7" spans="1:3">
      <c r="A7" s="14" t="s">
        <v>81</v>
      </c>
      <c r="B7" s="17"/>
      <c r="C7" s="5" t="s">
        <v>16</v>
      </c>
    </row>
    <row r="8" spans="1:3">
      <c r="A8" s="14" t="s">
        <v>82</v>
      </c>
      <c r="B8" s="17"/>
      <c r="C8" s="5" t="s">
        <v>16</v>
      </c>
    </row>
    <row r="9" spans="1:3">
      <c r="A9" s="14" t="s">
        <v>83</v>
      </c>
      <c r="B9" s="17"/>
      <c r="C9" s="5" t="s">
        <v>16</v>
      </c>
    </row>
    <row r="10" spans="1:3">
      <c r="A10" s="14" t="s">
        <v>84</v>
      </c>
      <c r="B10" s="17"/>
      <c r="C10" s="5" t="s">
        <v>16</v>
      </c>
    </row>
    <row r="11" spans="1:3">
      <c r="A11" s="14" t="s">
        <v>85</v>
      </c>
      <c r="B11" s="17"/>
      <c r="C11" s="5" t="s">
        <v>16</v>
      </c>
    </row>
    <row r="12" spans="1:3">
      <c r="A12" s="14" t="s">
        <v>86</v>
      </c>
      <c r="B12" s="17"/>
      <c r="C12" s="5" t="s">
        <v>16</v>
      </c>
    </row>
    <row r="13" spans="1:3">
      <c r="A13" s="14" t="s">
        <v>87</v>
      </c>
      <c r="B13" s="17"/>
      <c r="C13" s="5" t="s">
        <v>16</v>
      </c>
    </row>
    <row r="14" spans="1:3">
      <c r="A14" s="14" t="s">
        <v>88</v>
      </c>
      <c r="B14" s="17"/>
      <c r="C14" s="5" t="s">
        <v>16</v>
      </c>
    </row>
    <row r="15" spans="1:3">
      <c r="A15" s="14" t="s">
        <v>89</v>
      </c>
      <c r="B15" s="17"/>
      <c r="C15" s="5" t="s">
        <v>16</v>
      </c>
    </row>
    <row r="16" spans="1:3">
      <c r="A16" s="14" t="s">
        <v>90</v>
      </c>
      <c r="B16" s="17"/>
      <c r="C16" s="5" t="s">
        <v>16</v>
      </c>
    </row>
    <row r="17" spans="1:3">
      <c r="A17" s="14" t="s">
        <v>91</v>
      </c>
      <c r="B17" s="17"/>
      <c r="C17" s="5" t="s">
        <v>16</v>
      </c>
    </row>
    <row r="18" spans="1:3">
      <c r="A18" s="14" t="s">
        <v>92</v>
      </c>
      <c r="B18" s="17"/>
      <c r="C18" s="5" t="s">
        <v>16</v>
      </c>
    </row>
    <row r="19" spans="1:3">
      <c r="A19" s="14" t="s">
        <v>93</v>
      </c>
      <c r="B19" s="17"/>
      <c r="C19" s="5" t="s">
        <v>16</v>
      </c>
    </row>
    <row r="20" spans="1:3">
      <c r="A20" s="14" t="s">
        <v>94</v>
      </c>
      <c r="B20" s="17"/>
      <c r="C20" s="5" t="s">
        <v>16</v>
      </c>
    </row>
    <row r="21" spans="1:3">
      <c r="A21" s="14" t="s">
        <v>95</v>
      </c>
      <c r="B21" s="17"/>
      <c r="C21" s="5" t="s">
        <v>16</v>
      </c>
    </row>
    <row r="22" spans="1:3">
      <c r="A22" s="14" t="s">
        <v>96</v>
      </c>
      <c r="B22" s="17"/>
      <c r="C22" s="5" t="s">
        <v>16</v>
      </c>
    </row>
    <row r="23" spans="1:3">
      <c r="A23" s="14" t="s">
        <v>97</v>
      </c>
      <c r="B23" s="17"/>
      <c r="C23" s="5" t="s">
        <v>16</v>
      </c>
    </row>
    <row r="24" spans="1:3">
      <c r="A24" s="14" t="s">
        <v>98</v>
      </c>
      <c r="B24" s="17"/>
      <c r="C24" s="5" t="s">
        <v>16</v>
      </c>
    </row>
    <row r="25" spans="1:3">
      <c r="A25" s="14" t="s">
        <v>99</v>
      </c>
      <c r="B25" s="17"/>
      <c r="C25" s="5" t="s">
        <v>16</v>
      </c>
    </row>
    <row r="26" spans="1:3">
      <c r="A26" s="14" t="s">
        <v>100</v>
      </c>
      <c r="B26" s="17"/>
      <c r="C26" s="5" t="s">
        <v>16</v>
      </c>
    </row>
    <row r="27" spans="1:3">
      <c r="A27" s="14" t="s">
        <v>101</v>
      </c>
      <c r="B27" s="17"/>
      <c r="C27" s="5" t="s">
        <v>16</v>
      </c>
    </row>
    <row r="28" spans="1:3">
      <c r="A28" s="14" t="s">
        <v>102</v>
      </c>
      <c r="B28" s="17"/>
      <c r="C28" s="5" t="s">
        <v>16</v>
      </c>
    </row>
    <row r="29" spans="1:3">
      <c r="A29" s="14" t="s">
        <v>106</v>
      </c>
      <c r="B29" s="17"/>
      <c r="C29" s="5" t="s">
        <v>16</v>
      </c>
    </row>
    <row r="30" spans="1:3">
      <c r="A30" s="14" t="s">
        <v>103</v>
      </c>
      <c r="B30" s="17"/>
      <c r="C30" s="5" t="s">
        <v>16</v>
      </c>
    </row>
    <row r="31" spans="1:3">
      <c r="A31" s="14" t="s">
        <v>104</v>
      </c>
      <c r="B31" s="17"/>
      <c r="C31" s="5" t="s">
        <v>16</v>
      </c>
    </row>
    <row r="32" spans="1:3">
      <c r="A32" s="14"/>
    </row>
    <row r="33" spans="1:1">
      <c r="A33" s="14"/>
    </row>
    <row r="34" spans="1:1">
      <c r="A34" s="14"/>
    </row>
    <row r="35" spans="1:1">
      <c r="A35" s="14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4355F1-AAD7-4804-AA4D-6899FEA4E803}">
  <sheetPr>
    <tabColor theme="8" tint="0.79998168889431442"/>
  </sheetPr>
  <dimension ref="A1:C29"/>
  <sheetViews>
    <sheetView zoomScale="77" workbookViewId="0"/>
  </sheetViews>
  <sheetFormatPr defaultRowHeight="15.6"/>
  <cols>
    <col min="1" max="1" width="96.88671875" style="13" customWidth="1"/>
    <col min="2" max="2" width="16.33203125" style="24" customWidth="1"/>
    <col min="3" max="3" width="29.21875" style="26" customWidth="1"/>
    <col min="4" max="16384" width="8.88671875" style="13"/>
  </cols>
  <sheetData>
    <row r="1" spans="1:3">
      <c r="A1" s="12" t="s">
        <v>116</v>
      </c>
      <c r="B1" s="22" t="s">
        <v>4</v>
      </c>
      <c r="C1" s="21" t="s">
        <v>115</v>
      </c>
    </row>
    <row r="2" spans="1:3">
      <c r="A2" s="14" t="s">
        <v>139</v>
      </c>
      <c r="B2" s="23"/>
      <c r="C2" s="25">
        <v>-4000000000</v>
      </c>
    </row>
    <row r="3" spans="1:3">
      <c r="A3" s="14" t="s">
        <v>140</v>
      </c>
      <c r="B3" s="23"/>
      <c r="C3" s="25">
        <v>-3000000000</v>
      </c>
    </row>
    <row r="4" spans="1:3">
      <c r="A4" s="14" t="s">
        <v>141</v>
      </c>
      <c r="B4" s="23"/>
      <c r="C4" s="25">
        <v>-2000000000</v>
      </c>
    </row>
    <row r="5" spans="1:3">
      <c r="A5" s="14" t="s">
        <v>117</v>
      </c>
      <c r="B5" s="23"/>
      <c r="C5" s="25">
        <v>-1000000000</v>
      </c>
    </row>
    <row r="6" spans="1:3">
      <c r="A6" s="14" t="s">
        <v>118</v>
      </c>
      <c r="B6" s="23"/>
      <c r="C6" s="25">
        <f>C5+200000000</f>
        <v>-800000000</v>
      </c>
    </row>
    <row r="7" spans="1:3">
      <c r="A7" s="14" t="s">
        <v>119</v>
      </c>
      <c r="B7" s="23"/>
      <c r="C7" s="25">
        <f t="shared" ref="C7:C10" si="0">C6+200000000</f>
        <v>-600000000</v>
      </c>
    </row>
    <row r="8" spans="1:3">
      <c r="A8" s="14" t="s">
        <v>120</v>
      </c>
      <c r="B8" s="23"/>
      <c r="C8" s="25">
        <f t="shared" si="0"/>
        <v>-400000000</v>
      </c>
    </row>
    <row r="9" spans="1:3">
      <c r="A9" s="14" t="s">
        <v>121</v>
      </c>
      <c r="B9" s="23"/>
      <c r="C9" s="25">
        <f t="shared" si="0"/>
        <v>-200000000</v>
      </c>
    </row>
    <row r="10" spans="1:3">
      <c r="A10" s="14" t="s">
        <v>122</v>
      </c>
      <c r="B10" s="23"/>
      <c r="C10" s="25">
        <f t="shared" si="0"/>
        <v>0</v>
      </c>
    </row>
    <row r="11" spans="1:3">
      <c r="A11" s="14" t="s">
        <v>123</v>
      </c>
      <c r="B11" s="23"/>
      <c r="C11" s="25">
        <v>0</v>
      </c>
    </row>
    <row r="12" spans="1:3">
      <c r="A12" s="14" t="s">
        <v>124</v>
      </c>
      <c r="B12" s="23"/>
      <c r="C12" s="25">
        <v>100000</v>
      </c>
    </row>
    <row r="13" spans="1:3">
      <c r="A13" s="14" t="s">
        <v>125</v>
      </c>
      <c r="B13" s="23"/>
      <c r="C13" s="25">
        <f>C12+100000</f>
        <v>200000</v>
      </c>
    </row>
    <row r="14" spans="1:3">
      <c r="A14" s="14" t="s">
        <v>126</v>
      </c>
      <c r="B14" s="23"/>
      <c r="C14" s="25">
        <f t="shared" ref="C14:C26" si="1">C13*2</f>
        <v>400000</v>
      </c>
    </row>
    <row r="15" spans="1:3">
      <c r="A15" s="14" t="s">
        <v>127</v>
      </c>
      <c r="B15" s="23"/>
      <c r="C15" s="25">
        <f t="shared" si="1"/>
        <v>800000</v>
      </c>
    </row>
    <row r="16" spans="1:3">
      <c r="A16" s="14" t="s">
        <v>128</v>
      </c>
      <c r="B16" s="23"/>
      <c r="C16" s="25">
        <f t="shared" si="1"/>
        <v>1600000</v>
      </c>
    </row>
    <row r="17" spans="1:3">
      <c r="A17" s="14" t="s">
        <v>129</v>
      </c>
      <c r="B17" s="23"/>
      <c r="C17" s="25">
        <f t="shared" si="1"/>
        <v>3200000</v>
      </c>
    </row>
    <row r="18" spans="1:3">
      <c r="A18" s="14" t="s">
        <v>130</v>
      </c>
      <c r="B18" s="23"/>
      <c r="C18" s="25">
        <f t="shared" si="1"/>
        <v>6400000</v>
      </c>
    </row>
    <row r="19" spans="1:3">
      <c r="A19" s="14" t="s">
        <v>131</v>
      </c>
      <c r="B19" s="23"/>
      <c r="C19" s="25">
        <f t="shared" si="1"/>
        <v>12800000</v>
      </c>
    </row>
    <row r="20" spans="1:3">
      <c r="A20" s="14" t="s">
        <v>132</v>
      </c>
      <c r="B20" s="23"/>
      <c r="C20" s="25">
        <f t="shared" si="1"/>
        <v>25600000</v>
      </c>
    </row>
    <row r="21" spans="1:3">
      <c r="A21" s="14" t="s">
        <v>133</v>
      </c>
      <c r="B21" s="23"/>
      <c r="C21" s="25">
        <f t="shared" si="1"/>
        <v>51200000</v>
      </c>
    </row>
    <row r="22" spans="1:3">
      <c r="A22" s="14" t="s">
        <v>134</v>
      </c>
      <c r="B22" s="23"/>
      <c r="C22" s="25">
        <f t="shared" si="1"/>
        <v>102400000</v>
      </c>
    </row>
    <row r="23" spans="1:3">
      <c r="A23" s="14" t="s">
        <v>135</v>
      </c>
      <c r="B23" s="23"/>
      <c r="C23" s="25">
        <f t="shared" si="1"/>
        <v>204800000</v>
      </c>
    </row>
    <row r="24" spans="1:3">
      <c r="A24" s="14" t="s">
        <v>136</v>
      </c>
      <c r="B24" s="23"/>
      <c r="C24" s="25">
        <f t="shared" si="1"/>
        <v>409600000</v>
      </c>
    </row>
    <row r="25" spans="1:3">
      <c r="A25" s="14" t="s">
        <v>137</v>
      </c>
      <c r="B25" s="23"/>
      <c r="C25" s="25">
        <f t="shared" si="1"/>
        <v>819200000</v>
      </c>
    </row>
    <row r="26" spans="1:3">
      <c r="A26" s="14" t="s">
        <v>138</v>
      </c>
      <c r="B26" s="23"/>
      <c r="C26" s="25">
        <f t="shared" si="1"/>
        <v>1638400000</v>
      </c>
    </row>
    <row r="27" spans="1:3">
      <c r="A27" s="14"/>
    </row>
    <row r="28" spans="1:3">
      <c r="A28" s="14"/>
    </row>
    <row r="29" spans="1:3">
      <c r="A29" s="1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Instructions</vt:lpstr>
      <vt:lpstr>Assumptions</vt:lpstr>
      <vt:lpstr>Assumptions - Scenarios</vt:lpstr>
      <vt:lpstr>Questions Task 1</vt:lpstr>
      <vt:lpstr>Questions Task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Pöltl</dc:creator>
  <cp:lastModifiedBy>Julian Pöltl</cp:lastModifiedBy>
  <dcterms:created xsi:type="dcterms:W3CDTF">2025-10-30T13:30:27Z</dcterms:created>
  <dcterms:modified xsi:type="dcterms:W3CDTF">2026-04-02T00:27:47Z</dcterms:modified>
</cp:coreProperties>
</file>