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\NAV (Net Asset Value) Modeling\Telecom\starting_files\"/>
    </mc:Choice>
  </mc:AlternateContent>
  <xr:revisionPtr revIDLastSave="0" documentId="13_ncr:1_{0DCE9E24-91E0-4328-84D0-25E690959FB5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s" sheetId="18" r:id="rId2"/>
    <sheet name="Balance Sheet" sheetId="19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/>
</calcChain>
</file>

<file path=xl/sharedStrings.xml><?xml version="1.0" encoding="utf-8"?>
<sst xmlns="http://schemas.openxmlformats.org/spreadsheetml/2006/main" count="338" uniqueCount="104">
  <si>
    <t>Answers</t>
  </si>
  <si>
    <t>End Sheet</t>
  </si>
  <si>
    <t>Questions (please round your answers to two decimal places)</t>
  </si>
  <si>
    <t>ASSETS</t>
  </si>
  <si>
    <t>TOTAL ASSETS</t>
  </si>
  <si>
    <t>TOTAL LIABILITIES</t>
  </si>
  <si>
    <t>Answer the questions using your calculated ratios.</t>
  </si>
  <si>
    <t>Total Debt</t>
  </si>
  <si>
    <t>Valuation Task</t>
  </si>
  <si>
    <t>($000s)</t>
  </si>
  <si>
    <t>2022A</t>
  </si>
  <si>
    <t>2023A</t>
  </si>
  <si>
    <t>2024A</t>
  </si>
  <si>
    <t>2025E</t>
  </si>
  <si>
    <t>2026E</t>
  </si>
  <si>
    <t>2027E</t>
  </si>
  <si>
    <t>Straight-Line Rent Adjustment</t>
  </si>
  <si>
    <t>Less: Accumulated Depreciation</t>
  </si>
  <si>
    <t>Cash &amp; Cash Equivalents</t>
  </si>
  <si>
    <t>LIABILITIES</t>
  </si>
  <si>
    <t>Debt</t>
  </si>
  <si>
    <t>Revolving Credit Facility</t>
  </si>
  <si>
    <t>Other Liabilities</t>
  </si>
  <si>
    <t>Accounts Payable &amp; Accrued Liabilities</t>
  </si>
  <si>
    <t>EQUITY</t>
  </si>
  <si>
    <t>Accumulated Deficit / Retained Earnings</t>
  </si>
  <si>
    <t>Total Equity</t>
  </si>
  <si>
    <t>TOTAL LIABILITIES &amp; EQUITY</t>
  </si>
  <si>
    <t>[$k]</t>
  </si>
  <si>
    <t>Assumptions sheet may be also in the text on the Instructions tab - please use the assumptions on this sheet for your model</t>
  </si>
  <si>
    <t>[$]</t>
  </si>
  <si>
    <t>[%]</t>
  </si>
  <si>
    <t>Portfolio Metrics</t>
  </si>
  <si>
    <t>2025e</t>
  </si>
  <si>
    <t>2026e</t>
  </si>
  <si>
    <t>2027e</t>
  </si>
  <si>
    <t>Revenue Assumptions</t>
  </si>
  <si>
    <t>Other Assumptions</t>
  </si>
  <si>
    <t>Maintenance CapEx</t>
  </si>
  <si>
    <t>Shares Outstanding</t>
  </si>
  <si>
    <t>NAV Assumptions</t>
  </si>
  <si>
    <t>Calculate the NAV per Share, the FFO per Share and the AFFO per Share as well as build the Income Statement.</t>
  </si>
  <si>
    <t>[#k]</t>
  </si>
  <si>
    <t>What is the AFFO per Share in 2022?</t>
  </si>
  <si>
    <t>What is the AFFO per Share in 2023?</t>
  </si>
  <si>
    <t>What is the AFFO per Share in 2024?</t>
  </si>
  <si>
    <t>What is the AFFO per Share in 2025?</t>
  </si>
  <si>
    <t>What is the AFFO per Share in 2026?</t>
  </si>
  <si>
    <t>What is the AFFO per Share in 2027?</t>
  </si>
  <si>
    <t>What is the FFO per Share in 2022?</t>
  </si>
  <si>
    <t>What is the FFO per Share in 2023?</t>
  </si>
  <si>
    <t>What is the FFO per Share in 2024?</t>
  </si>
  <si>
    <t>What is the FFO per Share in 2025?</t>
  </si>
  <si>
    <t>What is the FFO per Share in 2026?</t>
  </si>
  <si>
    <t>What is the FFO per Share in 2027?</t>
  </si>
  <si>
    <t>What is the NAV per Share in 2022?</t>
  </si>
  <si>
    <t>What is the NAV per Share in 2023?</t>
  </si>
  <si>
    <t>What is the NAV per Share in 2024?</t>
  </si>
  <si>
    <t>What is the NAV per Share in 2025?</t>
  </si>
  <si>
    <t>What is the NAV per Share in 2026?</t>
  </si>
  <si>
    <t>What is the NAV per Share in 2027?</t>
  </si>
  <si>
    <t>Unit</t>
  </si>
  <si>
    <t>TELECOM REIT — BALANCE SHEET</t>
  </si>
  <si>
    <t>All figures in $000s</t>
  </si>
  <si>
    <t>Tower &amp; Infrastructure Assets</t>
  </si>
  <si>
    <t>Towers &amp; Structures, Gross</t>
  </si>
  <si>
    <t>Towers &amp; Structures, Net</t>
  </si>
  <si>
    <t>Land (owned &amp; perpetual leases)</t>
  </si>
  <si>
    <t>Right-of-Use Assets (ground leases)</t>
  </si>
  <si>
    <t>Intangible Assets (tenant contracts), Net</t>
  </si>
  <si>
    <t>Goodwill</t>
  </si>
  <si>
    <t>Current &amp; Other Assets</t>
  </si>
  <si>
    <t>Receivables, Net</t>
  </si>
  <si>
    <t>Deferred Site Rental Revenue</t>
  </si>
  <si>
    <t>Prepaid &amp; Other Current Assets</t>
  </si>
  <si>
    <t>Senior Unsecured Notes</t>
  </si>
  <si>
    <t>Tower Revenue Notes / Securitized Debt</t>
  </si>
  <si>
    <t>Term Loans</t>
  </si>
  <si>
    <t>Ground Lease Liabilities (ROU)</t>
  </si>
  <si>
    <t>Deferred Revenue — Site Rental</t>
  </si>
  <si>
    <t>Common Stock &amp; APIC</t>
  </si>
  <si>
    <t>NAV (Net Asset Value) Modeling - Telecom</t>
  </si>
  <si>
    <t>Total Tower / Site Count</t>
  </si>
  <si>
    <t>[#]</t>
  </si>
  <si>
    <t>Avg Site Rental Rev / Tower</t>
  </si>
  <si>
    <t>[$k/#]</t>
  </si>
  <si>
    <t>International Site Rental Revenue</t>
  </si>
  <si>
    <t>Services Cost of Revenue</t>
  </si>
  <si>
    <t>SG&amp;A Expense</t>
  </si>
  <si>
    <t>Stock-Based Compensation</t>
  </si>
  <si>
    <t>Services Revenue</t>
  </si>
  <si>
    <t>Site Rental Cost of Revenue</t>
  </si>
  <si>
    <t>Depreciation &amp; Amortization - Towers &amp; Infrastructure</t>
  </si>
  <si>
    <t>Depreciation &amp; Amortization - Intangibles</t>
  </si>
  <si>
    <t>Capital Structure</t>
  </si>
  <si>
    <t>Wtd Avg Interest Rate</t>
  </si>
  <si>
    <t>Capex &amp; Depreciation</t>
  </si>
  <si>
    <t>Cap Rate - Tower Assets</t>
  </si>
  <si>
    <t>OpEx Assumptions</t>
  </si>
  <si>
    <t>Income Tax (TRS subsidiaries)</t>
  </si>
  <si>
    <t>all years</t>
  </si>
  <si>
    <t>SG&amp;A Allocation to Tower Assets</t>
  </si>
  <si>
    <t>For the NAV calculation, add only Current &amp; Other Assets from the Balance Sheet as separate asset items alongside the Gross Tower Asset Value. Deduct all Balance Sheet liabilities at book value.</t>
  </si>
  <si>
    <t>Build an NAV Model based on the Assumptions given. For the cap rate valuation, use property-level NOI: Total Site Rental Revenue (including Straight-Line Rent Adjustment) less Site Rental Cost of Revenue less SG&amp;A Allocation to Tower Assets, capitalized at the given cap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</si>
</sst>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.00_);\(#,##0.00\);\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name val="Arial"/>
      <family val="2"/>
    </font>
    <font>
      <sz val="11"/>
      <name val="Calibri"/>
      <family val="2"/>
      <charset val="1"/>
    </font>
    <font>
      <sz val="11"/>
      <color rgb="FF0000FF"/>
      <name val="Aptos Narrow"/>
      <family val="2"/>
      <scheme val="minor"/>
    </font>
    <font>
      <sz val="10"/>
      <color rgb="FF0000FF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D3B3E"/>
        <bgColor rgb="FF003300"/>
      </patternFill>
    </fill>
    <fill>
      <patternFill patternType="solid">
        <fgColor rgb="FF1A6B70"/>
        <bgColor rgb="FF0A5C61"/>
      </patternFill>
    </fill>
    <fill>
      <patternFill patternType="solid">
        <fgColor rgb="FF3A7D82"/>
        <bgColor rgb="FF1A6B70"/>
      </patternFill>
    </fill>
    <fill>
      <patternFill patternType="solid">
        <fgColor rgb="FFD4EBEC"/>
        <bgColor rgb="FFCCFFFF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4" fontId="9" fillId="4" borderId="2">
      <alignment horizontal="left"/>
    </xf>
    <xf numFmtId="0" fontId="11" fillId="0" borderId="0"/>
    <xf numFmtId="9" fontId="1" fillId="0" borderId="0" applyFont="0" applyFill="0" applyBorder="0" applyAlignment="0" applyProtection="0"/>
    <xf numFmtId="0" fontId="21" fillId="0" borderId="0" applyNumberFormat="0" applyFill="0" applyBorder="0">
      <alignment horizontal="right"/>
    </xf>
  </cellStyleXfs>
  <cellXfs count="4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4" fontId="10" fillId="5" borderId="2" xfId="3" applyFont="1" applyFill="1">
      <alignment horizontal="left"/>
    </xf>
    <xf numFmtId="0" fontId="8" fillId="0" borderId="0" xfId="0" applyFont="1"/>
    <xf numFmtId="0" fontId="11" fillId="0" borderId="0" xfId="4"/>
    <xf numFmtId="0" fontId="16" fillId="0" borderId="0" xfId="4" applyFont="1" applyAlignment="1">
      <alignment horizontal="left" vertical="center" indent="2"/>
    </xf>
    <xf numFmtId="164" fontId="16" fillId="0" borderId="0" xfId="4" applyNumberFormat="1" applyFont="1" applyAlignment="1">
      <alignment horizontal="right" vertical="center"/>
    </xf>
    <xf numFmtId="164" fontId="18" fillId="0" borderId="0" xfId="4" applyNumberFormat="1" applyFont="1" applyAlignment="1">
      <alignment horizontal="right" vertical="center"/>
    </xf>
    <xf numFmtId="0" fontId="19" fillId="0" borderId="0" xfId="4" applyFont="1"/>
    <xf numFmtId="0" fontId="12" fillId="0" borderId="0" xfId="0" applyFont="1"/>
    <xf numFmtId="4" fontId="12" fillId="5" borderId="2" xfId="3" applyFont="1" applyFill="1">
      <alignment horizontal="left"/>
    </xf>
    <xf numFmtId="4" fontId="20" fillId="6" borderId="5" xfId="0" applyNumberFormat="1" applyFont="1" applyFill="1" applyBorder="1"/>
    <xf numFmtId="165" fontId="21" fillId="0" borderId="0" xfId="6" applyNumberFormat="1" applyAlignment="1">
      <alignment horizontal="left"/>
    </xf>
    <xf numFmtId="3" fontId="20" fillId="6" borderId="5" xfId="0" applyNumberFormat="1" applyFont="1" applyFill="1" applyBorder="1"/>
    <xf numFmtId="9" fontId="20" fillId="6" borderId="5" xfId="0" applyNumberFormat="1" applyFont="1" applyFill="1" applyBorder="1"/>
    <xf numFmtId="10" fontId="20" fillId="6" borderId="5" xfId="5" applyNumberFormat="1" applyFont="1" applyFill="1" applyBorder="1"/>
    <xf numFmtId="0" fontId="15" fillId="7" borderId="0" xfId="4" applyFont="1" applyFill="1" applyAlignment="1">
      <alignment horizontal="left" vertical="center" indent="1"/>
    </xf>
    <xf numFmtId="0" fontId="15" fillId="7" borderId="0" xfId="4" applyFont="1" applyFill="1" applyAlignment="1">
      <alignment horizontal="center" vertical="center"/>
    </xf>
    <xf numFmtId="0" fontId="17" fillId="10" borderId="2" xfId="4" applyFont="1" applyFill="1" applyBorder="1" applyAlignment="1">
      <alignment horizontal="left" vertical="center" indent="1"/>
    </xf>
    <xf numFmtId="164" fontId="17" fillId="10" borderId="2" xfId="4" applyNumberFormat="1" applyFont="1" applyFill="1" applyBorder="1" applyAlignment="1">
      <alignment horizontal="right" vertical="center"/>
    </xf>
    <xf numFmtId="164" fontId="15" fillId="7" borderId="0" xfId="4" applyNumberFormat="1" applyFont="1" applyFill="1" applyAlignment="1">
      <alignment horizontal="right" vertical="center"/>
    </xf>
    <xf numFmtId="0" fontId="18" fillId="0" borderId="0" xfId="4" applyFont="1" applyAlignment="1">
      <alignment horizontal="left" vertical="center" indent="2"/>
    </xf>
    <xf numFmtId="0" fontId="22" fillId="10" borderId="2" xfId="4" applyFont="1" applyFill="1" applyBorder="1" applyAlignment="1">
      <alignment horizontal="left" vertical="center" indent="1"/>
    </xf>
    <xf numFmtId="164" fontId="22" fillId="10" borderId="2" xfId="4" applyNumberFormat="1" applyFont="1" applyFill="1" applyBorder="1" applyAlignment="1">
      <alignment horizontal="right" vertical="center"/>
    </xf>
    <xf numFmtId="3" fontId="20" fillId="6" borderId="5" xfId="5" applyNumberFormat="1" applyFont="1" applyFill="1" applyBorder="1"/>
    <xf numFmtId="3" fontId="19" fillId="0" borderId="0" xfId="4" applyNumberFormat="1" applyFont="1"/>
    <xf numFmtId="3" fontId="10" fillId="5" borderId="2" xfId="3" applyNumberFormat="1" applyFont="1" applyFill="1">
      <alignment horizontal="left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15" fillId="9" borderId="0" xfId="4" applyFont="1" applyFill="1" applyAlignment="1">
      <alignment horizontal="left" vertical="center" indent="1"/>
    </xf>
    <xf numFmtId="0" fontId="22" fillId="9" borderId="0" xfId="4" applyFont="1" applyFill="1" applyAlignment="1">
      <alignment horizontal="left" vertical="center" indent="1"/>
    </xf>
    <xf numFmtId="0" fontId="15" fillId="8" borderId="0" xfId="4" applyFont="1" applyFill="1" applyAlignment="1">
      <alignment horizontal="left" vertical="center" indent="1"/>
    </xf>
    <xf numFmtId="0" fontId="13" fillId="7" borderId="0" xfId="4" applyFont="1" applyFill="1" applyAlignment="1">
      <alignment horizontal="center" vertical="center"/>
    </xf>
    <xf numFmtId="0" fontId="14" fillId="8" borderId="0" xfId="4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178BEC01-9B91-4024-A20E-1013CEFF010B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  <cellStyle name="Percent" xfId="5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10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34" t="s">
        <v>8</v>
      </c>
      <c r="C2" s="35"/>
      <c r="D2" s="35"/>
      <c r="E2" s="35"/>
      <c r="F2" s="35"/>
      <c r="G2" s="35"/>
      <c r="H2" s="35"/>
      <c r="I2" s="35"/>
      <c r="J2" s="35"/>
      <c r="K2" s="36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37" t="s">
        <v>81</v>
      </c>
      <c r="C4" s="38"/>
      <c r="D4" s="38"/>
      <c r="E4" s="38"/>
      <c r="F4" s="38"/>
      <c r="G4" s="38"/>
      <c r="H4" s="38"/>
      <c r="I4" s="38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103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102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41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3" t="s">
        <v>6</v>
      </c>
      <c r="C10" s="1"/>
      <c r="D10" s="1"/>
      <c r="E10" s="1"/>
      <c r="F10" s="1"/>
      <c r="G10" s="1"/>
      <c r="H10" s="1"/>
      <c r="I10" s="1"/>
      <c r="J10" s="1"/>
      <c r="K10" s="1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057F-C0FF-4BCF-ABED-DADA734866A6}">
  <sheetPr>
    <tabColor rgb="FF0070C0"/>
  </sheetPr>
  <dimension ref="A1:H122"/>
  <sheetViews>
    <sheetView showGridLines="0" zoomScale="80" zoomScaleNormal="80" workbookViewId="0"/>
  </sheetViews>
  <sheetFormatPr defaultColWidth="8.6640625" defaultRowHeight="14.4"/>
  <cols>
    <col min="1" max="2" width="4.6640625" style="15" customWidth="1"/>
    <col min="3" max="3" width="48.88671875" style="15" customWidth="1"/>
    <col min="4" max="4" width="13" style="15" customWidth="1"/>
    <col min="5" max="5" width="5.6640625" style="15" customWidth="1"/>
    <col min="6" max="9" width="13" style="15" customWidth="1"/>
    <col min="10" max="16384" width="8.6640625" style="15"/>
  </cols>
  <sheetData>
    <row r="1" spans="1:7" customFormat="1">
      <c r="A1" s="16" t="str">
        <f>Instructions!B2&amp;": "&amp;Instructions!B4</f>
        <v>Valuation Task: NAV (Net Asset Value) Modeling - Telecom</v>
      </c>
      <c r="B1" s="16"/>
    </row>
    <row r="2" spans="1:7" customFormat="1">
      <c r="A2" s="16" t="s">
        <v>29</v>
      </c>
      <c r="B2" s="16"/>
    </row>
    <row r="3" spans="1:7" customFormat="1">
      <c r="A3" s="16"/>
      <c r="B3" s="16"/>
    </row>
    <row r="4" spans="1:7" s="9" customFormat="1" ht="14.4" customHeight="1">
      <c r="B4" s="17" t="s">
        <v>32</v>
      </c>
    </row>
    <row r="5" spans="1:7" customFormat="1">
      <c r="A5" s="16"/>
      <c r="B5" s="16"/>
    </row>
    <row r="6" spans="1:7" customFormat="1">
      <c r="A6" s="16"/>
      <c r="B6" s="16"/>
      <c r="C6" t="s">
        <v>82</v>
      </c>
      <c r="D6">
        <v>2022</v>
      </c>
      <c r="F6" s="20">
        <v>42000</v>
      </c>
      <c r="G6" s="19" t="s">
        <v>83</v>
      </c>
    </row>
    <row r="7" spans="1:7" customFormat="1">
      <c r="A7" s="16"/>
      <c r="B7" s="16"/>
      <c r="C7" t="s">
        <v>82</v>
      </c>
      <c r="D7">
        <v>2023</v>
      </c>
      <c r="F7" s="20">
        <v>43500</v>
      </c>
      <c r="G7" s="19" t="s">
        <v>83</v>
      </c>
    </row>
    <row r="8" spans="1:7" customFormat="1">
      <c r="A8" s="16"/>
      <c r="B8" s="16"/>
      <c r="C8" t="s">
        <v>82</v>
      </c>
      <c r="D8">
        <v>2024</v>
      </c>
      <c r="F8" s="20">
        <v>45200</v>
      </c>
      <c r="G8" s="19" t="s">
        <v>83</v>
      </c>
    </row>
    <row r="9" spans="1:7" customFormat="1">
      <c r="A9" s="16"/>
      <c r="B9" s="16"/>
      <c r="C9" t="s">
        <v>82</v>
      </c>
      <c r="D9" t="s">
        <v>33</v>
      </c>
      <c r="F9" s="20">
        <v>46800</v>
      </c>
      <c r="G9" s="19" t="s">
        <v>83</v>
      </c>
    </row>
    <row r="10" spans="1:7" customFormat="1">
      <c r="A10" s="16"/>
      <c r="B10" s="16"/>
      <c r="C10" t="s">
        <v>82</v>
      </c>
      <c r="D10" t="s">
        <v>34</v>
      </c>
      <c r="F10" s="20">
        <v>49000</v>
      </c>
      <c r="G10" s="19" t="s">
        <v>83</v>
      </c>
    </row>
    <row r="11" spans="1:7" customFormat="1">
      <c r="A11" s="16"/>
      <c r="B11" s="16"/>
      <c r="C11" t="s">
        <v>82</v>
      </c>
      <c r="D11" t="s">
        <v>35</v>
      </c>
      <c r="F11" s="20">
        <v>51500</v>
      </c>
      <c r="G11" s="19" t="s">
        <v>83</v>
      </c>
    </row>
    <row r="12" spans="1:7">
      <c r="C12" s="15" t="s">
        <v>84</v>
      </c>
      <c r="D12">
        <v>2022</v>
      </c>
      <c r="F12" s="18">
        <v>29.8</v>
      </c>
      <c r="G12" s="19" t="s">
        <v>85</v>
      </c>
    </row>
    <row r="13" spans="1:7">
      <c r="C13" s="15" t="s">
        <v>84</v>
      </c>
      <c r="D13">
        <v>2023</v>
      </c>
      <c r="F13" s="18">
        <v>31</v>
      </c>
      <c r="G13" s="19" t="s">
        <v>85</v>
      </c>
    </row>
    <row r="14" spans="1:7">
      <c r="C14" s="15" t="s">
        <v>84</v>
      </c>
      <c r="D14">
        <v>2024</v>
      </c>
      <c r="F14" s="18">
        <v>32.4</v>
      </c>
      <c r="G14" s="19" t="s">
        <v>85</v>
      </c>
    </row>
    <row r="15" spans="1:7">
      <c r="C15" s="15" t="s">
        <v>84</v>
      </c>
      <c r="D15" t="s">
        <v>33</v>
      </c>
      <c r="F15" s="18">
        <v>33.799999999999997</v>
      </c>
      <c r="G15" s="19" t="s">
        <v>85</v>
      </c>
    </row>
    <row r="16" spans="1:7">
      <c r="C16" s="15" t="s">
        <v>84</v>
      </c>
      <c r="D16" t="s">
        <v>34</v>
      </c>
      <c r="F16" s="18">
        <v>35.200000000000003</v>
      </c>
      <c r="G16" s="19" t="s">
        <v>85</v>
      </c>
    </row>
    <row r="17" spans="2:7">
      <c r="C17" s="15" t="s">
        <v>84</v>
      </c>
      <c r="D17" t="s">
        <v>35</v>
      </c>
      <c r="F17" s="18">
        <v>36.700000000000003</v>
      </c>
      <c r="G17" s="19" t="s">
        <v>85</v>
      </c>
    </row>
    <row r="19" spans="2:7" s="9" customFormat="1" ht="14.4" customHeight="1">
      <c r="B19" s="17" t="s">
        <v>36</v>
      </c>
    </row>
    <row r="21" spans="2:7">
      <c r="C21" s="15" t="s">
        <v>86</v>
      </c>
      <c r="D21">
        <v>2022</v>
      </c>
      <c r="F21" s="20">
        <v>185000</v>
      </c>
      <c r="G21" s="19" t="s">
        <v>28</v>
      </c>
    </row>
    <row r="22" spans="2:7">
      <c r="C22" s="15" t="s">
        <v>86</v>
      </c>
      <c r="D22">
        <v>2023</v>
      </c>
      <c r="F22" s="20">
        <v>198000</v>
      </c>
      <c r="G22" s="19" t="s">
        <v>28</v>
      </c>
    </row>
    <row r="23" spans="2:7">
      <c r="C23" s="15" t="s">
        <v>86</v>
      </c>
      <c r="D23">
        <v>2024</v>
      </c>
      <c r="F23" s="20">
        <v>215000</v>
      </c>
      <c r="G23" s="19" t="s">
        <v>28</v>
      </c>
    </row>
    <row r="24" spans="2:7">
      <c r="C24" s="15" t="s">
        <v>86</v>
      </c>
      <c r="D24" t="s">
        <v>33</v>
      </c>
      <c r="F24" s="20">
        <v>232000</v>
      </c>
      <c r="G24" s="19" t="s">
        <v>28</v>
      </c>
    </row>
    <row r="25" spans="2:7">
      <c r="C25" s="15" t="s">
        <v>86</v>
      </c>
      <c r="D25" t="s">
        <v>34</v>
      </c>
      <c r="F25" s="20">
        <v>255000</v>
      </c>
      <c r="G25" s="19" t="s">
        <v>28</v>
      </c>
    </row>
    <row r="26" spans="2:7">
      <c r="C26" s="15" t="s">
        <v>86</v>
      </c>
      <c r="D26" t="s">
        <v>35</v>
      </c>
      <c r="F26" s="20">
        <v>280000</v>
      </c>
      <c r="G26" s="19" t="s">
        <v>28</v>
      </c>
    </row>
    <row r="27" spans="2:7">
      <c r="C27" s="15" t="s">
        <v>90</v>
      </c>
      <c r="D27">
        <v>2022</v>
      </c>
      <c r="F27" s="20">
        <v>98000</v>
      </c>
      <c r="G27" s="19" t="s">
        <v>28</v>
      </c>
    </row>
    <row r="28" spans="2:7">
      <c r="C28" s="15" t="s">
        <v>90</v>
      </c>
      <c r="D28">
        <v>2023</v>
      </c>
      <c r="F28" s="20">
        <v>105000</v>
      </c>
      <c r="G28" s="19" t="s">
        <v>28</v>
      </c>
    </row>
    <row r="29" spans="2:7">
      <c r="C29" s="15" t="s">
        <v>90</v>
      </c>
      <c r="D29">
        <v>2024</v>
      </c>
      <c r="F29" s="20">
        <v>112000</v>
      </c>
      <c r="G29" s="19" t="s">
        <v>28</v>
      </c>
    </row>
    <row r="30" spans="2:7">
      <c r="C30" s="15" t="s">
        <v>90</v>
      </c>
      <c r="D30" t="s">
        <v>33</v>
      </c>
      <c r="F30" s="20">
        <v>118000</v>
      </c>
      <c r="G30" s="19" t="s">
        <v>28</v>
      </c>
    </row>
    <row r="31" spans="2:7">
      <c r="C31" s="15" t="s">
        <v>90</v>
      </c>
      <c r="D31" t="s">
        <v>34</v>
      </c>
      <c r="F31" s="20">
        <v>125000</v>
      </c>
      <c r="G31" s="19" t="s">
        <v>28</v>
      </c>
    </row>
    <row r="32" spans="2:7">
      <c r="C32" s="15" t="s">
        <v>90</v>
      </c>
      <c r="D32" t="s">
        <v>35</v>
      </c>
      <c r="F32" s="20">
        <v>132000</v>
      </c>
      <c r="G32" s="19" t="s">
        <v>28</v>
      </c>
    </row>
    <row r="33" spans="2:7">
      <c r="C33" s="15" t="s">
        <v>16</v>
      </c>
      <c r="D33">
        <v>2022</v>
      </c>
      <c r="F33" s="20">
        <v>38000</v>
      </c>
      <c r="G33" s="19" t="s">
        <v>28</v>
      </c>
    </row>
    <row r="34" spans="2:7">
      <c r="C34" s="15" t="s">
        <v>16</v>
      </c>
      <c r="D34">
        <v>2023</v>
      </c>
      <c r="F34" s="20">
        <v>41000</v>
      </c>
      <c r="G34" s="19" t="s">
        <v>28</v>
      </c>
    </row>
    <row r="35" spans="2:7">
      <c r="C35" s="15" t="s">
        <v>16</v>
      </c>
      <c r="D35">
        <v>2024</v>
      </c>
      <c r="F35" s="20">
        <v>44000</v>
      </c>
      <c r="G35" s="19" t="s">
        <v>28</v>
      </c>
    </row>
    <row r="36" spans="2:7">
      <c r="C36" s="15" t="s">
        <v>16</v>
      </c>
      <c r="D36" t="s">
        <v>33</v>
      </c>
      <c r="F36" s="20">
        <v>47000</v>
      </c>
      <c r="G36" s="19" t="s">
        <v>28</v>
      </c>
    </row>
    <row r="37" spans="2:7">
      <c r="C37" s="15" t="s">
        <v>16</v>
      </c>
      <c r="D37" t="s">
        <v>34</v>
      </c>
      <c r="F37" s="20">
        <v>50000</v>
      </c>
      <c r="G37" s="19" t="s">
        <v>28</v>
      </c>
    </row>
    <row r="38" spans="2:7">
      <c r="C38" s="15" t="s">
        <v>16</v>
      </c>
      <c r="D38" t="s">
        <v>35</v>
      </c>
      <c r="F38" s="20">
        <v>53000</v>
      </c>
      <c r="G38" s="19" t="s">
        <v>28</v>
      </c>
    </row>
    <row r="39" spans="2:7">
      <c r="F39" s="32"/>
    </row>
    <row r="40" spans="2:7" s="9" customFormat="1" ht="14.4" customHeight="1">
      <c r="B40" s="17" t="s">
        <v>98</v>
      </c>
      <c r="F40" s="33"/>
    </row>
    <row r="41" spans="2:7">
      <c r="F41" s="32"/>
    </row>
    <row r="42" spans="2:7">
      <c r="C42" s="15" t="s">
        <v>91</v>
      </c>
      <c r="D42">
        <v>2022</v>
      </c>
      <c r="F42" s="20">
        <v>310000</v>
      </c>
      <c r="G42" s="19" t="s">
        <v>28</v>
      </c>
    </row>
    <row r="43" spans="2:7">
      <c r="C43" s="15" t="s">
        <v>91</v>
      </c>
      <c r="D43">
        <v>2023</v>
      </c>
      <c r="F43" s="20">
        <v>325000</v>
      </c>
      <c r="G43" s="19" t="s">
        <v>28</v>
      </c>
    </row>
    <row r="44" spans="2:7">
      <c r="C44" s="15" t="s">
        <v>91</v>
      </c>
      <c r="D44">
        <v>2024</v>
      </c>
      <c r="F44" s="20">
        <v>342000</v>
      </c>
      <c r="G44" s="19" t="s">
        <v>28</v>
      </c>
    </row>
    <row r="45" spans="2:7">
      <c r="C45" s="15" t="s">
        <v>91</v>
      </c>
      <c r="D45" t="s">
        <v>33</v>
      </c>
      <c r="F45" s="20">
        <v>358000</v>
      </c>
      <c r="G45" s="19" t="s">
        <v>28</v>
      </c>
    </row>
    <row r="46" spans="2:7">
      <c r="C46" s="15" t="s">
        <v>91</v>
      </c>
      <c r="D46" t="s">
        <v>34</v>
      </c>
      <c r="F46" s="20">
        <v>378000</v>
      </c>
      <c r="G46" s="19" t="s">
        <v>28</v>
      </c>
    </row>
    <row r="47" spans="2:7">
      <c r="C47" s="15" t="s">
        <v>91</v>
      </c>
      <c r="D47" t="s">
        <v>35</v>
      </c>
      <c r="F47" s="20">
        <v>398000</v>
      </c>
      <c r="G47" s="19" t="s">
        <v>28</v>
      </c>
    </row>
    <row r="48" spans="2:7">
      <c r="C48" s="15" t="s">
        <v>87</v>
      </c>
      <c r="D48">
        <v>2022</v>
      </c>
      <c r="F48" s="20">
        <v>72000</v>
      </c>
      <c r="G48" s="19" t="s">
        <v>28</v>
      </c>
    </row>
    <row r="49" spans="3:7">
      <c r="C49" s="15" t="s">
        <v>87</v>
      </c>
      <c r="D49">
        <v>2023</v>
      </c>
      <c r="F49" s="20">
        <v>77000</v>
      </c>
      <c r="G49" s="19" t="s">
        <v>28</v>
      </c>
    </row>
    <row r="50" spans="3:7">
      <c r="C50" s="15" t="s">
        <v>87</v>
      </c>
      <c r="D50">
        <v>2024</v>
      </c>
      <c r="F50" s="20">
        <v>82000</v>
      </c>
      <c r="G50" s="19" t="s">
        <v>28</v>
      </c>
    </row>
    <row r="51" spans="3:7">
      <c r="C51" s="15" t="s">
        <v>87</v>
      </c>
      <c r="D51" t="s">
        <v>33</v>
      </c>
      <c r="F51" s="20">
        <v>87000</v>
      </c>
      <c r="G51" s="19" t="s">
        <v>28</v>
      </c>
    </row>
    <row r="52" spans="3:7">
      <c r="C52" s="15" t="s">
        <v>87</v>
      </c>
      <c r="D52" t="s">
        <v>34</v>
      </c>
      <c r="F52" s="20">
        <v>92000</v>
      </c>
      <c r="G52" s="19" t="s">
        <v>28</v>
      </c>
    </row>
    <row r="53" spans="3:7">
      <c r="C53" s="15" t="s">
        <v>87</v>
      </c>
      <c r="D53" t="s">
        <v>35</v>
      </c>
      <c r="F53" s="20">
        <v>97000</v>
      </c>
      <c r="G53" s="19" t="s">
        <v>28</v>
      </c>
    </row>
    <row r="54" spans="3:7">
      <c r="C54" s="15" t="s">
        <v>88</v>
      </c>
      <c r="D54">
        <v>2022</v>
      </c>
      <c r="F54" s="20">
        <v>145000</v>
      </c>
      <c r="G54" s="19" t="s">
        <v>28</v>
      </c>
    </row>
    <row r="55" spans="3:7">
      <c r="C55" s="15" t="s">
        <v>88</v>
      </c>
      <c r="D55">
        <v>2023</v>
      </c>
      <c r="F55" s="20">
        <v>152000</v>
      </c>
      <c r="G55" s="19" t="s">
        <v>28</v>
      </c>
    </row>
    <row r="56" spans="3:7">
      <c r="C56" s="15" t="s">
        <v>88</v>
      </c>
      <c r="D56">
        <v>2024</v>
      </c>
      <c r="F56" s="20">
        <v>160000</v>
      </c>
      <c r="G56" s="19" t="s">
        <v>28</v>
      </c>
    </row>
    <row r="57" spans="3:7">
      <c r="C57" s="15" t="s">
        <v>88</v>
      </c>
      <c r="D57" t="s">
        <v>33</v>
      </c>
      <c r="F57" s="20">
        <v>168000</v>
      </c>
      <c r="G57" s="19" t="s">
        <v>28</v>
      </c>
    </row>
    <row r="58" spans="3:7">
      <c r="C58" s="15" t="s">
        <v>88</v>
      </c>
      <c r="D58" t="s">
        <v>34</v>
      </c>
      <c r="F58" s="20">
        <v>176000</v>
      </c>
      <c r="G58" s="19" t="s">
        <v>28</v>
      </c>
    </row>
    <row r="59" spans="3:7">
      <c r="C59" s="15" t="s">
        <v>88</v>
      </c>
      <c r="D59" t="s">
        <v>35</v>
      </c>
      <c r="F59" s="20">
        <v>185000</v>
      </c>
      <c r="G59" s="19" t="s">
        <v>28</v>
      </c>
    </row>
    <row r="60" spans="3:7">
      <c r="C60" s="15" t="s">
        <v>101</v>
      </c>
      <c r="D60" t="s">
        <v>100</v>
      </c>
      <c r="F60" s="21">
        <v>0.5</v>
      </c>
      <c r="G60" s="19" t="s">
        <v>31</v>
      </c>
    </row>
    <row r="61" spans="3:7">
      <c r="C61" s="15" t="s">
        <v>89</v>
      </c>
      <c r="D61">
        <v>2022</v>
      </c>
      <c r="F61" s="20">
        <v>48000</v>
      </c>
      <c r="G61" s="19" t="s">
        <v>28</v>
      </c>
    </row>
    <row r="62" spans="3:7">
      <c r="C62" s="15" t="s">
        <v>89</v>
      </c>
      <c r="D62">
        <v>2023</v>
      </c>
      <c r="F62" s="20">
        <v>52000</v>
      </c>
      <c r="G62" s="19" t="s">
        <v>28</v>
      </c>
    </row>
    <row r="63" spans="3:7">
      <c r="C63" s="15" t="s">
        <v>89</v>
      </c>
      <c r="D63">
        <v>2024</v>
      </c>
      <c r="F63" s="20">
        <v>55000</v>
      </c>
      <c r="G63" s="19" t="s">
        <v>28</v>
      </c>
    </row>
    <row r="64" spans="3:7">
      <c r="C64" s="15" t="s">
        <v>89</v>
      </c>
      <c r="D64" t="s">
        <v>33</v>
      </c>
      <c r="F64" s="20">
        <v>57000</v>
      </c>
      <c r="G64" s="19" t="s">
        <v>28</v>
      </c>
    </row>
    <row r="65" spans="2:7">
      <c r="C65" s="15" t="s">
        <v>89</v>
      </c>
      <c r="D65" t="s">
        <v>34</v>
      </c>
      <c r="F65" s="20">
        <v>60000</v>
      </c>
      <c r="G65" s="19" t="s">
        <v>28</v>
      </c>
    </row>
    <row r="66" spans="2:7">
      <c r="C66" s="15" t="s">
        <v>89</v>
      </c>
      <c r="D66" t="s">
        <v>35</v>
      </c>
      <c r="F66" s="20">
        <v>63000</v>
      </c>
      <c r="G66" s="19" t="s">
        <v>28</v>
      </c>
    </row>
    <row r="67" spans="2:7">
      <c r="C67" s="15" t="s">
        <v>92</v>
      </c>
      <c r="D67">
        <v>2022</v>
      </c>
      <c r="F67" s="20">
        <v>820000</v>
      </c>
      <c r="G67" s="19" t="s">
        <v>28</v>
      </c>
    </row>
    <row r="68" spans="2:7">
      <c r="C68" s="15" t="s">
        <v>92</v>
      </c>
      <c r="D68">
        <v>2023</v>
      </c>
      <c r="F68" s="20">
        <v>855000</v>
      </c>
      <c r="G68" s="19" t="s">
        <v>28</v>
      </c>
    </row>
    <row r="69" spans="2:7">
      <c r="C69" s="15" t="s">
        <v>92</v>
      </c>
      <c r="D69">
        <v>2024</v>
      </c>
      <c r="F69" s="20">
        <v>890000</v>
      </c>
      <c r="G69" s="19" t="s">
        <v>28</v>
      </c>
    </row>
    <row r="70" spans="2:7">
      <c r="C70" s="15" t="s">
        <v>92</v>
      </c>
      <c r="D70" t="s">
        <v>33</v>
      </c>
      <c r="F70" s="20">
        <v>930000</v>
      </c>
      <c r="G70" s="19" t="s">
        <v>28</v>
      </c>
    </row>
    <row r="71" spans="2:7">
      <c r="C71" s="15" t="s">
        <v>92</v>
      </c>
      <c r="D71" t="s">
        <v>34</v>
      </c>
      <c r="F71" s="20">
        <v>980000</v>
      </c>
      <c r="G71" s="19" t="s">
        <v>28</v>
      </c>
    </row>
    <row r="72" spans="2:7">
      <c r="C72" s="15" t="s">
        <v>92</v>
      </c>
      <c r="D72" t="s">
        <v>35</v>
      </c>
      <c r="F72" s="20">
        <v>1030000</v>
      </c>
      <c r="G72" s="19" t="s">
        <v>28</v>
      </c>
    </row>
    <row r="73" spans="2:7">
      <c r="C73" s="15" t="s">
        <v>93</v>
      </c>
      <c r="D73">
        <v>2022</v>
      </c>
      <c r="F73" s="20">
        <v>185000</v>
      </c>
      <c r="G73" s="19" t="s">
        <v>28</v>
      </c>
    </row>
    <row r="74" spans="2:7">
      <c r="C74" s="15" t="s">
        <v>93</v>
      </c>
      <c r="D74">
        <v>2023</v>
      </c>
      <c r="F74" s="20">
        <v>190000</v>
      </c>
      <c r="G74" s="19" t="s">
        <v>28</v>
      </c>
    </row>
    <row r="75" spans="2:7">
      <c r="C75" s="15" t="s">
        <v>93</v>
      </c>
      <c r="D75">
        <v>2024</v>
      </c>
      <c r="F75" s="20">
        <v>195000</v>
      </c>
      <c r="G75" s="19" t="s">
        <v>28</v>
      </c>
    </row>
    <row r="76" spans="2:7">
      <c r="C76" s="15" t="s">
        <v>93</v>
      </c>
      <c r="D76" t="s">
        <v>33</v>
      </c>
      <c r="F76" s="20">
        <v>198000</v>
      </c>
      <c r="G76" s="19" t="s">
        <v>28</v>
      </c>
    </row>
    <row r="77" spans="2:7">
      <c r="C77" s="15" t="s">
        <v>93</v>
      </c>
      <c r="D77" t="s">
        <v>34</v>
      </c>
      <c r="F77" s="20">
        <v>200000</v>
      </c>
      <c r="G77" s="19" t="s">
        <v>28</v>
      </c>
    </row>
    <row r="78" spans="2:7">
      <c r="C78" s="15" t="s">
        <v>93</v>
      </c>
      <c r="D78" t="s">
        <v>35</v>
      </c>
      <c r="F78" s="20">
        <v>202000</v>
      </c>
      <c r="G78" s="19" t="s">
        <v>28</v>
      </c>
    </row>
    <row r="80" spans="2:7" s="9" customFormat="1" ht="14.4" customHeight="1">
      <c r="B80" s="17" t="s">
        <v>94</v>
      </c>
    </row>
    <row r="82" spans="2:7">
      <c r="C82" s="15" t="s">
        <v>95</v>
      </c>
      <c r="D82">
        <v>2022</v>
      </c>
      <c r="F82" s="22">
        <v>3.4000000000000002E-2</v>
      </c>
      <c r="G82" s="19" t="s">
        <v>31</v>
      </c>
    </row>
    <row r="83" spans="2:7">
      <c r="C83" s="15" t="s">
        <v>95</v>
      </c>
      <c r="D83">
        <v>2023</v>
      </c>
      <c r="F83" s="22">
        <v>3.5999999999999997E-2</v>
      </c>
      <c r="G83" s="19" t="s">
        <v>31</v>
      </c>
    </row>
    <row r="84" spans="2:7">
      <c r="C84" s="15" t="s">
        <v>95</v>
      </c>
      <c r="D84">
        <v>2024</v>
      </c>
      <c r="F84" s="22">
        <v>0.04</v>
      </c>
      <c r="G84" s="19" t="s">
        <v>31</v>
      </c>
    </row>
    <row r="85" spans="2:7">
      <c r="C85" s="15" t="s">
        <v>95</v>
      </c>
      <c r="D85" t="s">
        <v>33</v>
      </c>
      <c r="F85" s="22">
        <v>4.2000000000000003E-2</v>
      </c>
      <c r="G85" s="19" t="s">
        <v>31</v>
      </c>
    </row>
    <row r="86" spans="2:7">
      <c r="C86" s="15" t="s">
        <v>95</v>
      </c>
      <c r="D86" t="s">
        <v>34</v>
      </c>
      <c r="F86" s="22">
        <v>4.1000000000000002E-2</v>
      </c>
      <c r="G86" s="19" t="s">
        <v>31</v>
      </c>
    </row>
    <row r="87" spans="2:7">
      <c r="C87" s="15" t="s">
        <v>95</v>
      </c>
      <c r="D87" t="s">
        <v>35</v>
      </c>
      <c r="F87" s="22">
        <v>0.04</v>
      </c>
      <c r="G87" s="19" t="s">
        <v>31</v>
      </c>
    </row>
    <row r="88" spans="2:7">
      <c r="C88" s="15" t="s">
        <v>39</v>
      </c>
      <c r="D88">
        <v>2022</v>
      </c>
      <c r="F88" s="31">
        <v>430000</v>
      </c>
      <c r="G88" s="19" t="s">
        <v>42</v>
      </c>
    </row>
    <row r="89" spans="2:7">
      <c r="C89" s="15" t="s">
        <v>39</v>
      </c>
      <c r="D89">
        <v>2023</v>
      </c>
      <c r="F89" s="31">
        <v>432000</v>
      </c>
      <c r="G89" s="19" t="s">
        <v>42</v>
      </c>
    </row>
    <row r="90" spans="2:7">
      <c r="C90" s="15" t="s">
        <v>39</v>
      </c>
      <c r="D90">
        <v>2024</v>
      </c>
      <c r="F90" s="31">
        <v>434000</v>
      </c>
      <c r="G90" s="19" t="s">
        <v>42</v>
      </c>
    </row>
    <row r="91" spans="2:7">
      <c r="C91" s="15" t="s">
        <v>39</v>
      </c>
      <c r="D91" t="s">
        <v>33</v>
      </c>
      <c r="F91" s="31">
        <v>435000</v>
      </c>
      <c r="G91" s="19" t="s">
        <v>42</v>
      </c>
    </row>
    <row r="92" spans="2:7">
      <c r="C92" s="15" t="s">
        <v>39</v>
      </c>
      <c r="D92" t="s">
        <v>34</v>
      </c>
      <c r="F92" s="31">
        <v>436000</v>
      </c>
      <c r="G92" s="19" t="s">
        <v>42</v>
      </c>
    </row>
    <row r="93" spans="2:7">
      <c r="C93" s="15" t="s">
        <v>39</v>
      </c>
      <c r="D93" t="s">
        <v>35</v>
      </c>
      <c r="F93" s="31">
        <v>437000</v>
      </c>
      <c r="G93" s="19" t="s">
        <v>42</v>
      </c>
    </row>
    <row r="95" spans="2:7" s="9" customFormat="1" ht="14.4" customHeight="1">
      <c r="B95" s="17" t="s">
        <v>96</v>
      </c>
    </row>
    <row r="97" spans="2:8">
      <c r="C97" s="15" t="s">
        <v>38</v>
      </c>
      <c r="D97">
        <v>2022</v>
      </c>
      <c r="F97" s="31">
        <v>180000</v>
      </c>
      <c r="G97" s="19" t="s">
        <v>28</v>
      </c>
    </row>
    <row r="98" spans="2:8">
      <c r="C98" s="15" t="s">
        <v>38</v>
      </c>
      <c r="D98">
        <v>2023</v>
      </c>
      <c r="F98" s="31">
        <v>190000</v>
      </c>
      <c r="G98" s="19" t="s">
        <v>28</v>
      </c>
    </row>
    <row r="99" spans="2:8">
      <c r="C99" s="15" t="s">
        <v>38</v>
      </c>
      <c r="D99">
        <v>2024</v>
      </c>
      <c r="F99" s="31">
        <v>200000</v>
      </c>
      <c r="G99" s="19" t="s">
        <v>28</v>
      </c>
    </row>
    <row r="100" spans="2:8">
      <c r="C100" s="15" t="s">
        <v>38</v>
      </c>
      <c r="D100" t="s">
        <v>33</v>
      </c>
      <c r="F100" s="31">
        <v>210000</v>
      </c>
      <c r="G100" s="19" t="s">
        <v>28</v>
      </c>
    </row>
    <row r="101" spans="2:8">
      <c r="C101" s="15" t="s">
        <v>38</v>
      </c>
      <c r="D101" t="s">
        <v>34</v>
      </c>
      <c r="F101" s="31">
        <v>220000</v>
      </c>
      <c r="G101" s="19" t="s">
        <v>28</v>
      </c>
    </row>
    <row r="102" spans="2:8">
      <c r="C102" s="15" t="s">
        <v>38</v>
      </c>
      <c r="D102" t="s">
        <v>35</v>
      </c>
      <c r="F102" s="31">
        <v>230000</v>
      </c>
      <c r="G102" s="19" t="s">
        <v>28</v>
      </c>
    </row>
    <row r="104" spans="2:8" s="9" customFormat="1" ht="14.4" customHeight="1">
      <c r="B104" s="17" t="s">
        <v>37</v>
      </c>
    </row>
    <row r="106" spans="2:8">
      <c r="C106" s="15" t="s">
        <v>99</v>
      </c>
      <c r="D106">
        <v>2022</v>
      </c>
      <c r="F106" s="31">
        <v>12000</v>
      </c>
      <c r="G106" s="19" t="s">
        <v>28</v>
      </c>
      <c r="H106" s="32"/>
    </row>
    <row r="107" spans="2:8">
      <c r="C107" s="15" t="s">
        <v>99</v>
      </c>
      <c r="D107">
        <v>2023</v>
      </c>
      <c r="F107" s="31">
        <v>13000</v>
      </c>
      <c r="G107" s="19" t="s">
        <v>28</v>
      </c>
    </row>
    <row r="108" spans="2:8">
      <c r="C108" s="15" t="s">
        <v>99</v>
      </c>
      <c r="D108">
        <v>2024</v>
      </c>
      <c r="F108" s="31">
        <v>14000</v>
      </c>
      <c r="G108" s="19" t="s">
        <v>28</v>
      </c>
    </row>
    <row r="109" spans="2:8">
      <c r="C109" s="15" t="s">
        <v>99</v>
      </c>
      <c r="D109" t="s">
        <v>33</v>
      </c>
      <c r="F109" s="31">
        <v>14500</v>
      </c>
      <c r="G109" s="19" t="s">
        <v>28</v>
      </c>
    </row>
    <row r="110" spans="2:8">
      <c r="C110" s="15" t="s">
        <v>99</v>
      </c>
      <c r="D110" t="s">
        <v>34</v>
      </c>
      <c r="F110" s="31">
        <v>15000</v>
      </c>
      <c r="G110" s="19" t="s">
        <v>28</v>
      </c>
    </row>
    <row r="111" spans="2:8">
      <c r="C111" s="15" t="s">
        <v>99</v>
      </c>
      <c r="D111" t="s">
        <v>35</v>
      </c>
      <c r="F111" s="31">
        <v>15500</v>
      </c>
      <c r="G111" s="19" t="s">
        <v>28</v>
      </c>
    </row>
    <row r="113" spans="2:7" s="9" customFormat="1" ht="14.4" customHeight="1">
      <c r="B113" s="17" t="s">
        <v>40</v>
      </c>
    </row>
    <row r="115" spans="2:7">
      <c r="C115" s="15" t="s">
        <v>97</v>
      </c>
      <c r="D115">
        <v>2022</v>
      </c>
      <c r="F115" s="22">
        <v>3.2000000000000001E-2</v>
      </c>
      <c r="G115" s="19" t="s">
        <v>31</v>
      </c>
    </row>
    <row r="116" spans="2:7">
      <c r="C116" s="15" t="s">
        <v>97</v>
      </c>
      <c r="D116">
        <v>2023</v>
      </c>
      <c r="F116" s="22">
        <v>3.3000000000000002E-2</v>
      </c>
      <c r="G116" s="19" t="s">
        <v>31</v>
      </c>
    </row>
    <row r="117" spans="2:7">
      <c r="C117" s="15" t="s">
        <v>97</v>
      </c>
      <c r="D117">
        <v>2024</v>
      </c>
      <c r="F117" s="22">
        <v>3.5000000000000003E-2</v>
      </c>
      <c r="G117" s="19" t="s">
        <v>31</v>
      </c>
    </row>
    <row r="118" spans="2:7">
      <c r="C118" s="15" t="s">
        <v>97</v>
      </c>
      <c r="D118" t="s">
        <v>33</v>
      </c>
      <c r="F118" s="22">
        <v>3.6999999999999998E-2</v>
      </c>
      <c r="G118" s="19" t="s">
        <v>31</v>
      </c>
    </row>
    <row r="119" spans="2:7">
      <c r="C119" s="15" t="s">
        <v>97</v>
      </c>
      <c r="D119" t="s">
        <v>34</v>
      </c>
      <c r="F119" s="22">
        <v>3.6999999999999998E-2</v>
      </c>
      <c r="G119" s="19" t="s">
        <v>31</v>
      </c>
    </row>
    <row r="120" spans="2:7">
      <c r="C120" s="15" t="s">
        <v>97</v>
      </c>
      <c r="D120" t="s">
        <v>35</v>
      </c>
      <c r="F120" s="22">
        <v>3.5999999999999997E-2</v>
      </c>
      <c r="G120" s="19" t="s">
        <v>31</v>
      </c>
    </row>
    <row r="122" spans="2:7" s="9" customFormat="1" ht="14.4" customHeight="1">
      <c r="B122" s="17" t="s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DDD4-D947-4EF7-981B-4F20CEB4AA42}">
  <sheetPr>
    <tabColor rgb="FF0070C0"/>
  </sheetPr>
  <dimension ref="A1:G40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G4"/>
    </sheetView>
  </sheetViews>
  <sheetFormatPr defaultColWidth="8.6640625" defaultRowHeight="14.4"/>
  <cols>
    <col min="1" max="1" width="42" style="11" customWidth="1"/>
    <col min="2" max="7" width="14" style="11" customWidth="1"/>
    <col min="8" max="16384" width="8.6640625" style="11"/>
  </cols>
  <sheetData>
    <row r="1" spans="1:7" ht="30" customHeight="1">
      <c r="A1" s="42" t="s">
        <v>62</v>
      </c>
      <c r="B1" s="42"/>
      <c r="C1" s="42"/>
      <c r="D1" s="42"/>
      <c r="E1" s="42"/>
      <c r="F1" s="42"/>
      <c r="G1" s="42"/>
    </row>
    <row r="2" spans="1:7">
      <c r="A2" s="43" t="s">
        <v>63</v>
      </c>
      <c r="B2" s="43"/>
      <c r="C2" s="43"/>
      <c r="D2" s="43"/>
      <c r="E2" s="43"/>
      <c r="F2" s="43"/>
      <c r="G2" s="43"/>
    </row>
    <row r="3" spans="1:7">
      <c r="A3" s="23" t="s">
        <v>9</v>
      </c>
      <c r="B3" s="24" t="s">
        <v>10</v>
      </c>
      <c r="C3" s="24" t="s">
        <v>11</v>
      </c>
      <c r="D3" s="24" t="s">
        <v>12</v>
      </c>
      <c r="E3" s="24" t="s">
        <v>13</v>
      </c>
      <c r="F3" s="24" t="s">
        <v>14</v>
      </c>
      <c r="G3" s="24" t="s">
        <v>15</v>
      </c>
    </row>
    <row r="4" spans="1:7">
      <c r="A4" s="41" t="s">
        <v>3</v>
      </c>
      <c r="B4" s="41"/>
      <c r="C4" s="41"/>
      <c r="D4" s="41"/>
      <c r="E4" s="41"/>
      <c r="F4" s="41"/>
      <c r="G4" s="41"/>
    </row>
    <row r="5" spans="1:7">
      <c r="A5" s="39" t="s">
        <v>64</v>
      </c>
      <c r="B5" s="39"/>
      <c r="C5" s="39"/>
      <c r="D5" s="39"/>
      <c r="E5" s="39"/>
      <c r="F5" s="39"/>
      <c r="G5" s="39"/>
    </row>
    <row r="6" spans="1:7">
      <c r="A6" s="28" t="s">
        <v>65</v>
      </c>
      <c r="B6" s="14">
        <v>32500000</v>
      </c>
      <c r="C6" s="14">
        <v>34200000</v>
      </c>
      <c r="D6" s="14">
        <v>36500000</v>
      </c>
      <c r="E6" s="14">
        <v>38200000</v>
      </c>
      <c r="F6" s="14">
        <v>40900000</v>
      </c>
      <c r="G6" s="14">
        <v>43000000</v>
      </c>
    </row>
    <row r="7" spans="1:7">
      <c r="A7" s="28" t="s">
        <v>17</v>
      </c>
      <c r="B7" s="14">
        <v>-8200000</v>
      </c>
      <c r="C7" s="14">
        <v>-9050000</v>
      </c>
      <c r="D7" s="14">
        <v>-9940000</v>
      </c>
      <c r="E7" s="14">
        <v>-10870000</v>
      </c>
      <c r="F7" s="14">
        <v>-11850000</v>
      </c>
      <c r="G7" s="14">
        <v>-12880000</v>
      </c>
    </row>
    <row r="8" spans="1:7">
      <c r="A8" s="29" t="s">
        <v>66</v>
      </c>
      <c r="B8" s="30">
        <v>24300000</v>
      </c>
      <c r="C8" s="30">
        <v>25150000</v>
      </c>
      <c r="D8" s="30">
        <v>26560000</v>
      </c>
      <c r="E8" s="30">
        <v>27330000</v>
      </c>
      <c r="F8" s="30">
        <v>29050000</v>
      </c>
      <c r="G8" s="30">
        <v>30120000</v>
      </c>
    </row>
    <row r="9" spans="1:7">
      <c r="A9" s="28" t="s">
        <v>67</v>
      </c>
      <c r="B9" s="14">
        <v>4200000</v>
      </c>
      <c r="C9" s="14">
        <v>4350000</v>
      </c>
      <c r="D9" s="14">
        <v>4500000</v>
      </c>
      <c r="E9" s="14">
        <v>4600000</v>
      </c>
      <c r="F9" s="14">
        <v>4800000</v>
      </c>
      <c r="G9" s="14">
        <v>4950000</v>
      </c>
    </row>
    <row r="10" spans="1:7">
      <c r="A10" s="28" t="s">
        <v>68</v>
      </c>
      <c r="B10" s="14">
        <v>9800000</v>
      </c>
      <c r="C10" s="14">
        <v>10100000</v>
      </c>
      <c r="D10" s="14">
        <v>10500000</v>
      </c>
      <c r="E10" s="14">
        <v>10850000</v>
      </c>
      <c r="F10" s="14">
        <v>11300000</v>
      </c>
      <c r="G10" s="14">
        <v>11700000</v>
      </c>
    </row>
    <row r="11" spans="1:7">
      <c r="A11" s="28" t="s">
        <v>69</v>
      </c>
      <c r="B11" s="14">
        <v>6200000</v>
      </c>
      <c r="C11" s="14">
        <v>6050000</v>
      </c>
      <c r="D11" s="14">
        <v>5900000</v>
      </c>
      <c r="E11" s="14">
        <v>5750000</v>
      </c>
      <c r="F11" s="14">
        <v>5600000</v>
      </c>
      <c r="G11" s="14">
        <v>5450000</v>
      </c>
    </row>
    <row r="12" spans="1:7">
      <c r="A12" s="28" t="s">
        <v>70</v>
      </c>
      <c r="B12" s="14">
        <v>10800000</v>
      </c>
      <c r="C12" s="14">
        <v>10800000</v>
      </c>
      <c r="D12" s="14">
        <v>10800000</v>
      </c>
      <c r="E12" s="14">
        <v>10800000</v>
      </c>
      <c r="F12" s="14">
        <v>10800000</v>
      </c>
      <c r="G12" s="14">
        <v>10800000</v>
      </c>
    </row>
    <row r="13" spans="1:7" ht="4.5" customHeight="1">
      <c r="A13" s="15"/>
      <c r="B13" s="15"/>
      <c r="C13" s="15"/>
      <c r="D13" s="15"/>
      <c r="E13" s="15"/>
      <c r="F13" s="15"/>
      <c r="G13" s="15"/>
    </row>
    <row r="14" spans="1:7">
      <c r="A14" s="40" t="s">
        <v>71</v>
      </c>
      <c r="B14" s="40"/>
      <c r="C14" s="40"/>
      <c r="D14" s="40"/>
      <c r="E14" s="40"/>
      <c r="F14" s="40"/>
      <c r="G14" s="40"/>
    </row>
    <row r="15" spans="1:7">
      <c r="A15" s="28" t="s">
        <v>18</v>
      </c>
      <c r="B15" s="14">
        <v>1250000</v>
      </c>
      <c r="C15" s="14">
        <v>980000</v>
      </c>
      <c r="D15" s="14">
        <v>1420000</v>
      </c>
      <c r="E15" s="14">
        <v>1100000</v>
      </c>
      <c r="F15" s="14">
        <v>1350000</v>
      </c>
      <c r="G15" s="14">
        <v>1200000</v>
      </c>
    </row>
    <row r="16" spans="1:7">
      <c r="A16" s="28" t="s">
        <v>72</v>
      </c>
      <c r="B16" s="14">
        <v>520000</v>
      </c>
      <c r="C16" s="14">
        <v>545000</v>
      </c>
      <c r="D16" s="14">
        <v>570000</v>
      </c>
      <c r="E16" s="14">
        <v>590000</v>
      </c>
      <c r="F16" s="14">
        <v>615000</v>
      </c>
      <c r="G16" s="14">
        <v>640000</v>
      </c>
    </row>
    <row r="17" spans="1:7">
      <c r="A17" s="28" t="s">
        <v>73</v>
      </c>
      <c r="B17" s="14">
        <v>185000</v>
      </c>
      <c r="C17" s="14">
        <v>195000</v>
      </c>
      <c r="D17" s="14">
        <v>205000</v>
      </c>
      <c r="E17" s="14">
        <v>215000</v>
      </c>
      <c r="F17" s="14">
        <v>225000</v>
      </c>
      <c r="G17" s="14">
        <v>235000</v>
      </c>
    </row>
    <row r="18" spans="1:7">
      <c r="A18" s="28" t="s">
        <v>74</v>
      </c>
      <c r="B18" s="14">
        <v>210000</v>
      </c>
      <c r="C18" s="14">
        <v>220000</v>
      </c>
      <c r="D18" s="14">
        <v>230000</v>
      </c>
      <c r="E18" s="14">
        <v>240000</v>
      </c>
      <c r="F18" s="14">
        <v>250000</v>
      </c>
      <c r="G18" s="14">
        <v>260000</v>
      </c>
    </row>
    <row r="19" spans="1:7">
      <c r="A19" s="23" t="s">
        <v>4</v>
      </c>
      <c r="B19" s="27">
        <v>57465000</v>
      </c>
      <c r="C19" s="27">
        <v>58390000</v>
      </c>
      <c r="D19" s="27">
        <v>60685000</v>
      </c>
      <c r="E19" s="27">
        <v>61475000</v>
      </c>
      <c r="F19" s="27">
        <v>63990000</v>
      </c>
      <c r="G19" s="27">
        <v>65355000</v>
      </c>
    </row>
    <row r="20" spans="1:7" ht="4.5" customHeight="1"/>
    <row r="21" spans="1:7">
      <c r="A21" s="41" t="s">
        <v>19</v>
      </c>
      <c r="B21" s="41"/>
      <c r="C21" s="41"/>
      <c r="D21" s="41"/>
      <c r="E21" s="41"/>
      <c r="F21" s="41"/>
      <c r="G21" s="41"/>
    </row>
    <row r="22" spans="1:7">
      <c r="A22" s="39" t="s">
        <v>20</v>
      </c>
      <c r="B22" s="39"/>
      <c r="C22" s="39"/>
      <c r="D22" s="39"/>
      <c r="E22" s="39"/>
      <c r="F22" s="39"/>
      <c r="G22" s="39"/>
    </row>
    <row r="23" spans="1:7">
      <c r="A23" s="28" t="s">
        <v>75</v>
      </c>
      <c r="B23" s="14">
        <v>12000000</v>
      </c>
      <c r="C23" s="14">
        <v>12500000</v>
      </c>
      <c r="D23" s="14">
        <v>13000000</v>
      </c>
      <c r="E23" s="14">
        <v>12500000</v>
      </c>
      <c r="F23" s="14">
        <v>13000000</v>
      </c>
      <c r="G23" s="14">
        <v>12500000</v>
      </c>
    </row>
    <row r="24" spans="1:7">
      <c r="A24" s="28" t="s">
        <v>76</v>
      </c>
      <c r="B24" s="14">
        <v>6000000</v>
      </c>
      <c r="C24" s="14">
        <v>6000000</v>
      </c>
      <c r="D24" s="14">
        <v>6000000</v>
      </c>
      <c r="E24" s="14">
        <v>6000000</v>
      </c>
      <c r="F24" s="14">
        <v>6000000</v>
      </c>
      <c r="G24" s="14">
        <v>6000000</v>
      </c>
    </row>
    <row r="25" spans="1:7">
      <c r="A25" s="28" t="s">
        <v>77</v>
      </c>
      <c r="B25" s="14">
        <v>2500000</v>
      </c>
      <c r="C25" s="14">
        <v>2500000</v>
      </c>
      <c r="D25" s="14">
        <v>2500000</v>
      </c>
      <c r="E25" s="14">
        <v>2500000</v>
      </c>
      <c r="F25" s="14">
        <v>2500000</v>
      </c>
      <c r="G25" s="14">
        <v>2500000</v>
      </c>
    </row>
    <row r="26" spans="1:7">
      <c r="A26" s="28" t="s">
        <v>21</v>
      </c>
      <c r="B26" s="14">
        <v>1000000</v>
      </c>
      <c r="C26" s="14">
        <v>1000000</v>
      </c>
      <c r="D26" s="14">
        <v>1000000</v>
      </c>
      <c r="E26" s="14">
        <v>1000000</v>
      </c>
      <c r="F26" s="14">
        <v>1000000</v>
      </c>
      <c r="G26" s="14">
        <v>1000000</v>
      </c>
    </row>
    <row r="27" spans="1:7">
      <c r="A27" s="29" t="s">
        <v>7</v>
      </c>
      <c r="B27" s="30">
        <v>21500000</v>
      </c>
      <c r="C27" s="30">
        <v>22000000</v>
      </c>
      <c r="D27" s="30">
        <v>22500000</v>
      </c>
      <c r="E27" s="30">
        <v>22000000</v>
      </c>
      <c r="F27" s="30">
        <v>22500000</v>
      </c>
      <c r="G27" s="30">
        <v>22000000</v>
      </c>
    </row>
    <row r="28" spans="1:7" ht="4.5" customHeight="1">
      <c r="A28" s="15"/>
      <c r="B28" s="15"/>
      <c r="C28" s="15"/>
      <c r="D28" s="15"/>
      <c r="E28" s="15"/>
      <c r="F28" s="15"/>
      <c r="G28" s="15"/>
    </row>
    <row r="29" spans="1:7">
      <c r="A29" s="40" t="s">
        <v>22</v>
      </c>
      <c r="B29" s="40"/>
      <c r="C29" s="40"/>
      <c r="D29" s="40"/>
      <c r="E29" s="40"/>
      <c r="F29" s="40"/>
      <c r="G29" s="40"/>
    </row>
    <row r="30" spans="1:7">
      <c r="A30" s="28" t="s">
        <v>78</v>
      </c>
      <c r="B30" s="14">
        <v>9700000</v>
      </c>
      <c r="C30" s="14">
        <v>10000000</v>
      </c>
      <c r="D30" s="14">
        <v>10400000</v>
      </c>
      <c r="E30" s="14">
        <v>10750000</v>
      </c>
      <c r="F30" s="14">
        <v>11200000</v>
      </c>
      <c r="G30" s="14">
        <v>11600000</v>
      </c>
    </row>
    <row r="31" spans="1:7">
      <c r="A31" s="28" t="s">
        <v>79</v>
      </c>
      <c r="B31" s="14">
        <v>920000</v>
      </c>
      <c r="C31" s="14">
        <v>960000</v>
      </c>
      <c r="D31" s="14">
        <v>1000000</v>
      </c>
      <c r="E31" s="14">
        <v>1040000</v>
      </c>
      <c r="F31" s="14">
        <v>1080000</v>
      </c>
      <c r="G31" s="14">
        <v>1120000</v>
      </c>
    </row>
    <row r="32" spans="1:7">
      <c r="A32" s="28" t="s">
        <v>23</v>
      </c>
      <c r="B32" s="14">
        <v>680000</v>
      </c>
      <c r="C32" s="14">
        <v>715000</v>
      </c>
      <c r="D32" s="14">
        <v>750000</v>
      </c>
      <c r="E32" s="14">
        <v>780000</v>
      </c>
      <c r="F32" s="14">
        <v>815000</v>
      </c>
      <c r="G32" s="14">
        <v>850000</v>
      </c>
    </row>
    <row r="33" spans="1:7">
      <c r="A33" s="23" t="s">
        <v>5</v>
      </c>
      <c r="B33" s="27">
        <v>32800000</v>
      </c>
      <c r="C33" s="27">
        <v>33675000</v>
      </c>
      <c r="D33" s="27">
        <v>34650000</v>
      </c>
      <c r="E33" s="27">
        <v>34570000</v>
      </c>
      <c r="F33" s="27">
        <v>35595000</v>
      </c>
      <c r="G33" s="27">
        <v>35570000</v>
      </c>
    </row>
    <row r="34" spans="1:7" ht="4.5" customHeight="1"/>
    <row r="35" spans="1:7">
      <c r="A35" s="41" t="s">
        <v>24</v>
      </c>
      <c r="B35" s="41"/>
      <c r="C35" s="41"/>
      <c r="D35" s="41"/>
      <c r="E35" s="41"/>
      <c r="F35" s="41"/>
      <c r="G35" s="41"/>
    </row>
    <row r="36" spans="1:7">
      <c r="A36" s="12" t="s">
        <v>80</v>
      </c>
      <c r="B36" s="14">
        <v>18500000</v>
      </c>
      <c r="C36" s="14">
        <v>18700000</v>
      </c>
      <c r="D36" s="14">
        <v>18900000</v>
      </c>
      <c r="E36" s="14">
        <v>19050000</v>
      </c>
      <c r="F36" s="14">
        <v>19200000</v>
      </c>
      <c r="G36" s="14">
        <v>19350000</v>
      </c>
    </row>
    <row r="37" spans="1:7">
      <c r="A37" s="12" t="s">
        <v>25</v>
      </c>
      <c r="B37" s="13">
        <v>6165000</v>
      </c>
      <c r="C37" s="13">
        <v>6015000</v>
      </c>
      <c r="D37" s="13">
        <v>7135000</v>
      </c>
      <c r="E37" s="13">
        <v>7855000</v>
      </c>
      <c r="F37" s="13">
        <v>9195000</v>
      </c>
      <c r="G37" s="13">
        <v>10435000</v>
      </c>
    </row>
    <row r="38" spans="1:7">
      <c r="A38" s="25" t="s">
        <v>26</v>
      </c>
      <c r="B38" s="26">
        <v>24665000</v>
      </c>
      <c r="C38" s="26">
        <v>24715000</v>
      </c>
      <c r="D38" s="26">
        <v>26035000</v>
      </c>
      <c r="E38" s="26">
        <v>26905000</v>
      </c>
      <c r="F38" s="26">
        <v>28395000</v>
      </c>
      <c r="G38" s="26">
        <v>29785000</v>
      </c>
    </row>
    <row r="39" spans="1:7">
      <c r="A39" s="23" t="s">
        <v>27</v>
      </c>
      <c r="B39" s="27">
        <v>57465000</v>
      </c>
      <c r="C39" s="27">
        <v>58390000</v>
      </c>
      <c r="D39" s="27">
        <v>60685000</v>
      </c>
      <c r="E39" s="27">
        <v>61475000</v>
      </c>
      <c r="F39" s="27">
        <v>63990000</v>
      </c>
      <c r="G39" s="27">
        <v>65355000</v>
      </c>
    </row>
    <row r="40" spans="1:7" ht="4.5" customHeight="1"/>
  </sheetData>
  <mergeCells count="9">
    <mergeCell ref="A22:G22"/>
    <mergeCell ref="A29:G29"/>
    <mergeCell ref="A35:G35"/>
    <mergeCell ref="A1:G1"/>
    <mergeCell ref="A2:G2"/>
    <mergeCell ref="A4:G4"/>
    <mergeCell ref="A5:G5"/>
    <mergeCell ref="A14:G14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19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3">
      <c r="A1" s="6" t="s">
        <v>2</v>
      </c>
      <c r="B1" s="6" t="s">
        <v>0</v>
      </c>
      <c r="C1" s="6" t="s">
        <v>61</v>
      </c>
    </row>
    <row r="2" spans="1:3">
      <c r="A2" s="3" t="s">
        <v>43</v>
      </c>
      <c r="B2" s="8"/>
      <c r="C2" s="10" t="s">
        <v>30</v>
      </c>
    </row>
    <row r="3" spans="1:3">
      <c r="A3" s="3" t="s">
        <v>44</v>
      </c>
      <c r="B3" s="8"/>
      <c r="C3" s="10" t="s">
        <v>30</v>
      </c>
    </row>
    <row r="4" spans="1:3">
      <c r="A4" s="3" t="s">
        <v>45</v>
      </c>
      <c r="B4" s="8"/>
      <c r="C4" s="10" t="s">
        <v>30</v>
      </c>
    </row>
    <row r="5" spans="1:3">
      <c r="A5" s="3" t="s">
        <v>46</v>
      </c>
      <c r="B5" s="8"/>
      <c r="C5" s="10" t="s">
        <v>30</v>
      </c>
    </row>
    <row r="6" spans="1:3">
      <c r="A6" s="3" t="s">
        <v>47</v>
      </c>
      <c r="B6" s="8"/>
      <c r="C6" s="10" t="s">
        <v>30</v>
      </c>
    </row>
    <row r="7" spans="1:3">
      <c r="A7" s="3" t="s">
        <v>48</v>
      </c>
      <c r="B7" s="8"/>
      <c r="C7" s="10" t="s">
        <v>30</v>
      </c>
    </row>
    <row r="8" spans="1:3">
      <c r="A8" s="3" t="s">
        <v>49</v>
      </c>
      <c r="B8" s="8"/>
      <c r="C8" s="10" t="s">
        <v>30</v>
      </c>
    </row>
    <row r="9" spans="1:3">
      <c r="A9" s="3" t="s">
        <v>50</v>
      </c>
      <c r="B9" s="8"/>
      <c r="C9" s="10" t="s">
        <v>30</v>
      </c>
    </row>
    <row r="10" spans="1:3">
      <c r="A10" s="3" t="s">
        <v>51</v>
      </c>
      <c r="B10" s="8"/>
      <c r="C10" s="10" t="s">
        <v>30</v>
      </c>
    </row>
    <row r="11" spans="1:3">
      <c r="A11" s="3" t="s">
        <v>52</v>
      </c>
      <c r="B11" s="8"/>
      <c r="C11" s="10" t="s">
        <v>30</v>
      </c>
    </row>
    <row r="12" spans="1:3">
      <c r="A12" s="3" t="s">
        <v>53</v>
      </c>
      <c r="B12" s="8"/>
      <c r="C12" s="10" t="s">
        <v>30</v>
      </c>
    </row>
    <row r="13" spans="1:3">
      <c r="A13" s="3" t="s">
        <v>54</v>
      </c>
      <c r="B13" s="8"/>
      <c r="C13" s="10" t="s">
        <v>30</v>
      </c>
    </row>
    <row r="14" spans="1:3">
      <c r="A14" s="3" t="s">
        <v>55</v>
      </c>
      <c r="B14" s="8"/>
      <c r="C14" s="10" t="s">
        <v>30</v>
      </c>
    </row>
    <row r="15" spans="1:3">
      <c r="A15" s="3" t="s">
        <v>56</v>
      </c>
      <c r="B15" s="8"/>
      <c r="C15" s="10" t="s">
        <v>30</v>
      </c>
    </row>
    <row r="16" spans="1:3">
      <c r="A16" s="3" t="s">
        <v>57</v>
      </c>
      <c r="B16" s="8"/>
      <c r="C16" s="10" t="s">
        <v>30</v>
      </c>
    </row>
    <row r="17" spans="1:3">
      <c r="A17" s="3" t="s">
        <v>58</v>
      </c>
      <c r="B17" s="8"/>
      <c r="C17" s="10" t="s">
        <v>30</v>
      </c>
    </row>
    <row r="18" spans="1:3">
      <c r="A18" s="3" t="s">
        <v>59</v>
      </c>
      <c r="B18" s="8"/>
      <c r="C18" s="10" t="s">
        <v>30</v>
      </c>
    </row>
    <row r="19" spans="1:3">
      <c r="A19" s="3" t="s">
        <v>60</v>
      </c>
      <c r="B19" s="8"/>
      <c r="C19" s="10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Assumptions</vt:lpstr>
      <vt:lpstr>Balance Sheet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2026-05-17T01:17:04Z</dcterms:modified>
</cp:coreProperties>
</file>