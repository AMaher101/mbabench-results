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Retirement _ Savings Calculators\DetailedLoan\starting_files\"/>
    </mc:Choice>
  </mc:AlternateContent>
  <xr:revisionPtr revIDLastSave="0" documentId="13_ncr:1_{5A694405-7E56-4C41-9A2D-FD156BDABBF4}" xr6:coauthVersionLast="47" xr6:coauthVersionMax="47" xr10:uidLastSave="{00000000-0000-0000-0000-000000000000}"/>
  <bookViews>
    <workbookView xWindow="-108" yWindow="-108" windowWidth="23256" windowHeight="12456" xr2:uid="{9D050BFD-007E-4C38-9D7B-ED1AFA0D54D5}"/>
  </bookViews>
  <sheets>
    <sheet name="Instructions" sheetId="10" r:id="rId1"/>
    <sheet name="Assumptions" sheetId="9" r:id="rId2"/>
    <sheet name="Questions" sheetId="11"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6" i="9" l="1"/>
  <c r="A1" i="9" l="1"/>
</calcChain>
</file>

<file path=xl/sharedStrings.xml><?xml version="1.0" encoding="utf-8"?>
<sst xmlns="http://schemas.openxmlformats.org/spreadsheetml/2006/main" count="288" uniqueCount="184">
  <si>
    <t>[$]</t>
  </si>
  <si>
    <t>[years]</t>
  </si>
  <si>
    <t>End Sheet</t>
  </si>
  <si>
    <t>Assumptions sheet may be also in the text on the Instructions tab - please use the assumptions on this sheet for your model</t>
  </si>
  <si>
    <t>Questions (please round your answers to two decimal places)</t>
  </si>
  <si>
    <t>Answers</t>
  </si>
  <si>
    <t>Unit</t>
  </si>
  <si>
    <t>Answer the questions with the results from your model.</t>
  </si>
  <si>
    <t>Loan Information</t>
  </si>
  <si>
    <t>First payment date</t>
  </si>
  <si>
    <t>Loan Amount</t>
  </si>
  <si>
    <t>Interest rate</t>
  </si>
  <si>
    <t>[% p.a.]</t>
  </si>
  <si>
    <t>Loan Duration</t>
  </si>
  <si>
    <t>Payment Frequency</t>
  </si>
  <si>
    <t>Compound Period</t>
  </si>
  <si>
    <t>Payment Type</t>
  </si>
  <si>
    <t>Loan Type</t>
  </si>
  <si>
    <t>Remaining Amount in the end</t>
  </si>
  <si>
    <t>Task:</t>
  </si>
  <si>
    <t>Wealth Management Task</t>
  </si>
  <si>
    <t>If that's not enough, the person will use credit card debt, to cover expenses (even if this would lead to a debt spiral).</t>
  </si>
  <si>
    <t>Investments are tax free.</t>
  </si>
  <si>
    <t>Model information</t>
  </si>
  <si>
    <t>Start date</t>
  </si>
  <si>
    <t>Age at start date</t>
  </si>
  <si>
    <t>Retirement age</t>
  </si>
  <si>
    <t>Maximum age</t>
  </si>
  <si>
    <t>Months per year</t>
  </si>
  <si>
    <t>Salary information</t>
  </si>
  <si>
    <t>Initial salary</t>
  </si>
  <si>
    <t>Annual regular salary increase</t>
  </si>
  <si>
    <t>[%]</t>
  </si>
  <si>
    <t>Promotion salary increase</t>
  </si>
  <si>
    <t>Promotion every:</t>
  </si>
  <si>
    <t>Income Tax</t>
  </si>
  <si>
    <t>Tax Rate</t>
  </si>
  <si>
    <t>0 – 11,600</t>
  </si>
  <si>
    <t>11,600.01 – 17,000</t>
  </si>
  <si>
    <t>17,000.01 – 25,000</t>
  </si>
  <si>
    <t>25,000.01 – 40,000</t>
  </si>
  <si>
    <t>40,000.01 – 60,000</t>
  </si>
  <si>
    <t>60,000.01 – 80,000</t>
  </si>
  <si>
    <t>Debt</t>
  </si>
  <si>
    <t>Investments</t>
  </si>
  <si>
    <t>Cash on Hand (model start)</t>
  </si>
  <si>
    <t>Investment interest (before retirement)</t>
  </si>
  <si>
    <t>Retirement / Savings Calculators - Detailed Loan</t>
  </si>
  <si>
    <t>Weekly</t>
  </si>
  <si>
    <t>Semi-Monthly</t>
  </si>
  <si>
    <t>End of the period</t>
  </si>
  <si>
    <t>Annuity Loan</t>
  </si>
  <si>
    <t>Person A</t>
  </si>
  <si>
    <t>Person B</t>
  </si>
  <si>
    <t>both</t>
  </si>
  <si>
    <t>Spending with housing</t>
  </si>
  <si>
    <t>Spending without housing</t>
  </si>
  <si>
    <t>House</t>
  </si>
  <si>
    <t>Price</t>
  </si>
  <si>
    <t>(2027 figure)</t>
  </si>
  <si>
    <t>Additional buying costs</t>
  </si>
  <si>
    <t>Tax rates are constant</t>
  </si>
  <si>
    <t>Credit Card 1 - Opening Balance</t>
  </si>
  <si>
    <t>Credit Card 1 - Interest rate</t>
  </si>
  <si>
    <t>Credit Card 2 - Opening Balance</t>
  </si>
  <si>
    <t>Credit Card 2 - Interest rate</t>
  </si>
  <si>
    <t>Student Loan 1 - Opening Balance</t>
  </si>
  <si>
    <t>Student Loan 2 - Interest rate</t>
  </si>
  <si>
    <t>Student Loan 1 - Interest rate</t>
  </si>
  <si>
    <t>Expenses (monthly) - both partners together</t>
  </si>
  <si>
    <t>80,000.01 – 210,000</t>
  </si>
  <si>
    <t>210,000.01 and above</t>
  </si>
  <si>
    <t>Loan closing date</t>
  </si>
  <si>
    <t>You are given assumptions about a married couple - you have to build their monthly financial life plan.</t>
  </si>
  <si>
    <t>The couple is consisting of a person A 26 years old and a person B 27 years old.</t>
  </si>
  <si>
    <t>They have to pay taxes on the brt. Income - they are filling taxes separately.</t>
  </si>
  <si>
    <t>Both persons are spending monthly.</t>
  </si>
  <si>
    <t>Payments are due at the end of each period.</t>
  </si>
  <si>
    <t>The loan has a principal amount of $750,000.00 with no remaining balance at maturity.</t>
  </si>
  <si>
    <t>The annual nominal interest rate is 6.78% p.a. over a total duration of 20.00 years.</t>
  </si>
  <si>
    <t>The loan closing date is September 30, 2036, and the first payment date is March 30, 2037.</t>
  </si>
  <si>
    <t>Thereafter, the loan is structured as an annuity loan with payments made weekly, while interest is compounded on a semi-monthly basis.</t>
  </si>
  <si>
    <t>Both have to repay their credit card debt as well as their student loans.</t>
  </si>
  <si>
    <t>Cash on Hand (goal)</t>
  </si>
  <si>
    <t>The cash on hand is used as emergency fund and is not used to repay debt or make other payments (just liquidity).</t>
  </si>
  <si>
    <t>[months of combined brt. salary]</t>
  </si>
  <si>
    <t>Assume that all payments are made/received at the end of a month (ie. % are calculated on the opening balances)/ all changes take place at the end of the month.</t>
  </si>
  <si>
    <t>Student Loan 2 - Opening Balance</t>
  </si>
  <si>
    <t>The following rates are EAR and have to be converted to monthly rates (not listed rates are specified separately):</t>
  </si>
  <si>
    <t>- General inflation including housing</t>
  </si>
  <si>
    <t>- Housing inflation</t>
  </si>
  <si>
    <t>- Credit Card 1 - Interest rate</t>
  </si>
  <si>
    <t>- Credit Card 2 - Interest rate</t>
  </si>
  <si>
    <t>- Student Loan 1 - Interest rate</t>
  </si>
  <si>
    <t>- Student Loan 2 - Interest rate</t>
  </si>
  <si>
    <t>- Investment interest (before retirement)</t>
  </si>
  <si>
    <t>- Investment interest (after retirement)</t>
  </si>
  <si>
    <t>Promotions can happen also mid-year, then the last months salary is increased by the given percentage.</t>
  </si>
  <si>
    <t>Annual Bracket increase (at the start of every year)</t>
  </si>
  <si>
    <t>All rates are therefore compounded monthly too.</t>
  </si>
  <si>
    <t>The remaining amount (after filling up cash on hand emergency fund) is used to repay debt sequential in order of their decreasing interest (there is no minimum repayment, but you try to repay as much as possible within the rules given).</t>
  </si>
  <si>
    <t>In case of insufficient funds (insufficient to cover expenses or grow cash on hand), the credit card (lowest rate) is used.</t>
  </si>
  <si>
    <r>
      <t xml:space="preserve">Funds available after </t>
    </r>
    <r>
      <rPr>
        <u/>
        <sz val="12"/>
        <color theme="1"/>
        <rFont val="Aptos"/>
        <family val="2"/>
      </rPr>
      <t>all</t>
    </r>
    <r>
      <rPr>
        <sz val="12"/>
        <color theme="1"/>
        <rFont val="Aptos"/>
        <family val="2"/>
      </rPr>
      <t xml:space="preserve"> payments (expenses, loan, debt repayment, cash top-up) are made are invested. </t>
    </r>
  </si>
  <si>
    <t>In retirement (start of the month) the person is using his savings for covering expenses (only expenses are withdrawn, not touching the emergency cash on hand fund).</t>
  </si>
  <si>
    <t>Payment date</t>
  </si>
  <si>
    <t>New worth = All assets (house, investment, cash) - all debt</t>
  </si>
  <si>
    <t>First promoted month: 67</t>
  </si>
  <si>
    <t>Taxes are calculated by taking the current monthly brt. salary * 12, calculate the taxes and then divide by 12.</t>
  </si>
  <si>
    <t>General inflation including housing (annual EAR rate)</t>
  </si>
  <si>
    <t>Housing inflation (only on the housing part) (annual EAR rate)</t>
  </si>
  <si>
    <t>They fund their house through a loan the entire purchase happens in September month-end</t>
  </si>
  <si>
    <t>First promoted month: 49</t>
  </si>
  <si>
    <r>
      <t xml:space="preserve">Both persons are working in jobs where they either get the annual salary increase (annual increases are applied in December month-end and affect salary from January onward/ until promotion then) </t>
    </r>
    <r>
      <rPr>
        <u/>
        <sz val="12"/>
        <color theme="1"/>
        <rFont val="Aptos"/>
        <family val="2"/>
      </rPr>
      <t>or</t>
    </r>
    <r>
      <rPr>
        <sz val="12"/>
        <color theme="1"/>
        <rFont val="Aptos"/>
        <family val="2"/>
      </rPr>
      <t xml:space="preserve"> are promoted with a one-time (higher) salary increase (no regular annual increase in that year if the promotion date and the annual increase date are the same).</t>
    </r>
  </si>
  <si>
    <t>Due to the calculation terms you may want to model the loan on a separate sheet - if you decide to do this, then add this to your monthly model in a meaningfull way.</t>
  </si>
  <si>
    <t>Days per week</t>
  </si>
  <si>
    <t>Salary data given are for the first model model and do not have to be increased in the first year therefore.</t>
  </si>
  <si>
    <t>There is no other information to factor in (eg. no other assets regarding net worth, no pension in retirement, no kids).</t>
  </si>
  <si>
    <t>Annual Income Range ($) - 2027 figure</t>
  </si>
  <si>
    <t>Build a monthly financial life plan (model) for the couple based on the instructions and the assumptions given.</t>
  </si>
  <si>
    <t>Move-in date (relevant for the expenses)</t>
  </si>
  <si>
    <t>(2027 ratio)</t>
  </si>
  <si>
    <t>Home purchase price/cost not covered by the loan are taken from the investment/current take home pay after expenses.</t>
  </si>
  <si>
    <t>They will buy a house as their home at a certain date, then their spending is without housing from thereone (since they are instead repaying the loan - added).</t>
  </si>
  <si>
    <t>House value appreciation/inflation</t>
  </si>
  <si>
    <t>- House value appreciation/inflation</t>
  </si>
  <si>
    <t>(of home price at time of purchase)</t>
  </si>
  <si>
    <t>To clarify the order: Expenses, Loan repayment, cash on hand fill up, debt repayment, investments</t>
  </si>
  <si>
    <t>Cash on hand should be always be 3 times their current monthly brt. salary (in retirement 3 times their last monthly brt. salary where both worked) - although they do not add additional debt to reach that goal, but adding money to the cash on hand emergency fund is preferential to repaying debt.</t>
  </si>
  <si>
    <t>(no interest on Cash on Hand)</t>
  </si>
  <si>
    <t>Investment interest (in retirement)</t>
  </si>
  <si>
    <t>(both partner in retirement)</t>
  </si>
  <si>
    <t>If investments are existing, those are used to cover expenses, before the credit card is used of course.</t>
  </si>
  <si>
    <t>What will be the amount for Cash on Hand - Ending Balance in the month ending 04/30/2039?</t>
  </si>
  <si>
    <t>What will be the amount for Cash on Hand - Ending Balance in the month ending 04/30/2049?</t>
  </si>
  <si>
    <t>What will be the amount for Cash on Hand - Ending Balance in the month ending 08/31/2035?</t>
  </si>
  <si>
    <t>What will be the amount for Cash on Hand - Ending Balance in the month ending 10/31/2106?</t>
  </si>
  <si>
    <t>What will be the amount for Cash on Hand - Ending Balance in the month ending 11/30/2050?</t>
  </si>
  <si>
    <t>What will be the amount for Cash on Hand - Ending Balance in the month ending 11/30/2086?</t>
  </si>
  <si>
    <t>What will be the amount for Cash on Hand - Ending Balance in the month ending 12/31/2036?</t>
  </si>
  <si>
    <t>What will be the amount for Combined Take Home Pay in the month ending 07/31/2046?</t>
  </si>
  <si>
    <t>What will be the amount for Combined Take Home Pay in the month ending 07/31/2050?</t>
  </si>
  <si>
    <t>What will be the amount for Combined Take Home Pay in the month ending 12/31/2030?</t>
  </si>
  <si>
    <t>What will be the amount for Credit Card 1 - Ending Balance in the month ending 03/31/2042?</t>
  </si>
  <si>
    <t>What will be the amount for Credit Card 2 - Ending Balance in the month ending 03/31/2042?</t>
  </si>
  <si>
    <t>What will be the amount for Credit Card 2 - Ending Balance in the month ending 07/31/2087?</t>
  </si>
  <si>
    <t>What will be the amount for Home Value in the month ending 01/31/2087?</t>
  </si>
  <si>
    <t>What will be the amount for Home Value in the month ending 01/31/2089?</t>
  </si>
  <si>
    <t>What will be the amount for Home Value in the month ending 03/31/2110?</t>
  </si>
  <si>
    <t>What will be the amount for Home Value in the month ending 04/30/2097?</t>
  </si>
  <si>
    <t>What will be the amount for Home Value in the month ending 05/31/2107?</t>
  </si>
  <si>
    <t>What will be the amount for Home Value in the month ending 08/31/2060?</t>
  </si>
  <si>
    <t>What will be the amount for Home Value in the month ending 09/30/2111?</t>
  </si>
  <si>
    <t>What will be the amount for Home Value in the month ending 10/31/2041?</t>
  </si>
  <si>
    <t>What will be the amount for Investments Ending Balance in the month ending 01/31/2033?</t>
  </si>
  <si>
    <t>What will be the amount for Investments Ending Balance in the month ending 04/30/2048?</t>
  </si>
  <si>
    <t>What will be the amount for Net Worth in the month ending 02/29/2076?</t>
  </si>
  <si>
    <t>What will be the amount for Net Worth in the month ending 04/30/2105?</t>
  </si>
  <si>
    <t>What will be the amount for Net Worth in the month ending 07/31/2037?</t>
  </si>
  <si>
    <t>What will be the amount for Net Worth in the month ending 08/31/2069?</t>
  </si>
  <si>
    <t>What will be the amount for Total Assets in the month ending 04/30/2059?</t>
  </si>
  <si>
    <t>What will be the amount for Total Assets in the month ending 05/31/2090?</t>
  </si>
  <si>
    <t>What will be the amount for Total Assets in the month ending 07/31/2036?</t>
  </si>
  <si>
    <t>What will be the amount for Total Assets in the month ending 11/30/2053?</t>
  </si>
  <si>
    <t>What will be the amount for Total Assets in the month ending 12/31/2094?</t>
  </si>
  <si>
    <t>What will be the amount for Total Assets in the month ending 12/31/2097?</t>
  </si>
  <si>
    <t>What will be the amount for Total Liabilities in the month ending 01/31/2098?</t>
  </si>
  <si>
    <t>What will be the amount for Total Liabilities in the month ending 02/28/2041?</t>
  </si>
  <si>
    <t>What will be the amount for Total Liabilities in the month ending 10/31/2036?</t>
  </si>
  <si>
    <t>What will be the amount for Investments Ending Balance in the month ending 10/31/2045?</t>
  </si>
  <si>
    <t>What will be the amount for Investments Ending Balance in the month ending 11/30/2048?</t>
  </si>
  <si>
    <t>What will be the amount for Investments Ending Balance in the month ending 12/31/2050?</t>
  </si>
  <si>
    <t>What will be the amount for Investments Ending Balance in the month ending 12/31/2052?</t>
  </si>
  <si>
    <t>What will be the amount for Investments Ending Balance in the month ending 12/31/2054?</t>
  </si>
  <si>
    <t>What will be the amount for Investments Ending Balance in the month ending 12/31/2059?</t>
  </si>
  <si>
    <t>What will be the amount for Student Loan 2 - Ending Balance in the month ending 04/30/2031?</t>
  </si>
  <si>
    <t>What will be the amount for Student Loan 2 - Ending Balance in the month ending 04/30/2032?</t>
  </si>
  <si>
    <t>What will be the amount for Student Loan 2 - Ending Balance in the month ending 05/31/2034?</t>
  </si>
  <si>
    <t>What will be the amount for Combined Take Home Pay in the month ending 01/31/2049?</t>
  </si>
  <si>
    <t>What will be the amount for Combined Take Home Pay in the month ending 02/28/2033?</t>
  </si>
  <si>
    <t>What will be the amount for Combined Take Home Pay in the month ending 04/30/2036?</t>
  </si>
  <si>
    <t>What will be the amount for Annuity Loan Home - Ending Balance in the month ending 09/30/2042?</t>
  </si>
  <si>
    <t>What will be the amount for Investments Ending Balance in the month ending 02/28/2047?</t>
  </si>
  <si>
    <t>Loan terms are defined as follows (model the weekly loan payments precisely (do not approximate the weekly schedule into monthly equivalents)).</t>
  </si>
  <si>
    <t>From closing until the first payment date, interest-only payments are made (paid as expenses) on a weekly basis (may be a partial interest-payment the day before the first (real) payment is happening).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</si>
</sst>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
    <numFmt numFmtId="165" formatCode="#,##0.00_);\(#,##0.00\);\-"/>
    <numFmt numFmtId="166" formatCode="#,##0.0"/>
  </numFmts>
  <fonts count="18">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0"/>
      <color rgb="FF0000FF"/>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rial"/>
      <family val="2"/>
    </font>
    <font>
      <sz val="10"/>
      <color rgb="FF0000FF"/>
      <name val="Arial"/>
      <family val="2"/>
    </font>
    <font>
      <sz val="8"/>
      <name val="Aptos Narrow"/>
      <family val="2"/>
      <scheme val="minor"/>
    </font>
    <font>
      <sz val="11"/>
      <color theme="1"/>
      <name val="Roboto"/>
    </font>
    <font>
      <sz val="11"/>
      <name val="Roboto"/>
    </font>
    <font>
      <b/>
      <sz val="48"/>
      <color theme="0"/>
      <name val="ROBOTECH GP"/>
      <family val="2"/>
    </font>
    <font>
      <b/>
      <sz val="24"/>
      <color theme="0"/>
      <name val="ROBOTECH GP"/>
      <family val="2"/>
    </font>
    <font>
      <sz val="12"/>
      <color theme="1"/>
      <name val="Aptos"/>
      <family val="2"/>
    </font>
    <font>
      <b/>
      <sz val="12"/>
      <color theme="1"/>
      <name val="Aptos Narrow"/>
      <family val="2"/>
      <scheme val="minor"/>
    </font>
    <font>
      <u/>
      <sz val="12"/>
      <color theme="1"/>
      <name val="Aptos"/>
      <family val="2"/>
    </font>
  </fonts>
  <fills count="7">
    <fill>
      <patternFill patternType="none"/>
    </fill>
    <fill>
      <patternFill patternType="gray125"/>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gradientFill>
        <stop position="0">
          <color rgb="FF007B00"/>
        </stop>
        <stop position="1">
          <color rgb="FF020024"/>
        </stop>
      </gradientFill>
    </fill>
    <fill>
      <patternFill patternType="solid">
        <fgColor theme="7" tint="0.79998168889431442"/>
        <bgColor indexed="64"/>
      </patternFill>
    </fill>
  </fills>
  <borders count="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7">
    <xf numFmtId="0" fontId="0" fillId="0" borderId="0"/>
    <xf numFmtId="0" fontId="1" fillId="0" borderId="0"/>
    <xf numFmtId="0" fontId="3" fillId="0" borderId="0"/>
    <xf numFmtId="4" fontId="6" fillId="3" borderId="1">
      <alignment horizontal="left"/>
    </xf>
    <xf numFmtId="164" fontId="8" fillId="0" borderId="0" applyBorder="0"/>
    <xf numFmtId="164" fontId="9" fillId="2" borderId="2">
      <protection locked="0"/>
    </xf>
    <xf numFmtId="0" fontId="9" fillId="0" borderId="0" applyNumberFormat="0" applyFill="0" applyBorder="0">
      <alignment horizontal="right"/>
    </xf>
  </cellStyleXfs>
  <cellXfs count="31">
    <xf numFmtId="0" fontId="0" fillId="0" borderId="0" xfId="0"/>
    <xf numFmtId="0" fontId="2" fillId="0" borderId="0" xfId="0" applyFont="1"/>
    <xf numFmtId="4" fontId="5" fillId="2" borderId="2" xfId="0" applyNumberFormat="1" applyFont="1" applyFill="1" applyBorder="1"/>
    <xf numFmtId="4" fontId="7" fillId="4" borderId="1" xfId="3" applyFont="1" applyFill="1">
      <alignment horizontal="left"/>
    </xf>
    <xf numFmtId="4" fontId="2" fillId="4" borderId="1" xfId="3" applyFont="1" applyFill="1">
      <alignment horizontal="left"/>
    </xf>
    <xf numFmtId="0" fontId="4" fillId="0" borderId="0" xfId="0" applyFont="1"/>
    <xf numFmtId="14" fontId="5" fillId="2" borderId="2" xfId="0" applyNumberFormat="1" applyFont="1" applyFill="1" applyBorder="1"/>
    <xf numFmtId="165" fontId="9" fillId="0" borderId="0" xfId="6" applyNumberFormat="1">
      <alignment horizontal="right"/>
    </xf>
    <xf numFmtId="0" fontId="11" fillId="0" borderId="0" xfId="1" applyFont="1"/>
    <xf numFmtId="0" fontId="12" fillId="0" borderId="0" xfId="1" applyFont="1"/>
    <xf numFmtId="0" fontId="11" fillId="0" borderId="0" xfId="1" applyFont="1" applyAlignment="1">
      <alignment horizontal="center"/>
    </xf>
    <xf numFmtId="0" fontId="12" fillId="0" borderId="0" xfId="1" applyFont="1" applyAlignment="1">
      <alignment horizontal="center"/>
    </xf>
    <xf numFmtId="0" fontId="15" fillId="0" borderId="0" xfId="0" applyFont="1" applyAlignment="1">
      <alignment vertical="center"/>
    </xf>
    <xf numFmtId="0" fontId="16" fillId="0" borderId="0" xfId="2" applyFont="1"/>
    <xf numFmtId="0" fontId="3" fillId="0" borderId="0" xfId="2"/>
    <xf numFmtId="0" fontId="11" fillId="0" borderId="0" xfId="1" applyFont="1" applyAlignment="1">
      <alignment horizontal="left"/>
    </xf>
    <xf numFmtId="165" fontId="9" fillId="0" borderId="0" xfId="6" applyNumberFormat="1" applyAlignment="1">
      <alignment horizontal="left"/>
    </xf>
    <xf numFmtId="10" fontId="5" fillId="2" borderId="2" xfId="0" applyNumberFormat="1" applyFont="1" applyFill="1" applyBorder="1"/>
    <xf numFmtId="4" fontId="11" fillId="6" borderId="2" xfId="1" quotePrefix="1" applyNumberFormat="1" applyFont="1" applyFill="1" applyBorder="1" applyAlignment="1">
      <alignment horizontal="center"/>
    </xf>
    <xf numFmtId="3" fontId="5" fillId="2" borderId="2" xfId="0" applyNumberFormat="1" applyFont="1" applyFill="1" applyBorder="1"/>
    <xf numFmtId="4" fontId="0" fillId="0" borderId="0" xfId="0" applyNumberFormat="1"/>
    <xf numFmtId="10" fontId="0" fillId="0" borderId="0" xfId="0" applyNumberFormat="1"/>
    <xf numFmtId="166" fontId="5" fillId="2" borderId="2" xfId="0" applyNumberFormat="1" applyFont="1" applyFill="1" applyBorder="1"/>
    <xf numFmtId="0" fontId="15" fillId="0" borderId="0" xfId="0" quotePrefix="1" applyFont="1" applyAlignment="1">
      <alignment vertical="center"/>
    </xf>
    <xf numFmtId="9" fontId="0" fillId="0" borderId="0" xfId="0" applyNumberFormat="1"/>
    <xf numFmtId="3" fontId="0" fillId="0" borderId="0" xfId="0" applyNumberFormat="1"/>
    <xf numFmtId="0" fontId="13" fillId="5" borderId="3" xfId="2" applyFont="1" applyFill="1" applyBorder="1" applyAlignment="1">
      <alignment horizontal="center" vertical="center"/>
    </xf>
    <xf numFmtId="0" fontId="13" fillId="5" borderId="1" xfId="2" applyFont="1" applyFill="1" applyBorder="1" applyAlignment="1">
      <alignment horizontal="center" vertical="center"/>
    </xf>
    <xf numFmtId="0" fontId="13" fillId="5" borderId="4" xfId="2" applyFont="1" applyFill="1" applyBorder="1" applyAlignment="1">
      <alignment horizontal="center" vertical="center"/>
    </xf>
    <xf numFmtId="0" fontId="14" fillId="5" borderId="5" xfId="2" applyFont="1" applyFill="1" applyBorder="1" applyAlignment="1">
      <alignment horizontal="center" vertical="center"/>
    </xf>
    <xf numFmtId="0" fontId="14" fillId="5" borderId="0" xfId="2" applyFont="1" applyFill="1" applyAlignment="1">
      <alignment horizontal="center" vertical="center"/>
    </xf>
  </cellXfs>
  <cellStyles count="7">
    <cellStyle name="M Section Header" xfId="3" xr:uid="{F944F0E6-F034-49F8-8B3F-D0C9E50BA2F6}"/>
    <cellStyle name="M Units" xfId="6" xr:uid="{B591442F-CADB-4FD5-9324-DD1119747805}"/>
    <cellStyle name="M-A 0dp" xfId="5" xr:uid="{80AB76FC-3C43-4EFF-B2A6-1E81FFBC781B}"/>
    <cellStyle name="M-C 0dp Num" xfId="4" xr:uid="{C7EF620F-9501-4FBB-93FF-813E47ED464B}"/>
    <cellStyle name="Normal" xfId="0" builtinId="0"/>
    <cellStyle name="Normal 2" xfId="2" xr:uid="{037B3D13-DA10-4240-9E6B-55FD128391C9}"/>
    <cellStyle name="Normal 3" xfId="1" xr:uid="{1C87C372-71EA-4FEE-904D-475CC6E0547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5585-2C4B-4272-9AD0-C24F524B71E1}">
  <sheetPr>
    <tabColor theme="8" tint="-0.249977111117893"/>
  </sheetPr>
  <dimension ref="A1:K206"/>
  <sheetViews>
    <sheetView showGridLines="0" tabSelected="1" zoomScale="80" zoomScaleNormal="80" zoomScaleSheetLayoutView="100" workbookViewId="0"/>
  </sheetViews>
  <sheetFormatPr defaultColWidth="5.21875" defaultRowHeight="14.4"/>
  <cols>
    <col min="1" max="1" width="1.88671875" style="8" customWidth="1"/>
    <col min="2" max="2" width="32.109375" style="10" customWidth="1"/>
    <col min="3" max="3" width="17.109375" style="10" bestFit="1" customWidth="1"/>
    <col min="4" max="4" width="20.88671875" style="10" bestFit="1" customWidth="1"/>
    <col min="5" max="5" width="24.109375" style="10" customWidth="1"/>
    <col min="6" max="6" width="21.5546875" style="10" customWidth="1"/>
    <col min="7" max="7" width="26.33203125" style="10" bestFit="1" customWidth="1"/>
    <col min="8" max="8" width="40.109375" style="10" customWidth="1"/>
    <col min="9" max="9" width="23.5546875" style="11" customWidth="1"/>
    <col min="10" max="10" width="23.5546875" style="9" customWidth="1"/>
    <col min="11" max="11" width="27.77734375" style="9" customWidth="1"/>
    <col min="12" max="12" width="20.5546875" style="9" customWidth="1"/>
    <col min="13" max="376" width="11.109375" style="9" bestFit="1" customWidth="1"/>
    <col min="377" max="377" width="5.21875" style="9"/>
    <col min="378" max="383" width="9.6640625" style="9" customWidth="1"/>
    <col min="384" max="384" width="5.21875" style="9"/>
    <col min="385" max="393" width="9.6640625" style="9" customWidth="1"/>
    <col min="394" max="16384" width="5.21875" style="9"/>
  </cols>
  <sheetData>
    <row r="1" spans="2:11" ht="15" customHeight="1">
      <c r="B1" s="8"/>
      <c r="C1" s="8"/>
      <c r="D1" s="8"/>
      <c r="E1" s="8"/>
      <c r="F1" s="8"/>
      <c r="G1" s="8"/>
      <c r="H1" s="8"/>
      <c r="I1" s="8"/>
      <c r="J1" s="8"/>
      <c r="K1" s="8"/>
    </row>
    <row r="2" spans="2:11" ht="60.75" customHeight="1">
      <c r="B2" s="26" t="s">
        <v>20</v>
      </c>
      <c r="C2" s="27"/>
      <c r="D2" s="27"/>
      <c r="E2" s="27"/>
      <c r="F2" s="27"/>
      <c r="G2" s="27"/>
      <c r="H2" s="27"/>
      <c r="I2" s="27"/>
      <c r="J2" s="27"/>
      <c r="K2" s="28"/>
    </row>
    <row r="3" spans="2:11" ht="15" customHeight="1">
      <c r="B3" s="8"/>
      <c r="C3" s="8"/>
      <c r="D3" s="8"/>
      <c r="E3" s="8"/>
      <c r="F3" s="8"/>
      <c r="G3" s="8"/>
      <c r="H3" s="8"/>
      <c r="I3" s="8"/>
      <c r="J3" s="8"/>
      <c r="K3" s="8"/>
    </row>
    <row r="4" spans="2:11" ht="33.75" customHeight="1">
      <c r="B4" s="29" t="s">
        <v>47</v>
      </c>
      <c r="C4" s="30"/>
      <c r="D4" s="30"/>
      <c r="E4" s="30"/>
      <c r="F4" s="30"/>
      <c r="G4" s="30"/>
      <c r="H4" s="30"/>
      <c r="I4" s="30"/>
      <c r="J4" s="8"/>
    </row>
    <row r="5" spans="2:11" ht="15" customHeight="1">
      <c r="B5" s="8"/>
      <c r="C5" s="8"/>
      <c r="D5" s="8"/>
      <c r="E5" s="8"/>
      <c r="F5" s="8"/>
      <c r="G5" s="8"/>
      <c r="H5" s="8"/>
      <c r="I5" s="8"/>
      <c r="J5" s="8"/>
      <c r="K5" s="8"/>
    </row>
    <row r="6" spans="2:11" ht="15" customHeight="1">
      <c r="B6" s="12" t="s">
        <v>73</v>
      </c>
      <c r="C6" s="8"/>
      <c r="D6" s="8"/>
      <c r="E6" s="8"/>
      <c r="F6" s="8"/>
      <c r="G6" s="8"/>
      <c r="H6" s="8"/>
      <c r="I6" s="8"/>
      <c r="J6" s="8"/>
      <c r="K6" s="8"/>
    </row>
    <row r="7" spans="2:11" ht="15" customHeight="1">
      <c r="B7" s="12" t="s">
        <v>74</v>
      </c>
      <c r="C7" s="8"/>
      <c r="D7" s="8"/>
      <c r="E7" s="8"/>
      <c r="F7" s="8"/>
      <c r="G7" s="8"/>
      <c r="H7" s="8"/>
      <c r="I7" s="8"/>
      <c r="J7" s="8"/>
      <c r="K7" s="8"/>
    </row>
    <row r="8" spans="2:11" ht="15" customHeight="1">
      <c r="B8" s="12" t="s">
        <v>112</v>
      </c>
      <c r="C8" s="8"/>
      <c r="D8" s="8"/>
      <c r="E8" s="8"/>
      <c r="F8" s="8"/>
      <c r="G8" s="8"/>
      <c r="H8" s="8"/>
      <c r="I8" s="8"/>
      <c r="J8" s="8"/>
      <c r="K8" s="8"/>
    </row>
    <row r="9" spans="2:11" ht="15" customHeight="1">
      <c r="B9" s="12" t="s">
        <v>97</v>
      </c>
      <c r="C9" s="8"/>
      <c r="D9" s="8"/>
      <c r="E9" s="8"/>
      <c r="F9" s="8"/>
      <c r="G9" s="8"/>
      <c r="H9" s="8"/>
      <c r="I9" s="8"/>
      <c r="J9" s="8"/>
      <c r="K9" s="8"/>
    </row>
    <row r="10" spans="2:11" ht="15" customHeight="1">
      <c r="B10" s="12" t="s">
        <v>115</v>
      </c>
      <c r="C10" s="8"/>
      <c r="D10" s="8"/>
      <c r="E10" s="8"/>
      <c r="F10" s="8"/>
      <c r="G10" s="8"/>
      <c r="H10" s="8"/>
      <c r="I10" s="8"/>
      <c r="J10" s="8"/>
      <c r="K10" s="8"/>
    </row>
    <row r="11" spans="2:11" ht="15" customHeight="1">
      <c r="B11" s="12" t="s">
        <v>75</v>
      </c>
      <c r="C11" s="8"/>
      <c r="D11" s="8"/>
      <c r="E11" s="8"/>
      <c r="F11" s="8"/>
      <c r="G11" s="8"/>
      <c r="H11" s="8"/>
      <c r="I11" s="8"/>
      <c r="J11" s="8"/>
      <c r="K11" s="8"/>
    </row>
    <row r="12" spans="2:11" ht="15" customHeight="1">
      <c r="B12" s="12" t="s">
        <v>107</v>
      </c>
      <c r="C12" s="8"/>
      <c r="D12" s="8"/>
      <c r="E12" s="8"/>
      <c r="F12" s="8"/>
      <c r="G12" s="8"/>
      <c r="H12" s="8"/>
      <c r="I12" s="8"/>
      <c r="J12" s="8"/>
      <c r="K12" s="8"/>
    </row>
    <row r="13" spans="2:11" ht="15" customHeight="1">
      <c r="B13" s="12"/>
      <c r="C13" s="8"/>
      <c r="D13" s="8"/>
      <c r="E13" s="8"/>
      <c r="F13" s="8"/>
      <c r="G13" s="8"/>
      <c r="H13" s="8"/>
      <c r="I13" s="8"/>
      <c r="J13" s="8"/>
      <c r="K13" s="8"/>
    </row>
    <row r="14" spans="2:11" ht="15" customHeight="1">
      <c r="B14" s="12" t="s">
        <v>76</v>
      </c>
      <c r="C14" s="8"/>
      <c r="D14" s="8"/>
      <c r="E14" s="8"/>
      <c r="F14" s="8"/>
      <c r="G14" s="8"/>
      <c r="H14" s="8"/>
      <c r="I14" s="8"/>
      <c r="J14" s="8"/>
      <c r="K14" s="8"/>
    </row>
    <row r="15" spans="2:11" ht="15" customHeight="1">
      <c r="B15" s="12" t="s">
        <v>122</v>
      </c>
      <c r="C15" s="8"/>
      <c r="D15" s="8"/>
      <c r="E15" s="8"/>
      <c r="F15" s="8"/>
      <c r="G15" s="8"/>
      <c r="H15" s="8"/>
      <c r="I15" s="8"/>
      <c r="J15" s="8"/>
      <c r="K15" s="8"/>
    </row>
    <row r="16" spans="2:11" ht="15" customHeight="1">
      <c r="B16" s="12" t="s">
        <v>110</v>
      </c>
      <c r="C16" s="8"/>
      <c r="D16" s="8"/>
      <c r="E16" s="8"/>
      <c r="F16" s="8"/>
      <c r="G16" s="8"/>
      <c r="H16" s="8"/>
      <c r="I16" s="8"/>
      <c r="J16" s="8"/>
      <c r="K16" s="8"/>
    </row>
    <row r="17" spans="2:11" ht="15" customHeight="1">
      <c r="B17" s="12" t="s">
        <v>182</v>
      </c>
      <c r="C17" s="8"/>
      <c r="D17" s="8"/>
      <c r="E17" s="8"/>
      <c r="F17" s="8"/>
      <c r="G17" s="8"/>
      <c r="H17" s="8"/>
      <c r="I17" s="8"/>
      <c r="J17" s="8"/>
      <c r="K17" s="8"/>
    </row>
    <row r="18" spans="2:11" ht="15" customHeight="1">
      <c r="B18" s="12" t="s">
        <v>113</v>
      </c>
      <c r="C18" s="8"/>
      <c r="D18" s="8"/>
      <c r="E18" s="8"/>
      <c r="F18" s="8"/>
      <c r="G18" s="8"/>
      <c r="H18" s="8"/>
      <c r="I18" s="8"/>
      <c r="J18" s="8"/>
      <c r="K18" s="8"/>
    </row>
    <row r="19" spans="2:11" ht="15" customHeight="1">
      <c r="B19" s="12" t="s">
        <v>78</v>
      </c>
      <c r="C19" s="8"/>
      <c r="D19" s="8"/>
      <c r="E19" s="8"/>
      <c r="F19" s="8"/>
      <c r="G19" s="8"/>
      <c r="H19" s="8"/>
      <c r="I19" s="8"/>
      <c r="J19" s="8"/>
      <c r="K19" s="8"/>
    </row>
    <row r="20" spans="2:11" ht="15" customHeight="1">
      <c r="B20" s="12" t="s">
        <v>79</v>
      </c>
      <c r="C20" s="8"/>
      <c r="D20" s="8"/>
      <c r="E20" s="8"/>
      <c r="F20" s="8"/>
      <c r="G20" s="8"/>
      <c r="H20" s="8"/>
      <c r="I20" s="8"/>
      <c r="J20" s="8"/>
      <c r="K20" s="8"/>
    </row>
    <row r="21" spans="2:11" ht="15" customHeight="1">
      <c r="B21" s="12" t="s">
        <v>80</v>
      </c>
      <c r="C21" s="8"/>
      <c r="D21" s="8"/>
      <c r="E21" s="8"/>
      <c r="F21" s="8"/>
      <c r="G21" s="8"/>
      <c r="H21" s="8"/>
      <c r="I21" s="8"/>
      <c r="J21" s="8"/>
      <c r="K21" s="8"/>
    </row>
    <row r="22" spans="2:11" ht="15" customHeight="1">
      <c r="B22" s="12" t="s">
        <v>183</v>
      </c>
      <c r="C22" s="8"/>
      <c r="D22" s="8"/>
      <c r="E22" s="8"/>
      <c r="F22" s="8"/>
      <c r="G22" s="8"/>
      <c r="H22" s="8"/>
      <c r="I22" s="8"/>
      <c r="J22" s="8"/>
      <c r="K22" s="8"/>
    </row>
    <row r="23" spans="2:11" ht="15" customHeight="1">
      <c r="B23" s="12" t="s">
        <v>81</v>
      </c>
      <c r="C23" s="8"/>
      <c r="D23" s="8"/>
      <c r="E23" s="8"/>
      <c r="F23" s="8"/>
      <c r="G23" s="8"/>
      <c r="H23" s="8"/>
      <c r="I23" s="8"/>
      <c r="J23" s="8"/>
      <c r="K23" s="8"/>
    </row>
    <row r="24" spans="2:11" ht="15" customHeight="1">
      <c r="B24" s="12" t="s">
        <v>77</v>
      </c>
      <c r="C24" s="8"/>
      <c r="D24" s="8"/>
      <c r="E24" s="8"/>
      <c r="F24" s="8"/>
      <c r="G24" s="8"/>
      <c r="H24" s="8"/>
      <c r="I24" s="8"/>
      <c r="J24" s="8"/>
      <c r="K24" s="8"/>
    </row>
    <row r="25" spans="2:11" ht="15" customHeight="1">
      <c r="B25" s="12" t="s">
        <v>121</v>
      </c>
      <c r="C25" s="8"/>
      <c r="D25" s="8"/>
      <c r="E25" s="8"/>
      <c r="F25" s="8"/>
      <c r="G25" s="8"/>
      <c r="H25" s="8"/>
      <c r="I25" s="8"/>
      <c r="J25" s="8"/>
      <c r="K25" s="8"/>
    </row>
    <row r="26" spans="2:11" ht="15" customHeight="1">
      <c r="B26" s="12"/>
      <c r="C26" s="8"/>
      <c r="D26" s="8"/>
      <c r="E26" s="8"/>
      <c r="F26" s="8"/>
      <c r="G26" s="8"/>
      <c r="H26" s="8"/>
      <c r="I26" s="8"/>
      <c r="J26" s="8"/>
      <c r="K26" s="8"/>
    </row>
    <row r="27" spans="2:11" ht="15" customHeight="1">
      <c r="B27" s="12" t="s">
        <v>82</v>
      </c>
      <c r="C27" s="8"/>
      <c r="D27" s="8"/>
      <c r="E27" s="8"/>
      <c r="F27" s="8"/>
      <c r="G27" s="8"/>
      <c r="H27" s="8"/>
      <c r="I27" s="8"/>
      <c r="J27" s="8"/>
      <c r="K27" s="8"/>
    </row>
    <row r="28" spans="2:11" ht="15" customHeight="1">
      <c r="B28" s="12" t="s">
        <v>84</v>
      </c>
      <c r="C28" s="8"/>
      <c r="D28" s="8"/>
      <c r="E28" s="8"/>
      <c r="F28" s="8"/>
      <c r="G28" s="8"/>
      <c r="H28" s="8"/>
      <c r="I28" s="8"/>
      <c r="J28" s="8"/>
      <c r="K28" s="8"/>
    </row>
    <row r="29" spans="2:11" ht="15" customHeight="1">
      <c r="B29" s="12" t="s">
        <v>127</v>
      </c>
      <c r="C29" s="8"/>
      <c r="D29" s="8"/>
      <c r="E29" s="8"/>
      <c r="F29" s="8"/>
      <c r="G29" s="8"/>
      <c r="H29" s="8"/>
      <c r="I29" s="8"/>
      <c r="J29" s="8"/>
      <c r="K29" s="8"/>
    </row>
    <row r="30" spans="2:11" ht="15" customHeight="1">
      <c r="B30" s="12" t="s">
        <v>100</v>
      </c>
      <c r="C30" s="8"/>
      <c r="D30" s="8"/>
      <c r="E30" s="8"/>
      <c r="F30" s="8"/>
      <c r="G30" s="8"/>
      <c r="H30" s="8"/>
      <c r="I30" s="8"/>
      <c r="J30" s="8"/>
      <c r="K30" s="8"/>
    </row>
    <row r="31" spans="2:11" ht="15" customHeight="1">
      <c r="B31" s="12" t="s">
        <v>102</v>
      </c>
      <c r="C31" s="8"/>
      <c r="D31" s="8"/>
      <c r="E31" s="8"/>
      <c r="F31" s="8"/>
      <c r="G31" s="8"/>
      <c r="H31" s="8"/>
      <c r="I31" s="8"/>
      <c r="J31" s="8"/>
      <c r="K31" s="8"/>
    </row>
    <row r="32" spans="2:11" ht="15" customHeight="1">
      <c r="B32" s="12" t="s">
        <v>101</v>
      </c>
      <c r="C32" s="8"/>
      <c r="D32" s="8"/>
      <c r="E32" s="8"/>
      <c r="F32" s="8"/>
      <c r="G32" s="8"/>
      <c r="H32" s="8"/>
      <c r="I32" s="8"/>
      <c r="J32" s="8"/>
      <c r="K32" s="8"/>
    </row>
    <row r="33" spans="2:11" ht="15" customHeight="1">
      <c r="B33" s="12" t="s">
        <v>131</v>
      </c>
      <c r="C33" s="8"/>
      <c r="D33" s="8"/>
      <c r="E33" s="8"/>
      <c r="F33" s="8"/>
      <c r="G33" s="8"/>
      <c r="H33" s="8"/>
      <c r="I33" s="8"/>
      <c r="J33" s="8"/>
      <c r="K33" s="8"/>
    </row>
    <row r="34" spans="2:11" ht="15" customHeight="1">
      <c r="B34" s="12" t="s">
        <v>103</v>
      </c>
      <c r="C34" s="8"/>
      <c r="D34" s="8"/>
      <c r="E34" s="8"/>
      <c r="F34" s="8"/>
      <c r="G34" s="8"/>
      <c r="H34" s="8"/>
      <c r="I34" s="8"/>
      <c r="J34" s="8"/>
      <c r="K34" s="8"/>
    </row>
    <row r="35" spans="2:11" ht="15" customHeight="1">
      <c r="B35" s="12" t="s">
        <v>21</v>
      </c>
      <c r="C35" s="8"/>
      <c r="D35" s="8"/>
      <c r="E35" s="8"/>
      <c r="F35" s="8"/>
      <c r="G35" s="8"/>
      <c r="H35" s="8"/>
      <c r="I35" s="8"/>
      <c r="J35" s="8"/>
      <c r="K35" s="8"/>
    </row>
    <row r="36" spans="2:11" ht="15" customHeight="1">
      <c r="B36" s="12" t="s">
        <v>22</v>
      </c>
      <c r="C36" s="8"/>
      <c r="D36" s="8"/>
      <c r="E36" s="8"/>
      <c r="F36" s="8"/>
      <c r="G36" s="8"/>
      <c r="H36" s="8"/>
      <c r="I36" s="8"/>
      <c r="J36" s="8"/>
      <c r="K36" s="8"/>
    </row>
    <row r="37" spans="2:11" ht="15" customHeight="1">
      <c r="B37" s="12" t="s">
        <v>126</v>
      </c>
      <c r="C37" s="8"/>
      <c r="D37" s="8"/>
      <c r="E37" s="8"/>
      <c r="F37" s="8"/>
      <c r="G37" s="8"/>
      <c r="H37" s="8"/>
      <c r="I37" s="8"/>
      <c r="J37" s="8"/>
      <c r="K37" s="8"/>
    </row>
    <row r="38" spans="2:11" ht="15" customHeight="1">
      <c r="B38" s="12"/>
      <c r="C38" s="8"/>
      <c r="D38" s="8"/>
      <c r="E38" s="8"/>
      <c r="F38" s="8"/>
      <c r="G38" s="8"/>
      <c r="H38" s="8"/>
      <c r="I38" s="8"/>
      <c r="J38" s="8"/>
      <c r="K38" s="8"/>
    </row>
    <row r="39" spans="2:11" ht="15" customHeight="1">
      <c r="B39" s="12" t="s">
        <v>116</v>
      </c>
      <c r="C39" s="8"/>
      <c r="D39" s="8"/>
      <c r="E39" s="8"/>
      <c r="F39" s="8"/>
      <c r="G39" s="8"/>
      <c r="H39" s="8"/>
      <c r="I39" s="8"/>
      <c r="J39" s="8"/>
      <c r="K39" s="8"/>
    </row>
    <row r="40" spans="2:11" ht="15" customHeight="1">
      <c r="B40" s="12" t="s">
        <v>86</v>
      </c>
      <c r="C40" s="8"/>
      <c r="D40" s="8"/>
      <c r="E40" s="8"/>
      <c r="F40" s="8"/>
      <c r="G40" s="8"/>
      <c r="H40" s="8"/>
      <c r="I40" s="8"/>
      <c r="J40" s="8"/>
      <c r="K40" s="8"/>
    </row>
    <row r="41" spans="2:11" ht="15" customHeight="1">
      <c r="B41" s="12"/>
      <c r="C41" s="8"/>
      <c r="D41" s="8"/>
      <c r="E41" s="8"/>
      <c r="F41" s="8"/>
      <c r="G41" s="8"/>
      <c r="H41" s="8"/>
      <c r="I41" s="8"/>
      <c r="J41" s="8"/>
      <c r="K41" s="8"/>
    </row>
    <row r="42" spans="2:11" ht="15" customHeight="1">
      <c r="B42" s="12" t="s">
        <v>88</v>
      </c>
      <c r="C42" s="8"/>
      <c r="D42" s="8"/>
      <c r="E42" s="8"/>
      <c r="F42" s="8"/>
      <c r="G42" s="8"/>
      <c r="H42" s="8"/>
      <c r="I42" s="8"/>
      <c r="J42" s="8"/>
      <c r="K42" s="8"/>
    </row>
    <row r="43" spans="2:11" ht="15" customHeight="1">
      <c r="B43" s="12" t="s">
        <v>99</v>
      </c>
      <c r="C43" s="8"/>
      <c r="D43" s="8"/>
      <c r="E43" s="8"/>
      <c r="F43" s="8"/>
      <c r="G43" s="8"/>
      <c r="H43" s="8"/>
      <c r="I43" s="8"/>
      <c r="J43" s="8"/>
      <c r="K43" s="8"/>
    </row>
    <row r="44" spans="2:11" ht="15" customHeight="1">
      <c r="B44" s="23" t="s">
        <v>89</v>
      </c>
      <c r="C44" s="8"/>
      <c r="D44" s="8"/>
      <c r="E44" s="8"/>
      <c r="F44" s="8"/>
      <c r="G44" s="8"/>
      <c r="H44" s="8"/>
      <c r="I44" s="8"/>
      <c r="J44" s="8"/>
      <c r="K44" s="8"/>
    </row>
    <row r="45" spans="2:11" ht="15" customHeight="1">
      <c r="B45" s="23" t="s">
        <v>90</v>
      </c>
      <c r="C45" s="8"/>
      <c r="D45" s="8"/>
      <c r="E45" s="8"/>
      <c r="F45" s="8"/>
      <c r="G45" s="8"/>
      <c r="H45" s="8"/>
      <c r="I45" s="8"/>
      <c r="J45" s="8"/>
      <c r="K45" s="8"/>
    </row>
    <row r="46" spans="2:11" ht="15" customHeight="1">
      <c r="B46" s="23" t="s">
        <v>91</v>
      </c>
      <c r="C46" s="8"/>
      <c r="D46" s="8"/>
      <c r="E46" s="8"/>
      <c r="F46" s="8"/>
      <c r="G46" s="8"/>
      <c r="H46" s="8"/>
      <c r="I46" s="8"/>
      <c r="J46" s="8"/>
      <c r="K46" s="8"/>
    </row>
    <row r="47" spans="2:11" ht="15" customHeight="1">
      <c r="B47" s="23" t="s">
        <v>92</v>
      </c>
      <c r="C47" s="8"/>
      <c r="D47" s="8"/>
      <c r="E47" s="8"/>
      <c r="F47" s="8"/>
      <c r="G47" s="8"/>
      <c r="H47" s="8"/>
      <c r="I47" s="8"/>
      <c r="J47" s="8"/>
      <c r="K47" s="8"/>
    </row>
    <row r="48" spans="2:11" ht="15" customHeight="1">
      <c r="B48" s="23" t="s">
        <v>93</v>
      </c>
      <c r="C48" s="8"/>
      <c r="D48" s="8"/>
      <c r="E48" s="8"/>
      <c r="F48" s="8"/>
      <c r="G48" s="8"/>
      <c r="H48" s="8"/>
      <c r="I48" s="8"/>
      <c r="J48" s="8"/>
      <c r="K48" s="8"/>
    </row>
    <row r="49" spans="2:11" ht="15" customHeight="1">
      <c r="B49" s="23" t="s">
        <v>94</v>
      </c>
      <c r="C49" s="8"/>
      <c r="D49" s="8"/>
      <c r="E49" s="8"/>
      <c r="F49" s="8"/>
      <c r="G49" s="8"/>
      <c r="H49" s="8"/>
      <c r="I49" s="8"/>
      <c r="J49" s="8"/>
      <c r="K49" s="8"/>
    </row>
    <row r="50" spans="2:11" ht="15" customHeight="1">
      <c r="B50" s="23" t="s">
        <v>95</v>
      </c>
      <c r="C50" s="8"/>
      <c r="D50" s="8"/>
      <c r="E50" s="8"/>
      <c r="F50" s="8"/>
      <c r="G50" s="8"/>
      <c r="H50" s="8"/>
      <c r="I50" s="8"/>
      <c r="J50" s="8"/>
      <c r="K50" s="8"/>
    </row>
    <row r="51" spans="2:11" ht="15" customHeight="1">
      <c r="B51" s="23" t="s">
        <v>96</v>
      </c>
      <c r="C51" s="8"/>
      <c r="D51" s="8"/>
      <c r="E51" s="8"/>
      <c r="F51" s="8"/>
      <c r="G51" s="8"/>
      <c r="H51" s="8"/>
      <c r="I51" s="8"/>
      <c r="J51" s="8"/>
      <c r="K51" s="8"/>
    </row>
    <row r="52" spans="2:11" ht="15" customHeight="1">
      <c r="B52" s="23" t="s">
        <v>124</v>
      </c>
      <c r="C52" s="8"/>
      <c r="D52" s="8"/>
      <c r="E52" s="8"/>
      <c r="F52" s="8"/>
      <c r="G52" s="8"/>
      <c r="H52" s="8"/>
      <c r="I52" s="8"/>
      <c r="J52" s="8"/>
      <c r="K52" s="8"/>
    </row>
    <row r="53" spans="2:11" ht="15" customHeight="1">
      <c r="B53" s="12"/>
      <c r="C53" s="8"/>
      <c r="D53" s="8"/>
      <c r="E53" s="8"/>
      <c r="F53" s="8"/>
      <c r="G53" s="8"/>
      <c r="H53" s="8"/>
      <c r="I53" s="8"/>
      <c r="J53" s="8"/>
      <c r="K53" s="8"/>
    </row>
    <row r="54" spans="2:11" ht="15" customHeight="1">
      <c r="B54" s="12" t="s">
        <v>105</v>
      </c>
      <c r="C54" s="8"/>
      <c r="D54" s="8"/>
      <c r="E54" s="8"/>
      <c r="F54" s="8"/>
      <c r="G54" s="8"/>
      <c r="H54" s="8"/>
      <c r="I54" s="8"/>
      <c r="J54" s="8"/>
      <c r="K54" s="8"/>
    </row>
    <row r="55" spans="2:11" ht="15" customHeight="1">
      <c r="B55" s="12"/>
      <c r="C55" s="8"/>
      <c r="D55" s="8"/>
      <c r="E55" s="8"/>
      <c r="F55" s="8"/>
      <c r="G55" s="8"/>
      <c r="H55" s="8"/>
      <c r="I55" s="8"/>
      <c r="J55" s="8"/>
      <c r="K55" s="8"/>
    </row>
    <row r="56" spans="2:11" ht="15" customHeight="1">
      <c r="B56" s="12" t="s">
        <v>19</v>
      </c>
      <c r="C56" s="8"/>
      <c r="D56" s="8"/>
      <c r="E56" s="8"/>
      <c r="F56" s="8"/>
      <c r="G56" s="8"/>
      <c r="H56" s="8"/>
      <c r="I56" s="8"/>
      <c r="J56" s="8"/>
      <c r="K56" s="8"/>
    </row>
    <row r="57" spans="2:11" ht="15" customHeight="1">
      <c r="B57" s="12" t="s">
        <v>118</v>
      </c>
      <c r="C57" s="8"/>
      <c r="D57" s="8"/>
      <c r="E57" s="8"/>
      <c r="F57" s="8"/>
      <c r="G57" s="8"/>
      <c r="H57" s="8"/>
      <c r="I57" s="8"/>
      <c r="J57" s="8"/>
      <c r="K57" s="8"/>
    </row>
    <row r="58" spans="2:11" ht="15" customHeight="1">
      <c r="B58" s="12" t="s">
        <v>7</v>
      </c>
      <c r="C58" s="8"/>
      <c r="D58" s="8"/>
      <c r="E58" s="8"/>
      <c r="F58" s="8"/>
      <c r="G58" s="8"/>
      <c r="H58" s="8"/>
      <c r="I58" s="8"/>
      <c r="J58" s="8"/>
      <c r="K58" s="8"/>
    </row>
    <row r="59" spans="2:11" ht="15" customHeight="1">
      <c r="B59" s="12"/>
      <c r="C59" s="8"/>
      <c r="D59" s="8"/>
      <c r="E59" s="8"/>
      <c r="F59" s="8"/>
      <c r="G59" s="8"/>
      <c r="H59" s="8"/>
      <c r="I59" s="8"/>
      <c r="J59" s="8"/>
      <c r="K59" s="8"/>
    </row>
    <row r="60" spans="2:11" ht="15" customHeight="1">
      <c r="B60" s="12"/>
      <c r="C60" s="8"/>
      <c r="D60" s="8"/>
      <c r="E60" s="8"/>
      <c r="F60" s="8"/>
      <c r="G60" s="8"/>
      <c r="H60" s="8"/>
      <c r="I60" s="8"/>
      <c r="J60" s="8"/>
      <c r="K60" s="8"/>
    </row>
    <row r="61" spans="2:11" ht="15" customHeight="1">
      <c r="C61" s="8"/>
      <c r="D61" s="8"/>
      <c r="E61" s="8"/>
      <c r="F61" s="8"/>
      <c r="G61" s="8"/>
      <c r="H61" s="8"/>
      <c r="I61" s="8"/>
      <c r="J61" s="8"/>
      <c r="K61" s="8"/>
    </row>
    <row r="62" spans="2:11" ht="15" customHeight="1">
      <c r="C62" s="8"/>
      <c r="D62" s="8"/>
      <c r="E62" s="8"/>
      <c r="F62" s="8"/>
      <c r="G62" s="8"/>
      <c r="H62" s="8"/>
      <c r="I62" s="8"/>
      <c r="J62" s="8"/>
      <c r="K62" s="8"/>
    </row>
    <row r="63" spans="2:11" ht="15" customHeight="1">
      <c r="C63" s="8"/>
      <c r="D63" s="8"/>
      <c r="E63" s="8"/>
      <c r="F63" s="8"/>
      <c r="G63" s="8"/>
      <c r="H63" s="8"/>
      <c r="I63" s="8"/>
      <c r="J63" s="8"/>
      <c r="K63" s="8"/>
    </row>
    <row r="64" spans="2:11" ht="15" customHeight="1">
      <c r="C64" s="8"/>
      <c r="D64" s="8"/>
      <c r="E64" s="8"/>
      <c r="F64" s="8"/>
      <c r="G64" s="8"/>
      <c r="H64" s="8"/>
      <c r="I64" s="8"/>
      <c r="J64" s="8"/>
      <c r="K64" s="8"/>
    </row>
    <row r="65" spans="2:11" ht="15" customHeight="1">
      <c r="C65" s="8"/>
      <c r="D65" s="8"/>
      <c r="E65" s="8"/>
      <c r="F65" s="8"/>
      <c r="G65" s="8"/>
      <c r="H65" s="8"/>
      <c r="I65" s="8"/>
      <c r="J65" s="8"/>
      <c r="K65" s="8"/>
    </row>
    <row r="66" spans="2:11" ht="15" customHeight="1">
      <c r="C66" s="8"/>
      <c r="D66" s="8"/>
      <c r="E66" s="8"/>
      <c r="F66" s="8"/>
      <c r="G66" s="8"/>
      <c r="H66" s="8"/>
      <c r="I66" s="8"/>
      <c r="J66" s="8"/>
      <c r="K66" s="8"/>
    </row>
    <row r="67" spans="2:11" ht="15" customHeight="1">
      <c r="C67" s="8"/>
      <c r="D67" s="8"/>
      <c r="E67" s="8"/>
      <c r="F67" s="8"/>
      <c r="G67" s="8"/>
      <c r="H67" s="8"/>
      <c r="I67" s="8"/>
      <c r="J67" s="8"/>
      <c r="K67" s="8"/>
    </row>
    <row r="68" spans="2:11" ht="15" customHeight="1">
      <c r="C68" s="8"/>
      <c r="D68" s="8"/>
      <c r="E68" s="8"/>
      <c r="F68" s="8"/>
      <c r="G68" s="8"/>
      <c r="H68" s="8"/>
      <c r="I68" s="8"/>
      <c r="J68" s="8"/>
      <c r="K68" s="8"/>
    </row>
    <row r="69" spans="2:11" ht="15" customHeight="1">
      <c r="C69" s="8"/>
      <c r="D69" s="8"/>
      <c r="E69" s="8"/>
      <c r="F69" s="8"/>
      <c r="G69" s="8"/>
      <c r="H69" s="8"/>
      <c r="I69" s="8"/>
      <c r="J69" s="8"/>
      <c r="K69" s="8"/>
    </row>
    <row r="70" spans="2:11" ht="15" customHeight="1">
      <c r="B70" s="12"/>
      <c r="C70" s="8"/>
      <c r="D70" s="8"/>
      <c r="E70" s="8"/>
      <c r="F70" s="8"/>
      <c r="G70" s="8"/>
      <c r="H70" s="8"/>
      <c r="I70" s="8"/>
      <c r="J70" s="8"/>
      <c r="K70" s="8"/>
    </row>
    <row r="71" spans="2:11" ht="15" customHeight="1">
      <c r="B71" s="12"/>
      <c r="C71" s="8"/>
      <c r="D71" s="8"/>
      <c r="E71" s="8"/>
      <c r="F71" s="8"/>
      <c r="G71" s="8"/>
      <c r="H71" s="8"/>
      <c r="I71" s="8"/>
      <c r="J71" s="8"/>
      <c r="K71" s="8"/>
    </row>
    <row r="72" spans="2:11" ht="15" customHeight="1">
      <c r="B72" s="12"/>
      <c r="C72" s="8"/>
      <c r="D72" s="8"/>
      <c r="E72" s="8"/>
      <c r="F72" s="8"/>
      <c r="G72" s="8"/>
      <c r="H72" s="8"/>
      <c r="I72" s="8"/>
      <c r="J72" s="8"/>
      <c r="K72" s="8"/>
    </row>
    <row r="73" spans="2:11" ht="15" customHeight="1">
      <c r="B73" s="12"/>
      <c r="C73" s="8"/>
      <c r="D73" s="8"/>
      <c r="E73" s="8"/>
      <c r="F73" s="8"/>
      <c r="G73" s="8"/>
      <c r="H73" s="8"/>
      <c r="I73" s="8"/>
      <c r="J73" s="8"/>
      <c r="K73" s="8"/>
    </row>
    <row r="74" spans="2:11" ht="15" customHeight="1">
      <c r="B74" s="12"/>
      <c r="C74" s="8"/>
      <c r="D74" s="8"/>
      <c r="E74" s="8"/>
      <c r="F74" s="8"/>
      <c r="G74" s="8"/>
      <c r="H74" s="8"/>
      <c r="I74" s="8"/>
      <c r="J74" s="8"/>
      <c r="K74" s="8"/>
    </row>
    <row r="75" spans="2:11" ht="15" customHeight="1">
      <c r="B75" s="12"/>
      <c r="C75" s="8"/>
      <c r="D75" s="8"/>
      <c r="E75" s="8"/>
      <c r="F75" s="8"/>
      <c r="G75" s="8"/>
      <c r="H75" s="8"/>
      <c r="I75" s="8"/>
      <c r="J75" s="8"/>
      <c r="K75" s="8"/>
    </row>
    <row r="76" spans="2:11" ht="15" customHeight="1">
      <c r="B76" s="12"/>
      <c r="C76" s="8"/>
      <c r="D76" s="8"/>
      <c r="E76" s="8"/>
      <c r="F76" s="8"/>
      <c r="G76" s="8"/>
      <c r="H76" s="8"/>
      <c r="I76" s="8"/>
      <c r="J76" s="8"/>
      <c r="K76" s="8"/>
    </row>
    <row r="77" spans="2:11" ht="15" customHeight="1">
      <c r="B77" s="12"/>
      <c r="C77" s="8"/>
      <c r="D77" s="8"/>
      <c r="E77" s="8"/>
      <c r="F77" s="8"/>
      <c r="G77" s="8"/>
      <c r="H77" s="8"/>
      <c r="I77" s="8"/>
      <c r="J77" s="8"/>
      <c r="K77" s="8"/>
    </row>
    <row r="78" spans="2:11" ht="15" customHeight="1">
      <c r="B78" s="12"/>
      <c r="C78" s="8"/>
      <c r="D78" s="8"/>
      <c r="E78" s="8"/>
      <c r="F78" s="8"/>
      <c r="G78" s="8"/>
      <c r="H78" s="8"/>
      <c r="I78" s="8"/>
      <c r="J78" s="8"/>
      <c r="K78" s="8"/>
    </row>
    <row r="79" spans="2:11" ht="15" customHeight="1">
      <c r="B79" s="12"/>
      <c r="C79" s="8"/>
      <c r="D79" s="8"/>
      <c r="E79" s="8"/>
      <c r="F79" s="8"/>
      <c r="G79" s="8"/>
      <c r="H79" s="8"/>
      <c r="I79" s="8"/>
      <c r="J79" s="8"/>
      <c r="K79" s="8"/>
    </row>
    <row r="80" spans="2:11" ht="15" customHeight="1">
      <c r="B80" s="12"/>
      <c r="C80" s="8"/>
      <c r="D80" s="8"/>
      <c r="E80" s="8"/>
      <c r="F80" s="8"/>
      <c r="G80" s="8"/>
      <c r="H80" s="8"/>
      <c r="I80" s="8"/>
      <c r="J80" s="8"/>
      <c r="K80" s="8"/>
    </row>
    <row r="81" spans="2:11" ht="15" customHeight="1">
      <c r="B81" s="12"/>
      <c r="C81" s="8"/>
      <c r="D81" s="8"/>
      <c r="E81" s="8"/>
      <c r="F81" s="8"/>
      <c r="G81" s="8"/>
      <c r="H81" s="8"/>
      <c r="I81" s="8"/>
      <c r="J81" s="8"/>
      <c r="K81" s="8"/>
    </row>
    <row r="82" spans="2:11" ht="15" customHeight="1">
      <c r="B82" s="12"/>
      <c r="C82" s="8"/>
      <c r="D82" s="8"/>
      <c r="E82" s="8"/>
      <c r="F82" s="8"/>
      <c r="G82" s="8"/>
      <c r="H82" s="8"/>
      <c r="I82" s="8"/>
      <c r="J82" s="8"/>
      <c r="K82" s="8"/>
    </row>
    <row r="83" spans="2:11" ht="15" customHeight="1">
      <c r="B83" s="12"/>
      <c r="C83" s="8"/>
      <c r="D83" s="8"/>
      <c r="E83" s="8"/>
      <c r="F83" s="8"/>
      <c r="G83" s="8"/>
      <c r="H83" s="8"/>
      <c r="I83" s="8"/>
      <c r="J83" s="8"/>
      <c r="K83" s="8"/>
    </row>
    <row r="84" spans="2:11" ht="15" customHeight="1">
      <c r="B84" s="12"/>
      <c r="C84" s="8"/>
      <c r="D84" s="8"/>
      <c r="E84" s="8"/>
      <c r="F84" s="8"/>
      <c r="G84" s="8"/>
      <c r="H84" s="8"/>
      <c r="I84" s="8"/>
      <c r="J84" s="8"/>
      <c r="K84" s="8"/>
    </row>
    <row r="85" spans="2:11" ht="15" customHeight="1">
      <c r="B85" s="12"/>
      <c r="C85" s="8"/>
      <c r="D85" s="8"/>
      <c r="E85" s="8"/>
      <c r="F85" s="8"/>
      <c r="G85" s="8"/>
      <c r="H85" s="8"/>
      <c r="I85" s="8"/>
      <c r="J85" s="8"/>
      <c r="K85" s="8"/>
    </row>
    <row r="86" spans="2:11" ht="15" customHeight="1">
      <c r="B86" s="12"/>
      <c r="C86" s="8"/>
      <c r="D86" s="8"/>
      <c r="E86" s="8"/>
      <c r="F86" s="8"/>
      <c r="G86" s="8"/>
      <c r="H86" s="8"/>
      <c r="I86" s="8"/>
      <c r="J86" s="8"/>
      <c r="K86" s="8"/>
    </row>
    <row r="87" spans="2:11" ht="15" customHeight="1">
      <c r="B87" s="12"/>
      <c r="C87" s="8"/>
      <c r="D87" s="8"/>
      <c r="E87" s="8"/>
      <c r="F87" s="8"/>
      <c r="G87" s="8"/>
      <c r="H87" s="8"/>
      <c r="I87" s="8"/>
      <c r="J87" s="8"/>
      <c r="K87" s="8"/>
    </row>
    <row r="88" spans="2:11" ht="15" customHeight="1">
      <c r="B88" s="12"/>
      <c r="C88" s="8"/>
      <c r="D88" s="8"/>
      <c r="E88" s="8"/>
      <c r="F88" s="8"/>
      <c r="G88" s="8"/>
      <c r="H88" s="8"/>
      <c r="I88" s="8"/>
      <c r="J88" s="8"/>
      <c r="K88" s="8"/>
    </row>
    <row r="89" spans="2:11" ht="15" customHeight="1">
      <c r="B89" s="12"/>
      <c r="C89" s="8"/>
      <c r="D89" s="8"/>
      <c r="E89" s="8"/>
      <c r="F89" s="8"/>
      <c r="G89" s="8"/>
      <c r="H89" s="8"/>
      <c r="I89" s="8"/>
      <c r="J89" s="8"/>
      <c r="K89" s="8"/>
    </row>
    <row r="90" spans="2:11" ht="15" customHeight="1">
      <c r="B90" s="12"/>
      <c r="C90" s="8"/>
      <c r="D90" s="8"/>
      <c r="E90" s="8"/>
      <c r="F90" s="8"/>
      <c r="G90" s="8"/>
      <c r="H90" s="8"/>
      <c r="I90" s="8"/>
      <c r="J90" s="8"/>
      <c r="K90" s="8"/>
    </row>
    <row r="91" spans="2:11" ht="15" customHeight="1">
      <c r="B91" s="12"/>
      <c r="C91" s="8"/>
      <c r="D91" s="8"/>
      <c r="E91" s="8"/>
      <c r="F91" s="8"/>
      <c r="G91" s="8"/>
      <c r="H91" s="8"/>
      <c r="I91" s="8"/>
      <c r="J91" s="8"/>
      <c r="K91" s="8"/>
    </row>
    <row r="92" spans="2:11" ht="15" customHeight="1">
      <c r="B92" s="12"/>
      <c r="C92" s="8"/>
      <c r="D92" s="8"/>
      <c r="E92" s="8"/>
      <c r="F92" s="8"/>
      <c r="G92" s="8"/>
      <c r="H92" s="8"/>
      <c r="I92" s="8"/>
      <c r="J92" s="8"/>
      <c r="K92" s="8"/>
    </row>
    <row r="93" spans="2:11" ht="15" customHeight="1">
      <c r="B93" s="12"/>
      <c r="C93" s="8"/>
      <c r="D93" s="8"/>
      <c r="E93" s="8"/>
      <c r="F93" s="8"/>
      <c r="G93" s="8"/>
      <c r="H93" s="8"/>
      <c r="I93" s="8"/>
      <c r="J93" s="8"/>
      <c r="K93" s="8"/>
    </row>
    <row r="94" spans="2:11" ht="15" customHeight="1">
      <c r="B94" s="12"/>
      <c r="C94" s="8"/>
      <c r="D94" s="8"/>
      <c r="E94" s="8"/>
      <c r="F94" s="8"/>
      <c r="G94" s="8"/>
      <c r="H94" s="8"/>
      <c r="I94" s="8"/>
      <c r="J94" s="8"/>
      <c r="K94" s="8"/>
    </row>
    <row r="95" spans="2:11" ht="15" customHeight="1">
      <c r="B95" s="12"/>
      <c r="C95" s="8"/>
      <c r="D95" s="8"/>
      <c r="E95" s="8"/>
      <c r="F95" s="8"/>
      <c r="G95" s="8"/>
      <c r="H95" s="8"/>
      <c r="I95" s="8"/>
      <c r="J95" s="8"/>
      <c r="K95" s="8"/>
    </row>
    <row r="96" spans="2:11" ht="15" customHeight="1">
      <c r="B96" s="12"/>
      <c r="C96" s="8"/>
      <c r="D96" s="8"/>
      <c r="E96" s="8"/>
      <c r="F96" s="8"/>
      <c r="G96" s="8"/>
      <c r="H96" s="8"/>
      <c r="I96" s="8"/>
      <c r="J96" s="8"/>
      <c r="K96" s="8"/>
    </row>
    <row r="97" spans="2:11" ht="15" customHeight="1">
      <c r="B97" s="12"/>
      <c r="C97" s="8"/>
      <c r="D97" s="8"/>
      <c r="E97" s="8"/>
      <c r="F97" s="8"/>
      <c r="G97" s="8"/>
      <c r="H97" s="8"/>
      <c r="I97" s="8"/>
      <c r="J97" s="8"/>
      <c r="K97" s="8"/>
    </row>
    <row r="98" spans="2:11" ht="15" customHeight="1">
      <c r="B98" s="12"/>
      <c r="C98" s="8"/>
      <c r="D98" s="8"/>
      <c r="E98" s="8"/>
      <c r="F98" s="8"/>
      <c r="G98" s="8"/>
      <c r="H98" s="8"/>
      <c r="I98" s="8"/>
      <c r="J98" s="8"/>
      <c r="K98" s="8"/>
    </row>
    <row r="99" spans="2:11" ht="15" customHeight="1">
      <c r="B99" s="12"/>
      <c r="C99" s="8"/>
      <c r="D99" s="8"/>
      <c r="E99" s="8"/>
      <c r="F99" s="8"/>
      <c r="G99" s="8"/>
      <c r="H99" s="8"/>
      <c r="I99" s="8"/>
      <c r="J99" s="8"/>
      <c r="K99" s="8"/>
    </row>
    <row r="100" spans="2:11" ht="15" customHeight="1">
      <c r="B100" s="12"/>
      <c r="C100" s="8"/>
      <c r="D100" s="8"/>
      <c r="E100" s="8"/>
      <c r="F100" s="8"/>
      <c r="G100" s="8"/>
      <c r="H100" s="8"/>
      <c r="I100" s="8"/>
      <c r="J100" s="8"/>
      <c r="K100" s="8"/>
    </row>
    <row r="101" spans="2:11" ht="15" customHeight="1">
      <c r="B101" s="12"/>
      <c r="C101" s="8"/>
      <c r="D101" s="8"/>
      <c r="E101" s="8"/>
      <c r="F101" s="8"/>
      <c r="G101" s="8"/>
      <c r="H101" s="8"/>
      <c r="I101" s="8"/>
      <c r="J101" s="8"/>
      <c r="K101" s="8"/>
    </row>
    <row r="102" spans="2:11" ht="15" customHeight="1">
      <c r="B102" s="12"/>
      <c r="C102" s="8"/>
      <c r="D102" s="8"/>
      <c r="E102" s="8"/>
      <c r="F102" s="8"/>
      <c r="G102" s="8"/>
      <c r="H102" s="8"/>
      <c r="I102" s="8"/>
      <c r="J102" s="8"/>
      <c r="K102" s="8"/>
    </row>
    <row r="103" spans="2:11" ht="15" customHeight="1">
      <c r="B103" s="12"/>
      <c r="C103" s="8"/>
      <c r="D103" s="8"/>
      <c r="E103" s="8"/>
      <c r="F103" s="8"/>
      <c r="G103" s="8"/>
      <c r="H103" s="8"/>
      <c r="I103" s="8"/>
      <c r="J103" s="8"/>
      <c r="K103" s="8"/>
    </row>
    <row r="104" spans="2:11" ht="15" customHeight="1">
      <c r="B104" s="12"/>
      <c r="C104" s="8"/>
      <c r="D104" s="8"/>
      <c r="E104" s="8"/>
      <c r="F104" s="8"/>
      <c r="G104" s="8"/>
      <c r="H104" s="8"/>
      <c r="I104" s="8"/>
      <c r="J104" s="8"/>
      <c r="K104" s="8"/>
    </row>
    <row r="105" spans="2:11" ht="15" customHeight="1">
      <c r="B105" s="12"/>
      <c r="C105" s="8"/>
      <c r="D105" s="8"/>
      <c r="E105" s="8"/>
      <c r="F105" s="8"/>
      <c r="G105" s="8"/>
      <c r="H105" s="8"/>
      <c r="I105" s="8"/>
      <c r="J105" s="8"/>
      <c r="K105" s="8"/>
    </row>
    <row r="106" spans="2:11" ht="15" customHeight="1">
      <c r="B106" s="12"/>
      <c r="C106" s="8"/>
      <c r="D106" s="8"/>
      <c r="E106" s="8"/>
      <c r="F106" s="8"/>
      <c r="G106" s="8"/>
      <c r="H106" s="8"/>
      <c r="I106" s="8"/>
      <c r="J106" s="8"/>
      <c r="K106" s="8"/>
    </row>
    <row r="107" spans="2:11" ht="15" customHeight="1">
      <c r="B107" s="12"/>
      <c r="C107" s="8"/>
      <c r="D107" s="8"/>
      <c r="E107" s="8"/>
      <c r="F107" s="8"/>
      <c r="G107" s="8"/>
      <c r="H107" s="8"/>
      <c r="I107" s="8"/>
      <c r="J107" s="8"/>
      <c r="K107" s="8"/>
    </row>
    <row r="108" spans="2:11" ht="15" customHeight="1">
      <c r="B108" s="12"/>
      <c r="C108" s="8"/>
      <c r="D108" s="8"/>
      <c r="E108" s="8"/>
      <c r="F108" s="8"/>
      <c r="G108" s="8"/>
      <c r="H108" s="8"/>
      <c r="I108" s="8"/>
      <c r="J108" s="8"/>
      <c r="K108" s="8"/>
    </row>
    <row r="109" spans="2:11" ht="15" customHeight="1">
      <c r="B109" s="12"/>
      <c r="C109" s="8"/>
      <c r="D109" s="8"/>
      <c r="E109" s="8"/>
      <c r="F109" s="8"/>
      <c r="G109" s="8"/>
      <c r="H109" s="8"/>
      <c r="I109" s="8"/>
      <c r="J109" s="8"/>
      <c r="K109" s="8"/>
    </row>
    <row r="110" spans="2:11" ht="15" customHeight="1">
      <c r="B110" s="12"/>
      <c r="C110" s="8"/>
      <c r="D110" s="8"/>
      <c r="E110" s="8"/>
      <c r="F110" s="8"/>
      <c r="G110" s="8"/>
      <c r="H110" s="8"/>
      <c r="I110" s="8"/>
      <c r="J110" s="8"/>
      <c r="K110" s="8"/>
    </row>
    <row r="111" spans="2:11" ht="15" customHeight="1">
      <c r="B111" s="12"/>
      <c r="C111" s="8"/>
      <c r="D111" s="8"/>
      <c r="E111" s="8"/>
      <c r="F111" s="8"/>
      <c r="G111" s="8"/>
      <c r="H111" s="8"/>
      <c r="I111" s="8"/>
      <c r="J111" s="8"/>
      <c r="K111" s="8"/>
    </row>
    <row r="112" spans="2:11" ht="15" customHeight="1">
      <c r="B112" s="12"/>
      <c r="C112" s="8"/>
      <c r="D112" s="8"/>
      <c r="E112" s="8"/>
      <c r="F112" s="8"/>
      <c r="G112" s="8"/>
      <c r="H112" s="8"/>
      <c r="I112" s="8"/>
      <c r="J112" s="8"/>
      <c r="K112" s="8"/>
    </row>
    <row r="113" spans="2:11" ht="15" customHeight="1">
      <c r="B113" s="12"/>
      <c r="C113" s="8"/>
      <c r="D113" s="8"/>
      <c r="E113" s="8"/>
      <c r="F113" s="8"/>
      <c r="G113" s="8"/>
      <c r="H113" s="8"/>
      <c r="I113" s="8"/>
      <c r="J113" s="8"/>
      <c r="K113" s="8"/>
    </row>
    <row r="114" spans="2:11" ht="15" customHeight="1">
      <c r="B114" s="12"/>
      <c r="C114" s="8"/>
      <c r="D114" s="8"/>
      <c r="E114" s="8"/>
      <c r="F114" s="8"/>
      <c r="G114" s="8"/>
      <c r="H114" s="8"/>
      <c r="I114" s="8"/>
      <c r="J114" s="8"/>
      <c r="K114" s="8"/>
    </row>
    <row r="115" spans="2:11" ht="15" customHeight="1">
      <c r="B115" s="12"/>
      <c r="C115" s="8"/>
      <c r="D115" s="8"/>
      <c r="E115" s="8"/>
      <c r="F115" s="8"/>
      <c r="G115" s="8"/>
      <c r="H115" s="8"/>
      <c r="I115" s="8"/>
      <c r="J115" s="8"/>
      <c r="K115" s="8"/>
    </row>
    <row r="116" spans="2:11" ht="15" customHeight="1">
      <c r="B116" s="12"/>
      <c r="C116" s="8"/>
      <c r="D116" s="8"/>
      <c r="E116" s="8"/>
      <c r="F116" s="8"/>
      <c r="G116" s="8"/>
      <c r="H116" s="8"/>
      <c r="I116" s="8"/>
      <c r="J116" s="8"/>
      <c r="K116" s="8"/>
    </row>
    <row r="117" spans="2:11" ht="15" customHeight="1">
      <c r="B117" s="12"/>
      <c r="C117" s="8"/>
      <c r="D117" s="8"/>
      <c r="E117" s="8"/>
      <c r="F117" s="8"/>
      <c r="G117" s="8"/>
      <c r="H117" s="8"/>
      <c r="I117" s="8"/>
      <c r="J117" s="8"/>
      <c r="K117" s="8"/>
    </row>
    <row r="118" spans="2:11" ht="15" customHeight="1">
      <c r="B118" s="12"/>
      <c r="C118" s="8"/>
      <c r="D118" s="8"/>
      <c r="E118" s="8"/>
      <c r="F118" s="8"/>
      <c r="G118" s="8"/>
      <c r="H118" s="8"/>
      <c r="I118" s="8"/>
      <c r="J118" s="8"/>
      <c r="K118" s="8"/>
    </row>
    <row r="119" spans="2:11" ht="15" customHeight="1">
      <c r="B119" s="12"/>
      <c r="C119" s="8"/>
      <c r="D119" s="8"/>
      <c r="E119" s="8"/>
      <c r="F119" s="8"/>
      <c r="G119" s="8"/>
      <c r="H119" s="8"/>
      <c r="I119" s="8"/>
      <c r="J119" s="8"/>
      <c r="K119" s="8"/>
    </row>
    <row r="120" spans="2:11" ht="15" customHeight="1">
      <c r="B120" s="12"/>
      <c r="C120" s="8"/>
      <c r="D120" s="8"/>
      <c r="E120" s="8"/>
      <c r="F120" s="8"/>
      <c r="G120" s="8"/>
      <c r="H120" s="8"/>
      <c r="I120" s="8"/>
      <c r="J120" s="8"/>
      <c r="K120" s="8"/>
    </row>
    <row r="121" spans="2:11" ht="15" customHeight="1">
      <c r="B121" s="12"/>
      <c r="C121" s="8"/>
      <c r="D121" s="8"/>
      <c r="E121" s="8"/>
      <c r="F121" s="8"/>
      <c r="G121" s="8"/>
      <c r="H121" s="8"/>
      <c r="I121" s="8"/>
      <c r="J121" s="8"/>
      <c r="K121" s="8"/>
    </row>
    <row r="122" spans="2:11" ht="15" customHeight="1">
      <c r="B122" s="12"/>
      <c r="C122" s="8"/>
      <c r="D122" s="8"/>
      <c r="E122" s="8"/>
      <c r="F122" s="8"/>
      <c r="G122" s="8"/>
      <c r="H122" s="8"/>
      <c r="I122" s="8"/>
      <c r="J122" s="8"/>
      <c r="K122" s="8"/>
    </row>
    <row r="123" spans="2:11" ht="15" customHeight="1">
      <c r="B123" s="12"/>
      <c r="C123" s="8"/>
      <c r="D123" s="8"/>
      <c r="E123" s="8"/>
      <c r="F123" s="8"/>
      <c r="G123" s="8"/>
      <c r="H123" s="8"/>
      <c r="I123" s="8"/>
      <c r="J123" s="8"/>
      <c r="K123" s="8"/>
    </row>
    <row r="124" spans="2:11" ht="15" customHeight="1">
      <c r="B124" s="12"/>
      <c r="C124" s="8"/>
      <c r="D124" s="8"/>
      <c r="E124" s="8"/>
      <c r="F124" s="8"/>
      <c r="G124" s="8"/>
      <c r="H124" s="8"/>
      <c r="I124" s="8"/>
      <c r="J124" s="8"/>
      <c r="K124" s="8"/>
    </row>
    <row r="125" spans="2:11" ht="15" customHeight="1">
      <c r="B125" s="12"/>
      <c r="C125" s="8"/>
      <c r="D125" s="8"/>
      <c r="E125" s="8"/>
      <c r="F125" s="8"/>
      <c r="G125" s="8"/>
      <c r="H125" s="8"/>
      <c r="I125" s="8"/>
      <c r="J125" s="8"/>
      <c r="K125" s="8"/>
    </row>
    <row r="126" spans="2:11" ht="15" customHeight="1">
      <c r="B126" s="12"/>
      <c r="C126" s="8"/>
      <c r="D126" s="8"/>
      <c r="E126" s="8"/>
      <c r="F126" s="8"/>
      <c r="G126" s="8"/>
      <c r="H126" s="8"/>
      <c r="I126" s="8"/>
      <c r="J126" s="8"/>
      <c r="K126" s="8"/>
    </row>
    <row r="127" spans="2:11" ht="15" customHeight="1">
      <c r="B127" s="12"/>
      <c r="C127" s="8"/>
      <c r="D127" s="8"/>
      <c r="E127" s="8"/>
      <c r="F127" s="8"/>
      <c r="G127" s="8"/>
      <c r="H127" s="8"/>
      <c r="I127" s="8"/>
      <c r="J127" s="8"/>
      <c r="K127" s="8"/>
    </row>
    <row r="128" spans="2:11" ht="15" customHeight="1">
      <c r="B128" s="12"/>
      <c r="C128" s="8"/>
      <c r="D128" s="8"/>
      <c r="E128" s="8"/>
      <c r="F128" s="8"/>
      <c r="G128" s="8"/>
      <c r="H128" s="8"/>
      <c r="I128" s="8"/>
      <c r="J128" s="8"/>
      <c r="K128" s="8"/>
    </row>
    <row r="129" spans="2:11" ht="15" customHeight="1">
      <c r="B129" s="12"/>
      <c r="C129" s="8"/>
      <c r="D129" s="8"/>
      <c r="E129" s="8"/>
      <c r="F129" s="8"/>
      <c r="G129" s="8"/>
      <c r="H129" s="8"/>
      <c r="I129" s="8"/>
      <c r="J129" s="8"/>
      <c r="K129" s="8"/>
    </row>
    <row r="130" spans="2:11" ht="15" customHeight="1">
      <c r="B130" s="12"/>
      <c r="C130" s="8"/>
      <c r="D130" s="8"/>
      <c r="E130" s="8"/>
      <c r="F130" s="8"/>
      <c r="G130" s="8"/>
      <c r="H130" s="8"/>
      <c r="I130" s="8"/>
      <c r="J130" s="8"/>
      <c r="K130" s="8"/>
    </row>
    <row r="131" spans="2:11" ht="15" customHeight="1">
      <c r="B131" s="12"/>
      <c r="C131" s="8"/>
      <c r="D131" s="8"/>
      <c r="E131" s="8"/>
      <c r="F131" s="8"/>
      <c r="G131" s="8"/>
      <c r="H131" s="8"/>
      <c r="I131" s="8"/>
      <c r="J131" s="8"/>
      <c r="K131" s="8"/>
    </row>
    <row r="132" spans="2:11" ht="15" customHeight="1">
      <c r="B132" s="12"/>
      <c r="C132" s="8"/>
      <c r="D132" s="8"/>
      <c r="E132" s="8"/>
      <c r="F132" s="8"/>
      <c r="G132" s="8"/>
      <c r="H132" s="8"/>
      <c r="I132" s="8"/>
      <c r="J132" s="8"/>
      <c r="K132" s="8"/>
    </row>
    <row r="133" spans="2:11" ht="15" customHeight="1">
      <c r="B133" s="12"/>
      <c r="C133" s="8"/>
      <c r="D133" s="8"/>
      <c r="E133" s="8"/>
      <c r="F133" s="8"/>
      <c r="G133" s="8"/>
      <c r="H133" s="8"/>
      <c r="I133" s="8"/>
      <c r="J133" s="8"/>
      <c r="K133" s="8"/>
    </row>
    <row r="134" spans="2:11" ht="15" customHeight="1">
      <c r="B134" s="12"/>
      <c r="C134" s="8"/>
      <c r="D134" s="8"/>
      <c r="E134" s="8"/>
      <c r="F134" s="8"/>
      <c r="G134" s="8"/>
      <c r="H134" s="8"/>
      <c r="I134" s="8"/>
      <c r="J134" s="8"/>
      <c r="K134" s="8"/>
    </row>
    <row r="135" spans="2:11" ht="15" customHeight="1">
      <c r="B135" s="12"/>
      <c r="C135" s="8"/>
      <c r="D135" s="8"/>
      <c r="E135" s="8"/>
      <c r="F135" s="8"/>
      <c r="G135" s="8"/>
      <c r="H135" s="8"/>
      <c r="I135" s="8"/>
      <c r="J135" s="8"/>
      <c r="K135" s="8"/>
    </row>
    <row r="136" spans="2:11" ht="15" customHeight="1">
      <c r="B136" s="12"/>
      <c r="C136" s="8"/>
      <c r="D136" s="8"/>
      <c r="E136" s="8"/>
      <c r="F136" s="8"/>
      <c r="G136" s="8"/>
      <c r="H136" s="8"/>
      <c r="I136" s="8"/>
      <c r="J136" s="8"/>
      <c r="K136" s="8"/>
    </row>
    <row r="137" spans="2:11" ht="15" customHeight="1">
      <c r="B137" s="12"/>
      <c r="C137" s="8"/>
      <c r="D137" s="8"/>
      <c r="E137" s="8"/>
      <c r="F137" s="8"/>
      <c r="G137" s="8"/>
      <c r="H137" s="8"/>
      <c r="I137" s="8"/>
      <c r="J137" s="8"/>
      <c r="K137" s="8"/>
    </row>
    <row r="138" spans="2:11" ht="15" customHeight="1">
      <c r="B138" s="12"/>
      <c r="C138" s="8"/>
      <c r="D138" s="8"/>
      <c r="E138" s="8"/>
      <c r="F138" s="8"/>
      <c r="G138" s="8"/>
      <c r="H138" s="8"/>
      <c r="I138" s="8"/>
      <c r="J138" s="8"/>
      <c r="K138" s="8"/>
    </row>
    <row r="139" spans="2:11" ht="15" customHeight="1">
      <c r="B139" s="12"/>
      <c r="C139" s="8"/>
      <c r="D139" s="8"/>
      <c r="E139" s="8"/>
      <c r="F139" s="8"/>
      <c r="G139" s="8"/>
      <c r="H139" s="8"/>
      <c r="I139" s="8"/>
      <c r="J139" s="8"/>
      <c r="K139" s="8"/>
    </row>
    <row r="140" spans="2:11" ht="15" customHeight="1">
      <c r="B140" s="12"/>
      <c r="C140" s="8"/>
      <c r="D140" s="8"/>
      <c r="E140" s="8"/>
      <c r="F140" s="8"/>
      <c r="G140" s="8"/>
      <c r="H140" s="8"/>
      <c r="I140" s="8"/>
      <c r="J140" s="8"/>
      <c r="K140" s="8"/>
    </row>
    <row r="141" spans="2:11" ht="15" customHeight="1">
      <c r="B141" s="12"/>
      <c r="C141" s="8"/>
      <c r="D141" s="8"/>
      <c r="E141" s="8"/>
      <c r="F141" s="8"/>
      <c r="G141" s="8"/>
      <c r="H141" s="8"/>
      <c r="I141" s="8"/>
      <c r="J141" s="8"/>
      <c r="K141" s="8"/>
    </row>
    <row r="142" spans="2:11" ht="15" customHeight="1">
      <c r="B142" s="12"/>
      <c r="C142" s="8"/>
      <c r="D142" s="8"/>
      <c r="E142" s="8"/>
      <c r="F142" s="8"/>
      <c r="G142" s="8"/>
      <c r="H142" s="8"/>
      <c r="I142" s="8"/>
      <c r="J142" s="8"/>
      <c r="K142" s="8"/>
    </row>
    <row r="143" spans="2:11" ht="15" customHeight="1">
      <c r="B143" s="12"/>
      <c r="C143" s="8"/>
      <c r="D143" s="8"/>
      <c r="E143" s="8"/>
      <c r="F143" s="8"/>
      <c r="G143" s="8"/>
      <c r="H143" s="8"/>
      <c r="I143" s="8"/>
      <c r="J143" s="8"/>
      <c r="K143" s="8"/>
    </row>
    <row r="144" spans="2:11" ht="15" customHeight="1">
      <c r="B144" s="12"/>
      <c r="C144" s="8"/>
      <c r="D144" s="8"/>
      <c r="E144" s="8"/>
      <c r="F144" s="8"/>
      <c r="G144" s="8"/>
      <c r="H144" s="8"/>
      <c r="I144" s="8"/>
      <c r="J144" s="8"/>
      <c r="K144" s="8"/>
    </row>
    <row r="145" spans="2:11" ht="15" customHeight="1">
      <c r="B145" s="12"/>
      <c r="C145" s="8"/>
      <c r="D145" s="8"/>
      <c r="E145" s="8"/>
      <c r="F145" s="8"/>
      <c r="G145" s="8"/>
      <c r="H145" s="8"/>
      <c r="I145" s="8"/>
      <c r="J145" s="8"/>
      <c r="K145" s="8"/>
    </row>
    <row r="146" spans="2:11" ht="15" customHeight="1">
      <c r="B146" s="12"/>
      <c r="C146" s="8"/>
      <c r="D146" s="8"/>
      <c r="E146" s="8"/>
      <c r="F146" s="8"/>
      <c r="G146" s="8"/>
      <c r="H146" s="8"/>
      <c r="I146" s="8"/>
      <c r="J146" s="8"/>
      <c r="K146" s="8"/>
    </row>
    <row r="147" spans="2:11" ht="15" customHeight="1">
      <c r="B147" s="12"/>
      <c r="C147" s="8"/>
      <c r="D147" s="8"/>
      <c r="E147" s="8"/>
      <c r="F147" s="8"/>
      <c r="G147" s="8"/>
      <c r="H147" s="8"/>
      <c r="I147" s="8"/>
      <c r="J147" s="8"/>
      <c r="K147" s="8"/>
    </row>
    <row r="148" spans="2:11" ht="15" customHeight="1">
      <c r="B148" s="12"/>
      <c r="C148" s="8"/>
      <c r="D148" s="8"/>
      <c r="E148" s="8"/>
      <c r="F148" s="8"/>
      <c r="G148" s="8"/>
      <c r="H148" s="8"/>
      <c r="I148" s="8"/>
      <c r="J148" s="8"/>
      <c r="K148" s="8"/>
    </row>
    <row r="149" spans="2:11" ht="15" customHeight="1">
      <c r="B149" s="12"/>
      <c r="C149" s="8"/>
      <c r="D149" s="8"/>
      <c r="E149" s="8"/>
      <c r="F149" s="8"/>
      <c r="G149" s="8"/>
      <c r="H149" s="8"/>
      <c r="I149" s="8"/>
      <c r="J149" s="8"/>
      <c r="K149" s="8"/>
    </row>
    <row r="150" spans="2:11" ht="15" customHeight="1">
      <c r="B150" s="12"/>
      <c r="C150" s="8"/>
      <c r="D150" s="8"/>
      <c r="E150" s="8"/>
      <c r="F150" s="8"/>
      <c r="G150" s="8"/>
      <c r="H150" s="8"/>
      <c r="I150" s="8"/>
      <c r="J150" s="8"/>
      <c r="K150" s="8"/>
    </row>
    <row r="151" spans="2:11" ht="15" customHeight="1">
      <c r="B151" s="12"/>
      <c r="C151" s="8"/>
      <c r="D151" s="8"/>
      <c r="E151" s="8"/>
      <c r="F151" s="8"/>
      <c r="G151" s="8"/>
      <c r="H151" s="8"/>
      <c r="I151" s="8"/>
      <c r="J151" s="8"/>
      <c r="K151" s="8"/>
    </row>
    <row r="152" spans="2:11" ht="15" customHeight="1">
      <c r="B152" s="12"/>
      <c r="C152" s="8"/>
      <c r="D152" s="8"/>
      <c r="E152" s="8"/>
      <c r="F152" s="8"/>
      <c r="G152" s="8"/>
      <c r="H152" s="8"/>
      <c r="I152" s="8"/>
      <c r="J152" s="8"/>
      <c r="K152" s="8"/>
    </row>
    <row r="153" spans="2:11" ht="15" customHeight="1">
      <c r="B153" s="12"/>
      <c r="C153" s="8"/>
      <c r="D153" s="8"/>
      <c r="E153" s="8"/>
      <c r="F153" s="8"/>
      <c r="G153" s="8"/>
      <c r="H153" s="8"/>
      <c r="I153" s="8"/>
      <c r="J153" s="8"/>
      <c r="K153" s="8"/>
    </row>
    <row r="154" spans="2:11" ht="15" customHeight="1">
      <c r="B154" s="12"/>
      <c r="C154" s="8"/>
      <c r="D154" s="8"/>
      <c r="E154" s="8"/>
      <c r="F154" s="8"/>
      <c r="G154" s="8"/>
      <c r="H154" s="8"/>
      <c r="I154" s="8"/>
      <c r="J154" s="8"/>
      <c r="K154" s="8"/>
    </row>
    <row r="155" spans="2:11" ht="15" customHeight="1">
      <c r="B155" s="12"/>
      <c r="C155" s="8"/>
      <c r="D155" s="8"/>
      <c r="E155" s="8"/>
      <c r="F155" s="8"/>
      <c r="G155" s="8"/>
      <c r="H155" s="8"/>
      <c r="I155" s="8"/>
      <c r="J155" s="8"/>
      <c r="K155" s="8"/>
    </row>
    <row r="156" spans="2:11" ht="15" customHeight="1">
      <c r="B156" s="12"/>
      <c r="C156" s="8"/>
      <c r="D156" s="8"/>
      <c r="E156" s="8"/>
      <c r="F156" s="8"/>
      <c r="G156" s="8"/>
      <c r="H156" s="8"/>
      <c r="I156" s="8"/>
      <c r="J156" s="8"/>
      <c r="K156" s="8"/>
    </row>
    <row r="157" spans="2:11" ht="15" customHeight="1">
      <c r="B157" s="12"/>
      <c r="C157" s="8"/>
      <c r="D157" s="8"/>
      <c r="E157" s="8"/>
      <c r="F157" s="8"/>
      <c r="G157" s="8"/>
      <c r="H157" s="8"/>
      <c r="I157" s="8"/>
      <c r="J157" s="8"/>
      <c r="K157" s="8"/>
    </row>
    <row r="158" spans="2:11" ht="15" customHeight="1">
      <c r="B158" s="12"/>
      <c r="C158" s="8"/>
      <c r="D158" s="8"/>
      <c r="E158" s="8"/>
      <c r="F158" s="8"/>
      <c r="G158" s="8"/>
      <c r="H158" s="8"/>
      <c r="I158" s="8"/>
      <c r="J158" s="8"/>
      <c r="K158" s="8"/>
    </row>
    <row r="159" spans="2:11" ht="15" customHeight="1">
      <c r="B159" s="12"/>
      <c r="C159" s="8"/>
      <c r="D159" s="8"/>
      <c r="E159" s="8"/>
      <c r="F159" s="8"/>
      <c r="G159" s="8"/>
      <c r="H159" s="8"/>
      <c r="I159" s="8"/>
      <c r="J159" s="8"/>
      <c r="K159" s="8"/>
    </row>
    <row r="160" spans="2:11" ht="15" customHeight="1">
      <c r="B160" s="12"/>
      <c r="C160" s="8"/>
      <c r="D160" s="8"/>
      <c r="E160" s="8"/>
      <c r="F160" s="8"/>
      <c r="G160" s="8"/>
      <c r="H160" s="8"/>
      <c r="I160" s="8"/>
      <c r="J160" s="8"/>
      <c r="K160" s="8"/>
    </row>
    <row r="161" spans="2:11" ht="15" customHeight="1">
      <c r="B161" s="12"/>
      <c r="C161" s="8"/>
      <c r="D161" s="8"/>
      <c r="E161" s="8"/>
      <c r="F161" s="8"/>
      <c r="G161" s="8"/>
      <c r="H161" s="8"/>
      <c r="I161" s="8"/>
      <c r="J161" s="8"/>
      <c r="K161" s="8"/>
    </row>
    <row r="162" spans="2:11" ht="15" customHeight="1">
      <c r="B162" s="12"/>
      <c r="C162" s="8"/>
      <c r="D162" s="8"/>
      <c r="E162" s="8"/>
      <c r="F162" s="8"/>
      <c r="G162" s="8"/>
      <c r="H162" s="8"/>
      <c r="I162" s="8"/>
      <c r="J162" s="8"/>
      <c r="K162" s="8"/>
    </row>
    <row r="163" spans="2:11" ht="15" customHeight="1">
      <c r="B163" s="12"/>
      <c r="C163" s="8"/>
      <c r="D163" s="8"/>
      <c r="E163" s="8"/>
      <c r="F163" s="8"/>
      <c r="G163" s="8"/>
      <c r="H163" s="8"/>
      <c r="I163" s="8"/>
      <c r="J163" s="8"/>
      <c r="K163" s="8"/>
    </row>
    <row r="164" spans="2:11" ht="15" customHeight="1">
      <c r="B164" s="12"/>
      <c r="C164" s="8"/>
      <c r="D164" s="8"/>
      <c r="E164" s="8"/>
      <c r="F164" s="8"/>
      <c r="G164" s="8"/>
      <c r="H164" s="8"/>
      <c r="I164" s="8"/>
      <c r="J164" s="8"/>
      <c r="K164" s="8"/>
    </row>
    <row r="165" spans="2:11" ht="15" customHeight="1">
      <c r="B165" s="12"/>
      <c r="C165" s="8"/>
      <c r="D165" s="8"/>
      <c r="E165" s="8"/>
      <c r="F165" s="8"/>
      <c r="G165" s="8"/>
      <c r="H165" s="8"/>
      <c r="I165" s="8"/>
      <c r="J165" s="8"/>
      <c r="K165" s="8"/>
    </row>
    <row r="166" spans="2:11" ht="15" customHeight="1">
      <c r="B166" s="12"/>
      <c r="C166" s="8"/>
      <c r="D166" s="8"/>
      <c r="E166" s="8"/>
      <c r="F166" s="8"/>
      <c r="G166" s="8"/>
      <c r="H166" s="8"/>
      <c r="I166" s="8"/>
      <c r="J166" s="8"/>
      <c r="K166" s="8"/>
    </row>
    <row r="167" spans="2:11" ht="15" customHeight="1">
      <c r="B167" s="12"/>
      <c r="C167" s="8"/>
      <c r="D167" s="8"/>
      <c r="E167" s="8"/>
      <c r="F167" s="8"/>
      <c r="G167" s="8"/>
      <c r="H167" s="8"/>
      <c r="I167" s="8"/>
      <c r="J167" s="8"/>
      <c r="K167" s="8"/>
    </row>
    <row r="168" spans="2:11" ht="15" customHeight="1">
      <c r="B168" s="12"/>
      <c r="C168" s="8"/>
      <c r="D168" s="8"/>
      <c r="E168" s="8"/>
      <c r="F168" s="8"/>
      <c r="G168" s="8"/>
      <c r="H168" s="8"/>
      <c r="I168" s="8"/>
      <c r="J168" s="8"/>
      <c r="K168" s="8"/>
    </row>
    <row r="169" spans="2:11" ht="15" customHeight="1">
      <c r="B169" s="12"/>
      <c r="C169" s="8"/>
      <c r="D169" s="8"/>
      <c r="E169" s="8"/>
      <c r="F169" s="8"/>
      <c r="G169" s="8"/>
      <c r="H169" s="8"/>
      <c r="I169" s="8"/>
      <c r="J169" s="8"/>
      <c r="K169" s="8"/>
    </row>
    <row r="170" spans="2:11" ht="15" customHeight="1">
      <c r="B170" s="12"/>
      <c r="C170" s="8"/>
      <c r="D170" s="8"/>
      <c r="E170" s="8"/>
      <c r="F170" s="8"/>
      <c r="G170" s="8"/>
      <c r="H170" s="8"/>
      <c r="I170" s="8"/>
      <c r="J170" s="8"/>
      <c r="K170" s="8"/>
    </row>
    <row r="171" spans="2:11" ht="15" customHeight="1">
      <c r="B171" s="12"/>
      <c r="C171" s="8"/>
      <c r="D171" s="8"/>
      <c r="E171" s="8"/>
      <c r="F171" s="8"/>
      <c r="G171" s="8"/>
      <c r="H171" s="8"/>
      <c r="I171" s="8"/>
      <c r="J171" s="8"/>
      <c r="K171" s="8"/>
    </row>
    <row r="172" spans="2:11" ht="15" customHeight="1">
      <c r="B172" s="12"/>
      <c r="C172" s="8"/>
      <c r="D172" s="8"/>
      <c r="E172" s="8"/>
      <c r="F172" s="8"/>
      <c r="G172" s="8"/>
      <c r="H172" s="8"/>
      <c r="I172" s="8"/>
      <c r="J172" s="8"/>
      <c r="K172" s="8"/>
    </row>
    <row r="173" spans="2:11" ht="15" customHeight="1">
      <c r="B173" s="12"/>
      <c r="C173" s="8"/>
      <c r="D173" s="8"/>
      <c r="E173" s="8"/>
      <c r="F173" s="8"/>
      <c r="G173" s="8"/>
      <c r="H173" s="8"/>
      <c r="I173" s="8"/>
      <c r="J173" s="8"/>
      <c r="K173" s="8"/>
    </row>
    <row r="174" spans="2:11" ht="15" customHeight="1">
      <c r="B174" s="12"/>
      <c r="C174" s="8"/>
      <c r="D174" s="8"/>
      <c r="E174" s="8"/>
      <c r="F174" s="8"/>
      <c r="G174" s="8"/>
      <c r="H174" s="8"/>
      <c r="I174" s="8"/>
      <c r="J174" s="8"/>
      <c r="K174" s="8"/>
    </row>
    <row r="175" spans="2:11" ht="15" customHeight="1">
      <c r="B175" s="12"/>
      <c r="C175" s="8"/>
      <c r="D175" s="8"/>
      <c r="E175" s="8"/>
      <c r="F175" s="8"/>
      <c r="G175" s="8"/>
      <c r="H175" s="8"/>
      <c r="I175" s="8"/>
      <c r="J175" s="8"/>
      <c r="K175" s="8"/>
    </row>
    <row r="176" spans="2:11" ht="15" customHeight="1">
      <c r="B176" s="12"/>
      <c r="C176" s="8"/>
      <c r="D176" s="8"/>
      <c r="E176" s="8"/>
      <c r="F176" s="8"/>
      <c r="G176" s="8"/>
      <c r="H176" s="8"/>
      <c r="I176" s="8"/>
      <c r="J176" s="8"/>
      <c r="K176" s="8"/>
    </row>
    <row r="177" spans="2:11" ht="15" customHeight="1">
      <c r="B177" s="12"/>
      <c r="C177" s="8"/>
      <c r="D177" s="8"/>
      <c r="E177" s="8"/>
      <c r="F177" s="8"/>
      <c r="G177" s="8"/>
      <c r="H177" s="8"/>
      <c r="I177" s="8"/>
      <c r="J177" s="8"/>
      <c r="K177" s="8"/>
    </row>
    <row r="178" spans="2:11" ht="15" customHeight="1">
      <c r="B178" s="12"/>
      <c r="C178" s="8"/>
      <c r="D178" s="8"/>
      <c r="E178" s="8"/>
      <c r="F178" s="8"/>
      <c r="G178" s="8"/>
      <c r="H178" s="8"/>
      <c r="I178" s="8"/>
      <c r="J178" s="8"/>
      <c r="K178" s="8"/>
    </row>
    <row r="179" spans="2:11" ht="15" customHeight="1">
      <c r="B179" s="12"/>
      <c r="C179" s="8"/>
      <c r="D179" s="8"/>
      <c r="E179" s="8"/>
      <c r="F179" s="8"/>
      <c r="G179" s="8"/>
      <c r="H179" s="8"/>
      <c r="I179" s="8"/>
      <c r="J179" s="8"/>
      <c r="K179" s="8"/>
    </row>
    <row r="180" spans="2:11" ht="15" customHeight="1">
      <c r="B180" s="12"/>
      <c r="C180" s="8"/>
      <c r="D180" s="8"/>
      <c r="E180" s="8"/>
      <c r="F180" s="8"/>
      <c r="G180" s="8"/>
      <c r="H180" s="8"/>
      <c r="I180" s="8"/>
      <c r="J180" s="8"/>
      <c r="K180" s="8"/>
    </row>
    <row r="181" spans="2:11" ht="15" customHeight="1">
      <c r="B181" s="12"/>
      <c r="C181" s="8"/>
      <c r="D181" s="8"/>
      <c r="E181" s="8"/>
      <c r="F181" s="8"/>
      <c r="G181" s="8"/>
      <c r="H181" s="8"/>
      <c r="I181" s="8"/>
      <c r="J181" s="8"/>
      <c r="K181" s="8"/>
    </row>
    <row r="182" spans="2:11" ht="15" customHeight="1">
      <c r="B182" s="12"/>
      <c r="C182" s="8"/>
      <c r="D182" s="8"/>
      <c r="E182" s="8"/>
      <c r="F182" s="8"/>
      <c r="G182" s="8"/>
      <c r="H182" s="8"/>
      <c r="I182" s="8"/>
      <c r="J182" s="8"/>
      <c r="K182" s="8"/>
    </row>
    <row r="183" spans="2:11" ht="15" customHeight="1">
      <c r="B183" s="12"/>
      <c r="C183" s="8"/>
      <c r="D183" s="8"/>
      <c r="E183" s="8"/>
      <c r="F183" s="8"/>
      <c r="G183" s="8"/>
      <c r="H183" s="8"/>
      <c r="I183" s="8"/>
      <c r="J183" s="8"/>
      <c r="K183" s="8"/>
    </row>
    <row r="184" spans="2:11" ht="15" customHeight="1">
      <c r="B184" s="12"/>
      <c r="C184" s="8"/>
      <c r="D184" s="8"/>
      <c r="E184" s="8"/>
      <c r="F184" s="8"/>
      <c r="G184" s="8"/>
      <c r="H184" s="8"/>
      <c r="I184" s="8"/>
      <c r="J184" s="8"/>
      <c r="K184" s="8"/>
    </row>
    <row r="185" spans="2:11" ht="15" customHeight="1">
      <c r="B185" s="12"/>
      <c r="C185" s="8"/>
      <c r="D185" s="8"/>
      <c r="E185" s="8"/>
      <c r="F185" s="8"/>
      <c r="G185" s="8"/>
      <c r="H185" s="8"/>
      <c r="I185" s="8"/>
      <c r="J185" s="8"/>
      <c r="K185" s="8"/>
    </row>
    <row r="186" spans="2:11" ht="15" customHeight="1">
      <c r="B186" s="12"/>
      <c r="C186" s="8"/>
      <c r="D186" s="8"/>
      <c r="E186" s="8"/>
      <c r="F186" s="8"/>
      <c r="G186" s="8"/>
      <c r="H186" s="8"/>
      <c r="I186" s="8"/>
      <c r="J186" s="8"/>
      <c r="K186" s="8"/>
    </row>
    <row r="187" spans="2:11" ht="15" customHeight="1">
      <c r="B187" s="12"/>
      <c r="C187" s="8"/>
      <c r="D187" s="8"/>
      <c r="E187" s="8"/>
      <c r="F187" s="8"/>
      <c r="G187" s="8"/>
      <c r="H187" s="8"/>
      <c r="I187" s="8"/>
      <c r="J187" s="8"/>
      <c r="K187" s="8"/>
    </row>
    <row r="188" spans="2:11" ht="15" customHeight="1">
      <c r="B188" s="12"/>
      <c r="C188" s="8"/>
      <c r="D188" s="8"/>
      <c r="E188" s="8"/>
      <c r="F188" s="8"/>
      <c r="G188" s="8"/>
      <c r="H188" s="8"/>
      <c r="I188" s="8"/>
      <c r="J188" s="8"/>
      <c r="K188" s="8"/>
    </row>
    <row r="189" spans="2:11" ht="15" customHeight="1">
      <c r="B189" s="12"/>
      <c r="C189" s="8"/>
      <c r="D189" s="8"/>
      <c r="E189" s="8"/>
      <c r="F189" s="8"/>
      <c r="G189" s="8"/>
      <c r="H189" s="8"/>
      <c r="I189" s="8"/>
      <c r="J189" s="8"/>
      <c r="K189" s="8"/>
    </row>
    <row r="190" spans="2:11" ht="15" customHeight="1">
      <c r="B190" s="12"/>
      <c r="C190" s="8"/>
      <c r="D190" s="8"/>
      <c r="E190" s="8"/>
      <c r="F190" s="8"/>
      <c r="G190" s="8"/>
      <c r="H190" s="8"/>
      <c r="I190" s="8"/>
      <c r="J190" s="8"/>
      <c r="K190" s="8"/>
    </row>
    <row r="191" spans="2:11" ht="15" customHeight="1">
      <c r="B191" s="12"/>
      <c r="C191" s="8"/>
      <c r="D191" s="8"/>
      <c r="E191" s="8"/>
      <c r="F191" s="8"/>
      <c r="G191" s="8"/>
      <c r="H191" s="8"/>
      <c r="I191" s="8"/>
      <c r="J191" s="8"/>
      <c r="K191" s="8"/>
    </row>
    <row r="192" spans="2:11" ht="15" customHeight="1">
      <c r="B192" s="12"/>
      <c r="C192" s="8"/>
      <c r="D192" s="8"/>
      <c r="E192" s="8"/>
      <c r="F192" s="8"/>
      <c r="G192" s="8"/>
      <c r="H192" s="8"/>
      <c r="I192" s="8"/>
      <c r="J192" s="8"/>
      <c r="K192" s="8"/>
    </row>
    <row r="193" spans="2:11" ht="15" customHeight="1">
      <c r="B193" s="12"/>
      <c r="C193" s="8"/>
      <c r="D193" s="8"/>
      <c r="E193" s="8"/>
      <c r="F193" s="8"/>
      <c r="G193" s="8"/>
      <c r="H193" s="8"/>
      <c r="I193" s="8"/>
      <c r="J193" s="8"/>
      <c r="K193" s="8"/>
    </row>
    <row r="194" spans="2:11" ht="15" customHeight="1">
      <c r="B194" s="12"/>
      <c r="C194" s="8"/>
      <c r="D194" s="8"/>
      <c r="E194" s="8"/>
      <c r="F194" s="8"/>
      <c r="G194" s="8"/>
      <c r="H194" s="8"/>
      <c r="I194" s="8"/>
      <c r="J194" s="8"/>
      <c r="K194" s="8"/>
    </row>
    <row r="195" spans="2:11" ht="15" customHeight="1">
      <c r="B195" s="12"/>
      <c r="C195" s="8"/>
      <c r="D195" s="8"/>
      <c r="E195" s="8"/>
      <c r="F195" s="8"/>
      <c r="G195" s="8"/>
      <c r="H195" s="8"/>
      <c r="I195" s="8"/>
      <c r="J195" s="8"/>
      <c r="K195" s="8"/>
    </row>
    <row r="196" spans="2:11" ht="15" customHeight="1">
      <c r="B196" s="12"/>
      <c r="C196" s="8"/>
      <c r="D196" s="8"/>
      <c r="E196" s="8"/>
      <c r="F196" s="8"/>
      <c r="G196" s="8"/>
      <c r="H196" s="8"/>
      <c r="I196" s="8"/>
      <c r="J196" s="8"/>
      <c r="K196" s="8"/>
    </row>
    <row r="197" spans="2:11" ht="15" customHeight="1">
      <c r="B197" s="12"/>
      <c r="C197" s="8"/>
      <c r="D197" s="8"/>
      <c r="E197" s="8"/>
      <c r="F197" s="8"/>
      <c r="G197" s="8"/>
      <c r="H197" s="8"/>
      <c r="I197" s="8"/>
      <c r="J197" s="8"/>
      <c r="K197" s="8"/>
    </row>
    <row r="198" spans="2:11" ht="15" customHeight="1">
      <c r="B198" s="12"/>
      <c r="C198" s="8"/>
      <c r="D198" s="8"/>
      <c r="E198" s="8"/>
      <c r="F198" s="8"/>
      <c r="G198" s="8"/>
      <c r="H198" s="8"/>
      <c r="I198" s="8"/>
      <c r="J198" s="8"/>
      <c r="K198" s="8"/>
    </row>
    <row r="199" spans="2:11" ht="15" customHeight="1">
      <c r="B199" s="12"/>
      <c r="C199" s="8"/>
      <c r="D199" s="8"/>
      <c r="E199" s="8"/>
      <c r="F199" s="8"/>
      <c r="G199" s="8"/>
      <c r="H199" s="8"/>
      <c r="I199" s="8"/>
      <c r="J199" s="8"/>
      <c r="K199" s="8"/>
    </row>
    <row r="200" spans="2:11" ht="15" customHeight="1">
      <c r="B200" s="12"/>
      <c r="C200" s="8"/>
      <c r="D200" s="8"/>
      <c r="E200" s="8"/>
      <c r="F200" s="8"/>
      <c r="G200" s="8"/>
      <c r="H200" s="8"/>
      <c r="I200" s="8"/>
      <c r="J200" s="8"/>
      <c r="K200" s="8"/>
    </row>
    <row r="201" spans="2:11" ht="15" customHeight="1">
      <c r="B201" s="12"/>
      <c r="C201" s="8"/>
      <c r="D201" s="8"/>
      <c r="E201" s="8"/>
      <c r="F201" s="8"/>
      <c r="G201" s="8"/>
      <c r="H201" s="8"/>
      <c r="I201" s="8"/>
      <c r="J201" s="8"/>
      <c r="K201" s="8"/>
    </row>
    <row r="202" spans="2:11" ht="15" customHeight="1">
      <c r="B202" s="12"/>
      <c r="C202" s="8"/>
      <c r="D202" s="8"/>
      <c r="E202" s="8"/>
      <c r="F202" s="8"/>
      <c r="G202" s="8"/>
      <c r="H202" s="8"/>
      <c r="I202" s="8"/>
      <c r="J202" s="8"/>
      <c r="K202" s="8"/>
    </row>
    <row r="203" spans="2:11" ht="15" customHeight="1">
      <c r="B203" s="12"/>
      <c r="C203" s="8"/>
      <c r="D203" s="8"/>
      <c r="E203" s="8"/>
      <c r="F203" s="8"/>
      <c r="G203" s="8"/>
      <c r="H203" s="8"/>
      <c r="I203" s="8"/>
      <c r="J203" s="8"/>
      <c r="K203" s="8"/>
    </row>
    <row r="204" spans="2:11" ht="15" customHeight="1">
      <c r="B204" s="12"/>
      <c r="C204" s="8"/>
      <c r="D204" s="8"/>
      <c r="E204" s="8"/>
      <c r="F204" s="8"/>
      <c r="G204" s="8"/>
      <c r="H204" s="8"/>
      <c r="I204" s="8"/>
      <c r="J204" s="8"/>
      <c r="K204" s="8"/>
    </row>
    <row r="205" spans="2:11" ht="15" customHeight="1">
      <c r="B205" s="12"/>
      <c r="C205" s="8"/>
      <c r="D205" s="8"/>
      <c r="E205" s="8"/>
      <c r="F205" s="8"/>
      <c r="G205" s="8"/>
      <c r="H205" s="8"/>
      <c r="I205" s="8"/>
      <c r="J205" s="8"/>
      <c r="K205" s="8"/>
    </row>
    <row r="206" spans="2:11" ht="15" customHeight="1">
      <c r="B206" s="12"/>
      <c r="C206" s="8"/>
      <c r="D206" s="8"/>
      <c r="E206" s="8"/>
      <c r="F206" s="8"/>
      <c r="G206" s="8"/>
      <c r="H206" s="8"/>
      <c r="I206" s="8"/>
      <c r="J206" s="8"/>
      <c r="K206" s="8"/>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P86"/>
  <sheetViews>
    <sheetView showGridLines="0" zoomScale="80" zoomScaleNormal="80" workbookViewId="0"/>
  </sheetViews>
  <sheetFormatPr defaultRowHeight="14.4"/>
  <cols>
    <col min="1" max="1" width="4.77734375" style="1" customWidth="1"/>
    <col min="2" max="2" width="5.33203125" style="1" customWidth="1"/>
    <col min="3" max="3" width="47.21875" bestFit="1" customWidth="1"/>
    <col min="4" max="4" width="25.109375" bestFit="1" customWidth="1"/>
    <col min="5" max="5" width="9.88671875" bestFit="1" customWidth="1"/>
    <col min="6" max="6" width="10.77734375" customWidth="1"/>
    <col min="7" max="7" width="9" customWidth="1"/>
    <col min="8" max="8" width="9.109375" bestFit="1" customWidth="1"/>
    <col min="9" max="9" width="9.21875" bestFit="1" customWidth="1"/>
    <col min="10" max="10" width="9.109375" bestFit="1" customWidth="1"/>
    <col min="11" max="24" width="10.21875" bestFit="1" customWidth="1"/>
    <col min="25" max="27" width="9.109375" bestFit="1" customWidth="1"/>
    <col min="28" max="28" width="9.77734375" bestFit="1" customWidth="1"/>
    <col min="29" max="29" width="9.109375" bestFit="1" customWidth="1"/>
    <col min="30" max="30" width="9" bestFit="1" customWidth="1"/>
    <col min="31" max="32" width="9.109375" bestFit="1" customWidth="1"/>
    <col min="33" max="35" width="9" bestFit="1" customWidth="1"/>
    <col min="36" max="36" width="9.77734375" bestFit="1" customWidth="1"/>
    <col min="37" max="40" width="9.109375" bestFit="1" customWidth="1"/>
    <col min="41" max="42" width="9" bestFit="1" customWidth="1"/>
    <col min="43" max="45" width="9.109375" bestFit="1" customWidth="1"/>
    <col min="46" max="46" width="9" bestFit="1" customWidth="1"/>
    <col min="47" max="55" width="9.109375" bestFit="1" customWidth="1"/>
    <col min="56" max="56" width="9.77734375" bestFit="1" customWidth="1"/>
    <col min="57" max="58" width="9.109375" bestFit="1" customWidth="1"/>
    <col min="59" max="60" width="9" bestFit="1" customWidth="1"/>
    <col min="61" max="63" width="9.109375" bestFit="1" customWidth="1"/>
    <col min="64" max="64" width="9.77734375" bestFit="1" customWidth="1"/>
    <col min="65" max="65" width="9.109375" bestFit="1" customWidth="1"/>
    <col min="66" max="66" width="9" bestFit="1" customWidth="1"/>
    <col min="67" max="67" width="9.109375" bestFit="1" customWidth="1"/>
    <col min="68" max="69" width="9" bestFit="1" customWidth="1"/>
    <col min="70" max="70" width="9.109375" bestFit="1" customWidth="1"/>
    <col min="71" max="71" width="9.77734375" bestFit="1" customWidth="1"/>
    <col min="72" max="72" width="9.109375" bestFit="1" customWidth="1"/>
    <col min="73" max="73" width="9" bestFit="1" customWidth="1"/>
    <col min="74" max="74" width="9.109375" bestFit="1" customWidth="1"/>
    <col min="75" max="75" width="9" bestFit="1" customWidth="1"/>
    <col min="76" max="79" width="9.109375" bestFit="1" customWidth="1"/>
    <col min="80" max="80" width="9.77734375" bestFit="1" customWidth="1"/>
    <col min="81" max="81" width="9" bestFit="1" customWidth="1"/>
    <col min="82" max="84" width="9.109375" bestFit="1" customWidth="1"/>
    <col min="85" max="85" width="9" bestFit="1" customWidth="1"/>
    <col min="86" max="87" width="9.109375" bestFit="1" customWidth="1"/>
    <col min="88" max="90" width="9" bestFit="1" customWidth="1"/>
    <col min="91" max="94" width="9.109375" bestFit="1" customWidth="1"/>
    <col min="95" max="95" width="9.77734375" bestFit="1" customWidth="1"/>
    <col min="96" max="96" width="9.109375" bestFit="1" customWidth="1"/>
    <col min="97" max="99" width="9" bestFit="1" customWidth="1"/>
    <col min="100" max="100" width="9.109375" bestFit="1" customWidth="1"/>
    <col min="101" max="101" width="9.77734375" bestFit="1" customWidth="1"/>
    <col min="102" max="106" width="9.109375" bestFit="1" customWidth="1"/>
    <col min="107" max="107" width="9" bestFit="1" customWidth="1"/>
    <col min="108" max="113" width="9.109375" bestFit="1" customWidth="1"/>
    <col min="114" max="114" width="9" bestFit="1" customWidth="1"/>
    <col min="115" max="116" width="9.109375" bestFit="1" customWidth="1"/>
    <col min="117" max="117" width="9" bestFit="1" customWidth="1"/>
    <col min="118" max="118" width="9.109375" bestFit="1" customWidth="1"/>
    <col min="119" max="119" width="9.77734375" bestFit="1" customWidth="1"/>
    <col min="120" max="123" width="9.109375" bestFit="1" customWidth="1"/>
    <col min="124" max="124" width="9.77734375" bestFit="1" customWidth="1"/>
    <col min="125" max="126" width="9.109375" bestFit="1" customWidth="1"/>
    <col min="127" max="128" width="9.77734375" bestFit="1" customWidth="1"/>
    <col min="129" max="129" width="9.109375" bestFit="1" customWidth="1"/>
    <col min="130" max="133" width="9.77734375" bestFit="1" customWidth="1"/>
    <col min="134" max="140" width="9.109375" bestFit="1" customWidth="1"/>
    <col min="141" max="141" width="9" bestFit="1" customWidth="1"/>
    <col min="142" max="142" width="9.109375" bestFit="1" customWidth="1"/>
    <col min="143" max="143" width="9" bestFit="1" customWidth="1"/>
    <col min="144" max="145" width="9.109375" bestFit="1" customWidth="1"/>
    <col min="146" max="146" width="9.77734375" bestFit="1" customWidth="1"/>
    <col min="147" max="148" width="9.109375" bestFit="1" customWidth="1"/>
    <col min="149" max="149" width="9" bestFit="1" customWidth="1"/>
    <col min="150" max="151" width="9.109375" bestFit="1" customWidth="1"/>
    <col min="152" max="153" width="9.77734375" bestFit="1" customWidth="1"/>
    <col min="154" max="156" width="9.109375" bestFit="1" customWidth="1"/>
    <col min="157" max="158" width="9" bestFit="1" customWidth="1"/>
    <col min="159" max="161" width="9.109375" bestFit="1" customWidth="1"/>
    <col min="162" max="162" width="9" bestFit="1" customWidth="1"/>
    <col min="163" max="164" width="9.77734375" bestFit="1" customWidth="1"/>
    <col min="165" max="165" width="9.109375" bestFit="1" customWidth="1"/>
    <col min="166" max="166" width="9" bestFit="1" customWidth="1"/>
    <col min="167" max="172" width="9.109375" bestFit="1" customWidth="1"/>
    <col min="173" max="173" width="9" bestFit="1" customWidth="1"/>
    <col min="174" max="178" width="9.109375" bestFit="1" customWidth="1"/>
    <col min="179" max="179" width="9" bestFit="1" customWidth="1"/>
    <col min="180" max="180" width="9.109375" bestFit="1" customWidth="1"/>
    <col min="181" max="181" width="9.77734375" bestFit="1" customWidth="1"/>
    <col min="182" max="185" width="9.109375" bestFit="1" customWidth="1"/>
    <col min="186" max="186" width="9" bestFit="1" customWidth="1"/>
    <col min="187" max="194" width="9.109375" bestFit="1" customWidth="1"/>
    <col min="195" max="195" width="9.77734375" bestFit="1" customWidth="1"/>
    <col min="196" max="200" width="9.109375" bestFit="1" customWidth="1"/>
    <col min="201" max="201" width="10.109375" bestFit="1" customWidth="1"/>
    <col min="202" max="202" width="9" bestFit="1" customWidth="1"/>
    <col min="203" max="203" width="9.77734375" bestFit="1" customWidth="1"/>
    <col min="204" max="205" width="9.109375" bestFit="1" customWidth="1"/>
    <col min="206" max="206" width="10.109375" bestFit="1" customWidth="1"/>
    <col min="207" max="208" width="9.109375" bestFit="1" customWidth="1"/>
    <col min="209" max="209" width="9.77734375" bestFit="1" customWidth="1"/>
    <col min="210" max="210" width="9.109375" bestFit="1" customWidth="1"/>
    <col min="211" max="211" width="9" bestFit="1" customWidth="1"/>
    <col min="212" max="213" width="10.109375" bestFit="1" customWidth="1"/>
    <col min="214" max="214" width="9" bestFit="1" customWidth="1"/>
    <col min="215" max="217" width="9.109375" bestFit="1" customWidth="1"/>
    <col min="218" max="218" width="10.77734375" bestFit="1" customWidth="1"/>
    <col min="219" max="219" width="9.109375" bestFit="1" customWidth="1"/>
    <col min="220" max="220" width="9" bestFit="1" customWidth="1"/>
    <col min="221" max="221" width="10.109375" bestFit="1" customWidth="1"/>
    <col min="222" max="222" width="9" bestFit="1" customWidth="1"/>
    <col min="223" max="225" width="9.109375" bestFit="1" customWidth="1"/>
    <col min="226" max="226" width="9" bestFit="1" customWidth="1"/>
    <col min="227" max="227" width="9.109375" bestFit="1" customWidth="1"/>
    <col min="228" max="228" width="9.77734375" bestFit="1" customWidth="1"/>
    <col min="229" max="230" width="9.109375" bestFit="1" customWidth="1"/>
    <col min="231" max="231" width="10.109375" bestFit="1" customWidth="1"/>
    <col min="232" max="232" width="9.109375" bestFit="1" customWidth="1"/>
    <col min="233" max="233" width="10.109375" bestFit="1" customWidth="1"/>
    <col min="234" max="235" width="9.109375" bestFit="1" customWidth="1"/>
    <col min="236" max="236" width="9.77734375" bestFit="1" customWidth="1"/>
    <col min="237" max="237" width="9.109375" bestFit="1" customWidth="1"/>
    <col min="238" max="238" width="9.77734375" bestFit="1" customWidth="1"/>
    <col min="239" max="239" width="9" bestFit="1" customWidth="1"/>
    <col min="240" max="240" width="9.77734375" bestFit="1" customWidth="1"/>
    <col min="241" max="243" width="9.109375" bestFit="1" customWidth="1"/>
    <col min="244" max="244" width="9" bestFit="1" customWidth="1"/>
  </cols>
  <sheetData>
    <row r="1" spans="1:6">
      <c r="A1" s="1" t="str">
        <f>Instructions!B2&amp;": "&amp;Instructions!B4</f>
        <v>Wealth Management Task: Retirement / Savings Calculators - Detailed Loan</v>
      </c>
    </row>
    <row r="2" spans="1:6">
      <c r="A2" s="1" t="s">
        <v>3</v>
      </c>
    </row>
    <row r="4" spans="1:6" s="3" customFormat="1" ht="14.4" customHeight="1">
      <c r="B4" s="4" t="s">
        <v>23</v>
      </c>
    </row>
    <row r="6" spans="1:6">
      <c r="C6" t="s">
        <v>24</v>
      </c>
      <c r="D6" s="6">
        <v>46753</v>
      </c>
      <c r="E6" s="16"/>
    </row>
    <row r="7" spans="1:6">
      <c r="C7" t="s">
        <v>25</v>
      </c>
      <c r="D7" s="19">
        <v>26</v>
      </c>
      <c r="E7" s="16" t="s">
        <v>1</v>
      </c>
      <c r="F7" t="s">
        <v>52</v>
      </c>
    </row>
    <row r="8" spans="1:6">
      <c r="C8" t="s">
        <v>25</v>
      </c>
      <c r="D8" s="19">
        <v>27</v>
      </c>
      <c r="E8" s="16" t="s">
        <v>1</v>
      </c>
      <c r="F8" t="s">
        <v>53</v>
      </c>
    </row>
    <row r="9" spans="1:6">
      <c r="C9" t="s">
        <v>26</v>
      </c>
      <c r="D9" s="19">
        <v>65</v>
      </c>
      <c r="E9" s="16" t="s">
        <v>1</v>
      </c>
      <c r="F9" t="s">
        <v>54</v>
      </c>
    </row>
    <row r="10" spans="1:6">
      <c r="C10" t="s">
        <v>27</v>
      </c>
      <c r="D10" s="19">
        <v>110</v>
      </c>
      <c r="E10" s="16" t="s">
        <v>1</v>
      </c>
    </row>
    <row r="11" spans="1:6">
      <c r="C11" t="s">
        <v>28</v>
      </c>
      <c r="D11" s="19">
        <v>12</v>
      </c>
      <c r="E11" s="16"/>
    </row>
    <row r="12" spans="1:6">
      <c r="C12" t="s">
        <v>114</v>
      </c>
      <c r="D12" s="19">
        <v>7</v>
      </c>
      <c r="E12" s="16"/>
    </row>
    <row r="14" spans="1:6" s="3" customFormat="1" ht="14.4" customHeight="1">
      <c r="B14" s="4" t="s">
        <v>29</v>
      </c>
    </row>
    <row r="15" spans="1:6">
      <c r="E15" s="16"/>
    </row>
    <row r="16" spans="1:6">
      <c r="C16" t="s">
        <v>30</v>
      </c>
      <c r="D16" s="2">
        <v>77000</v>
      </c>
      <c r="E16" s="16" t="s">
        <v>0</v>
      </c>
      <c r="F16" t="s">
        <v>52</v>
      </c>
    </row>
    <row r="17" spans="2:16">
      <c r="C17" t="s">
        <v>31</v>
      </c>
      <c r="D17" s="17">
        <v>0.03</v>
      </c>
      <c r="E17" s="16" t="s">
        <v>32</v>
      </c>
      <c r="F17" t="s">
        <v>52</v>
      </c>
    </row>
    <row r="18" spans="2:16">
      <c r="C18" t="s">
        <v>33</v>
      </c>
      <c r="D18" s="17">
        <v>0.15</v>
      </c>
      <c r="E18" s="16" t="s">
        <v>32</v>
      </c>
      <c r="F18" t="s">
        <v>52</v>
      </c>
      <c r="O18" s="25"/>
    </row>
    <row r="19" spans="2:16">
      <c r="C19" t="s">
        <v>34</v>
      </c>
      <c r="D19" s="22">
        <v>5.5</v>
      </c>
      <c r="E19" s="16" t="s">
        <v>1</v>
      </c>
      <c r="F19" t="s">
        <v>52</v>
      </c>
      <c r="G19" t="s">
        <v>106</v>
      </c>
      <c r="N19" s="24"/>
      <c r="O19" s="25"/>
      <c r="P19" s="25"/>
    </row>
    <row r="20" spans="2:16">
      <c r="C20" t="s">
        <v>30</v>
      </c>
      <c r="D20" s="2">
        <v>55000</v>
      </c>
      <c r="E20" s="16" t="s">
        <v>0</v>
      </c>
      <c r="F20" t="s">
        <v>53</v>
      </c>
      <c r="N20" s="24"/>
      <c r="O20" s="25"/>
      <c r="P20" s="25"/>
    </row>
    <row r="21" spans="2:16">
      <c r="C21" t="s">
        <v>31</v>
      </c>
      <c r="D21" s="17">
        <v>0.04</v>
      </c>
      <c r="E21" s="16" t="s">
        <v>32</v>
      </c>
      <c r="F21" t="s">
        <v>53</v>
      </c>
      <c r="N21" s="24"/>
      <c r="O21" s="25"/>
      <c r="P21" s="25"/>
    </row>
    <row r="22" spans="2:16">
      <c r="C22" t="s">
        <v>33</v>
      </c>
      <c r="D22" s="17">
        <v>0.21</v>
      </c>
      <c r="E22" s="16" t="s">
        <v>32</v>
      </c>
      <c r="F22" t="s">
        <v>53</v>
      </c>
      <c r="N22" s="24"/>
      <c r="O22" s="25"/>
      <c r="P22" s="25"/>
    </row>
    <row r="23" spans="2:16">
      <c r="C23" t="s">
        <v>34</v>
      </c>
      <c r="D23" s="22">
        <v>4</v>
      </c>
      <c r="E23" s="16" t="s">
        <v>1</v>
      </c>
      <c r="F23" t="s">
        <v>53</v>
      </c>
      <c r="G23" t="s">
        <v>111</v>
      </c>
    </row>
    <row r="25" spans="2:16" s="3" customFormat="1" ht="14.4" customHeight="1">
      <c r="B25" s="4" t="s">
        <v>35</v>
      </c>
    </row>
    <row r="26" spans="2:16">
      <c r="E26" s="16"/>
    </row>
    <row r="27" spans="2:16">
      <c r="C27" s="1" t="s">
        <v>117</v>
      </c>
      <c r="D27" s="1" t="s">
        <v>36</v>
      </c>
      <c r="E27" s="16"/>
    </row>
    <row r="28" spans="2:16">
      <c r="C28" t="s">
        <v>37</v>
      </c>
      <c r="D28" s="17">
        <v>0</v>
      </c>
      <c r="E28" s="16" t="s">
        <v>32</v>
      </c>
      <c r="F28" s="20">
        <v>0</v>
      </c>
    </row>
    <row r="29" spans="2:16">
      <c r="C29" t="s">
        <v>38</v>
      </c>
      <c r="D29" s="17">
        <v>0.16999999999999998</v>
      </c>
      <c r="E29" s="16" t="s">
        <v>32</v>
      </c>
      <c r="F29" s="20">
        <v>11600.01</v>
      </c>
      <c r="H29" s="21"/>
    </row>
    <row r="30" spans="2:16">
      <c r="C30" t="s">
        <v>39</v>
      </c>
      <c r="D30" s="17">
        <v>0.22</v>
      </c>
      <c r="E30" s="16" t="s">
        <v>32</v>
      </c>
      <c r="F30" s="20">
        <v>17000.009999999998</v>
      </c>
    </row>
    <row r="31" spans="2:16">
      <c r="C31" t="s">
        <v>40</v>
      </c>
      <c r="D31" s="17">
        <v>0.27</v>
      </c>
      <c r="E31" s="16" t="s">
        <v>32</v>
      </c>
      <c r="F31" s="20">
        <v>25000.01</v>
      </c>
    </row>
    <row r="32" spans="2:16">
      <c r="C32" t="s">
        <v>41</v>
      </c>
      <c r="D32" s="17">
        <v>0.32</v>
      </c>
      <c r="E32" s="16" t="s">
        <v>32</v>
      </c>
      <c r="F32" s="20">
        <v>40000.01</v>
      </c>
    </row>
    <row r="33" spans="2:7">
      <c r="C33" t="s">
        <v>42</v>
      </c>
      <c r="D33" s="17">
        <v>0.37</v>
      </c>
      <c r="E33" s="16" t="s">
        <v>32</v>
      </c>
      <c r="F33" s="20">
        <v>60000.01</v>
      </c>
    </row>
    <row r="34" spans="2:7">
      <c r="C34" t="s">
        <v>70</v>
      </c>
      <c r="D34" s="17">
        <v>0.44</v>
      </c>
      <c r="E34" s="16" t="s">
        <v>32</v>
      </c>
      <c r="F34" s="20">
        <v>80000.009999999995</v>
      </c>
    </row>
    <row r="35" spans="2:7">
      <c r="C35" t="s">
        <v>71</v>
      </c>
      <c r="D35" s="17">
        <v>0.47000000000000003</v>
      </c>
      <c r="E35" s="16" t="s">
        <v>32</v>
      </c>
      <c r="F35" s="20">
        <v>210000.01</v>
      </c>
    </row>
    <row r="36" spans="2:7">
      <c r="E36" s="16"/>
    </row>
    <row r="37" spans="2:7">
      <c r="C37" t="s">
        <v>98</v>
      </c>
      <c r="D37" s="17">
        <v>0.02</v>
      </c>
      <c r="E37" s="16" t="s">
        <v>32</v>
      </c>
      <c r="F37" t="s">
        <v>61</v>
      </c>
    </row>
    <row r="38" spans="2:7">
      <c r="E38" s="16"/>
    </row>
    <row r="39" spans="2:7" s="3" customFormat="1" ht="14.4" customHeight="1">
      <c r="B39" s="4" t="s">
        <v>69</v>
      </c>
    </row>
    <row r="40" spans="2:7">
      <c r="E40" s="16"/>
    </row>
    <row r="41" spans="2:7">
      <c r="C41" t="s">
        <v>55</v>
      </c>
      <c r="D41" s="2">
        <v>5000</v>
      </c>
      <c r="E41" s="16" t="s">
        <v>0</v>
      </c>
      <c r="F41" t="s">
        <v>59</v>
      </c>
      <c r="G41" s="21"/>
    </row>
    <row r="42" spans="2:7">
      <c r="C42" t="s">
        <v>56</v>
      </c>
      <c r="D42" s="2">
        <v>3000</v>
      </c>
      <c r="E42" s="16" t="s">
        <v>0</v>
      </c>
      <c r="F42" t="s">
        <v>59</v>
      </c>
      <c r="G42" s="21"/>
    </row>
    <row r="43" spans="2:7">
      <c r="C43" t="s">
        <v>108</v>
      </c>
      <c r="D43" s="17">
        <v>0.03</v>
      </c>
      <c r="E43" s="16" t="s">
        <v>12</v>
      </c>
      <c r="F43" t="s">
        <v>120</v>
      </c>
      <c r="G43" s="21"/>
    </row>
    <row r="44" spans="2:7">
      <c r="C44" t="s">
        <v>109</v>
      </c>
      <c r="D44" s="17">
        <v>0.04</v>
      </c>
      <c r="E44" s="16" t="s">
        <v>12</v>
      </c>
      <c r="G44" s="21"/>
    </row>
    <row r="45" spans="2:7">
      <c r="E45" s="16"/>
    </row>
    <row r="46" spans="2:7" s="3" customFormat="1" ht="14.4" customHeight="1">
      <c r="B46" s="4" t="s">
        <v>43</v>
      </c>
    </row>
    <row r="47" spans="2:7">
      <c r="E47" s="16"/>
    </row>
    <row r="48" spans="2:7">
      <c r="C48" t="s">
        <v>62</v>
      </c>
      <c r="D48" s="2">
        <v>10000</v>
      </c>
      <c r="E48" s="16" t="s">
        <v>0</v>
      </c>
    </row>
    <row r="49" spans="2:6">
      <c r="C49" t="s">
        <v>63</v>
      </c>
      <c r="D49" s="17">
        <v>0.2</v>
      </c>
      <c r="E49" s="16" t="s">
        <v>12</v>
      </c>
    </row>
    <row r="50" spans="2:6">
      <c r="C50" t="s">
        <v>64</v>
      </c>
      <c r="D50" s="2">
        <v>20000</v>
      </c>
      <c r="E50" s="16" t="s">
        <v>0</v>
      </c>
    </row>
    <row r="51" spans="2:6">
      <c r="C51" t="s">
        <v>65</v>
      </c>
      <c r="D51" s="17">
        <v>0.18</v>
      </c>
      <c r="E51" s="16" t="s">
        <v>12</v>
      </c>
    </row>
    <row r="52" spans="2:6">
      <c r="C52" t="s">
        <v>66</v>
      </c>
      <c r="D52" s="2">
        <v>150000</v>
      </c>
      <c r="E52" s="16" t="s">
        <v>0</v>
      </c>
    </row>
    <row r="53" spans="2:6">
      <c r="C53" t="s">
        <v>68</v>
      </c>
      <c r="D53" s="17">
        <v>9.5000000000000001E-2</v>
      </c>
      <c r="E53" s="16" t="s">
        <v>12</v>
      </c>
    </row>
    <row r="54" spans="2:6">
      <c r="C54" t="s">
        <v>87</v>
      </c>
      <c r="D54" s="2">
        <v>166000</v>
      </c>
      <c r="E54" s="16" t="s">
        <v>0</v>
      </c>
    </row>
    <row r="55" spans="2:6">
      <c r="C55" t="s">
        <v>67</v>
      </c>
      <c r="D55" s="17">
        <v>0.1</v>
      </c>
      <c r="E55" s="16" t="s">
        <v>12</v>
      </c>
    </row>
    <row r="57" spans="2:6" s="3" customFormat="1" ht="14.4" customHeight="1">
      <c r="B57" s="4" t="s">
        <v>44</v>
      </c>
    </row>
    <row r="59" spans="2:6">
      <c r="C59" t="s">
        <v>45</v>
      </c>
      <c r="D59" s="2">
        <v>5000</v>
      </c>
      <c r="E59" s="16" t="s">
        <v>0</v>
      </c>
      <c r="F59" t="s">
        <v>128</v>
      </c>
    </row>
    <row r="60" spans="2:6">
      <c r="C60" t="s">
        <v>83</v>
      </c>
      <c r="D60" s="2">
        <v>3</v>
      </c>
      <c r="E60" s="16" t="s">
        <v>85</v>
      </c>
    </row>
    <row r="61" spans="2:6">
      <c r="C61" t="s">
        <v>46</v>
      </c>
      <c r="D61" s="17">
        <v>7.0000000000000007E-2</v>
      </c>
      <c r="E61" s="16" t="s">
        <v>12</v>
      </c>
    </row>
    <row r="62" spans="2:6">
      <c r="C62" t="s">
        <v>129</v>
      </c>
      <c r="D62" s="17">
        <v>3.7749999999999999E-2</v>
      </c>
      <c r="E62" s="16" t="s">
        <v>12</v>
      </c>
      <c r="F62" t="s">
        <v>130</v>
      </c>
    </row>
    <row r="64" spans="2:6" s="3" customFormat="1" ht="14.4" customHeight="1">
      <c r="B64" s="4" t="s">
        <v>57</v>
      </c>
    </row>
    <row r="66" spans="2:6">
      <c r="C66" t="s">
        <v>104</v>
      </c>
      <c r="D66" s="6">
        <v>49948</v>
      </c>
    </row>
    <row r="67" spans="2:6">
      <c r="C67" t="s">
        <v>119</v>
      </c>
      <c r="D67" s="6">
        <v>49949</v>
      </c>
    </row>
    <row r="68" spans="2:6">
      <c r="C68" t="s">
        <v>58</v>
      </c>
      <c r="D68" s="2">
        <v>650000</v>
      </c>
      <c r="E68" s="16" t="s">
        <v>0</v>
      </c>
      <c r="F68" t="s">
        <v>59</v>
      </c>
    </row>
    <row r="69" spans="2:6">
      <c r="C69" t="s">
        <v>60</v>
      </c>
      <c r="D69" s="17">
        <v>0.1</v>
      </c>
      <c r="E69" s="16" t="s">
        <v>32</v>
      </c>
      <c r="F69" t="s">
        <v>125</v>
      </c>
    </row>
    <row r="71" spans="2:6">
      <c r="C71" t="s">
        <v>123</v>
      </c>
      <c r="D71" s="17">
        <v>0.02</v>
      </c>
      <c r="E71" s="16" t="s">
        <v>12</v>
      </c>
    </row>
    <row r="73" spans="2:6" s="3" customFormat="1" ht="14.4" customHeight="1">
      <c r="B73" s="4" t="s">
        <v>8</v>
      </c>
    </row>
    <row r="75" spans="2:6">
      <c r="C75" t="s">
        <v>72</v>
      </c>
      <c r="D75" s="6">
        <v>49948</v>
      </c>
    </row>
    <row r="76" spans="2:6">
      <c r="C76" t="s">
        <v>9</v>
      </c>
      <c r="D76" s="6">
        <f>EDATE(D75,6)</f>
        <v>50129</v>
      </c>
      <c r="E76" s="7"/>
    </row>
    <row r="77" spans="2:6">
      <c r="C77" t="s">
        <v>10</v>
      </c>
      <c r="D77" s="2">
        <v>520000</v>
      </c>
      <c r="E77" s="16" t="s">
        <v>0</v>
      </c>
    </row>
    <row r="78" spans="2:6">
      <c r="C78" t="s">
        <v>18</v>
      </c>
      <c r="D78" s="2">
        <v>0</v>
      </c>
      <c r="E78" s="16" t="s">
        <v>0</v>
      </c>
    </row>
    <row r="79" spans="2:6">
      <c r="C79" t="s">
        <v>11</v>
      </c>
      <c r="D79" s="17">
        <v>6.7750000000000005E-2</v>
      </c>
      <c r="E79" s="16" t="s">
        <v>12</v>
      </c>
    </row>
    <row r="80" spans="2:6">
      <c r="C80" t="s">
        <v>13</v>
      </c>
      <c r="D80" s="2">
        <v>20</v>
      </c>
      <c r="E80" s="16" t="s">
        <v>1</v>
      </c>
    </row>
    <row r="81" spans="2:5">
      <c r="C81" t="s">
        <v>17</v>
      </c>
      <c r="D81" s="2" t="s">
        <v>51</v>
      </c>
      <c r="E81" s="16"/>
    </row>
    <row r="82" spans="2:5">
      <c r="C82" t="s">
        <v>14</v>
      </c>
      <c r="D82" s="2" t="s">
        <v>48</v>
      </c>
      <c r="E82" s="7"/>
    </row>
    <row r="83" spans="2:5">
      <c r="C83" t="s">
        <v>15</v>
      </c>
      <c r="D83" s="2" t="s">
        <v>49</v>
      </c>
      <c r="E83" s="7"/>
    </row>
    <row r="84" spans="2:5">
      <c r="C84" t="s">
        <v>16</v>
      </c>
      <c r="D84" s="2" t="s">
        <v>50</v>
      </c>
      <c r="E84" s="7"/>
    </row>
    <row r="86" spans="2:5" s="3" customFormat="1" ht="14.4" customHeight="1">
      <c r="B86" s="4" t="s">
        <v>2</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5180-73C3-404B-AFCC-AC8D4B9E2E97}">
  <sheetPr>
    <tabColor theme="8" tint="0.79998168889431442"/>
  </sheetPr>
  <dimension ref="A1:C51"/>
  <sheetViews>
    <sheetView zoomScale="70" zoomScaleNormal="70" workbookViewId="0"/>
  </sheetViews>
  <sheetFormatPr defaultRowHeight="15.6"/>
  <cols>
    <col min="1" max="1" width="90.77734375" style="14" bestFit="1" customWidth="1"/>
    <col min="2" max="2" width="16.33203125" style="14" customWidth="1"/>
    <col min="3" max="16384" width="8.88671875" style="14"/>
  </cols>
  <sheetData>
    <row r="1" spans="1:3">
      <c r="A1" s="13" t="s">
        <v>4</v>
      </c>
      <c r="B1" s="13" t="s">
        <v>5</v>
      </c>
      <c r="C1" s="13" t="s">
        <v>6</v>
      </c>
    </row>
    <row r="2" spans="1:3">
      <c r="A2" s="15" t="s">
        <v>180</v>
      </c>
      <c r="B2" s="18"/>
      <c r="C2" s="5" t="s">
        <v>0</v>
      </c>
    </row>
    <row r="3" spans="1:3">
      <c r="A3" s="15" t="s">
        <v>132</v>
      </c>
      <c r="B3" s="18"/>
      <c r="C3" s="5" t="s">
        <v>0</v>
      </c>
    </row>
    <row r="4" spans="1:3">
      <c r="A4" s="15" t="s">
        <v>133</v>
      </c>
      <c r="B4" s="18"/>
      <c r="C4" s="5" t="s">
        <v>0</v>
      </c>
    </row>
    <row r="5" spans="1:3">
      <c r="A5" s="15" t="s">
        <v>134</v>
      </c>
      <c r="B5" s="18"/>
      <c r="C5" s="5" t="s">
        <v>0</v>
      </c>
    </row>
    <row r="6" spans="1:3">
      <c r="A6" s="15" t="s">
        <v>135</v>
      </c>
      <c r="B6" s="18"/>
      <c r="C6" s="5" t="s">
        <v>0</v>
      </c>
    </row>
    <row r="7" spans="1:3">
      <c r="A7" s="15" t="s">
        <v>136</v>
      </c>
      <c r="B7" s="18"/>
      <c r="C7" s="5" t="s">
        <v>0</v>
      </c>
    </row>
    <row r="8" spans="1:3">
      <c r="A8" s="15" t="s">
        <v>137</v>
      </c>
      <c r="B8" s="18"/>
      <c r="C8" s="5" t="s">
        <v>0</v>
      </c>
    </row>
    <row r="9" spans="1:3">
      <c r="A9" s="15" t="s">
        <v>138</v>
      </c>
      <c r="B9" s="18"/>
      <c r="C9" s="5" t="s">
        <v>0</v>
      </c>
    </row>
    <row r="10" spans="1:3">
      <c r="A10" s="15" t="s">
        <v>177</v>
      </c>
      <c r="B10" s="18"/>
      <c r="C10" s="5" t="s">
        <v>0</v>
      </c>
    </row>
    <row r="11" spans="1:3">
      <c r="A11" s="15" t="s">
        <v>178</v>
      </c>
      <c r="B11" s="18"/>
      <c r="C11" s="5" t="s">
        <v>0</v>
      </c>
    </row>
    <row r="12" spans="1:3">
      <c r="A12" s="15" t="s">
        <v>179</v>
      </c>
      <c r="B12" s="18"/>
      <c r="C12" s="5" t="s">
        <v>0</v>
      </c>
    </row>
    <row r="13" spans="1:3">
      <c r="A13" s="15" t="s">
        <v>139</v>
      </c>
      <c r="B13" s="18"/>
      <c r="C13" s="5" t="s">
        <v>0</v>
      </c>
    </row>
    <row r="14" spans="1:3">
      <c r="A14" s="15" t="s">
        <v>140</v>
      </c>
      <c r="B14" s="18"/>
      <c r="C14" s="5" t="s">
        <v>0</v>
      </c>
    </row>
    <row r="15" spans="1:3">
      <c r="A15" s="15" t="s">
        <v>141</v>
      </c>
      <c r="B15" s="18"/>
      <c r="C15" s="5" t="s">
        <v>0</v>
      </c>
    </row>
    <row r="16" spans="1:3">
      <c r="A16" s="15" t="s">
        <v>142</v>
      </c>
      <c r="B16" s="18"/>
      <c r="C16" s="5" t="s">
        <v>0</v>
      </c>
    </row>
    <row r="17" spans="1:3">
      <c r="A17" s="15" t="s">
        <v>143</v>
      </c>
      <c r="B17" s="18"/>
      <c r="C17" s="5" t="s">
        <v>0</v>
      </c>
    </row>
    <row r="18" spans="1:3">
      <c r="A18" s="15" t="s">
        <v>144</v>
      </c>
      <c r="B18" s="18"/>
      <c r="C18" s="5" t="s">
        <v>0</v>
      </c>
    </row>
    <row r="19" spans="1:3">
      <c r="A19" s="15" t="s">
        <v>145</v>
      </c>
      <c r="B19" s="18"/>
      <c r="C19" s="5" t="s">
        <v>0</v>
      </c>
    </row>
    <row r="20" spans="1:3">
      <c r="A20" s="15" t="s">
        <v>146</v>
      </c>
      <c r="B20" s="18"/>
      <c r="C20" s="5" t="s">
        <v>0</v>
      </c>
    </row>
    <row r="21" spans="1:3">
      <c r="A21" s="15" t="s">
        <v>147</v>
      </c>
      <c r="B21" s="18"/>
      <c r="C21" s="5" t="s">
        <v>0</v>
      </c>
    </row>
    <row r="22" spans="1:3">
      <c r="A22" s="15" t="s">
        <v>148</v>
      </c>
      <c r="B22" s="18"/>
      <c r="C22" s="5" t="s">
        <v>0</v>
      </c>
    </row>
    <row r="23" spans="1:3">
      <c r="A23" s="15" t="s">
        <v>149</v>
      </c>
      <c r="B23" s="18"/>
      <c r="C23" s="5" t="s">
        <v>0</v>
      </c>
    </row>
    <row r="24" spans="1:3">
      <c r="A24" s="15" t="s">
        <v>150</v>
      </c>
      <c r="B24" s="18"/>
      <c r="C24" s="5" t="s">
        <v>0</v>
      </c>
    </row>
    <row r="25" spans="1:3">
      <c r="A25" s="15" t="s">
        <v>151</v>
      </c>
      <c r="B25" s="18"/>
      <c r="C25" s="5" t="s">
        <v>0</v>
      </c>
    </row>
    <row r="26" spans="1:3">
      <c r="A26" s="15" t="s">
        <v>152</v>
      </c>
      <c r="B26" s="18"/>
      <c r="C26" s="5" t="s">
        <v>0</v>
      </c>
    </row>
    <row r="27" spans="1:3">
      <c r="A27" s="15" t="s">
        <v>153</v>
      </c>
      <c r="B27" s="18"/>
      <c r="C27" s="5" t="s">
        <v>0</v>
      </c>
    </row>
    <row r="28" spans="1:3">
      <c r="A28" s="15" t="s">
        <v>181</v>
      </c>
      <c r="B28" s="18"/>
      <c r="C28" s="5" t="s">
        <v>0</v>
      </c>
    </row>
    <row r="29" spans="1:3">
      <c r="A29" s="15" t="s">
        <v>154</v>
      </c>
      <c r="B29" s="18"/>
      <c r="C29" s="5" t="s">
        <v>0</v>
      </c>
    </row>
    <row r="30" spans="1:3">
      <c r="A30" s="15" t="s">
        <v>168</v>
      </c>
      <c r="B30" s="18"/>
      <c r="C30" s="5" t="s">
        <v>0</v>
      </c>
    </row>
    <row r="31" spans="1:3">
      <c r="A31" s="15" t="s">
        <v>169</v>
      </c>
      <c r="B31" s="18"/>
      <c r="C31" s="5" t="s">
        <v>0</v>
      </c>
    </row>
    <row r="32" spans="1:3">
      <c r="A32" s="15" t="s">
        <v>170</v>
      </c>
      <c r="B32" s="18"/>
      <c r="C32" s="5" t="s">
        <v>0</v>
      </c>
    </row>
    <row r="33" spans="1:3">
      <c r="A33" s="15" t="s">
        <v>171</v>
      </c>
      <c r="B33" s="18"/>
      <c r="C33" s="5" t="s">
        <v>0</v>
      </c>
    </row>
    <row r="34" spans="1:3">
      <c r="A34" s="15" t="s">
        <v>172</v>
      </c>
      <c r="B34" s="18"/>
      <c r="C34" s="5" t="s">
        <v>0</v>
      </c>
    </row>
    <row r="35" spans="1:3">
      <c r="A35" s="15" t="s">
        <v>173</v>
      </c>
      <c r="B35" s="18"/>
      <c r="C35" s="5" t="s">
        <v>0</v>
      </c>
    </row>
    <row r="36" spans="1:3">
      <c r="A36" s="14" t="s">
        <v>155</v>
      </c>
      <c r="B36" s="18"/>
      <c r="C36" s="5" t="s">
        <v>0</v>
      </c>
    </row>
    <row r="37" spans="1:3">
      <c r="A37" s="14" t="s">
        <v>156</v>
      </c>
      <c r="B37" s="18"/>
      <c r="C37" s="5" t="s">
        <v>0</v>
      </c>
    </row>
    <row r="38" spans="1:3">
      <c r="A38" s="14" t="s">
        <v>157</v>
      </c>
      <c r="B38" s="18"/>
      <c r="C38" s="5" t="s">
        <v>0</v>
      </c>
    </row>
    <row r="39" spans="1:3">
      <c r="A39" s="14" t="s">
        <v>158</v>
      </c>
      <c r="B39" s="18"/>
      <c r="C39" s="5" t="s">
        <v>0</v>
      </c>
    </row>
    <row r="40" spans="1:3">
      <c r="A40" s="14" t="s">
        <v>174</v>
      </c>
      <c r="B40" s="18"/>
      <c r="C40" s="5" t="s">
        <v>0</v>
      </c>
    </row>
    <row r="41" spans="1:3">
      <c r="A41" s="14" t="s">
        <v>175</v>
      </c>
      <c r="B41" s="18"/>
      <c r="C41" s="5" t="s">
        <v>0</v>
      </c>
    </row>
    <row r="42" spans="1:3">
      <c r="A42" s="14" t="s">
        <v>176</v>
      </c>
      <c r="B42" s="18"/>
      <c r="C42" s="5" t="s">
        <v>0</v>
      </c>
    </row>
    <row r="43" spans="1:3">
      <c r="A43" s="14" t="s">
        <v>159</v>
      </c>
      <c r="B43" s="18"/>
      <c r="C43" s="5" t="s">
        <v>0</v>
      </c>
    </row>
    <row r="44" spans="1:3">
      <c r="A44" s="14" t="s">
        <v>160</v>
      </c>
      <c r="B44" s="18"/>
      <c r="C44" s="5" t="s">
        <v>0</v>
      </c>
    </row>
    <row r="45" spans="1:3">
      <c r="A45" s="14" t="s">
        <v>161</v>
      </c>
      <c r="B45" s="18"/>
      <c r="C45" s="5" t="s">
        <v>0</v>
      </c>
    </row>
    <row r="46" spans="1:3">
      <c r="A46" s="14" t="s">
        <v>162</v>
      </c>
      <c r="B46" s="18"/>
      <c r="C46" s="5" t="s">
        <v>0</v>
      </c>
    </row>
    <row r="47" spans="1:3">
      <c r="A47" s="14" t="s">
        <v>163</v>
      </c>
      <c r="B47" s="18"/>
      <c r="C47" s="5" t="s">
        <v>0</v>
      </c>
    </row>
    <row r="48" spans="1:3">
      <c r="A48" s="14" t="s">
        <v>164</v>
      </c>
      <c r="B48" s="18"/>
      <c r="C48" s="5" t="s">
        <v>0</v>
      </c>
    </row>
    <row r="49" spans="1:3">
      <c r="A49" s="14" t="s">
        <v>165</v>
      </c>
      <c r="B49" s="18"/>
      <c r="C49" s="5" t="s">
        <v>0</v>
      </c>
    </row>
    <row r="50" spans="1:3">
      <c r="A50" s="14" t="s">
        <v>166</v>
      </c>
      <c r="B50" s="18"/>
      <c r="C50" s="5" t="s">
        <v>0</v>
      </c>
    </row>
    <row r="51" spans="1:3">
      <c r="A51" s="14" t="s">
        <v>167</v>
      </c>
      <c r="B51" s="18"/>
      <c r="C51" s="5" t="s">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2026-05-06T09:04:51Z</dcterms:modified>
</cp:coreProperties>
</file>