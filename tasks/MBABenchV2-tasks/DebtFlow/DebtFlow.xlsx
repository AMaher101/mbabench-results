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ulia\Downloads\BizBench New Models\Financing Waterfall\DebtFlow\starting_files\"/>
    </mc:Choice>
  </mc:AlternateContent>
  <xr:revisionPtr revIDLastSave="0" documentId="13_ncr:1_{328C6FD8-D231-4D7C-AC2A-17D39B42F3E0}" xr6:coauthVersionLast="47" xr6:coauthVersionMax="47" xr10:uidLastSave="{00000000-0000-0000-0000-000000000000}"/>
  <bookViews>
    <workbookView xWindow="-108" yWindow="-108" windowWidth="23256" windowHeight="12456" xr2:uid="{9D050BFD-007E-4C38-9D7B-ED1AFA0D54D5}"/>
  </bookViews>
  <sheets>
    <sheet name="Instructions" sheetId="10" r:id="rId1"/>
    <sheet name="Assumptions" sheetId="9" r:id="rId2"/>
    <sheet name="Questions" sheetId="11" r:id="rId3"/>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Instructions!#REF!</definedName>
    <definedName name="solver_typ" localSheetId="0" hidden="1">1</definedName>
    <definedName name="solver_val" localSheetId="0" hidden="1">0</definedName>
    <definedName name="solver_ver" localSheetId="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calcChain>
</file>

<file path=xl/sharedStrings.xml><?xml version="1.0" encoding="utf-8"?>
<sst xmlns="http://schemas.openxmlformats.org/spreadsheetml/2006/main" count="163" uniqueCount="106">
  <si>
    <t>[$]</t>
  </si>
  <si>
    <t>[years]</t>
  </si>
  <si>
    <t>[%]</t>
  </si>
  <si>
    <t>End Sheet</t>
  </si>
  <si>
    <t>Available FCF</t>
  </si>
  <si>
    <t>Year Number</t>
  </si>
  <si>
    <t>Senior debt - Tranche 1 - scheduled repayment</t>
  </si>
  <si>
    <t>Senior debt - Tranche 2 - scheduled repayment</t>
  </si>
  <si>
    <t>Yearly Inputs</t>
  </si>
  <si>
    <t>Model Start date</t>
  </si>
  <si>
    <t>Revolver limit</t>
  </si>
  <si>
    <t>Interest rate: Cash - positive balances</t>
  </si>
  <si>
    <t>Interest rate: Cash - negative balances</t>
  </si>
  <si>
    <t>Interest rate: Revolver</t>
  </si>
  <si>
    <t>Interest rate: Senior debt - Tranche 1</t>
  </si>
  <si>
    <t>Interest rate: Senior debt - Tranche 2</t>
  </si>
  <si>
    <t>Class A shares (existing) - vesting year</t>
  </si>
  <si>
    <t>Class B shares (existing) - vesting year</t>
  </si>
  <si>
    <t>Class C shares (existing) - vesting year</t>
  </si>
  <si>
    <t>Class C shares (new) - vesting period</t>
  </si>
  <si>
    <t>Cash - opening balance</t>
  </si>
  <si>
    <t>Revolver facility - opening balance</t>
  </si>
  <si>
    <t>Senior debt (Tranche 1) - opening balance</t>
  </si>
  <si>
    <t>Senior debt (Tranche 2) - opening balance</t>
  </si>
  <si>
    <t>Class A shares - # issued</t>
  </si>
  <si>
    <t>Class B shares - # issued</t>
  </si>
  <si>
    <t>Class C shares - # issued</t>
  </si>
  <si>
    <t>Class A shares - price as issue</t>
  </si>
  <si>
    <t>Class B shares - price at issue</t>
  </si>
  <si>
    <t>Class C shares - price at issue</t>
  </si>
  <si>
    <t>Interest rates</t>
  </si>
  <si>
    <t>Shares</t>
  </si>
  <si>
    <t>Opening Balances</t>
  </si>
  <si>
    <t>Shares issued</t>
  </si>
  <si>
    <t>Interest rate: Senior debt - Tranche 3</t>
  </si>
  <si>
    <t>Senior debt - Tranche 3 - scheduled repayment</t>
  </si>
  <si>
    <t>Class D shares (existing) - vesting year</t>
  </si>
  <si>
    <t>Senior debt (Tranche 3) - opening balance</t>
  </si>
  <si>
    <t>Class D shares - price at issue</t>
  </si>
  <si>
    <t>Cash float (min.)</t>
  </si>
  <si>
    <t>Model length</t>
  </si>
  <si>
    <t>Class D shares - # issued</t>
  </si>
  <si>
    <t>Assumptions sheet may be also in the text on the Instructions tab - please use the assumptions on this sheet for your model</t>
  </si>
  <si>
    <t>Finance Task</t>
  </si>
  <si>
    <t>Debt Waterfall Modeling - DebtFlow</t>
  </si>
  <si>
    <t>There is a hierarchy, which payments are made in which order. Payments may be delayed or not made, if there are insufficient funds available.</t>
  </si>
  <si>
    <t>All necessary information regarding amounts, scheduled repayment, interest rates and equity/shares are given in the tab Assumptions.</t>
  </si>
  <si>
    <t>All interest rates are given p.a. as the whole model should be a yearly model in the end – assume that all payments are made at the end of the year (interest is therefore calculated based on the opening balances).</t>
  </si>
  <si>
    <t>a. Interest on cash balances (assume that this is not part of available FCF), interest on all tranches of Senior debt and on the revolver are always made, even if this would mean, that the cash balance would become negative.</t>
  </si>
  <si>
    <t>b. Repayment of Senior debt Tranches 1 &amp; 2 (if funds are not sufficient to repay in total, available funds are split between the tranches in accordance with the relative sizes of the scheduled repayment for that year – if the full scheduled repayment is not possible, the unpaid portion is rolled forward, until the repayment is back on track)</t>
  </si>
  <si>
    <t>c. Repayment of Senior debt Tranches 3 &amp; 4 (if funds are not sufficient to repay in total, available funds are split between the tranches in accordance with the relative sizes of the scheduled repayment for that year – if the full scheduled repayment is not possible, the unpaid portion is rolled forward, until the repayment is back on track)</t>
  </si>
  <si>
    <t>f. Ensuring minimum cash float (by drawing the revolver (g.) up to the limit given)</t>
  </si>
  <si>
    <t>g. Repay or Draw revolver facility (up to limit given)</t>
  </si>
  <si>
    <t>Interest rate: Convertible debt (regular)</t>
  </si>
  <si>
    <t>Convertible interest debt (regular)- opening balance</t>
  </si>
  <si>
    <t>Class E shares (new) - vesting period</t>
  </si>
  <si>
    <t>Class E shares - price at issue</t>
  </si>
  <si>
    <t>Class E shares - # issued</t>
  </si>
  <si>
    <t>Class E shares (existing) - vesting year</t>
  </si>
  <si>
    <t>Interest rate: Senior debt - Tranche 4</t>
  </si>
  <si>
    <t>Senior debt - Tranche 4 - scheduled repayment</t>
  </si>
  <si>
    <t>Senior debt (Tranche 4) - opening balance</t>
  </si>
  <si>
    <t>h. Profit distributions: Any excess liquidity is distributed to the shareholders (as long as all above payments are made and the cash balance is above min. float as well as the revolver facility repaid fully). Distributions are made in proportion to the number and weighting of shares held eligible for dividends (factoring in the different rights (given in relation to Share Class A) and vesting periods).</t>
  </si>
  <si>
    <t>Opening Inputs</t>
  </si>
  <si>
    <r>
      <t>d.</t>
    </r>
    <r>
      <rPr>
        <sz val="7"/>
        <color theme="1"/>
        <rFont val="Times New Roman"/>
        <family val="1"/>
      </rPr>
      <t xml:space="preserve"> </t>
    </r>
    <r>
      <rPr>
        <sz val="12"/>
        <color theme="1"/>
        <rFont val="Aptos"/>
        <family val="2"/>
      </rPr>
      <t>Interest on the Convertible interest debt (regular) (no repayments, if the full interest amount cannot be paid, the unpaid interest is converted into Class C equity at $12 per share)</t>
    </r>
  </si>
  <si>
    <t>[$k]</t>
  </si>
  <si>
    <t>[thousand]</t>
  </si>
  <si>
    <t>Create a Debt Waterfall on a new sheet and answer the questions with the results from your model.</t>
  </si>
  <si>
    <t>Questions (please round your answers to two decimal places)</t>
  </si>
  <si>
    <t>Answers</t>
  </si>
  <si>
    <t>What is the total dividend paid (over the entire model period) for Class A shares?</t>
  </si>
  <si>
    <t>What is the total dividend paid (over the entire model period) for Class B shares?</t>
  </si>
  <si>
    <t>What is the total dividend paid (over the entire model period) for Class C shares?</t>
  </si>
  <si>
    <t>What is the total dividend paid (over the entire model period) for Class D shares?</t>
  </si>
  <si>
    <t>What is the total dividend paid (over the entire model period) for Class E shares?</t>
  </si>
  <si>
    <t>What is the account balance for the Convertible debt (regular) in 2041?</t>
  </si>
  <si>
    <t>What is the account balance for the Senior debt (Tranche 1) in 2043?</t>
  </si>
  <si>
    <t>What is the account balance for the Senior debt (Tranche 1) in 2037?</t>
  </si>
  <si>
    <t>What is the account balance for the Senior debt (Tranche 1) in 2036?</t>
  </si>
  <si>
    <t>What is the account balance for the Class B shares in 2030?</t>
  </si>
  <si>
    <t>What is the account balance for the Class A shares in 2039?</t>
  </si>
  <si>
    <t>What is the account balance for the Senior debt (Tranche 2) in 2030?</t>
  </si>
  <si>
    <t>What is the account balance for the Class C shares in 2028?</t>
  </si>
  <si>
    <t>What is the account balance for the Revolver facility in 2035?</t>
  </si>
  <si>
    <t>What is the account balance for the Class D shares in 2043?</t>
  </si>
  <si>
    <t>What is the account balance for the Revolver facility in 2034?</t>
  </si>
  <si>
    <t>What is the account balance for the Class D shares in 2046?</t>
  </si>
  <si>
    <t>What is the account balance for the Cash in 2035?</t>
  </si>
  <si>
    <t>What is the account balance for the Senior debt (Tranche 1) in 2038?</t>
  </si>
  <si>
    <t>What is the account balance for the Senior debt (Tranche 3) in 2035?</t>
  </si>
  <si>
    <t>What is the account balance for the Senior debt (Tranche 4) in 2035?</t>
  </si>
  <si>
    <t>What is the account balance for the Senior debt (Tranche 4) in 2030?</t>
  </si>
  <si>
    <t>What is the account balance for the Revolver facility in 2039?</t>
  </si>
  <si>
    <t>What is the account balance for the Cash in 2046?</t>
  </si>
  <si>
    <t>Unit</t>
  </si>
  <si>
    <t>The company given has a complicated financing structure, consisting of cash, a revolver facility, four tranches of senior debt, two tranches of convertible debt and five classes of equity.</t>
  </si>
  <si>
    <t>e. Interest on the Subordinated Convertible interest debt (no repayments, if the full interest amount cannot be paid, the unpaid interest is converted into Class E equity at $10 per share)</t>
  </si>
  <si>
    <t>Interest rate: Subordinated Convertible debt</t>
  </si>
  <si>
    <t>Subordinated Convertible interest debt - opening balance</t>
  </si>
  <si>
    <t>What is the account balance for the Subordinated convertible debt in 2029?</t>
  </si>
  <si>
    <t>(please note that new Class C shares resulting from the convertible bond must also observe a four-year holding period starting from the conversion date before they become eligible for dividends - with the regular vesting period for Class C shares serving as the minimum requirement; therefore, the later of the regular vesting period for Class C shares and the conversion date plus the four-year waiting period is used)</t>
  </si>
  <si>
    <t>(please note that new Class E shares resulting from the convertible bond must also observe a two-year holding period starting from the conversion date before they become eligible for dividends - with the regular vesting period for Class E shares serving as the minimum requirement; therefore, the later of the regular vesting period for Class E shares and the conversion date plus the two-year waiting period is used)</t>
  </si>
  <si>
    <t>One B share is worth 0.5 A shares</t>
  </si>
  <si>
    <t>One C share is worth 0.25 A shares</t>
  </si>
  <si>
    <t>One D share is worth 0.125 A shares</t>
  </si>
  <si>
    <t>One E share is worth 0.1 A 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</si>
</sst>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0\);\-"/>
    <numFmt numFmtId="165" formatCode="#,##0.00_);\(#,##0.00\);\-"/>
  </numFmts>
  <fonts count="17">
    <font>
      <sz val="11"/>
      <color theme="1"/>
      <name val="Aptos Narrow"/>
      <family val="2"/>
      <scheme val="minor"/>
    </font>
    <font>
      <sz val="11"/>
      <color theme="1"/>
      <name val="Aptos Narrow"/>
      <family val="2"/>
      <scheme val="minor"/>
    </font>
    <font>
      <b/>
      <sz val="11"/>
      <color theme="1"/>
      <name val="Aptos Narrow"/>
      <family val="2"/>
      <scheme val="minor"/>
    </font>
    <font>
      <sz val="12"/>
      <color theme="1"/>
      <name val="Aptos Narrow"/>
      <family val="2"/>
      <scheme val="minor"/>
    </font>
    <font>
      <sz val="11"/>
      <color rgb="FF0000FF"/>
      <name val="Aptos Narrow"/>
      <family val="2"/>
      <scheme val="minor"/>
    </font>
    <font>
      <b/>
      <sz val="10"/>
      <color theme="1"/>
      <name val="Arial"/>
      <family val="2"/>
    </font>
    <font>
      <b/>
      <sz val="10"/>
      <color theme="1"/>
      <name val="Aptos Narrow"/>
      <family val="2"/>
      <scheme val="minor"/>
    </font>
    <font>
      <sz val="10"/>
      <color theme="1"/>
      <name val="Aptos Narrow"/>
      <family val="2"/>
      <scheme val="minor"/>
    </font>
    <font>
      <sz val="10"/>
      <color theme="1"/>
      <name val="Arial"/>
      <family val="2"/>
    </font>
    <font>
      <sz val="10"/>
      <color rgb="FF0000FF"/>
      <name val="Arial"/>
      <family val="2"/>
    </font>
    <font>
      <sz val="11"/>
      <color theme="1"/>
      <name val="Roboto"/>
    </font>
    <font>
      <sz val="11"/>
      <name val="Roboto"/>
    </font>
    <font>
      <b/>
      <sz val="48"/>
      <color theme="0"/>
      <name val="ROBOTECH GP"/>
      <family val="2"/>
    </font>
    <font>
      <b/>
      <sz val="24"/>
      <color theme="0"/>
      <name val="ROBOTECH GP"/>
      <family val="2"/>
    </font>
    <font>
      <sz val="12"/>
      <color theme="1"/>
      <name val="Aptos"/>
      <family val="2"/>
    </font>
    <font>
      <sz val="7"/>
      <color theme="1"/>
      <name val="Times New Roman"/>
      <family val="1"/>
    </font>
    <font>
      <b/>
      <sz val="12"/>
      <color theme="1"/>
      <name val="Aptos Narrow"/>
      <family val="2"/>
      <scheme val="minor"/>
    </font>
  </fonts>
  <fills count="7">
    <fill>
      <patternFill patternType="none"/>
    </fill>
    <fill>
      <patternFill patternType="gray125"/>
    </fill>
    <fill>
      <patternFill patternType="solid">
        <fgColor rgb="FFFFFFCC"/>
        <bgColor indexed="64"/>
      </patternFill>
    </fill>
    <fill>
      <patternFill patternType="solid">
        <fgColor theme="3" tint="0.79998168889431442"/>
        <bgColor indexed="64"/>
      </patternFill>
    </fill>
    <fill>
      <patternFill patternType="solid">
        <fgColor theme="8" tint="0.79998168889431442"/>
        <bgColor indexed="64"/>
      </patternFill>
    </fill>
    <fill>
      <gradientFill>
        <stop position="0">
          <color rgb="FF007B00"/>
        </stop>
        <stop position="1">
          <color rgb="FF020024"/>
        </stop>
      </gradientFill>
    </fill>
    <fill>
      <patternFill patternType="solid">
        <fgColor theme="7" tint="0.79998168889431442"/>
        <bgColor indexed="64"/>
      </patternFill>
    </fill>
  </fills>
  <borders count="6">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8">
    <xf numFmtId="0" fontId="0" fillId="0" borderId="0"/>
    <xf numFmtId="0" fontId="1" fillId="0" borderId="0"/>
    <xf numFmtId="0" fontId="3" fillId="0" borderId="0"/>
    <xf numFmtId="9" fontId="1" fillId="0" borderId="0" applyFont="0" applyFill="0" applyBorder="0" applyAlignment="0" applyProtection="0"/>
    <xf numFmtId="4" fontId="5" fillId="3" borderId="1">
      <alignment horizontal="left"/>
    </xf>
    <xf numFmtId="164" fontId="8" fillId="0" borderId="0" applyBorder="0"/>
    <xf numFmtId="164" fontId="9" fillId="2" borderId="2">
      <protection locked="0"/>
    </xf>
    <xf numFmtId="0" fontId="9" fillId="0" borderId="0" applyNumberFormat="0" applyFill="0" applyBorder="0">
      <alignment horizontal="right"/>
    </xf>
  </cellStyleXfs>
  <cellXfs count="29">
    <xf numFmtId="0" fontId="0" fillId="0" borderId="0" xfId="0"/>
    <xf numFmtId="4" fontId="0" fillId="0" borderId="0" xfId="0" applyNumberFormat="1"/>
    <xf numFmtId="0" fontId="2" fillId="0" borderId="0" xfId="0" applyFont="1"/>
    <xf numFmtId="0" fontId="4" fillId="0" borderId="0" xfId="0" applyFont="1"/>
    <xf numFmtId="4" fontId="4" fillId="2" borderId="2" xfId="0" applyNumberFormat="1" applyFont="1" applyFill="1" applyBorder="1"/>
    <xf numFmtId="4" fontId="6" fillId="4" borderId="1" xfId="4" applyFont="1" applyFill="1">
      <alignment horizontal="left"/>
    </xf>
    <xf numFmtId="4" fontId="2" fillId="4" borderId="1" xfId="4" applyFont="1" applyFill="1">
      <alignment horizontal="left"/>
    </xf>
    <xf numFmtId="0" fontId="7" fillId="4" borderId="0" xfId="0" applyFont="1" applyFill="1"/>
    <xf numFmtId="10" fontId="4" fillId="2" borderId="2" xfId="3" applyNumberFormat="1" applyFont="1" applyFill="1" applyBorder="1"/>
    <xf numFmtId="14" fontId="4" fillId="2" borderId="2" xfId="0" applyNumberFormat="1" applyFont="1" applyFill="1" applyBorder="1"/>
    <xf numFmtId="3" fontId="4" fillId="2" borderId="2" xfId="0" applyNumberFormat="1" applyFont="1" applyFill="1" applyBorder="1"/>
    <xf numFmtId="1" fontId="4" fillId="2" borderId="2" xfId="0" applyNumberFormat="1" applyFont="1" applyFill="1" applyBorder="1"/>
    <xf numFmtId="165" fontId="9" fillId="0" borderId="0" xfId="7" applyNumberFormat="1">
      <alignment horizontal="right"/>
    </xf>
    <xf numFmtId="0" fontId="10" fillId="0" borderId="0" xfId="1" applyFont="1"/>
    <xf numFmtId="0" fontId="11" fillId="0" borderId="0" xfId="1" applyFont="1"/>
    <xf numFmtId="0" fontId="10" fillId="0" borderId="0" xfId="1" applyFont="1" applyAlignment="1">
      <alignment horizontal="center"/>
    </xf>
    <xf numFmtId="0" fontId="11" fillId="0" borderId="0" xfId="1" applyFont="1" applyAlignment="1">
      <alignment horizontal="center"/>
    </xf>
    <xf numFmtId="0" fontId="14" fillId="0" borderId="0" xfId="0" applyFont="1" applyAlignment="1">
      <alignment vertical="center"/>
    </xf>
    <xf numFmtId="0" fontId="14" fillId="0" borderId="0" xfId="0" applyFont="1" applyAlignment="1">
      <alignment horizontal="left" vertical="center" indent="6"/>
    </xf>
    <xf numFmtId="10" fontId="0" fillId="0" borderId="0" xfId="0" applyNumberFormat="1"/>
    <xf numFmtId="0" fontId="16" fillId="0" borderId="0" xfId="2" applyFont="1"/>
    <xf numFmtId="0" fontId="3" fillId="0" borderId="0" xfId="2"/>
    <xf numFmtId="0" fontId="10" fillId="0" borderId="0" xfId="1" applyFont="1" applyAlignment="1">
      <alignment horizontal="left"/>
    </xf>
    <xf numFmtId="4" fontId="10" fillId="6" borderId="2" xfId="1" applyNumberFormat="1" applyFont="1" applyFill="1" applyBorder="1" applyAlignment="1">
      <alignment horizontal="center"/>
    </xf>
    <xf numFmtId="0" fontId="12" fillId="5" borderId="3" xfId="2" applyFont="1" applyFill="1" applyBorder="1" applyAlignment="1">
      <alignment horizontal="center" vertical="center"/>
    </xf>
    <xf numFmtId="0" fontId="12" fillId="5" borderId="1" xfId="2" applyFont="1" applyFill="1" applyBorder="1" applyAlignment="1">
      <alignment horizontal="center" vertical="center"/>
    </xf>
    <xf numFmtId="0" fontId="12" fillId="5" borderId="4" xfId="2" applyFont="1" applyFill="1" applyBorder="1" applyAlignment="1">
      <alignment horizontal="center" vertical="center"/>
    </xf>
    <xf numFmtId="0" fontId="13" fillId="5" borderId="5" xfId="2" applyFont="1" applyFill="1" applyBorder="1" applyAlignment="1">
      <alignment horizontal="center" vertical="center"/>
    </xf>
    <xf numFmtId="0" fontId="13" fillId="5" borderId="0" xfId="2" applyFont="1" applyFill="1" applyAlignment="1">
      <alignment horizontal="center" vertical="center"/>
    </xf>
  </cellXfs>
  <cellStyles count="8">
    <cellStyle name="M Section Header" xfId="4" xr:uid="{F944F0E6-F034-49F8-8B3F-D0C9E50BA2F6}"/>
    <cellStyle name="M Units" xfId="7" xr:uid="{B591442F-CADB-4FD5-9324-DD1119747805}"/>
    <cellStyle name="M-A 0dp" xfId="6" xr:uid="{80AB76FC-3C43-4EFF-B2A6-1E81FFBC781B}"/>
    <cellStyle name="M-C 0dp Num" xfId="5" xr:uid="{C7EF620F-9501-4FBB-93FF-813E47ED464B}"/>
    <cellStyle name="Normal" xfId="0" builtinId="0"/>
    <cellStyle name="Normal 2" xfId="2" xr:uid="{037B3D13-DA10-4240-9E6B-55FD128391C9}"/>
    <cellStyle name="Normal 3" xfId="1" xr:uid="{1C87C372-71EA-4FEE-904D-475CC6E05479}"/>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05585-2C4B-4272-9AD0-C24F524B71E1}">
  <sheetPr>
    <tabColor theme="8" tint="-0.249977111117893"/>
  </sheetPr>
  <dimension ref="A1:K22"/>
  <sheetViews>
    <sheetView showGridLines="0" tabSelected="1" zoomScale="79" zoomScaleNormal="80" zoomScaleSheetLayoutView="100" workbookViewId="0"/>
  </sheetViews>
  <sheetFormatPr defaultColWidth="5.21875" defaultRowHeight="14.4"/>
  <cols>
    <col min="1" max="1" width="1.88671875" style="13" customWidth="1"/>
    <col min="2" max="2" width="32.109375" style="15" customWidth="1"/>
    <col min="3" max="3" width="17.109375" style="15" bestFit="1" customWidth="1"/>
    <col min="4" max="4" width="20.88671875" style="15" bestFit="1" customWidth="1"/>
    <col min="5" max="5" width="24.109375" style="15" customWidth="1"/>
    <col min="6" max="6" width="21.5546875" style="15" customWidth="1"/>
    <col min="7" max="7" width="26.33203125" style="15" bestFit="1" customWidth="1"/>
    <col min="8" max="8" width="40.109375" style="15" customWidth="1"/>
    <col min="9" max="9" width="23.5546875" style="16" customWidth="1"/>
    <col min="10" max="10" width="23.5546875" style="14" customWidth="1"/>
    <col min="11" max="11" width="27.77734375" style="14" customWidth="1"/>
    <col min="12" max="12" width="20.5546875" style="14" customWidth="1"/>
    <col min="13" max="376" width="11.109375" style="14" bestFit="1" customWidth="1"/>
    <col min="377" max="377" width="5.21875" style="14"/>
    <col min="378" max="383" width="9.6640625" style="14" customWidth="1"/>
    <col min="384" max="384" width="5.21875" style="14"/>
    <col min="385" max="393" width="9.6640625" style="14" customWidth="1"/>
    <col min="394" max="16384" width="5.21875" style="14"/>
  </cols>
  <sheetData>
    <row r="1" spans="2:11" ht="15" customHeight="1">
      <c r="B1" s="13"/>
      <c r="C1" s="13"/>
      <c r="D1" s="13"/>
      <c r="E1" s="13"/>
      <c r="F1" s="13"/>
      <c r="G1" s="13"/>
      <c r="H1" s="13"/>
      <c r="I1" s="13"/>
      <c r="J1" s="13"/>
      <c r="K1" s="13"/>
    </row>
    <row r="2" spans="2:11" ht="60.75" customHeight="1">
      <c r="B2" s="24" t="s">
        <v>43</v>
      </c>
      <c r="C2" s="25"/>
      <c r="D2" s="25"/>
      <c r="E2" s="25"/>
      <c r="F2" s="25"/>
      <c r="G2" s="25"/>
      <c r="H2" s="25"/>
      <c r="I2" s="25"/>
      <c r="J2" s="25"/>
      <c r="K2" s="26"/>
    </row>
    <row r="3" spans="2:11" ht="15" customHeight="1">
      <c r="B3" s="13"/>
      <c r="C3" s="13"/>
      <c r="D3" s="13"/>
      <c r="E3" s="13"/>
      <c r="F3" s="13"/>
      <c r="G3" s="13"/>
      <c r="H3" s="13"/>
      <c r="I3" s="13"/>
      <c r="J3" s="13"/>
      <c r="K3" s="13"/>
    </row>
    <row r="4" spans="2:11" ht="33.75" customHeight="1">
      <c r="B4" s="27" t="s">
        <v>44</v>
      </c>
      <c r="C4" s="28"/>
      <c r="D4" s="28"/>
      <c r="E4" s="28"/>
      <c r="F4" s="28"/>
      <c r="G4" s="28"/>
      <c r="H4" s="28"/>
      <c r="I4" s="28"/>
      <c r="J4" s="13"/>
    </row>
    <row r="5" spans="2:11" ht="15" customHeight="1">
      <c r="B5" s="13"/>
      <c r="C5" s="13"/>
      <c r="D5" s="13"/>
      <c r="E5" s="13"/>
      <c r="F5" s="13"/>
      <c r="G5" s="13"/>
      <c r="H5" s="13"/>
      <c r="I5" s="13"/>
      <c r="J5" s="13"/>
      <c r="K5" s="13"/>
    </row>
    <row r="7" spans="2:11" ht="15.6">
      <c r="B7" s="17" t="s">
        <v>95</v>
      </c>
    </row>
    <row r="8" spans="2:11" ht="15.6">
      <c r="B8" s="17" t="s">
        <v>46</v>
      </c>
    </row>
    <row r="9" spans="2:11" ht="15.6">
      <c r="B9" s="17" t="s">
        <v>47</v>
      </c>
    </row>
    <row r="10" spans="2:11" ht="15.6">
      <c r="B10" s="17" t="s">
        <v>45</v>
      </c>
    </row>
    <row r="11" spans="2:11" ht="15.6">
      <c r="B11" s="18" t="s">
        <v>48</v>
      </c>
    </row>
    <row r="12" spans="2:11" ht="15.6">
      <c r="B12" s="18" t="s">
        <v>49</v>
      </c>
    </row>
    <row r="13" spans="2:11" ht="15.6">
      <c r="B13" s="18" t="s">
        <v>50</v>
      </c>
    </row>
    <row r="14" spans="2:11" ht="15.6">
      <c r="B14" s="18" t="s">
        <v>64</v>
      </c>
    </row>
    <row r="15" spans="2:11" ht="15.6">
      <c r="B15" s="18" t="s">
        <v>96</v>
      </c>
    </row>
    <row r="16" spans="2:11" ht="15.6">
      <c r="B16" s="18" t="s">
        <v>51</v>
      </c>
    </row>
    <row r="17" spans="2:2" ht="15.6">
      <c r="B17" s="18" t="s">
        <v>52</v>
      </c>
    </row>
    <row r="18" spans="2:2" ht="15.6">
      <c r="B18" s="18" t="s">
        <v>62</v>
      </c>
    </row>
    <row r="19" spans="2:2" ht="15.6">
      <c r="B19" s="18" t="s">
        <v>100</v>
      </c>
    </row>
    <row r="20" spans="2:2" ht="15.6">
      <c r="B20" s="18" t="s">
        <v>101</v>
      </c>
    </row>
    <row r="21" spans="2:2" ht="15.6">
      <c r="B21" s="18"/>
    </row>
    <row r="22" spans="2:2" ht="15.6">
      <c r="B22" s="17" t="s">
        <v>67</v>
      </c>
    </row>
  </sheetData>
  <mergeCells count="2">
    <mergeCell ref="B2:K2"/>
    <mergeCell ref="B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E261-F997-467D-9A31-CC6BD1702C23}">
  <sheetPr>
    <tabColor theme="8" tint="0.39997558519241921"/>
  </sheetPr>
  <dimension ref="A1:AH62"/>
  <sheetViews>
    <sheetView showGridLines="0" zoomScale="84" workbookViewId="0"/>
  </sheetViews>
  <sheetFormatPr defaultRowHeight="14.4"/>
  <cols>
    <col min="1" max="1" width="4.77734375" style="2" customWidth="1"/>
    <col min="2" max="2" width="5.33203125" style="2" customWidth="1"/>
    <col min="3" max="3" width="47.21875" bestFit="1" customWidth="1"/>
    <col min="4" max="4" width="10.109375" bestFit="1" customWidth="1"/>
    <col min="5" max="5" width="9.77734375" bestFit="1" customWidth="1"/>
    <col min="6" max="7" width="9" customWidth="1"/>
    <col min="9" max="9" width="9.109375" bestFit="1" customWidth="1"/>
    <col min="11" max="104" width="10.109375" bestFit="1" customWidth="1"/>
  </cols>
  <sheetData>
    <row r="1" spans="1:34">
      <c r="A1" s="2" t="str">
        <f>Instructions!B2&amp;": "&amp;Instructions!B4</f>
        <v>Finance Task: Debt Waterfall Modeling - DebtFlow</v>
      </c>
    </row>
    <row r="2" spans="1:34">
      <c r="A2" s="2" t="s">
        <v>42</v>
      </c>
    </row>
    <row r="4" spans="1:34" s="7" customFormat="1" ht="14.4" customHeight="1">
      <c r="A4" s="5"/>
      <c r="B4" s="6" t="s">
        <v>8</v>
      </c>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row>
    <row r="6" spans="1:34">
      <c r="C6" t="s">
        <v>5</v>
      </c>
      <c r="E6" s="10">
        <v>1</v>
      </c>
      <c r="F6" s="10">
        <v>2</v>
      </c>
      <c r="G6" s="10">
        <v>3</v>
      </c>
      <c r="H6" s="10">
        <v>4</v>
      </c>
      <c r="I6" s="10">
        <v>5</v>
      </c>
      <c r="J6" s="10">
        <v>6</v>
      </c>
      <c r="K6" s="10">
        <v>7</v>
      </c>
      <c r="L6" s="10">
        <v>8</v>
      </c>
      <c r="M6" s="10">
        <v>9</v>
      </c>
      <c r="N6" s="10">
        <v>10</v>
      </c>
      <c r="O6" s="10">
        <v>11</v>
      </c>
      <c r="P6" s="10">
        <v>12</v>
      </c>
      <c r="Q6" s="10">
        <v>13</v>
      </c>
      <c r="R6" s="10">
        <v>14</v>
      </c>
      <c r="S6" s="10">
        <v>15</v>
      </c>
      <c r="T6" s="10">
        <v>16</v>
      </c>
      <c r="U6" s="10">
        <v>17</v>
      </c>
      <c r="V6" s="10">
        <v>18</v>
      </c>
      <c r="W6" s="10">
        <v>19</v>
      </c>
      <c r="X6" s="10">
        <v>20</v>
      </c>
      <c r="Y6" s="10">
        <v>21</v>
      </c>
      <c r="Z6" s="10">
        <v>22</v>
      </c>
      <c r="AA6" s="10">
        <v>23</v>
      </c>
      <c r="AB6" s="10">
        <v>24</v>
      </c>
      <c r="AC6" s="10">
        <v>25</v>
      </c>
      <c r="AD6" s="10">
        <v>26</v>
      </c>
      <c r="AE6" s="10">
        <v>27</v>
      </c>
      <c r="AF6" s="10">
        <v>28</v>
      </c>
      <c r="AG6" s="10">
        <v>29</v>
      </c>
      <c r="AH6" s="10">
        <v>30</v>
      </c>
    </row>
    <row r="7" spans="1:34">
      <c r="C7" t="s">
        <v>4</v>
      </c>
      <c r="D7" s="3" t="s">
        <v>65</v>
      </c>
      <c r="E7" s="4">
        <v>82929.710000000006</v>
      </c>
      <c r="F7" s="4">
        <v>75564.81</v>
      </c>
      <c r="G7" s="4">
        <v>64717.599999999999</v>
      </c>
      <c r="H7" s="4">
        <v>74853.61</v>
      </c>
      <c r="I7" s="4">
        <v>91662.34</v>
      </c>
      <c r="J7" s="4">
        <v>56960.17</v>
      </c>
      <c r="K7" s="4">
        <v>90304.6</v>
      </c>
      <c r="L7" s="4">
        <v>84360.11</v>
      </c>
      <c r="M7" s="4">
        <v>89615.46</v>
      </c>
      <c r="N7" s="4">
        <v>257519.51</v>
      </c>
      <c r="O7" s="4">
        <v>76338.009999999995</v>
      </c>
      <c r="P7" s="4">
        <v>99937.65</v>
      </c>
      <c r="Q7" s="4">
        <v>66225.34</v>
      </c>
      <c r="R7" s="4">
        <v>89062.2</v>
      </c>
      <c r="S7" s="4">
        <v>61121.64</v>
      </c>
      <c r="T7" s="4">
        <v>118250.84</v>
      </c>
      <c r="U7" s="4">
        <v>111741.34</v>
      </c>
      <c r="V7" s="4">
        <v>73304.59</v>
      </c>
      <c r="W7" s="4">
        <v>-33752.47</v>
      </c>
      <c r="X7" s="4">
        <v>12123.13</v>
      </c>
      <c r="Y7" s="4">
        <v>145371.43</v>
      </c>
      <c r="Z7" s="4">
        <v>89438.32</v>
      </c>
      <c r="AA7" s="4">
        <v>94532.05</v>
      </c>
      <c r="AB7" s="4">
        <v>120179.49</v>
      </c>
      <c r="AC7" s="4">
        <v>114418.85</v>
      </c>
      <c r="AD7" s="4">
        <v>112858.13</v>
      </c>
      <c r="AE7" s="4">
        <v>122765.99</v>
      </c>
      <c r="AF7" s="4">
        <v>101316.64</v>
      </c>
      <c r="AG7" s="4">
        <v>140107.43</v>
      </c>
      <c r="AH7" s="4">
        <v>97676.55</v>
      </c>
    </row>
    <row r="8" spans="1:34">
      <c r="C8" t="s">
        <v>39</v>
      </c>
      <c r="D8" s="3" t="s">
        <v>65</v>
      </c>
      <c r="E8" s="4">
        <v>1500</v>
      </c>
      <c r="F8" s="4">
        <v>1500</v>
      </c>
      <c r="G8" s="4">
        <v>1500</v>
      </c>
      <c r="H8" s="4">
        <v>1500</v>
      </c>
      <c r="I8" s="4">
        <v>1500</v>
      </c>
      <c r="J8" s="4">
        <v>1500</v>
      </c>
      <c r="K8" s="4">
        <v>1500</v>
      </c>
      <c r="L8" s="4">
        <v>1500</v>
      </c>
      <c r="M8" s="4">
        <v>1500</v>
      </c>
      <c r="N8" s="4">
        <v>1500</v>
      </c>
      <c r="O8" s="4">
        <v>1500</v>
      </c>
      <c r="P8" s="4">
        <v>1500</v>
      </c>
      <c r="Q8" s="4">
        <v>1500</v>
      </c>
      <c r="R8" s="4">
        <v>1500</v>
      </c>
      <c r="S8" s="4">
        <v>1500</v>
      </c>
      <c r="T8" s="4">
        <v>1500</v>
      </c>
      <c r="U8" s="4">
        <v>1500</v>
      </c>
      <c r="V8" s="4">
        <v>1500</v>
      </c>
      <c r="W8" s="4">
        <v>3000</v>
      </c>
      <c r="X8" s="4">
        <v>3000</v>
      </c>
      <c r="Y8" s="4">
        <v>3000</v>
      </c>
      <c r="Z8" s="4">
        <v>3000</v>
      </c>
      <c r="AA8" s="4">
        <v>3000</v>
      </c>
      <c r="AB8" s="4">
        <v>3000</v>
      </c>
      <c r="AC8" s="4">
        <v>3000</v>
      </c>
      <c r="AD8" s="4">
        <v>3000</v>
      </c>
      <c r="AE8" s="4">
        <v>3000</v>
      </c>
      <c r="AF8" s="4">
        <v>3000</v>
      </c>
      <c r="AG8" s="4">
        <v>3000</v>
      </c>
      <c r="AH8" s="4">
        <v>3000</v>
      </c>
    </row>
    <row r="9" spans="1:34">
      <c r="C9" t="s">
        <v>6</v>
      </c>
      <c r="D9" s="3" t="s">
        <v>65</v>
      </c>
      <c r="E9" s="4">
        <v>1660</v>
      </c>
      <c r="F9" s="4">
        <v>1660</v>
      </c>
      <c r="G9" s="4">
        <v>1660</v>
      </c>
      <c r="H9" s="4">
        <v>1660</v>
      </c>
      <c r="I9" s="4">
        <v>1660</v>
      </c>
      <c r="J9" s="4">
        <v>1660</v>
      </c>
      <c r="K9" s="4">
        <v>1660</v>
      </c>
      <c r="L9" s="4">
        <v>1660</v>
      </c>
      <c r="M9" s="4">
        <v>1660</v>
      </c>
      <c r="N9" s="4">
        <v>1660</v>
      </c>
      <c r="O9" s="4">
        <v>1660</v>
      </c>
      <c r="P9" s="4">
        <v>1660</v>
      </c>
      <c r="Q9" s="4">
        <v>1660</v>
      </c>
      <c r="R9" s="4">
        <v>1660</v>
      </c>
      <c r="S9" s="4">
        <v>1660</v>
      </c>
      <c r="T9" s="4">
        <v>3320</v>
      </c>
      <c r="U9" s="4">
        <v>3320</v>
      </c>
      <c r="V9" s="4">
        <v>3320</v>
      </c>
      <c r="W9" s="4">
        <v>3320</v>
      </c>
      <c r="X9" s="4">
        <v>3320</v>
      </c>
      <c r="Y9" s="4">
        <v>9960</v>
      </c>
      <c r="Z9" s="4">
        <v>9960</v>
      </c>
      <c r="AA9" s="4">
        <v>9960</v>
      </c>
      <c r="AB9" s="4">
        <v>9960</v>
      </c>
      <c r="AC9" s="4">
        <v>9960</v>
      </c>
      <c r="AD9" s="4">
        <v>9960</v>
      </c>
      <c r="AE9" s="4">
        <v>9960</v>
      </c>
      <c r="AF9" s="4">
        <v>9960</v>
      </c>
      <c r="AG9" s="4">
        <v>9960</v>
      </c>
      <c r="AH9" s="4">
        <v>9960</v>
      </c>
    </row>
    <row r="10" spans="1:34">
      <c r="C10" t="s">
        <v>7</v>
      </c>
      <c r="D10" s="3" t="s">
        <v>65</v>
      </c>
      <c r="E10" s="4">
        <v>5166.6666666666661</v>
      </c>
      <c r="F10" s="4">
        <v>5166.6666666666661</v>
      </c>
      <c r="G10" s="4">
        <v>5166.6666666666661</v>
      </c>
      <c r="H10" s="4">
        <v>5166.6666666666661</v>
      </c>
      <c r="I10" s="4">
        <v>5166.6666666666661</v>
      </c>
      <c r="J10" s="4">
        <v>5166.6666666666661</v>
      </c>
      <c r="K10" s="4">
        <v>5166.6666666666661</v>
      </c>
      <c r="L10" s="4">
        <v>5166.6666666666661</v>
      </c>
      <c r="M10" s="4">
        <v>5166.6666666666661</v>
      </c>
      <c r="N10" s="4">
        <v>5166.6666666666661</v>
      </c>
      <c r="O10" s="4">
        <v>5166.6666666666661</v>
      </c>
      <c r="P10" s="4">
        <v>5166.6666666666661</v>
      </c>
      <c r="Q10" s="4">
        <v>5166.6666666666661</v>
      </c>
      <c r="R10" s="4">
        <v>5166.6666666666661</v>
      </c>
      <c r="S10" s="4">
        <v>5166.6666666666661</v>
      </c>
      <c r="T10" s="4">
        <v>10333.333333333332</v>
      </c>
      <c r="U10" s="4">
        <v>10333.333333333332</v>
      </c>
      <c r="V10" s="4">
        <v>10333.333333333332</v>
      </c>
      <c r="W10" s="4">
        <v>10333.333333333332</v>
      </c>
      <c r="X10" s="4">
        <v>10333.333333333332</v>
      </c>
      <c r="Y10" s="4">
        <v>10333.333333333332</v>
      </c>
      <c r="Z10" s="4">
        <v>10333.333333333332</v>
      </c>
      <c r="AA10" s="4">
        <v>10333.333333333332</v>
      </c>
      <c r="AB10" s="4">
        <v>10333.333333333332</v>
      </c>
      <c r="AC10" s="4">
        <v>10333.333333333332</v>
      </c>
      <c r="AD10" s="4">
        <v>10333.333333333332</v>
      </c>
      <c r="AE10" s="4">
        <v>10333.333333333332</v>
      </c>
      <c r="AF10" s="4">
        <v>10333.333333333332</v>
      </c>
      <c r="AG10" s="4">
        <v>10333.333333333332</v>
      </c>
      <c r="AH10" s="4">
        <v>10333.333333333332</v>
      </c>
    </row>
    <row r="11" spans="1:34">
      <c r="C11" t="s">
        <v>35</v>
      </c>
      <c r="D11" s="3" t="s">
        <v>65</v>
      </c>
      <c r="E11" s="4">
        <v>2066.6666666666665</v>
      </c>
      <c r="F11" s="4">
        <v>2066.6666666666665</v>
      </c>
      <c r="G11" s="4">
        <v>2066.6666666666665</v>
      </c>
      <c r="H11" s="4">
        <v>2066.6666666666665</v>
      </c>
      <c r="I11" s="4">
        <v>2066.6666666666665</v>
      </c>
      <c r="J11" s="4">
        <v>2066.6666666666665</v>
      </c>
      <c r="K11" s="4">
        <v>2066.6666666666665</v>
      </c>
      <c r="L11" s="4">
        <v>2066.6666666666665</v>
      </c>
      <c r="M11" s="4">
        <v>2066.6666666666665</v>
      </c>
      <c r="N11" s="4">
        <v>2066.6666666666665</v>
      </c>
      <c r="O11" s="4">
        <v>2066.6666666666665</v>
      </c>
      <c r="P11" s="4">
        <v>2066.6666666666665</v>
      </c>
      <c r="Q11" s="4">
        <v>2066.6666666666665</v>
      </c>
      <c r="R11" s="4">
        <v>2066.6666666666665</v>
      </c>
      <c r="S11" s="4">
        <v>2066.6666666666665</v>
      </c>
      <c r="T11" s="4">
        <v>4133.333333333333</v>
      </c>
      <c r="U11" s="4">
        <v>4133.333333333333</v>
      </c>
      <c r="V11" s="4">
        <v>4133.333333333333</v>
      </c>
      <c r="W11" s="4">
        <v>4133.333333333333</v>
      </c>
      <c r="X11" s="4">
        <v>4133.333333333333</v>
      </c>
      <c r="Y11" s="4">
        <v>4133.333333333333</v>
      </c>
      <c r="Z11" s="4">
        <v>4133.333333333333</v>
      </c>
      <c r="AA11" s="4">
        <v>4133.333333333333</v>
      </c>
      <c r="AB11" s="4">
        <v>4133.333333333333</v>
      </c>
      <c r="AC11" s="4">
        <v>4133.333333333333</v>
      </c>
      <c r="AD11" s="4">
        <v>4133.333333333333</v>
      </c>
      <c r="AE11" s="4">
        <v>4133.333333333333</v>
      </c>
      <c r="AF11" s="4">
        <v>4133.333333333333</v>
      </c>
      <c r="AG11" s="4">
        <v>4133.333333333333</v>
      </c>
      <c r="AH11" s="4">
        <v>4133.333333333333</v>
      </c>
    </row>
    <row r="12" spans="1:34">
      <c r="C12" t="s">
        <v>60</v>
      </c>
      <c r="D12" s="3" t="s">
        <v>65</v>
      </c>
      <c r="E12" s="4">
        <v>5166.6666666666661</v>
      </c>
      <c r="F12" s="4">
        <v>5166.6666666666661</v>
      </c>
      <c r="G12" s="4">
        <v>5166.6666666666661</v>
      </c>
      <c r="H12" s="4">
        <v>5166.6666666666661</v>
      </c>
      <c r="I12" s="4">
        <v>5166.6666666666661</v>
      </c>
      <c r="J12" s="4">
        <v>5166.6666666666661</v>
      </c>
      <c r="K12" s="4">
        <v>5166.6666666666661</v>
      </c>
      <c r="L12" s="4">
        <v>5166.6666666666661</v>
      </c>
      <c r="M12" s="4">
        <v>5166.6666666666661</v>
      </c>
      <c r="N12" s="4">
        <v>5166.6666666666661</v>
      </c>
      <c r="O12" s="4">
        <v>5166.6666666666661</v>
      </c>
      <c r="P12" s="4">
        <v>5166.6666666666661</v>
      </c>
      <c r="Q12" s="4">
        <v>5166.6666666666661</v>
      </c>
      <c r="R12" s="4">
        <v>5166.6666666666661</v>
      </c>
      <c r="S12" s="4">
        <v>5166.6666666666661</v>
      </c>
      <c r="T12" s="4">
        <v>5166.6666666666661</v>
      </c>
      <c r="U12" s="4">
        <v>5166.6666666666661</v>
      </c>
      <c r="V12" s="4">
        <v>5166.6666666666661</v>
      </c>
      <c r="W12" s="4">
        <v>5166.6666666666661</v>
      </c>
      <c r="X12" s="4">
        <v>5166.6666666666661</v>
      </c>
      <c r="Y12" s="4">
        <v>5166.6666666666661</v>
      </c>
      <c r="Z12" s="4">
        <v>5166.6666666666661</v>
      </c>
      <c r="AA12" s="4">
        <v>5166.6666666666661</v>
      </c>
      <c r="AB12" s="4">
        <v>5166.6666666666661</v>
      </c>
      <c r="AC12" s="4">
        <v>5166.6666666666661</v>
      </c>
      <c r="AD12" s="4">
        <v>5166.6666666666661</v>
      </c>
      <c r="AE12" s="4">
        <v>5166.6666666666661</v>
      </c>
      <c r="AF12" s="4">
        <v>5166.6666666666661</v>
      </c>
      <c r="AG12" s="4">
        <v>5166.6666666666661</v>
      </c>
      <c r="AH12" s="4">
        <v>5166.6666666666661</v>
      </c>
    </row>
    <row r="13" spans="1:34">
      <c r="E13" s="1"/>
    </row>
    <row r="14" spans="1:34" s="7" customFormat="1" ht="14.4" customHeight="1">
      <c r="A14" s="5"/>
      <c r="B14" s="6" t="s">
        <v>63</v>
      </c>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row>
    <row r="16" spans="1:34">
      <c r="C16" t="s">
        <v>9</v>
      </c>
      <c r="D16" s="9">
        <v>46388</v>
      </c>
      <c r="E16" s="3"/>
    </row>
    <row r="17" spans="2:33">
      <c r="C17" t="s">
        <v>40</v>
      </c>
      <c r="D17" s="10">
        <v>30</v>
      </c>
      <c r="E17" s="3" t="s">
        <v>1</v>
      </c>
      <c r="F17" s="1"/>
    </row>
    <row r="18" spans="2:33">
      <c r="C18" t="s">
        <v>10</v>
      </c>
      <c r="D18" s="4">
        <v>25000</v>
      </c>
      <c r="E18" s="3" t="s">
        <v>65</v>
      </c>
      <c r="AG18" s="1"/>
    </row>
    <row r="19" spans="2:33">
      <c r="B19" s="2" t="s">
        <v>30</v>
      </c>
    </row>
    <row r="20" spans="2:33">
      <c r="C20" t="s">
        <v>11</v>
      </c>
      <c r="D20" s="8">
        <v>2.4999999999999998E-2</v>
      </c>
      <c r="E20" s="3" t="s">
        <v>2</v>
      </c>
    </row>
    <row r="21" spans="2:33">
      <c r="C21" t="s">
        <v>12</v>
      </c>
      <c r="D21" s="8">
        <v>0.23250000000000001</v>
      </c>
      <c r="E21" s="3" t="s">
        <v>2</v>
      </c>
    </row>
    <row r="22" spans="2:33">
      <c r="C22" t="s">
        <v>13</v>
      </c>
      <c r="D22" s="8">
        <v>0.11499999999999999</v>
      </c>
      <c r="E22" s="3" t="s">
        <v>2</v>
      </c>
    </row>
    <row r="23" spans="2:33">
      <c r="C23" t="s">
        <v>14</v>
      </c>
      <c r="D23" s="8">
        <v>4.4999999999999998E-2</v>
      </c>
      <c r="E23" s="3" t="s">
        <v>2</v>
      </c>
      <c r="F23" s="19"/>
    </row>
    <row r="24" spans="2:33">
      <c r="C24" t="s">
        <v>15</v>
      </c>
      <c r="D24" s="8">
        <v>0.06</v>
      </c>
      <c r="E24" s="3" t="s">
        <v>2</v>
      </c>
    </row>
    <row r="25" spans="2:33">
      <c r="C25" t="s">
        <v>34</v>
      </c>
      <c r="D25" s="8">
        <v>6.5000000000000002E-2</v>
      </c>
      <c r="E25" s="3" t="s">
        <v>2</v>
      </c>
    </row>
    <row r="26" spans="2:33">
      <c r="C26" t="s">
        <v>59</v>
      </c>
      <c r="D26" s="8">
        <v>5.2725000000000001E-2</v>
      </c>
      <c r="E26" s="3" t="s">
        <v>2</v>
      </c>
    </row>
    <row r="27" spans="2:33">
      <c r="C27" t="s">
        <v>53</v>
      </c>
      <c r="D27" s="8">
        <v>0.10250000000000001</v>
      </c>
      <c r="E27" s="3" t="s">
        <v>2</v>
      </c>
    </row>
    <row r="28" spans="2:33">
      <c r="C28" t="s">
        <v>97</v>
      </c>
      <c r="D28" s="8">
        <v>0.11499999999999999</v>
      </c>
      <c r="E28" s="3" t="s">
        <v>2</v>
      </c>
    </row>
    <row r="29" spans="2:33">
      <c r="B29" s="2" t="s">
        <v>31</v>
      </c>
    </row>
    <row r="30" spans="2:33">
      <c r="C30" t="s">
        <v>16</v>
      </c>
      <c r="D30" s="11">
        <v>2030</v>
      </c>
    </row>
    <row r="31" spans="2:33">
      <c r="C31" t="s">
        <v>17</v>
      </c>
      <c r="D31" s="11">
        <v>2032</v>
      </c>
    </row>
    <row r="32" spans="2:33">
      <c r="C32" t="s">
        <v>18</v>
      </c>
      <c r="D32" s="11">
        <v>2034</v>
      </c>
    </row>
    <row r="33" spans="2:5">
      <c r="C33" t="s">
        <v>36</v>
      </c>
      <c r="D33" s="11">
        <v>2034</v>
      </c>
    </row>
    <row r="34" spans="2:5">
      <c r="C34" t="s">
        <v>58</v>
      </c>
      <c r="D34" s="11">
        <v>2033</v>
      </c>
    </row>
    <row r="35" spans="2:5">
      <c r="C35" t="s">
        <v>19</v>
      </c>
      <c r="D35" s="11">
        <v>4</v>
      </c>
      <c r="E35" s="3" t="s">
        <v>1</v>
      </c>
    </row>
    <row r="36" spans="2:5">
      <c r="C36" t="s">
        <v>55</v>
      </c>
      <c r="D36" s="11">
        <v>2</v>
      </c>
      <c r="E36" s="3" t="s">
        <v>1</v>
      </c>
    </row>
    <row r="37" spans="2:5">
      <c r="C37" t="s">
        <v>102</v>
      </c>
      <c r="D37" s="4">
        <v>0.5</v>
      </c>
    </row>
    <row r="38" spans="2:5">
      <c r="C38" t="s">
        <v>103</v>
      </c>
      <c r="D38" s="4">
        <v>0.25</v>
      </c>
    </row>
    <row r="39" spans="2:5">
      <c r="C39" t="s">
        <v>104</v>
      </c>
      <c r="D39" s="4">
        <v>0.125</v>
      </c>
    </row>
    <row r="40" spans="2:5">
      <c r="C40" t="s">
        <v>105</v>
      </c>
      <c r="D40" s="4">
        <v>0.1</v>
      </c>
    </row>
    <row r="41" spans="2:5">
      <c r="B41" s="2" t="s">
        <v>32</v>
      </c>
    </row>
    <row r="42" spans="2:5">
      <c r="C42" t="s">
        <v>20</v>
      </c>
      <c r="D42" s="4">
        <v>4000</v>
      </c>
      <c r="E42" s="3" t="s">
        <v>65</v>
      </c>
    </row>
    <row r="43" spans="2:5">
      <c r="C43" t="s">
        <v>21</v>
      </c>
      <c r="D43" s="4">
        <v>0</v>
      </c>
      <c r="E43" s="3" t="s">
        <v>65</v>
      </c>
    </row>
    <row r="44" spans="2:5">
      <c r="C44" t="s">
        <v>22</v>
      </c>
      <c r="D44" s="4">
        <v>141100</v>
      </c>
      <c r="E44" s="3" t="s">
        <v>65</v>
      </c>
    </row>
    <row r="45" spans="2:5">
      <c r="C45" t="s">
        <v>23</v>
      </c>
      <c r="D45" s="4">
        <v>232500.00000000006</v>
      </c>
      <c r="E45" s="3" t="s">
        <v>65</v>
      </c>
    </row>
    <row r="46" spans="2:5">
      <c r="C46" t="s">
        <v>37</v>
      </c>
      <c r="D46" s="4">
        <v>155000</v>
      </c>
      <c r="E46" s="3" t="s">
        <v>65</v>
      </c>
    </row>
    <row r="47" spans="2:5">
      <c r="C47" t="s">
        <v>61</v>
      </c>
      <c r="D47" s="4">
        <v>258333.33333333334</v>
      </c>
      <c r="E47" s="3" t="s">
        <v>65</v>
      </c>
    </row>
    <row r="48" spans="2:5">
      <c r="C48" t="s">
        <v>54</v>
      </c>
      <c r="D48" s="4">
        <v>100000</v>
      </c>
      <c r="E48" s="3" t="s">
        <v>65</v>
      </c>
    </row>
    <row r="49" spans="1:34">
      <c r="C49" t="s">
        <v>98</v>
      </c>
      <c r="D49" s="4">
        <v>200000</v>
      </c>
      <c r="E49" s="3" t="s">
        <v>65</v>
      </c>
    </row>
    <row r="50" spans="1:34">
      <c r="B50" s="2" t="s">
        <v>33</v>
      </c>
    </row>
    <row r="51" spans="1:34">
      <c r="C51" t="s">
        <v>24</v>
      </c>
      <c r="D51" s="4">
        <v>20200</v>
      </c>
      <c r="E51" s="12" t="s">
        <v>66</v>
      </c>
    </row>
    <row r="52" spans="1:34">
      <c r="C52" t="s">
        <v>25</v>
      </c>
      <c r="D52" s="4">
        <v>10400</v>
      </c>
      <c r="E52" s="12" t="s">
        <v>66</v>
      </c>
    </row>
    <row r="53" spans="1:34">
      <c r="C53" t="s">
        <v>26</v>
      </c>
      <c r="D53" s="4">
        <v>5600</v>
      </c>
      <c r="E53" s="12" t="s">
        <v>66</v>
      </c>
    </row>
    <row r="54" spans="1:34">
      <c r="C54" t="s">
        <v>41</v>
      </c>
      <c r="D54" s="4">
        <v>4125</v>
      </c>
      <c r="E54" s="12" t="s">
        <v>66</v>
      </c>
    </row>
    <row r="55" spans="1:34">
      <c r="C55" t="s">
        <v>57</v>
      </c>
      <c r="D55" s="4">
        <v>3875</v>
      </c>
      <c r="E55" s="12" t="s">
        <v>66</v>
      </c>
    </row>
    <row r="56" spans="1:34">
      <c r="C56" t="s">
        <v>27</v>
      </c>
      <c r="D56" s="4">
        <v>4</v>
      </c>
      <c r="E56" s="12" t="s">
        <v>0</v>
      </c>
    </row>
    <row r="57" spans="1:34">
      <c r="C57" t="s">
        <v>28</v>
      </c>
      <c r="D57" s="4">
        <v>8</v>
      </c>
      <c r="E57" s="12" t="s">
        <v>0</v>
      </c>
    </row>
    <row r="58" spans="1:34">
      <c r="C58" t="s">
        <v>29</v>
      </c>
      <c r="D58" s="4">
        <v>12</v>
      </c>
      <c r="E58" s="12" t="s">
        <v>0</v>
      </c>
    </row>
    <row r="59" spans="1:34">
      <c r="C59" t="s">
        <v>38</v>
      </c>
      <c r="D59" s="4">
        <v>2</v>
      </c>
      <c r="E59" s="12" t="s">
        <v>0</v>
      </c>
    </row>
    <row r="60" spans="1:34">
      <c r="C60" t="s">
        <v>56</v>
      </c>
      <c r="D60" s="4">
        <v>10</v>
      </c>
      <c r="E60" s="12" t="s">
        <v>0</v>
      </c>
    </row>
    <row r="62" spans="1:34" s="7" customFormat="1" ht="14.4" customHeight="1">
      <c r="A62" s="5"/>
      <c r="B62" s="6" t="s">
        <v>3</v>
      </c>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15180-73C3-404B-AFCC-AC8D4B9E2E97}">
  <sheetPr>
    <tabColor theme="8" tint="0.79998168889431442"/>
  </sheetPr>
  <dimension ref="A1:C26"/>
  <sheetViews>
    <sheetView zoomScale="77" workbookViewId="0"/>
  </sheetViews>
  <sheetFormatPr defaultRowHeight="15.6"/>
  <cols>
    <col min="1" max="1" width="74.109375" style="21" bestFit="1" customWidth="1"/>
    <col min="2" max="2" width="16.33203125" style="21" customWidth="1"/>
    <col min="3" max="16384" width="8.88671875" style="21"/>
  </cols>
  <sheetData>
    <row r="1" spans="1:3">
      <c r="A1" s="20" t="s">
        <v>68</v>
      </c>
      <c r="B1" s="20" t="s">
        <v>69</v>
      </c>
      <c r="C1" s="20" t="s">
        <v>94</v>
      </c>
    </row>
    <row r="2" spans="1:3">
      <c r="A2" s="22" t="s">
        <v>75</v>
      </c>
      <c r="B2" s="23"/>
      <c r="C2" s="3" t="s">
        <v>65</v>
      </c>
    </row>
    <row r="3" spans="1:3">
      <c r="A3" s="22" t="s">
        <v>76</v>
      </c>
      <c r="B3" s="23"/>
      <c r="C3" s="3" t="s">
        <v>65</v>
      </c>
    </row>
    <row r="4" spans="1:3">
      <c r="A4" s="22" t="s">
        <v>88</v>
      </c>
      <c r="B4" s="23"/>
      <c r="C4" s="3" t="s">
        <v>65</v>
      </c>
    </row>
    <row r="5" spans="1:3">
      <c r="A5" s="22" t="s">
        <v>78</v>
      </c>
      <c r="B5" s="23"/>
      <c r="C5" s="3" t="s">
        <v>65</v>
      </c>
    </row>
    <row r="6" spans="1:3">
      <c r="A6" s="22" t="s">
        <v>92</v>
      </c>
      <c r="B6" s="23"/>
      <c r="C6" s="3" t="s">
        <v>65</v>
      </c>
    </row>
    <row r="7" spans="1:3">
      <c r="A7" s="22" t="s">
        <v>99</v>
      </c>
      <c r="B7" s="23"/>
      <c r="C7" s="3" t="s">
        <v>65</v>
      </c>
    </row>
    <row r="8" spans="1:3">
      <c r="A8" s="22" t="s">
        <v>79</v>
      </c>
      <c r="B8" s="23"/>
      <c r="C8" s="3" t="s">
        <v>65</v>
      </c>
    </row>
    <row r="9" spans="1:3">
      <c r="A9" s="22" t="s">
        <v>80</v>
      </c>
      <c r="B9" s="23"/>
      <c r="C9" s="3" t="s">
        <v>65</v>
      </c>
    </row>
    <row r="10" spans="1:3">
      <c r="A10" s="22" t="s">
        <v>89</v>
      </c>
      <c r="B10" s="23"/>
      <c r="C10" s="3" t="s">
        <v>65</v>
      </c>
    </row>
    <row r="11" spans="1:3">
      <c r="A11" s="22" t="s">
        <v>81</v>
      </c>
      <c r="B11" s="23"/>
      <c r="C11" s="3" t="s">
        <v>65</v>
      </c>
    </row>
    <row r="12" spans="1:3">
      <c r="A12" s="22" t="s">
        <v>77</v>
      </c>
      <c r="B12" s="23"/>
      <c r="C12" s="3" t="s">
        <v>65</v>
      </c>
    </row>
    <row r="13" spans="1:3">
      <c r="A13" s="22" t="s">
        <v>82</v>
      </c>
      <c r="B13" s="23"/>
      <c r="C13" s="3" t="s">
        <v>65</v>
      </c>
    </row>
    <row r="14" spans="1:3">
      <c r="A14" s="22" t="s">
        <v>83</v>
      </c>
      <c r="B14" s="23"/>
      <c r="C14" s="3" t="s">
        <v>65</v>
      </c>
    </row>
    <row r="15" spans="1:3">
      <c r="A15" s="22" t="s">
        <v>84</v>
      </c>
      <c r="B15" s="23"/>
      <c r="C15" s="3" t="s">
        <v>65</v>
      </c>
    </row>
    <row r="16" spans="1:3">
      <c r="A16" s="22" t="s">
        <v>91</v>
      </c>
      <c r="B16" s="23"/>
      <c r="C16" s="3" t="s">
        <v>65</v>
      </c>
    </row>
    <row r="17" spans="1:3">
      <c r="A17" s="22" t="s">
        <v>93</v>
      </c>
      <c r="B17" s="23"/>
      <c r="C17" s="3" t="s">
        <v>65</v>
      </c>
    </row>
    <row r="18" spans="1:3">
      <c r="A18" s="22" t="s">
        <v>85</v>
      </c>
      <c r="B18" s="23"/>
      <c r="C18" s="3" t="s">
        <v>65</v>
      </c>
    </row>
    <row r="19" spans="1:3">
      <c r="A19" s="22" t="s">
        <v>90</v>
      </c>
      <c r="B19" s="23"/>
      <c r="C19" s="3" t="s">
        <v>65</v>
      </c>
    </row>
    <row r="20" spans="1:3">
      <c r="A20" s="22" t="s">
        <v>86</v>
      </c>
      <c r="B20" s="23"/>
      <c r="C20" s="3" t="s">
        <v>65</v>
      </c>
    </row>
    <row r="21" spans="1:3">
      <c r="A21" s="22" t="s">
        <v>87</v>
      </c>
      <c r="B21" s="23"/>
      <c r="C21" s="3" t="s">
        <v>65</v>
      </c>
    </row>
    <row r="22" spans="1:3">
      <c r="A22" s="22" t="s">
        <v>70</v>
      </c>
      <c r="B22" s="23"/>
      <c r="C22" s="3" t="s">
        <v>65</v>
      </c>
    </row>
    <row r="23" spans="1:3">
      <c r="A23" s="22" t="s">
        <v>71</v>
      </c>
      <c r="B23" s="23"/>
      <c r="C23" s="3" t="s">
        <v>65</v>
      </c>
    </row>
    <row r="24" spans="1:3">
      <c r="A24" s="22" t="s">
        <v>72</v>
      </c>
      <c r="B24" s="23"/>
      <c r="C24" s="3" t="s">
        <v>65</v>
      </c>
    </row>
    <row r="25" spans="1:3">
      <c r="A25" s="22" t="s">
        <v>73</v>
      </c>
      <c r="B25" s="23"/>
      <c r="C25" s="3" t="s">
        <v>65</v>
      </c>
    </row>
    <row r="26" spans="1:3">
      <c r="A26" s="22" t="s">
        <v>74</v>
      </c>
      <c r="B26" s="23"/>
      <c r="C26" s="3" t="s">
        <v>65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Assumptions</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Pöltl</dc:creator>
  <cp:lastModifiedBy>Julian Pöltl</cp:lastModifiedBy>
  <dcterms:created xsi:type="dcterms:W3CDTF">2025-10-30T13:30:27Z</dcterms:created>
  <dcterms:modified xsi:type="dcterms:W3CDTF">2026-04-01T02:00:23Z</dcterms:modified>
</cp:coreProperties>
</file>