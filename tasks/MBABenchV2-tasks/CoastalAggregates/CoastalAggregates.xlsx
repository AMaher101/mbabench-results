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Budget vs. Actuals Variance Analysis\CoastalAggregates\starting_files\"/>
    </mc:Choice>
  </mc:AlternateContent>
  <xr:revisionPtr revIDLastSave="0" documentId="13_ncr:1_{6149683C-2C17-4280-8505-5A149419333B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10" r:id="rId1"/>
    <sheet name="Income Statement" sheetId="12" r:id="rId2"/>
    <sheet name="Balance Sheet" sheetId="13" r:id="rId3"/>
    <sheet name="FY2024 Budget" sheetId="14" r:id="rId4"/>
    <sheet name="Questions" sheetId="11" r:id="rId5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4" l="1"/>
  <c r="E38" i="14"/>
  <c r="D38" i="14"/>
  <c r="C38" i="14"/>
  <c r="B38" i="14"/>
  <c r="F37" i="14"/>
  <c r="F36" i="14"/>
  <c r="F35" i="14"/>
  <c r="F34" i="14"/>
  <c r="F33" i="14"/>
  <c r="E29" i="14"/>
  <c r="D29" i="14"/>
  <c r="C29" i="14"/>
  <c r="B29" i="14"/>
  <c r="F29" i="14" s="1"/>
  <c r="F28" i="14"/>
  <c r="F27" i="14"/>
  <c r="F26" i="14"/>
  <c r="F25" i="14"/>
  <c r="F24" i="14"/>
  <c r="F20" i="14"/>
  <c r="E20" i="14"/>
  <c r="D20" i="14"/>
  <c r="C20" i="14"/>
  <c r="B20" i="14"/>
  <c r="F19" i="14"/>
  <c r="F18" i="14"/>
  <c r="F17" i="14"/>
  <c r="F16" i="14"/>
  <c r="F15" i="14"/>
  <c r="E11" i="14"/>
  <c r="D11" i="14"/>
  <c r="C11" i="14"/>
  <c r="B11" i="14"/>
  <c r="F11" i="14" s="1"/>
  <c r="F10" i="14"/>
  <c r="F9" i="14"/>
  <c r="F8" i="14"/>
  <c r="F7" i="14"/>
  <c r="F6" i="14"/>
  <c r="C40" i="13"/>
  <c r="B40" i="13"/>
  <c r="C34" i="13"/>
  <c r="B34" i="13"/>
  <c r="C27" i="13"/>
  <c r="C42" i="13" s="1"/>
  <c r="B27" i="13"/>
  <c r="B42" i="13" s="1"/>
  <c r="C17" i="13"/>
  <c r="B17" i="13"/>
  <c r="C10" i="13"/>
  <c r="C19" i="13" s="1"/>
  <c r="C44" i="13" s="1"/>
  <c r="B10" i="13"/>
  <c r="B19" i="13" s="1"/>
  <c r="B44" i="13" s="1"/>
  <c r="E23" i="12"/>
  <c r="D23" i="12"/>
  <c r="C23" i="12"/>
  <c r="B23" i="12"/>
  <c r="F23" i="12" s="1"/>
  <c r="F22" i="12"/>
  <c r="F21" i="12"/>
  <c r="E18" i="12"/>
  <c r="E25" i="12" s="1"/>
  <c r="D18" i="12"/>
  <c r="D25" i="12" s="1"/>
  <c r="E16" i="12"/>
  <c r="D16" i="12"/>
  <c r="C16" i="12"/>
  <c r="B16" i="12"/>
  <c r="F16" i="12" s="1"/>
  <c r="F15" i="12"/>
  <c r="F14" i="12"/>
  <c r="F13" i="12"/>
  <c r="F12" i="12"/>
  <c r="F11" i="12"/>
  <c r="F10" i="12"/>
  <c r="E7" i="12"/>
  <c r="D7" i="12"/>
  <c r="C7" i="12"/>
  <c r="C18" i="12" s="1"/>
  <c r="C25" i="12" s="1"/>
  <c r="B7" i="12"/>
  <c r="B18" i="12" s="1"/>
  <c r="F6" i="12"/>
  <c r="F5" i="12"/>
  <c r="D26" i="12" l="1"/>
  <c r="D27" i="12" s="1"/>
  <c r="B25" i="12"/>
  <c r="F18" i="12"/>
  <c r="E26" i="12"/>
  <c r="E27" i="12"/>
  <c r="C26" i="12"/>
  <c r="C27" i="12" s="1"/>
  <c r="F7" i="12"/>
  <c r="B26" i="12" l="1"/>
  <c r="F26" i="12" s="1"/>
  <c r="F25" i="12"/>
  <c r="B27" i="12" l="1"/>
  <c r="F27" i="12" s="1"/>
</calcChain>
</file>

<file path=xl/sharedStrings.xml><?xml version="1.0" encoding="utf-8"?>
<sst xmlns="http://schemas.openxmlformats.org/spreadsheetml/2006/main" count="159" uniqueCount="111">
  <si>
    <t>Answers</t>
  </si>
  <si>
    <t>Unit</t>
  </si>
  <si>
    <t>Task:</t>
  </si>
  <si>
    <t>[%]</t>
  </si>
  <si>
    <t xml:space="preserve"> </t>
  </si>
  <si>
    <t>You are given an Income Statement as well as a Budget.</t>
  </si>
  <si>
    <t>FP&amp;A Models</t>
  </si>
  <si>
    <t>Create a Budget vs. Actuals Variance Analysis sheet.</t>
  </si>
  <si>
    <t>Answer the questions with the results from your sheet.</t>
  </si>
  <si>
    <t>COASTAL AGGREGATES LIMITED</t>
  </si>
  <si>
    <t>Consolidated Statement of Profit or Loss  ·  Year ended 30 June 2024  ·  AUD millions  ·  AASB</t>
  </si>
  <si>
    <t>Quarrying</t>
  </si>
  <si>
    <t>Processing</t>
  </si>
  <si>
    <t>Distributions</t>
  </si>
  <si>
    <t>Corporate</t>
  </si>
  <si>
    <t>Group Total</t>
  </si>
  <si>
    <t>Revenue from contracts</t>
  </si>
  <si>
    <t>Other income</t>
  </si>
  <si>
    <t>Total Revenue</t>
  </si>
  <si>
    <t>EXPENSES</t>
  </si>
  <si>
    <t>Raw materials &amp; consumables</t>
  </si>
  <si>
    <t>Employee benefits expense</t>
  </si>
  <si>
    <t>Depreciation &amp; amortisation</t>
  </si>
  <si>
    <t>Site rehabilitation provision</t>
  </si>
  <si>
    <t>Equipment lease costs</t>
  </si>
  <si>
    <t>Other operating expenses</t>
  </si>
  <si>
    <t>Total Expenses</t>
  </si>
  <si>
    <t>Segment EBIT</t>
  </si>
  <si>
    <t>NET FINANCE COSTS (Group)</t>
  </si>
  <si>
    <t>Finance income</t>
  </si>
  <si>
    <t>Finance costs</t>
  </si>
  <si>
    <t>Net Finance Costs</t>
  </si>
  <si>
    <t>Profit Before Tax</t>
  </si>
  <si>
    <t>Income tax expense (30%)</t>
  </si>
  <si>
    <t>Net Profit After Tax</t>
  </si>
  <si>
    <t>Consolidated Statement of Financial Position  ·  30 June 2024  ·  AUD millions  ·  AASB</t>
  </si>
  <si>
    <t>30 Jun 2024</t>
  </si>
  <si>
    <t>30 Jun 2023</t>
  </si>
  <si>
    <t>CURRENT ASSETS</t>
  </si>
  <si>
    <t xml:space="preserve">    Cash and cash equivalents</t>
  </si>
  <si>
    <t xml:space="preserve">    Trade receivables</t>
  </si>
  <si>
    <t xml:space="preserve">    Inventories</t>
  </si>
  <si>
    <t xml:space="preserve">    Other current assets</t>
  </si>
  <si>
    <t>Total Current Assets</t>
  </si>
  <si>
    <t>NON-CURRENT ASSETS</t>
  </si>
  <si>
    <t xml:space="preserve">    Property, plant &amp; equipment, net</t>
  </si>
  <si>
    <t xml:space="preserve">    Mining tenements &amp; reserves</t>
  </si>
  <si>
    <t xml:space="preserve">    Right-of-use assets</t>
  </si>
  <si>
    <t xml:space="preserve">    Deferred tax assets</t>
  </si>
  <si>
    <t>Total Non-Current Assets</t>
  </si>
  <si>
    <t>TOTAL ASSETS</t>
  </si>
  <si>
    <t>CURRENT LIABILITIES</t>
  </si>
  <si>
    <t xml:space="preserve">    Trade &amp; other payables</t>
  </si>
  <si>
    <t xml:space="preserve">    Current borrowings</t>
  </si>
  <si>
    <t xml:space="preserve">    Lease liabilities</t>
  </si>
  <si>
    <t xml:space="preserve">    Current tax liabilities</t>
  </si>
  <si>
    <t>Total Current Liabilities</t>
  </si>
  <si>
    <t>NON-CURRENT LIABILITIES</t>
  </si>
  <si>
    <t xml:space="preserve">    Borrowings</t>
  </si>
  <si>
    <t xml:space="preserve">    Lease liabilities (LT)</t>
  </si>
  <si>
    <t xml:space="preserve">    Site rehabilitation provision</t>
  </si>
  <si>
    <t xml:space="preserve">    Deferred tax liabilities</t>
  </si>
  <si>
    <t>Total Non-Current Liabilities</t>
  </si>
  <si>
    <t>EQUITY</t>
  </si>
  <si>
    <t xml:space="preserve">    Share capital</t>
  </si>
  <si>
    <t xml:space="preserve">    Retained earnings</t>
  </si>
  <si>
    <t xml:space="preserve">    Other reserves</t>
  </si>
  <si>
    <t>Total Equity</t>
  </si>
  <si>
    <t>TOTAL LIABILITIES &amp; EQUITY</t>
  </si>
  <si>
    <t>Check</t>
  </si>
  <si>
    <t>COASTAL AGGREGATES LIMITED  —  FY2024 Operating Budget  (AUD millions)</t>
  </si>
  <si>
    <t>Board approved 22 August 2023  ·  Quarterly phasing by segment</t>
  </si>
  <si>
    <t>SEGMENT: QUARRYING</t>
  </si>
  <si>
    <t>Line Item</t>
  </si>
  <si>
    <t>Q1 Jul-Sep</t>
  </si>
  <si>
    <t>Q2 Oct-Dec</t>
  </si>
  <si>
    <t>Q3 Jan-Mar</t>
  </si>
  <si>
    <t>Q4 Apr-Jun</t>
  </si>
  <si>
    <t>FY Total</t>
  </si>
  <si>
    <t>Revenue</t>
  </si>
  <si>
    <t>Materials &amp; consumables</t>
  </si>
  <si>
    <t>Employee costs</t>
  </si>
  <si>
    <t>Depreciation</t>
  </si>
  <si>
    <t>Other costs</t>
  </si>
  <si>
    <t>Quarrying EBIT</t>
  </si>
  <si>
    <t>SEGMENT: PROCESSING</t>
  </si>
  <si>
    <t>Processing EBIT</t>
  </si>
  <si>
    <t>SEGMENT: DISTRIBUTIONS</t>
  </si>
  <si>
    <t>Distributions EBIT</t>
  </si>
  <si>
    <t>SEGMENT: CORPORATE</t>
  </si>
  <si>
    <t>Corporate EBIT</t>
  </si>
  <si>
    <t>Budget vs. Actuals Variance Analysis - CoastalAggregates</t>
  </si>
  <si>
    <t>[AUD millions]</t>
  </si>
  <si>
    <t>Questions (please round your answers to four decimal places)</t>
  </si>
  <si>
    <t>Leave a blank note field next to the variance figures.</t>
  </si>
  <si>
    <t>What is the absolute difference between actuals and budget for Depreciation in the SEGMENT: QUARRYING?</t>
  </si>
  <si>
    <t>What is the absolute difference between actuals and budget for Employee costs in the SEGMENT: PROCESSING?</t>
  </si>
  <si>
    <t>What is the absolute difference between actuals and budget for Materials &amp; consumables in the SEGMENT: DISTRIBUTIONS?</t>
  </si>
  <si>
    <t>What is the absolute difference between actuals and budget for Materials &amp; consumables in the SEGMENT: PROCESSING?</t>
  </si>
  <si>
    <t>What is the absolute difference between actuals and budget for Revenue in the SEGMENT: DISTRIBUTIONS?</t>
  </si>
  <si>
    <t>What is the absolute difference between actuals and budget for Revenue in the SEGMENT: PROCESSING?</t>
  </si>
  <si>
    <t>What is the absolute difference between actuals and budget for Revenue in the SEGMENT: QUARRYING?</t>
  </si>
  <si>
    <t>What is the relative difference between actuals and budget for Depreciation in the SEGMENT: PROCESSING?</t>
  </si>
  <si>
    <t>What is the relative difference between actuals and budget for Employee costs in the SEGMENT: DISTRIBUTIONS?</t>
  </si>
  <si>
    <t>What is the relative difference between actuals and budget for Employee costs in the SEGMENT: PROCESSING?</t>
  </si>
  <si>
    <t>What is the relative difference between actuals and budget for Employee costs in the SEGMENT: QUARRYING?</t>
  </si>
  <si>
    <t>What is the relative difference between actuals and budget for Other costs in the SEGMENT: DISTRIBUTIONS?</t>
  </si>
  <si>
    <t>What is the relative difference between actuals and budget for Other costs in the SEGMENT: PROCESSING?</t>
  </si>
  <si>
    <t>What is the relative difference between actuals and budget for Other costs in the SEGMENT: QUARRYING?</t>
  </si>
  <si>
    <t>What is the relative difference between actuals and budget for Revenue in the SEGMENT: CORPORATE?</t>
  </si>
  <si>
    <t>Use the standard method for calculating the absolute and relative difference.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</si>
</sst>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"/>
    <numFmt numFmtId="165" formatCode="#,##0.0;\(#,##0.0\);\-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1"/>
      <color theme="1"/>
      <name val="Roboto"/>
    </font>
    <font>
      <sz val="11"/>
      <name val="Roboto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1"/>
      <color theme="1"/>
      <name val="Calibri"/>
      <family val="2"/>
      <charset val="1"/>
    </font>
    <font>
      <b/>
      <sz val="15"/>
      <color rgb="FF000000"/>
      <name val="Arial Narrow"/>
      <charset val="1"/>
    </font>
    <font>
      <i/>
      <sz val="9"/>
      <color rgb="FF555555"/>
      <name val="Arial Narrow"/>
      <charset val="1"/>
    </font>
    <font>
      <b/>
      <sz val="9"/>
      <color rgb="FF000000"/>
      <name val="Arial Narrow"/>
      <charset val="1"/>
    </font>
    <font>
      <b/>
      <sz val="9"/>
      <color rgb="FFFFFFFF"/>
      <name val="Arial Narrow"/>
      <charset val="1"/>
    </font>
    <font>
      <sz val="9"/>
      <color rgb="FF000000"/>
      <name val="Arial Narrow"/>
      <charset val="1"/>
    </font>
    <font>
      <sz val="9"/>
      <color rgb="FF0000FF"/>
      <name val="Arial Narrow"/>
      <charset val="1"/>
    </font>
    <font>
      <b/>
      <sz val="9"/>
      <color rgb="FF333333"/>
      <name val="Arial Narrow"/>
      <charset val="1"/>
    </font>
    <font>
      <i/>
      <sz val="8"/>
      <color rgb="FFAAAAAA"/>
      <name val="Arial Narrow"/>
      <charset val="1"/>
    </font>
    <font>
      <b/>
      <sz val="13"/>
      <color rgb="FFFFFFFF"/>
      <name val="Arial Narrow"/>
      <charset val="1"/>
    </font>
    <font>
      <i/>
      <sz val="9"/>
      <color rgb="FFAAAAAA"/>
      <name val="Arial Narrow"/>
      <charset val="1"/>
    </font>
    <font>
      <b/>
      <sz val="10"/>
      <color rgb="FFFFFFFF"/>
      <name val="Arial Narrow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2C2C2C"/>
        <bgColor rgb="FF333333"/>
      </patternFill>
    </fill>
    <fill>
      <patternFill patternType="solid">
        <fgColor rgb="FF1A1A1A"/>
        <bgColor rgb="FF2C2C2C"/>
      </patternFill>
    </fill>
    <fill>
      <patternFill patternType="solid">
        <fgColor rgb="FFFEF9E7"/>
        <bgColor rgb="FFFFFFFF"/>
      </patternFill>
    </fill>
    <fill>
      <patternFill patternType="solid">
        <fgColor rgb="FFFAD874"/>
        <bgColor rgb="FFFFFF99"/>
      </patternFill>
    </fill>
    <fill>
      <patternFill patternType="solid">
        <fgColor rgb="FF2C2C2C"/>
        <bgColor rgb="FF1A3300"/>
      </patternFill>
    </fill>
    <fill>
      <patternFill patternType="solid">
        <fgColor rgb="FF3D3D00"/>
        <bgColor rgb="FF1A3300"/>
      </patternFill>
    </fill>
    <fill>
      <patternFill patternType="solid">
        <fgColor rgb="FF1A3300"/>
        <bgColor rgb="FF2C2C2C"/>
      </patternFill>
    </fill>
    <fill>
      <patternFill patternType="solid">
        <fgColor rgb="FF003344"/>
        <bgColor rgb="FF2C2C2C"/>
      </patternFill>
    </fill>
    <fill>
      <patternFill patternType="solid">
        <fgColor rgb="FF4A0000"/>
        <bgColor rgb="FF800000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1" fillId="0" borderId="0"/>
    <xf numFmtId="0" fontId="2" fillId="0" borderId="0"/>
    <xf numFmtId="4" fontId="4" fillId="3" borderId="1">
      <alignment horizontal="left"/>
    </xf>
    <xf numFmtId="164" fontId="5" fillId="0" borderId="0" applyBorder="0"/>
    <xf numFmtId="164" fontId="6" fillId="2" borderId="2">
      <protection locked="0"/>
    </xf>
    <xf numFmtId="0" fontId="6" fillId="0" borderId="0" applyNumberFormat="0" applyFill="0" applyBorder="0">
      <alignment horizontal="right"/>
    </xf>
    <xf numFmtId="9" fontId="1" fillId="0" borderId="0" applyFont="0" applyFill="0" applyBorder="0" applyAlignment="0" applyProtection="0"/>
    <xf numFmtId="0" fontId="14" fillId="0" borderId="0"/>
  </cellStyleXfs>
  <cellXfs count="42">
    <xf numFmtId="0" fontId="0" fillId="0" borderId="0" xfId="0"/>
    <xf numFmtId="0" fontId="3" fillId="0" borderId="0" xfId="0" applyFont="1"/>
    <xf numFmtId="0" fontId="7" fillId="0" borderId="0" xfId="1" applyFont="1"/>
    <xf numFmtId="0" fontId="8" fillId="0" borderId="0" xfId="1" applyFont="1"/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11" fillId="0" borderId="0" xfId="0" applyFont="1" applyAlignment="1">
      <alignment vertical="center"/>
    </xf>
    <xf numFmtId="0" fontId="12" fillId="0" borderId="0" xfId="2" applyFont="1"/>
    <xf numFmtId="0" fontId="2" fillId="0" borderId="0" xfId="2"/>
    <xf numFmtId="0" fontId="7" fillId="0" borderId="0" xfId="1" applyFont="1" applyAlignment="1">
      <alignment horizontal="left"/>
    </xf>
    <xf numFmtId="4" fontId="7" fillId="5" borderId="2" xfId="1" quotePrefix="1" applyNumberFormat="1" applyFont="1" applyFill="1" applyBorder="1" applyAlignment="1">
      <alignment horizontal="center"/>
    </xf>
    <xf numFmtId="0" fontId="11" fillId="0" borderId="0" xfId="0" quotePrefix="1" applyFont="1" applyAlignment="1">
      <alignment vertical="center"/>
    </xf>
    <xf numFmtId="0" fontId="13" fillId="0" borderId="0" xfId="0" quotePrefix="1" applyFont="1" applyAlignment="1">
      <alignment vertical="center"/>
    </xf>
    <xf numFmtId="4" fontId="2" fillId="0" borderId="0" xfId="2" applyNumberFormat="1"/>
    <xf numFmtId="0" fontId="14" fillId="0" borderId="0" xfId="8"/>
    <xf numFmtId="0" fontId="17" fillId="0" borderId="2" xfId="8" applyFont="1" applyBorder="1" applyAlignment="1">
      <alignment horizontal="center" vertical="center"/>
    </xf>
    <xf numFmtId="0" fontId="18" fillId="6" borderId="2" xfId="8" applyFont="1" applyFill="1" applyBorder="1" applyAlignment="1">
      <alignment horizontal="center" vertical="center"/>
    </xf>
    <xf numFmtId="0" fontId="18" fillId="7" borderId="2" xfId="8" applyFont="1" applyFill="1" applyBorder="1" applyAlignment="1">
      <alignment horizontal="center" vertical="center"/>
    </xf>
    <xf numFmtId="0" fontId="19" fillId="0" borderId="0" xfId="8" applyFont="1"/>
    <xf numFmtId="165" fontId="20" fillId="0" borderId="0" xfId="8" applyNumberFormat="1" applyFont="1" applyAlignment="1">
      <alignment horizontal="right" vertical="center"/>
    </xf>
    <xf numFmtId="165" fontId="17" fillId="8" borderId="0" xfId="8" applyNumberFormat="1" applyFont="1" applyFill="1" applyAlignment="1">
      <alignment horizontal="right" vertical="center"/>
    </xf>
    <xf numFmtId="0" fontId="17" fillId="8" borderId="0" xfId="8" applyFont="1" applyFill="1"/>
    <xf numFmtId="165" fontId="17" fillId="8" borderId="1" xfId="8" applyNumberFormat="1" applyFont="1" applyFill="1" applyBorder="1" applyAlignment="1">
      <alignment horizontal="right" vertical="center"/>
    </xf>
    <xf numFmtId="165" fontId="19" fillId="0" borderId="0" xfId="8" applyNumberFormat="1" applyFont="1" applyAlignment="1">
      <alignment horizontal="right" vertical="center"/>
    </xf>
    <xf numFmtId="0" fontId="22" fillId="0" borderId="0" xfId="8" applyFont="1"/>
    <xf numFmtId="0" fontId="18" fillId="10" borderId="2" xfId="8" applyFont="1" applyFill="1" applyBorder="1" applyAlignment="1">
      <alignment horizontal="center" vertical="center"/>
    </xf>
    <xf numFmtId="10" fontId="7" fillId="5" borderId="2" xfId="7" quotePrefix="1" applyNumberFormat="1" applyFont="1" applyFill="1" applyBorder="1" applyAlignment="1">
      <alignment horizontal="center"/>
    </xf>
    <xf numFmtId="0" fontId="9" fillId="4" borderId="3" xfId="2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9" fillId="4" borderId="4" xfId="2" applyFont="1" applyFill="1" applyBorder="1" applyAlignment="1">
      <alignment horizontal="center" vertical="center"/>
    </xf>
    <xf numFmtId="0" fontId="10" fillId="4" borderId="5" xfId="2" applyFont="1" applyFill="1" applyBorder="1" applyAlignment="1">
      <alignment horizontal="center" vertical="center"/>
    </xf>
    <xf numFmtId="0" fontId="10" fillId="4" borderId="0" xfId="2" applyFont="1" applyFill="1" applyAlignment="1">
      <alignment horizontal="center" vertical="center"/>
    </xf>
    <xf numFmtId="0" fontId="15" fillId="0" borderId="0" xfId="8" applyFont="1" applyAlignment="1">
      <alignment horizontal="left" vertical="center"/>
    </xf>
    <xf numFmtId="0" fontId="16" fillId="0" borderId="0" xfId="8" applyFont="1" applyAlignment="1">
      <alignment horizontal="left" vertical="center"/>
    </xf>
    <xf numFmtId="0" fontId="21" fillId="9" borderId="0" xfId="8" applyFont="1" applyFill="1"/>
    <xf numFmtId="0" fontId="16" fillId="0" borderId="0" xfId="8" applyFont="1"/>
    <xf numFmtId="0" fontId="25" fillId="14" borderId="0" xfId="8" applyFont="1" applyFill="1"/>
    <xf numFmtId="0" fontId="23" fillId="10" borderId="0" xfId="8" applyFont="1" applyFill="1" applyAlignment="1">
      <alignment horizontal="center" vertical="center"/>
    </xf>
    <xf numFmtId="0" fontId="24" fillId="10" borderId="0" xfId="8" applyFont="1" applyFill="1" applyAlignment="1">
      <alignment horizontal="center" vertical="center"/>
    </xf>
    <xf numFmtId="0" fontId="25" fillId="11" borderId="0" xfId="8" applyFont="1" applyFill="1"/>
    <xf numFmtId="0" fontId="25" fillId="12" borderId="0" xfId="8" applyFont="1" applyFill="1"/>
    <xf numFmtId="0" fontId="25" fillId="13" borderId="0" xfId="8" applyFont="1" applyFill="1"/>
  </cellXfs>
  <cellStyles count="9">
    <cellStyle name="M Section Header" xfId="3" xr:uid="{F944F0E6-F034-49F8-8B3F-D0C9E50BA2F6}"/>
    <cellStyle name="M Units" xfId="6" xr:uid="{B591442F-CADB-4FD5-9324-DD1119747805}"/>
    <cellStyle name="M-A 0dp" xfId="5" xr:uid="{80AB76FC-3C43-4EFF-B2A6-1E81FFBC781B}"/>
    <cellStyle name="M-C 0dp Num" xfId="4" xr:uid="{C7EF620F-9501-4FBB-93FF-813E47ED464B}"/>
    <cellStyle name="Normal" xfId="0" builtinId="0"/>
    <cellStyle name="Normal 2" xfId="2" xr:uid="{037B3D13-DA10-4240-9E6B-55FD128391C9}"/>
    <cellStyle name="Normal 3" xfId="1" xr:uid="{1C87C372-71EA-4FEE-904D-475CC6E05479}"/>
    <cellStyle name="Normal 4" xfId="8" xr:uid="{226A05B4-A8DA-4C3A-99C0-C344B943FBD9}"/>
    <cellStyle name="Percent" xfId="7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585-2C4B-4272-9AD0-C24F524B71E1}">
  <sheetPr>
    <tabColor theme="8" tint="-0.249977111117893"/>
  </sheetPr>
  <dimension ref="A1:K38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2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3" customWidth="1"/>
    <col min="11" max="11" width="27.77734375" style="3" customWidth="1"/>
    <col min="12" max="12" width="20.5546875" style="3" customWidth="1"/>
    <col min="13" max="376" width="11.109375" style="3" bestFit="1" customWidth="1"/>
    <col min="377" max="377" width="5.21875" style="3"/>
    <col min="378" max="383" width="9.6640625" style="3" customWidth="1"/>
    <col min="384" max="384" width="5.21875" style="3"/>
    <col min="385" max="393" width="9.6640625" style="3" customWidth="1"/>
    <col min="394" max="16384" width="5.21875" style="3"/>
  </cols>
  <sheetData>
    <row r="1" spans="2:11" ht="15" customHeight="1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60.75" customHeight="1">
      <c r="B2" s="27" t="s">
        <v>6</v>
      </c>
      <c r="C2" s="28"/>
      <c r="D2" s="28"/>
      <c r="E2" s="28"/>
      <c r="F2" s="28"/>
      <c r="G2" s="28"/>
      <c r="H2" s="28"/>
      <c r="I2" s="28"/>
      <c r="J2" s="28"/>
      <c r="K2" s="29"/>
    </row>
    <row r="3" spans="2:11" ht="15" customHeight="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33.75" customHeight="1">
      <c r="B4" s="30" t="s">
        <v>91</v>
      </c>
      <c r="C4" s="31"/>
      <c r="D4" s="31"/>
      <c r="E4" s="31"/>
      <c r="F4" s="31"/>
      <c r="G4" s="31"/>
      <c r="H4" s="31"/>
      <c r="I4" s="31"/>
      <c r="J4" s="2"/>
    </row>
    <row r="5" spans="2:11" ht="15" customHeight="1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ht="15.6">
      <c r="B6" s="12" t="s">
        <v>2</v>
      </c>
    </row>
    <row r="7" spans="2:11" ht="15.6">
      <c r="B7" s="11" t="s">
        <v>5</v>
      </c>
    </row>
    <row r="8" spans="2:11" ht="15.6">
      <c r="B8" s="11" t="s">
        <v>7</v>
      </c>
    </row>
    <row r="9" spans="2:11" ht="15.6">
      <c r="B9" s="11" t="s">
        <v>94</v>
      </c>
    </row>
    <row r="10" spans="2:11" ht="15.6">
      <c r="B10" s="11" t="s">
        <v>110</v>
      </c>
    </row>
    <row r="11" spans="2:11" ht="15.6">
      <c r="B11" s="11" t="s">
        <v>8</v>
      </c>
    </row>
    <row r="12" spans="2:11" ht="15.6">
      <c r="B12" s="6"/>
    </row>
    <row r="13" spans="2:11" ht="15.6">
      <c r="B13" s="6"/>
    </row>
    <row r="14" spans="2:11" ht="15.6">
      <c r="B14" s="6"/>
    </row>
    <row r="15" spans="2:11" ht="15.6">
      <c r="B15" s="6"/>
    </row>
    <row r="16" spans="2:11" ht="15.6">
      <c r="B16" s="6"/>
    </row>
    <row r="17" spans="2:2" ht="15.6">
      <c r="B17" s="6"/>
    </row>
    <row r="18" spans="2:2" ht="15.6">
      <c r="B18" s="6"/>
    </row>
    <row r="19" spans="2:2" ht="15.6">
      <c r="B19" s="6"/>
    </row>
    <row r="20" spans="2:2" ht="15.6">
      <c r="B20" s="6"/>
    </row>
    <row r="21" spans="2:2" ht="15.6">
      <c r="B21" s="6"/>
    </row>
    <row r="22" spans="2:2" ht="15.6">
      <c r="B22" s="6"/>
    </row>
    <row r="23" spans="2:2" ht="15.6">
      <c r="B23" s="6"/>
    </row>
    <row r="24" spans="2:2" ht="15.6">
      <c r="B24" s="6"/>
    </row>
    <row r="25" spans="2:2" ht="15.6">
      <c r="B25" s="6"/>
    </row>
    <row r="26" spans="2:2" ht="15.6">
      <c r="B26" s="6"/>
    </row>
    <row r="27" spans="2:2" ht="15.6">
      <c r="B27" s="6"/>
    </row>
    <row r="28" spans="2:2" ht="15.6">
      <c r="B28" s="6"/>
    </row>
    <row r="29" spans="2:2" ht="15.6">
      <c r="B29" s="6"/>
    </row>
    <row r="30" spans="2:2" ht="15.6">
      <c r="B30" s="6"/>
    </row>
    <row r="31" spans="2:2" ht="15.6">
      <c r="B31" s="6"/>
    </row>
    <row r="32" spans="2:2" ht="15.6">
      <c r="B32" s="6"/>
    </row>
    <row r="33" spans="2:2" ht="15.6">
      <c r="B33" s="6"/>
    </row>
    <row r="34" spans="2:2" ht="15.6">
      <c r="B34" s="6"/>
    </row>
    <row r="35" spans="2:2" ht="15.6">
      <c r="B35" s="6"/>
    </row>
    <row r="36" spans="2:2" ht="15.6">
      <c r="B36" s="6"/>
    </row>
    <row r="37" spans="2:2" ht="15.6">
      <c r="B37" s="6"/>
    </row>
    <row r="38" spans="2:2" ht="15.6">
      <c r="B38" s="6"/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D086-1D1C-427F-9BD8-32B1F5FBFBE7}">
  <sheetPr>
    <tabColor theme="8" tint="0.39997558519241921"/>
  </sheetPr>
  <dimension ref="A1:F27"/>
  <sheetViews>
    <sheetView showGridLines="0" zoomScaleNormal="100" workbookViewId="0">
      <selection sqref="A1:F1"/>
    </sheetView>
  </sheetViews>
  <sheetFormatPr defaultColWidth="8.6640625" defaultRowHeight="14.4"/>
  <cols>
    <col min="1" max="1" width="34" style="14" customWidth="1"/>
    <col min="2" max="5" width="13" style="14" customWidth="1"/>
    <col min="6" max="6" width="14" style="14" customWidth="1"/>
    <col min="7" max="16384" width="8.6640625" style="14"/>
  </cols>
  <sheetData>
    <row r="1" spans="1:6" ht="19.2">
      <c r="A1" s="32" t="s">
        <v>9</v>
      </c>
      <c r="B1" s="32"/>
      <c r="C1" s="32"/>
      <c r="D1" s="32"/>
      <c r="E1" s="32"/>
      <c r="F1" s="32"/>
    </row>
    <row r="2" spans="1:6">
      <c r="A2" s="33" t="s">
        <v>10</v>
      </c>
      <c r="B2" s="33"/>
      <c r="C2" s="33"/>
      <c r="D2" s="33"/>
      <c r="E2" s="33"/>
      <c r="F2" s="33"/>
    </row>
    <row r="3" spans="1:6" ht="6" customHeight="1"/>
    <row r="4" spans="1:6">
      <c r="A4" s="15"/>
      <c r="B4" s="16" t="s">
        <v>11</v>
      </c>
      <c r="C4" s="16" t="s">
        <v>12</v>
      </c>
      <c r="D4" s="16" t="s">
        <v>13</v>
      </c>
      <c r="E4" s="16" t="s">
        <v>14</v>
      </c>
      <c r="F4" s="17" t="s">
        <v>15</v>
      </c>
    </row>
    <row r="5" spans="1:6">
      <c r="A5" s="18" t="s">
        <v>16</v>
      </c>
      <c r="B5" s="19">
        <v>284.2</v>
      </c>
      <c r="C5" s="19">
        <v>198.4</v>
      </c>
      <c r="D5" s="19">
        <v>142.80000000000001</v>
      </c>
      <c r="E5" s="19">
        <v>0</v>
      </c>
      <c r="F5" s="20">
        <f>SUM(B5:E5)</f>
        <v>625.40000000000009</v>
      </c>
    </row>
    <row r="6" spans="1:6">
      <c r="A6" s="18" t="s">
        <v>17</v>
      </c>
      <c r="B6" s="19">
        <v>2.4</v>
      </c>
      <c r="C6" s="19">
        <v>1.8</v>
      </c>
      <c r="D6" s="19">
        <v>0.8</v>
      </c>
      <c r="E6" s="19">
        <v>4.2</v>
      </c>
      <c r="F6" s="20">
        <f>SUM(B6:E6)</f>
        <v>9.1999999999999993</v>
      </c>
    </row>
    <row r="7" spans="1:6">
      <c r="A7" s="21" t="s">
        <v>18</v>
      </c>
      <c r="B7" s="22">
        <f>SUM(B5:B6)</f>
        <v>286.59999999999997</v>
      </c>
      <c r="C7" s="22">
        <f>SUM(C5:C6)</f>
        <v>200.20000000000002</v>
      </c>
      <c r="D7" s="22">
        <f>SUM(D5:D6)</f>
        <v>143.60000000000002</v>
      </c>
      <c r="E7" s="22">
        <f>SUM(E5:E6)</f>
        <v>4.2</v>
      </c>
      <c r="F7" s="22">
        <f>SUM(B7:E7)</f>
        <v>634.6</v>
      </c>
    </row>
    <row r="8" spans="1:6" ht="3.75" customHeight="1"/>
    <row r="9" spans="1:6">
      <c r="A9" s="34" t="s">
        <v>19</v>
      </c>
      <c r="B9" s="34"/>
      <c r="C9" s="34"/>
      <c r="D9" s="34"/>
      <c r="E9" s="34"/>
      <c r="F9" s="34"/>
    </row>
    <row r="10" spans="1:6">
      <c r="A10" s="18" t="s">
        <v>20</v>
      </c>
      <c r="B10" s="19">
        <v>-84.2</v>
      </c>
      <c r="C10" s="19">
        <v>-62.4</v>
      </c>
      <c r="D10" s="19">
        <v>-18.399999999999999</v>
      </c>
      <c r="E10" s="19">
        <v>0</v>
      </c>
      <c r="F10" s="20">
        <f t="shared" ref="F10:F16" si="0">SUM(B10:E10)</f>
        <v>-165</v>
      </c>
    </row>
    <row r="11" spans="1:6">
      <c r="A11" s="18" t="s">
        <v>21</v>
      </c>
      <c r="B11" s="19">
        <v>-48.4</v>
      </c>
      <c r="C11" s="19">
        <v>-38.200000000000003</v>
      </c>
      <c r="D11" s="19">
        <v>-28.4</v>
      </c>
      <c r="E11" s="19">
        <v>-12.8</v>
      </c>
      <c r="F11" s="20">
        <f t="shared" si="0"/>
        <v>-127.8</v>
      </c>
    </row>
    <row r="12" spans="1:6">
      <c r="A12" s="18" t="s">
        <v>22</v>
      </c>
      <c r="B12" s="19">
        <v>-24.8</v>
      </c>
      <c r="C12" s="19">
        <v>-18.399999999999999</v>
      </c>
      <c r="D12" s="19">
        <v>-8.1999999999999993</v>
      </c>
      <c r="E12" s="19">
        <v>-4.2</v>
      </c>
      <c r="F12" s="20">
        <f t="shared" si="0"/>
        <v>-55.600000000000009</v>
      </c>
    </row>
    <row r="13" spans="1:6">
      <c r="A13" s="18" t="s">
        <v>23</v>
      </c>
      <c r="B13" s="19">
        <v>-8.4</v>
      </c>
      <c r="C13" s="19">
        <v>-2.8</v>
      </c>
      <c r="D13" s="19">
        <v>0</v>
      </c>
      <c r="E13" s="19">
        <v>0</v>
      </c>
      <c r="F13" s="20">
        <f t="shared" si="0"/>
        <v>-11.2</v>
      </c>
    </row>
    <row r="14" spans="1:6">
      <c r="A14" s="18" t="s">
        <v>24</v>
      </c>
      <c r="B14" s="19">
        <v>-6.4</v>
      </c>
      <c r="C14" s="19">
        <v>-4.8</v>
      </c>
      <c r="D14" s="19">
        <v>-3.2</v>
      </c>
      <c r="E14" s="19">
        <v>0</v>
      </c>
      <c r="F14" s="20">
        <f t="shared" si="0"/>
        <v>-14.399999999999999</v>
      </c>
    </row>
    <row r="15" spans="1:6">
      <c r="A15" s="18" t="s">
        <v>25</v>
      </c>
      <c r="B15" s="19">
        <v>-18.399999999999999</v>
      </c>
      <c r="C15" s="19">
        <v>-12.4</v>
      </c>
      <c r="D15" s="19">
        <v>-8.8000000000000007</v>
      </c>
      <c r="E15" s="19">
        <v>-18.399999999999999</v>
      </c>
      <c r="F15" s="20">
        <f t="shared" si="0"/>
        <v>-57.999999999999993</v>
      </c>
    </row>
    <row r="16" spans="1:6">
      <c r="A16" s="21" t="s">
        <v>26</v>
      </c>
      <c r="B16" s="22">
        <f>SUM(B10:B15)</f>
        <v>-190.60000000000002</v>
      </c>
      <c r="C16" s="22">
        <f>SUM(C10:C15)</f>
        <v>-139</v>
      </c>
      <c r="D16" s="22">
        <f>SUM(D10:D15)</f>
        <v>-67</v>
      </c>
      <c r="E16" s="22">
        <f>SUM(E10:E15)</f>
        <v>-35.4</v>
      </c>
      <c r="F16" s="22">
        <f t="shared" si="0"/>
        <v>-432</v>
      </c>
    </row>
    <row r="17" spans="1:6" ht="3.75" customHeight="1"/>
    <row r="18" spans="1:6">
      <c r="A18" s="21" t="s">
        <v>27</v>
      </c>
      <c r="B18" s="22">
        <f>B7+B16</f>
        <v>95.999999999999943</v>
      </c>
      <c r="C18" s="22">
        <f>C7+C16</f>
        <v>61.200000000000017</v>
      </c>
      <c r="D18" s="22">
        <f>D7+D16</f>
        <v>76.600000000000023</v>
      </c>
      <c r="E18" s="22">
        <f>E7+E16</f>
        <v>-31.2</v>
      </c>
      <c r="F18" s="22">
        <f>SUM(B18:E18)</f>
        <v>202.6</v>
      </c>
    </row>
    <row r="19" spans="1:6" ht="3.75" customHeight="1"/>
    <row r="20" spans="1:6">
      <c r="A20" s="34" t="s">
        <v>28</v>
      </c>
      <c r="B20" s="34"/>
      <c r="C20" s="34"/>
      <c r="D20" s="34"/>
      <c r="E20" s="34"/>
      <c r="F20" s="34"/>
    </row>
    <row r="21" spans="1:6">
      <c r="A21" s="18" t="s">
        <v>29</v>
      </c>
      <c r="B21" s="19">
        <v>0</v>
      </c>
      <c r="C21" s="19">
        <v>0</v>
      </c>
      <c r="D21" s="19">
        <v>0</v>
      </c>
      <c r="E21" s="19">
        <v>1.8</v>
      </c>
      <c r="F21" s="20">
        <f>SUM(B21:E21)</f>
        <v>1.8</v>
      </c>
    </row>
    <row r="22" spans="1:6">
      <c r="A22" s="18" t="s">
        <v>30</v>
      </c>
      <c r="B22" s="19">
        <v>0</v>
      </c>
      <c r="C22" s="19">
        <v>0</v>
      </c>
      <c r="D22" s="19">
        <v>0</v>
      </c>
      <c r="E22" s="19">
        <v>-8.4</v>
      </c>
      <c r="F22" s="20">
        <f>SUM(B22:E22)</f>
        <v>-8.4</v>
      </c>
    </row>
    <row r="23" spans="1:6">
      <c r="A23" s="21" t="s">
        <v>31</v>
      </c>
      <c r="B23" s="22">
        <f>SUM(B21:B22)</f>
        <v>0</v>
      </c>
      <c r="C23" s="22">
        <f>SUM(C21:C22)</f>
        <v>0</v>
      </c>
      <c r="D23" s="22">
        <f>SUM(D21:D22)</f>
        <v>0</v>
      </c>
      <c r="E23" s="22">
        <f>SUM(E21:E22)</f>
        <v>-6.6000000000000005</v>
      </c>
      <c r="F23" s="22">
        <f>SUM(B23:E23)</f>
        <v>-6.6000000000000005</v>
      </c>
    </row>
    <row r="24" spans="1:6" ht="3.75" customHeight="1"/>
    <row r="25" spans="1:6">
      <c r="A25" s="21" t="s">
        <v>32</v>
      </c>
      <c r="B25" s="22">
        <f>B18+B23</f>
        <v>95.999999999999943</v>
      </c>
      <c r="C25" s="22">
        <f>C18+C23</f>
        <v>61.200000000000017</v>
      </c>
      <c r="D25" s="22">
        <f>D18+D23</f>
        <v>76.600000000000023</v>
      </c>
      <c r="E25" s="22">
        <f>E18+E23</f>
        <v>-37.799999999999997</v>
      </c>
      <c r="F25" s="22">
        <f>SUM(B25:E25)</f>
        <v>196</v>
      </c>
    </row>
    <row r="26" spans="1:6">
      <c r="A26" s="18" t="s">
        <v>33</v>
      </c>
      <c r="B26" s="23">
        <f>ROUND(B25*-0.3,1)</f>
        <v>-28.8</v>
      </c>
      <c r="C26" s="23">
        <f>ROUND(C25*-0.3,1)</f>
        <v>-18.399999999999999</v>
      </c>
      <c r="D26" s="23">
        <f>ROUND(D25*-0.3,1)</f>
        <v>-23</v>
      </c>
      <c r="E26" s="23">
        <f>ROUND(E25*-0.3,1)</f>
        <v>11.3</v>
      </c>
      <c r="F26" s="20">
        <f>SUM(B26:E26)</f>
        <v>-58.900000000000006</v>
      </c>
    </row>
    <row r="27" spans="1:6">
      <c r="A27" s="21" t="s">
        <v>34</v>
      </c>
      <c r="B27" s="22">
        <f>B25+B26</f>
        <v>67.199999999999946</v>
      </c>
      <c r="C27" s="22">
        <f>C25+C26</f>
        <v>42.800000000000018</v>
      </c>
      <c r="D27" s="22">
        <f>D25+D26</f>
        <v>53.600000000000023</v>
      </c>
      <c r="E27" s="22">
        <f>E25+E26</f>
        <v>-26.499999999999996</v>
      </c>
      <c r="F27" s="22">
        <f>SUM(B27:E27)</f>
        <v>137.1</v>
      </c>
    </row>
  </sheetData>
  <mergeCells count="4">
    <mergeCell ref="A1:F1"/>
    <mergeCell ref="A2:F2"/>
    <mergeCell ref="A9:F9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67204-6750-448A-BD15-8EA373497B71}">
  <sheetPr>
    <tabColor theme="8" tint="0.39997558519241921"/>
  </sheetPr>
  <dimension ref="A1:F44"/>
  <sheetViews>
    <sheetView showGridLines="0" zoomScaleNormal="100" workbookViewId="0">
      <selection sqref="A1:F1"/>
    </sheetView>
  </sheetViews>
  <sheetFormatPr defaultColWidth="8.6640625" defaultRowHeight="14.4"/>
  <cols>
    <col min="1" max="1" width="38" style="14" customWidth="1"/>
    <col min="2" max="3" width="16" style="14" customWidth="1"/>
    <col min="4" max="16384" width="8.6640625" style="14"/>
  </cols>
  <sheetData>
    <row r="1" spans="1:6" ht="19.2">
      <c r="A1" s="32" t="s">
        <v>9</v>
      </c>
      <c r="B1" s="32"/>
      <c r="C1" s="32"/>
    </row>
    <row r="2" spans="1:6">
      <c r="A2" s="35" t="s">
        <v>35</v>
      </c>
      <c r="B2" s="35"/>
      <c r="C2" s="35"/>
    </row>
    <row r="3" spans="1:6" ht="6" customHeight="1"/>
    <row r="4" spans="1:6">
      <c r="A4" s="16"/>
      <c r="B4" s="16" t="s">
        <v>36</v>
      </c>
      <c r="C4" s="16" t="s">
        <v>37</v>
      </c>
    </row>
    <row r="5" spans="1:6">
      <c r="A5" s="34" t="s">
        <v>38</v>
      </c>
      <c r="B5" s="34"/>
      <c r="C5" s="34"/>
      <c r="D5" s="34"/>
      <c r="E5" s="34"/>
      <c r="F5" s="34"/>
    </row>
    <row r="6" spans="1:6">
      <c r="A6" s="18" t="s">
        <v>39</v>
      </c>
      <c r="B6" s="19">
        <v>42.8</v>
      </c>
      <c r="C6" s="19">
        <v>38.4</v>
      </c>
    </row>
    <row r="7" spans="1:6">
      <c r="A7" s="18" t="s">
        <v>40</v>
      </c>
      <c r="B7" s="19">
        <v>68.400000000000006</v>
      </c>
      <c r="C7" s="19">
        <v>58.2</v>
      </c>
    </row>
    <row r="8" spans="1:6">
      <c r="A8" s="18" t="s">
        <v>41</v>
      </c>
      <c r="B8" s="19">
        <v>48.2</v>
      </c>
      <c r="C8" s="19">
        <v>42.8</v>
      </c>
    </row>
    <row r="9" spans="1:6">
      <c r="A9" s="18" t="s">
        <v>42</v>
      </c>
      <c r="B9" s="19">
        <v>8.4</v>
      </c>
      <c r="C9" s="19">
        <v>7.2</v>
      </c>
    </row>
    <row r="10" spans="1:6">
      <c r="A10" s="21" t="s">
        <v>43</v>
      </c>
      <c r="B10" s="22">
        <f>SUM(B6:B9)</f>
        <v>167.8</v>
      </c>
      <c r="C10" s="22">
        <f>SUM(C6:C9)</f>
        <v>146.59999999999997</v>
      </c>
    </row>
    <row r="12" spans="1:6">
      <c r="A12" s="34" t="s">
        <v>44</v>
      </c>
      <c r="B12" s="34"/>
      <c r="C12" s="34"/>
      <c r="D12" s="34"/>
      <c r="E12" s="34"/>
      <c r="F12" s="34"/>
    </row>
    <row r="13" spans="1:6">
      <c r="A13" s="18" t="s">
        <v>45</v>
      </c>
      <c r="B13" s="19">
        <v>428.4</v>
      </c>
      <c r="C13" s="19">
        <v>412.8</v>
      </c>
    </row>
    <row r="14" spans="1:6">
      <c r="A14" s="18" t="s">
        <v>46</v>
      </c>
      <c r="B14" s="19">
        <v>184.2</v>
      </c>
      <c r="C14" s="19">
        <v>184.2</v>
      </c>
    </row>
    <row r="15" spans="1:6">
      <c r="A15" s="18" t="s">
        <v>47</v>
      </c>
      <c r="B15" s="19">
        <v>42.8</v>
      </c>
      <c r="C15" s="19">
        <v>48.4</v>
      </c>
    </row>
    <row r="16" spans="1:6">
      <c r="A16" s="18" t="s">
        <v>48</v>
      </c>
      <c r="B16" s="19">
        <v>12.4</v>
      </c>
      <c r="C16" s="19">
        <v>10.8</v>
      </c>
    </row>
    <row r="17" spans="1:6">
      <c r="A17" s="21" t="s">
        <v>49</v>
      </c>
      <c r="B17" s="22">
        <f>SUM(B13:B16)</f>
        <v>667.79999999999984</v>
      </c>
      <c r="C17" s="22">
        <f>SUM(C13:C16)</f>
        <v>656.19999999999993</v>
      </c>
    </row>
    <row r="19" spans="1:6">
      <c r="A19" s="21" t="s">
        <v>50</v>
      </c>
      <c r="B19" s="22">
        <f>B10+B17</f>
        <v>835.59999999999991</v>
      </c>
      <c r="C19" s="22">
        <f>C10+C17</f>
        <v>802.8</v>
      </c>
    </row>
    <row r="22" spans="1:6">
      <c r="A22" s="34" t="s">
        <v>51</v>
      </c>
      <c r="B22" s="34"/>
      <c r="C22" s="34"/>
      <c r="D22" s="34"/>
      <c r="E22" s="34"/>
      <c r="F22" s="34"/>
    </row>
    <row r="23" spans="1:6">
      <c r="A23" s="18" t="s">
        <v>52</v>
      </c>
      <c r="B23" s="19">
        <v>48.4</v>
      </c>
      <c r="C23" s="19">
        <v>42.8</v>
      </c>
    </row>
    <row r="24" spans="1:6">
      <c r="A24" s="18" t="s">
        <v>53</v>
      </c>
      <c r="B24" s="19">
        <v>28</v>
      </c>
      <c r="C24" s="19">
        <v>28</v>
      </c>
    </row>
    <row r="25" spans="1:6">
      <c r="A25" s="18" t="s">
        <v>54</v>
      </c>
      <c r="B25" s="19">
        <v>12.4</v>
      </c>
      <c r="C25" s="19">
        <v>14.2</v>
      </c>
    </row>
    <row r="26" spans="1:6">
      <c r="A26" s="18" t="s">
        <v>55</v>
      </c>
      <c r="B26" s="19">
        <v>18.399999999999999</v>
      </c>
      <c r="C26" s="19">
        <v>14.8</v>
      </c>
    </row>
    <row r="27" spans="1:6">
      <c r="A27" s="21" t="s">
        <v>56</v>
      </c>
      <c r="B27" s="22">
        <f>SUM(B23:B26)</f>
        <v>107.20000000000002</v>
      </c>
      <c r="C27" s="22">
        <f>SUM(C23:C26)</f>
        <v>99.8</v>
      </c>
    </row>
    <row r="29" spans="1:6">
      <c r="A29" s="34" t="s">
        <v>57</v>
      </c>
      <c r="B29" s="34"/>
      <c r="C29" s="34"/>
      <c r="D29" s="34"/>
      <c r="E29" s="34"/>
      <c r="F29" s="34"/>
    </row>
    <row r="30" spans="1:6">
      <c r="A30" s="18" t="s">
        <v>58</v>
      </c>
      <c r="B30" s="19">
        <v>284</v>
      </c>
      <c r="C30" s="19">
        <v>312</v>
      </c>
    </row>
    <row r="31" spans="1:6">
      <c r="A31" s="18" t="s">
        <v>59</v>
      </c>
      <c r="B31" s="19">
        <v>32.4</v>
      </c>
      <c r="C31" s="19">
        <v>38.4</v>
      </c>
    </row>
    <row r="32" spans="1:6">
      <c r="A32" s="18" t="s">
        <v>60</v>
      </c>
      <c r="B32" s="19">
        <v>28.4</v>
      </c>
      <c r="C32" s="19">
        <v>20</v>
      </c>
    </row>
    <row r="33" spans="1:6">
      <c r="A33" s="18" t="s">
        <v>61</v>
      </c>
      <c r="B33" s="19">
        <v>48.4</v>
      </c>
      <c r="C33" s="19">
        <v>42.8</v>
      </c>
    </row>
    <row r="34" spans="1:6">
      <c r="A34" s="21" t="s">
        <v>62</v>
      </c>
      <c r="B34" s="22">
        <f>SUM(B30:B33)</f>
        <v>393.19999999999993</v>
      </c>
      <c r="C34" s="22">
        <f>SUM(C30:C33)</f>
        <v>413.2</v>
      </c>
    </row>
    <row r="36" spans="1:6">
      <c r="A36" s="34" t="s">
        <v>63</v>
      </c>
      <c r="B36" s="34"/>
      <c r="C36" s="34"/>
      <c r="D36" s="34"/>
      <c r="E36" s="34"/>
      <c r="F36" s="34"/>
    </row>
    <row r="37" spans="1:6">
      <c r="A37" s="18" t="s">
        <v>64</v>
      </c>
      <c r="B37" s="19">
        <v>284</v>
      </c>
      <c r="C37" s="19">
        <v>284</v>
      </c>
    </row>
    <row r="38" spans="1:6">
      <c r="A38" s="18" t="s">
        <v>65</v>
      </c>
      <c r="B38" s="19">
        <v>128.4</v>
      </c>
      <c r="C38" s="19">
        <v>108.2</v>
      </c>
    </row>
    <row r="39" spans="1:6">
      <c r="A39" s="18" t="s">
        <v>66</v>
      </c>
      <c r="B39" s="19">
        <v>-8.4</v>
      </c>
      <c r="C39" s="19">
        <v>-6.8</v>
      </c>
    </row>
    <row r="40" spans="1:6">
      <c r="A40" s="21" t="s">
        <v>67</v>
      </c>
      <c r="B40" s="22">
        <f>SUM(B37:B39)</f>
        <v>404</v>
      </c>
      <c r="C40" s="22">
        <f>SUM(C37:C39)</f>
        <v>385.4</v>
      </c>
    </row>
    <row r="42" spans="1:6">
      <c r="A42" s="21" t="s">
        <v>68</v>
      </c>
      <c r="B42" s="22">
        <f>B27+B34+B40</f>
        <v>904.4</v>
      </c>
      <c r="C42" s="22">
        <f>C27+C34+C40</f>
        <v>898.4</v>
      </c>
    </row>
    <row r="44" spans="1:6">
      <c r="A44" s="24" t="s">
        <v>69</v>
      </c>
      <c r="B44" s="23">
        <f>B19-B42</f>
        <v>-68.800000000000068</v>
      </c>
      <c r="C44" s="23">
        <f>C19-C42</f>
        <v>-95.600000000000023</v>
      </c>
    </row>
  </sheetData>
  <mergeCells count="7">
    <mergeCell ref="A36:F36"/>
    <mergeCell ref="A1:C1"/>
    <mergeCell ref="A2:C2"/>
    <mergeCell ref="A5:F5"/>
    <mergeCell ref="A12:F12"/>
    <mergeCell ref="A22:F22"/>
    <mergeCell ref="A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5211-766C-4AE2-92DF-E5AD837973DD}">
  <sheetPr>
    <tabColor theme="8" tint="0.39997558519241921"/>
  </sheetPr>
  <dimension ref="A1:J38"/>
  <sheetViews>
    <sheetView showGridLines="0" zoomScaleNormal="100" workbookViewId="0">
      <selection sqref="A1:J1"/>
    </sheetView>
  </sheetViews>
  <sheetFormatPr defaultColWidth="8.6640625" defaultRowHeight="14.4"/>
  <cols>
    <col min="1" max="1" width="32" style="14" customWidth="1"/>
    <col min="2" max="6" width="14" style="14" customWidth="1"/>
    <col min="7" max="16384" width="8.6640625" style="14"/>
  </cols>
  <sheetData>
    <row r="1" spans="1:10" ht="16.8">
      <c r="A1" s="37" t="s">
        <v>70</v>
      </c>
      <c r="B1" s="37"/>
      <c r="C1" s="37"/>
      <c r="D1" s="37"/>
      <c r="E1" s="37"/>
      <c r="F1" s="37"/>
      <c r="G1" s="37"/>
      <c r="H1" s="37"/>
      <c r="I1" s="37"/>
      <c r="J1" s="37"/>
    </row>
    <row r="2" spans="1:10">
      <c r="A2" s="38" t="s">
        <v>71</v>
      </c>
      <c r="B2" s="38"/>
      <c r="C2" s="38"/>
      <c r="D2" s="38"/>
      <c r="E2" s="38"/>
      <c r="F2" s="38"/>
      <c r="G2" s="38"/>
      <c r="H2" s="38"/>
      <c r="I2" s="38"/>
      <c r="J2" s="38"/>
    </row>
    <row r="3" spans="1:10" ht="7.5" customHeight="1"/>
    <row r="4" spans="1:10">
      <c r="A4" s="39" t="s">
        <v>72</v>
      </c>
      <c r="B4" s="39"/>
      <c r="C4" s="39"/>
      <c r="D4" s="39"/>
      <c r="E4" s="39"/>
      <c r="F4" s="39"/>
    </row>
    <row r="5" spans="1:10">
      <c r="A5" s="25" t="s">
        <v>73</v>
      </c>
      <c r="B5" s="25" t="s">
        <v>74</v>
      </c>
      <c r="C5" s="25" t="s">
        <v>75</v>
      </c>
      <c r="D5" s="25" t="s">
        <v>76</v>
      </c>
      <c r="E5" s="25" t="s">
        <v>77</v>
      </c>
      <c r="F5" s="25" t="s">
        <v>78</v>
      </c>
    </row>
    <row r="6" spans="1:10">
      <c r="A6" s="18" t="s">
        <v>79</v>
      </c>
      <c r="B6" s="19">
        <v>66</v>
      </c>
      <c r="C6" s="19">
        <v>70</v>
      </c>
      <c r="D6" s="19">
        <v>72</v>
      </c>
      <c r="E6" s="19">
        <v>76</v>
      </c>
      <c r="F6" s="20">
        <f t="shared" ref="F6:F11" si="0">SUM(B6:E6)</f>
        <v>284</v>
      </c>
    </row>
    <row r="7" spans="1:10">
      <c r="A7" s="18" t="s">
        <v>80</v>
      </c>
      <c r="B7" s="19">
        <v>-19</v>
      </c>
      <c r="C7" s="19">
        <v>-20</v>
      </c>
      <c r="D7" s="19">
        <v>-21</v>
      </c>
      <c r="E7" s="19">
        <v>-22</v>
      </c>
      <c r="F7" s="20">
        <f t="shared" si="0"/>
        <v>-82</v>
      </c>
    </row>
    <row r="8" spans="1:10">
      <c r="A8" s="18" t="s">
        <v>81</v>
      </c>
      <c r="B8" s="19">
        <v>-11</v>
      </c>
      <c r="C8" s="19">
        <v>-11.5</v>
      </c>
      <c r="D8" s="19">
        <v>-12</v>
      </c>
      <c r="E8" s="19">
        <v>-12.5</v>
      </c>
      <c r="F8" s="20">
        <f t="shared" si="0"/>
        <v>-47</v>
      </c>
    </row>
    <row r="9" spans="1:10">
      <c r="A9" s="18" t="s">
        <v>82</v>
      </c>
      <c r="B9" s="19">
        <v>-5.8</v>
      </c>
      <c r="C9" s="19">
        <v>-5.8</v>
      </c>
      <c r="D9" s="19">
        <v>-5.8</v>
      </c>
      <c r="E9" s="19">
        <v>-5.8</v>
      </c>
      <c r="F9" s="20">
        <f t="shared" si="0"/>
        <v>-23.2</v>
      </c>
    </row>
    <row r="10" spans="1:10">
      <c r="A10" s="18" t="s">
        <v>83</v>
      </c>
      <c r="B10" s="19">
        <v>-4</v>
      </c>
      <c r="C10" s="19">
        <v>-4.2</v>
      </c>
      <c r="D10" s="19">
        <v>-4.4000000000000004</v>
      </c>
      <c r="E10" s="19">
        <v>-4.5999999999999996</v>
      </c>
      <c r="F10" s="20">
        <f t="shared" si="0"/>
        <v>-17.2</v>
      </c>
    </row>
    <row r="11" spans="1:10">
      <c r="A11" s="21" t="s">
        <v>84</v>
      </c>
      <c r="B11" s="22">
        <f>B6+B7+B8+B9+B10</f>
        <v>26.2</v>
      </c>
      <c r="C11" s="22">
        <f>C6+C7+C8+C9+C10</f>
        <v>28.500000000000004</v>
      </c>
      <c r="D11" s="22">
        <f>D6+D7+D8+D9+D10</f>
        <v>28.800000000000004</v>
      </c>
      <c r="E11" s="22">
        <f>E6+E7+E8+E9+E10</f>
        <v>31.1</v>
      </c>
      <c r="F11" s="22">
        <f t="shared" si="0"/>
        <v>114.6</v>
      </c>
    </row>
    <row r="13" spans="1:10">
      <c r="A13" s="40" t="s">
        <v>85</v>
      </c>
      <c r="B13" s="40"/>
      <c r="C13" s="40"/>
      <c r="D13" s="40"/>
      <c r="E13" s="40"/>
      <c r="F13" s="40"/>
    </row>
    <row r="14" spans="1:10">
      <c r="A14" s="25" t="s">
        <v>73</v>
      </c>
      <c r="B14" s="25" t="s">
        <v>74</v>
      </c>
      <c r="C14" s="25" t="s">
        <v>75</v>
      </c>
      <c r="D14" s="25" t="s">
        <v>76</v>
      </c>
      <c r="E14" s="25" t="s">
        <v>77</v>
      </c>
      <c r="F14" s="25" t="s">
        <v>78</v>
      </c>
    </row>
    <row r="15" spans="1:10">
      <c r="A15" s="18" t="s">
        <v>79</v>
      </c>
      <c r="B15" s="19">
        <v>46</v>
      </c>
      <c r="C15" s="19">
        <v>48</v>
      </c>
      <c r="D15" s="19">
        <v>50</v>
      </c>
      <c r="E15" s="19">
        <v>54</v>
      </c>
      <c r="F15" s="20">
        <f t="shared" ref="F15:F20" si="1">SUM(B15:E15)</f>
        <v>198</v>
      </c>
    </row>
    <row r="16" spans="1:10">
      <c r="A16" s="18" t="s">
        <v>80</v>
      </c>
      <c r="B16" s="19">
        <v>-13.5</v>
      </c>
      <c r="C16" s="19">
        <v>-14</v>
      </c>
      <c r="D16" s="19">
        <v>-15</v>
      </c>
      <c r="E16" s="19">
        <v>-16</v>
      </c>
      <c r="F16" s="20">
        <f t="shared" si="1"/>
        <v>-58.5</v>
      </c>
    </row>
    <row r="17" spans="1:6">
      <c r="A17" s="18" t="s">
        <v>81</v>
      </c>
      <c r="B17" s="19">
        <v>-8.5</v>
      </c>
      <c r="C17" s="19">
        <v>-9</v>
      </c>
      <c r="D17" s="19">
        <v>-9.5</v>
      </c>
      <c r="E17" s="19">
        <v>-9.8000000000000007</v>
      </c>
      <c r="F17" s="20">
        <f t="shared" si="1"/>
        <v>-36.799999999999997</v>
      </c>
    </row>
    <row r="18" spans="1:6">
      <c r="A18" s="18" t="s">
        <v>82</v>
      </c>
      <c r="B18" s="19">
        <v>-4.2</v>
      </c>
      <c r="C18" s="19">
        <v>-4.2</v>
      </c>
      <c r="D18" s="19">
        <v>-4.2</v>
      </c>
      <c r="E18" s="19">
        <v>-4.2</v>
      </c>
      <c r="F18" s="20">
        <f t="shared" si="1"/>
        <v>-16.8</v>
      </c>
    </row>
    <row r="19" spans="1:6">
      <c r="A19" s="18" t="s">
        <v>83</v>
      </c>
      <c r="B19" s="19">
        <v>-2.8</v>
      </c>
      <c r="C19" s="19">
        <v>-3</v>
      </c>
      <c r="D19" s="19">
        <v>-3.2</v>
      </c>
      <c r="E19" s="19">
        <v>-3.4</v>
      </c>
      <c r="F19" s="20">
        <f t="shared" si="1"/>
        <v>-12.4</v>
      </c>
    </row>
    <row r="20" spans="1:6">
      <c r="A20" s="21" t="s">
        <v>86</v>
      </c>
      <c r="B20" s="22">
        <f>B15+B16+B17+B18+B19</f>
        <v>17</v>
      </c>
      <c r="C20" s="22">
        <f>C15+C16+C17+C18+C19</f>
        <v>17.8</v>
      </c>
      <c r="D20" s="22">
        <f>D15+D16+D17+D18+D19</f>
        <v>18.100000000000001</v>
      </c>
      <c r="E20" s="22">
        <f>E15+E16+E17+E18+E19</f>
        <v>20.6</v>
      </c>
      <c r="F20" s="22">
        <f t="shared" si="1"/>
        <v>73.5</v>
      </c>
    </row>
    <row r="22" spans="1:6">
      <c r="A22" s="41" t="s">
        <v>87</v>
      </c>
      <c r="B22" s="41"/>
      <c r="C22" s="41"/>
      <c r="D22" s="41"/>
      <c r="E22" s="41"/>
      <c r="F22" s="41"/>
    </row>
    <row r="23" spans="1:6">
      <c r="A23" s="25" t="s">
        <v>73</v>
      </c>
      <c r="B23" s="25" t="s">
        <v>74</v>
      </c>
      <c r="C23" s="25" t="s">
        <v>75</v>
      </c>
      <c r="D23" s="25" t="s">
        <v>76</v>
      </c>
      <c r="E23" s="25" t="s">
        <v>77</v>
      </c>
      <c r="F23" s="25" t="s">
        <v>78</v>
      </c>
    </row>
    <row r="24" spans="1:6">
      <c r="A24" s="18" t="s">
        <v>79</v>
      </c>
      <c r="B24" s="19">
        <v>32</v>
      </c>
      <c r="C24" s="19">
        <v>34</v>
      </c>
      <c r="D24" s="19">
        <v>36</v>
      </c>
      <c r="E24" s="19">
        <v>40</v>
      </c>
      <c r="F24" s="20">
        <f t="shared" ref="F24:F29" si="2">SUM(B24:E24)</f>
        <v>142</v>
      </c>
    </row>
    <row r="25" spans="1:6">
      <c r="A25" s="18" t="s">
        <v>80</v>
      </c>
      <c r="B25" s="19">
        <v>0</v>
      </c>
      <c r="C25" s="19">
        <v>0</v>
      </c>
      <c r="D25" s="19">
        <v>0</v>
      </c>
      <c r="E25" s="19">
        <v>0</v>
      </c>
      <c r="F25" s="20">
        <f t="shared" si="2"/>
        <v>0</v>
      </c>
    </row>
    <row r="26" spans="1:6">
      <c r="A26" s="18" t="s">
        <v>81</v>
      </c>
      <c r="B26" s="19">
        <v>-6.5</v>
      </c>
      <c r="C26" s="19">
        <v>-7</v>
      </c>
      <c r="D26" s="19">
        <v>-7.2</v>
      </c>
      <c r="E26" s="19">
        <v>-7.5</v>
      </c>
      <c r="F26" s="20">
        <f t="shared" si="2"/>
        <v>-28.2</v>
      </c>
    </row>
    <row r="27" spans="1:6">
      <c r="A27" s="18" t="s">
        <v>82</v>
      </c>
      <c r="B27" s="19">
        <v>-1.8</v>
      </c>
      <c r="C27" s="19">
        <v>-1.8</v>
      </c>
      <c r="D27" s="19">
        <v>-1.8</v>
      </c>
      <c r="E27" s="19">
        <v>-1.8</v>
      </c>
      <c r="F27" s="20">
        <f t="shared" si="2"/>
        <v>-7.2</v>
      </c>
    </row>
    <row r="28" spans="1:6">
      <c r="A28" s="18" t="s">
        <v>83</v>
      </c>
      <c r="B28" s="19">
        <v>-2</v>
      </c>
      <c r="C28" s="19">
        <v>-2.2000000000000002</v>
      </c>
      <c r="D28" s="19">
        <v>-2.4</v>
      </c>
      <c r="E28" s="19">
        <v>-2.6</v>
      </c>
      <c r="F28" s="20">
        <f t="shared" si="2"/>
        <v>-9.1999999999999993</v>
      </c>
    </row>
    <row r="29" spans="1:6">
      <c r="A29" s="21" t="s">
        <v>88</v>
      </c>
      <c r="B29" s="22">
        <f>B24+B25+B26+B27+B28</f>
        <v>21.7</v>
      </c>
      <c r="C29" s="22">
        <f>C24+C25+C26+C27+C28</f>
        <v>23</v>
      </c>
      <c r="D29" s="22">
        <f>D24+D25+D26+D27+D28</f>
        <v>24.6</v>
      </c>
      <c r="E29" s="22">
        <f>E24+E25+E26+E27+E28</f>
        <v>28.099999999999998</v>
      </c>
      <c r="F29" s="22">
        <f t="shared" si="2"/>
        <v>97.4</v>
      </c>
    </row>
    <row r="31" spans="1:6">
      <c r="A31" s="36" t="s">
        <v>89</v>
      </c>
      <c r="B31" s="36"/>
      <c r="C31" s="36"/>
      <c r="D31" s="36"/>
      <c r="E31" s="36"/>
      <c r="F31" s="36"/>
    </row>
    <row r="32" spans="1:6">
      <c r="A32" s="25" t="s">
        <v>73</v>
      </c>
      <c r="B32" s="25" t="s">
        <v>74</v>
      </c>
      <c r="C32" s="25" t="s">
        <v>75</v>
      </c>
      <c r="D32" s="25" t="s">
        <v>76</v>
      </c>
      <c r="E32" s="25" t="s">
        <v>77</v>
      </c>
      <c r="F32" s="25" t="s">
        <v>78</v>
      </c>
    </row>
    <row r="33" spans="1:6">
      <c r="A33" s="18" t="s">
        <v>79</v>
      </c>
      <c r="B33" s="19">
        <v>0.8</v>
      </c>
      <c r="C33" s="19">
        <v>0.8</v>
      </c>
      <c r="D33" s="19">
        <v>0.8</v>
      </c>
      <c r="E33" s="19">
        <v>1</v>
      </c>
      <c r="F33" s="20">
        <f t="shared" ref="F33:F38" si="3">SUM(B33:E33)</f>
        <v>3.4000000000000004</v>
      </c>
    </row>
    <row r="34" spans="1:6">
      <c r="A34" s="18" t="s">
        <v>80</v>
      </c>
      <c r="B34" s="19">
        <v>0</v>
      </c>
      <c r="C34" s="19">
        <v>0</v>
      </c>
      <c r="D34" s="19">
        <v>0</v>
      </c>
      <c r="E34" s="19">
        <v>0</v>
      </c>
      <c r="F34" s="20">
        <f t="shared" si="3"/>
        <v>0</v>
      </c>
    </row>
    <row r="35" spans="1:6">
      <c r="A35" s="18" t="s">
        <v>81</v>
      </c>
      <c r="B35" s="19">
        <v>-2.8</v>
      </c>
      <c r="C35" s="19">
        <v>-3</v>
      </c>
      <c r="D35" s="19">
        <v>-3</v>
      </c>
      <c r="E35" s="19">
        <v>-3.2</v>
      </c>
      <c r="F35" s="20">
        <f t="shared" si="3"/>
        <v>-12</v>
      </c>
    </row>
    <row r="36" spans="1:6">
      <c r="A36" s="18" t="s">
        <v>82</v>
      </c>
      <c r="B36" s="19">
        <v>-0.8</v>
      </c>
      <c r="C36" s="19">
        <v>-0.8</v>
      </c>
      <c r="D36" s="19">
        <v>-1</v>
      </c>
      <c r="E36" s="19">
        <v>-1</v>
      </c>
      <c r="F36" s="20">
        <f t="shared" si="3"/>
        <v>-3.6</v>
      </c>
    </row>
    <row r="37" spans="1:6">
      <c r="A37" s="18" t="s">
        <v>83</v>
      </c>
      <c r="B37" s="19">
        <v>-4</v>
      </c>
      <c r="C37" s="19">
        <v>-4.2</v>
      </c>
      <c r="D37" s="19">
        <v>-4.4000000000000004</v>
      </c>
      <c r="E37" s="19">
        <v>-4.5999999999999996</v>
      </c>
      <c r="F37" s="20">
        <f t="shared" si="3"/>
        <v>-17.2</v>
      </c>
    </row>
    <row r="38" spans="1:6">
      <c r="A38" s="21" t="s">
        <v>90</v>
      </c>
      <c r="B38" s="22">
        <f>B33+B34+B35+B36+B37</f>
        <v>-6.8</v>
      </c>
      <c r="C38" s="22">
        <f>C33+C34+C35+C36+C37</f>
        <v>-7.2</v>
      </c>
      <c r="D38" s="22">
        <f>D33+D34+D35+D36+D37</f>
        <v>-7.6000000000000005</v>
      </c>
      <c r="E38" s="22">
        <f>E33+E34+E35+E36+E37</f>
        <v>-7.8</v>
      </c>
      <c r="F38" s="22">
        <f t="shared" si="3"/>
        <v>-29.400000000000002</v>
      </c>
    </row>
  </sheetData>
  <mergeCells count="6">
    <mergeCell ref="A31:F31"/>
    <mergeCell ref="A1:J1"/>
    <mergeCell ref="A2:J2"/>
    <mergeCell ref="A4:F4"/>
    <mergeCell ref="A13:F13"/>
    <mergeCell ref="A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5180-73C3-404B-AFCC-AC8D4B9E2E97}">
  <sheetPr>
    <tabColor theme="8" tint="0.79998168889431442"/>
  </sheetPr>
  <dimension ref="A1:E16"/>
  <sheetViews>
    <sheetView zoomScale="77" workbookViewId="0"/>
  </sheetViews>
  <sheetFormatPr defaultRowHeight="15.6"/>
  <cols>
    <col min="1" max="1" width="111.6640625" style="8" bestFit="1" customWidth="1"/>
    <col min="2" max="2" width="16.33203125" style="13" customWidth="1"/>
    <col min="3" max="16384" width="8.88671875" style="8"/>
  </cols>
  <sheetData>
    <row r="1" spans="1:5">
      <c r="A1" s="7" t="s">
        <v>93</v>
      </c>
      <c r="B1" s="7" t="s">
        <v>0</v>
      </c>
      <c r="C1" s="7" t="s">
        <v>1</v>
      </c>
    </row>
    <row r="2" spans="1:5">
      <c r="A2" s="9" t="s">
        <v>95</v>
      </c>
      <c r="B2" s="10"/>
      <c r="C2" s="1" t="s">
        <v>92</v>
      </c>
    </row>
    <row r="3" spans="1:5">
      <c r="A3" s="9" t="s">
        <v>96</v>
      </c>
      <c r="B3" s="10"/>
      <c r="C3" s="1" t="s">
        <v>92</v>
      </c>
    </row>
    <row r="4" spans="1:5">
      <c r="A4" s="9" t="s">
        <v>97</v>
      </c>
      <c r="B4" s="10"/>
      <c r="C4" s="1" t="s">
        <v>92</v>
      </c>
    </row>
    <row r="5" spans="1:5">
      <c r="A5" s="9" t="s">
        <v>98</v>
      </c>
      <c r="B5" s="10"/>
      <c r="C5" s="1" t="s">
        <v>92</v>
      </c>
    </row>
    <row r="6" spans="1:5">
      <c r="A6" s="9" t="s">
        <v>99</v>
      </c>
      <c r="B6" s="10"/>
      <c r="C6" s="1" t="s">
        <v>92</v>
      </c>
    </row>
    <row r="7" spans="1:5">
      <c r="A7" s="9" t="s">
        <v>100</v>
      </c>
      <c r="B7" s="10"/>
      <c r="C7" s="1" t="s">
        <v>92</v>
      </c>
    </row>
    <row r="8" spans="1:5">
      <c r="A8" s="9" t="s">
        <v>101</v>
      </c>
      <c r="B8" s="10"/>
      <c r="C8" s="1" t="s">
        <v>92</v>
      </c>
    </row>
    <row r="9" spans="1:5">
      <c r="A9" s="9" t="s">
        <v>102</v>
      </c>
      <c r="B9" s="26"/>
      <c r="C9" s="1" t="s">
        <v>3</v>
      </c>
    </row>
    <row r="10" spans="1:5">
      <c r="A10" s="9" t="s">
        <v>103</v>
      </c>
      <c r="B10" s="26"/>
      <c r="C10" s="1" t="s">
        <v>3</v>
      </c>
    </row>
    <row r="11" spans="1:5">
      <c r="A11" s="9" t="s">
        <v>104</v>
      </c>
      <c r="B11" s="26"/>
      <c r="C11" s="1" t="s">
        <v>3</v>
      </c>
    </row>
    <row r="12" spans="1:5">
      <c r="A12" s="9" t="s">
        <v>105</v>
      </c>
      <c r="B12" s="26"/>
      <c r="C12" s="1" t="s">
        <v>3</v>
      </c>
    </row>
    <row r="13" spans="1:5">
      <c r="A13" s="9" t="s">
        <v>106</v>
      </c>
      <c r="B13" s="26"/>
      <c r="C13" s="1" t="s">
        <v>3</v>
      </c>
      <c r="D13" s="8" t="s">
        <v>4</v>
      </c>
    </row>
    <row r="14" spans="1:5">
      <c r="A14" s="9" t="s">
        <v>107</v>
      </c>
      <c r="B14" s="26"/>
      <c r="C14" s="1" t="s">
        <v>3</v>
      </c>
    </row>
    <row r="15" spans="1:5">
      <c r="A15" s="9" t="s">
        <v>108</v>
      </c>
      <c r="B15" s="26"/>
      <c r="C15" s="1" t="s">
        <v>3</v>
      </c>
      <c r="E15" s="8" t="s">
        <v>4</v>
      </c>
    </row>
    <row r="16" spans="1:5">
      <c r="A16" s="9" t="s">
        <v>109</v>
      </c>
      <c r="B16" s="26"/>
      <c r="C16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Income Statement</vt:lpstr>
      <vt:lpstr>Balance Sheet</vt:lpstr>
      <vt:lpstr>FY2024 Budget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2026-04-11T22:00:26Z</dcterms:modified>
</cp:coreProperties>
</file>