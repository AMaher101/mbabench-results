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Non-Financial or Non-FP&amp;A Model\FlightPlan\"/>
    </mc:Choice>
  </mc:AlternateContent>
  <xr:revisionPtr revIDLastSave="0" documentId="13_ncr:1_{959F4731-C11B-446D-8E44-2DF3571653D2}" xr6:coauthVersionLast="47" xr6:coauthVersionMax="47" xr10:uidLastSave="{00000000-0000-0000-0000-000000000000}"/>
  <bookViews>
    <workbookView xWindow="-108" yWindow="-108" windowWidth="23256" windowHeight="12456" tabRatio="705" xr2:uid="{9D050BFD-007E-4C38-9D7B-ED1AFA0D54D5}"/>
  </bookViews>
  <sheets>
    <sheet name="Instructions" sheetId="2" r:id="rId1"/>
    <sheet name="Assumption" sheetId="9" r:id="rId2"/>
    <sheet name="Airports" sheetId="19" r:id="rId3"/>
    <sheet name="Connections" sheetId="20" r:id="rId4"/>
    <sheet name="Questions" sheetId="6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<sst xmlns="http://schemas.openxmlformats.org/spreadsheetml/2006/main" count="1386" uniqueCount="554">
  <si>
    <t>Answers</t>
  </si>
  <si>
    <t>End Sheet</t>
  </si>
  <si>
    <t>Unit</t>
  </si>
  <si>
    <t>Non-Financial or Non-FP&amp;A Model</t>
  </si>
  <si>
    <t>[h]</t>
  </si>
  <si>
    <t>Some assumptions live on the Instructions tab in prose; regardless, use the Assumption sheet values when they're available.</t>
  </si>
  <si>
    <t>Flight Plan</t>
  </si>
  <si>
    <t>ICAO</t>
  </si>
  <si>
    <t>Airport Name</t>
  </si>
  <si>
    <t>Continent</t>
  </si>
  <si>
    <t>Country</t>
  </si>
  <si>
    <t>Landing Fee ($)</t>
  </si>
  <si>
    <t>Starting Fee ($)</t>
  </si>
  <si>
    <t>KATL</t>
  </si>
  <si>
    <t>Hartsfield–Jackson Atlanta Int'l</t>
  </si>
  <si>
    <t>North America</t>
  </si>
  <si>
    <t>USA</t>
  </si>
  <si>
    <t>EGLL</t>
  </si>
  <si>
    <t>London Heathrow Airport</t>
  </si>
  <si>
    <t>Europe</t>
  </si>
  <si>
    <t>UK</t>
  </si>
  <si>
    <t>OMDB</t>
  </si>
  <si>
    <t>Dubai International Airport</t>
  </si>
  <si>
    <t>Asia</t>
  </si>
  <si>
    <t>UAE</t>
  </si>
  <si>
    <t>RJTT</t>
  </si>
  <si>
    <t>Tokyo Haneda Airport</t>
  </si>
  <si>
    <t>Japan</t>
  </si>
  <si>
    <t>KLAX</t>
  </si>
  <si>
    <t>Los Angeles International</t>
  </si>
  <si>
    <t>LFPG</t>
  </si>
  <si>
    <t>Paris Charles de Gaulle</t>
  </si>
  <si>
    <t>France</t>
  </si>
  <si>
    <t>WSSS</t>
  </si>
  <si>
    <t>Singapore Changi Airport</t>
  </si>
  <si>
    <t>Singapore</t>
  </si>
  <si>
    <t>VHHH</t>
  </si>
  <si>
    <t>Hong Kong International</t>
  </si>
  <si>
    <t>China</t>
  </si>
  <si>
    <t>EDDF</t>
  </si>
  <si>
    <t>Frankfurt Airport</t>
  </si>
  <si>
    <t>Germany</t>
  </si>
  <si>
    <t>KORD</t>
  </si>
  <si>
    <t>Chicago O'Hare International</t>
  </si>
  <si>
    <t>SBGR</t>
  </si>
  <si>
    <t>São Paulo/Guarulhos Int'l</t>
  </si>
  <si>
    <t>South America</t>
  </si>
  <si>
    <t>Brazil</t>
  </si>
  <si>
    <t>YSSY</t>
  </si>
  <si>
    <t>Sydney Kingsford Smith</t>
  </si>
  <si>
    <t>Oceania</t>
  </si>
  <si>
    <t>Australia</t>
  </si>
  <si>
    <t>FAOR</t>
  </si>
  <si>
    <t>OR Tambo International</t>
  </si>
  <si>
    <t>Africa</t>
  </si>
  <si>
    <t>South Africa</t>
  </si>
  <si>
    <t>ZBAA</t>
  </si>
  <si>
    <t>Beijing Capital International</t>
  </si>
  <si>
    <t>EHAM</t>
  </si>
  <si>
    <t>Amsterdam Airport Schiphol</t>
  </si>
  <si>
    <t>Netherlands</t>
  </si>
  <si>
    <t>KJFK</t>
  </si>
  <si>
    <t>John F. Kennedy International</t>
  </si>
  <si>
    <t>VIDP</t>
  </si>
  <si>
    <t>Indira Gandhi International</t>
  </si>
  <si>
    <t>India</t>
  </si>
  <si>
    <t>LEMD</t>
  </si>
  <si>
    <t>Adolfo Suárez Madrid–Barajas</t>
  </si>
  <si>
    <t>Spain</t>
  </si>
  <si>
    <t>RKSI</t>
  </si>
  <si>
    <t>Incheon International Airport</t>
  </si>
  <si>
    <t>South Korea</t>
  </si>
  <si>
    <t>CYYZ</t>
  </si>
  <si>
    <t>Toronto Pearson International</t>
  </si>
  <si>
    <t>Canada</t>
  </si>
  <si>
    <t>HECA</t>
  </si>
  <si>
    <t>Cairo International Airport</t>
  </si>
  <si>
    <t>Egypt</t>
  </si>
  <si>
    <t>YMML</t>
  </si>
  <si>
    <t>Melbourne Airport</t>
  </si>
  <si>
    <t>SAEZ</t>
  </si>
  <si>
    <t>Ministro Pistarini (Ezeiza)</t>
  </si>
  <si>
    <t>Argentina</t>
  </si>
  <si>
    <t>LSZH</t>
  </si>
  <si>
    <t>Zurich Airport</t>
  </si>
  <si>
    <t>Switzerland</t>
  </si>
  <si>
    <t>UUEE</t>
  </si>
  <si>
    <t>Sheremetyevo International</t>
  </si>
  <si>
    <t>Russia</t>
  </si>
  <si>
    <t>LTFM</t>
  </si>
  <si>
    <t>Istanbul Airport</t>
  </si>
  <si>
    <t>Europe/Asia</t>
  </si>
  <si>
    <t>Turkey</t>
  </si>
  <si>
    <t>FACT</t>
  </si>
  <si>
    <t>Cape Town International</t>
  </si>
  <si>
    <t>NZAA</t>
  </si>
  <si>
    <t>Auckland Airport</t>
  </si>
  <si>
    <t>New Zealand</t>
  </si>
  <si>
    <t>SKBO</t>
  </si>
  <si>
    <t>El Dorado International</t>
  </si>
  <si>
    <t>Colombia</t>
  </si>
  <si>
    <t>MMMX</t>
  </si>
  <si>
    <t>Mexico City International</t>
  </si>
  <si>
    <t>Mexico</t>
  </si>
  <si>
    <t>VABB</t>
  </si>
  <si>
    <t>Chhatrapati Shivaji Maharaj</t>
  </si>
  <si>
    <t>OTHH</t>
  </si>
  <si>
    <t>Hamad International Airport</t>
  </si>
  <si>
    <t>Qatar</t>
  </si>
  <si>
    <t>EBBR</t>
  </si>
  <si>
    <t>Brussels Airport</t>
  </si>
  <si>
    <t>Belgium</t>
  </si>
  <si>
    <t>ESSA</t>
  </si>
  <si>
    <t>Stockholm Arlanda Airport</t>
  </si>
  <si>
    <t>Sweden</t>
  </si>
  <si>
    <t>SCL</t>
  </si>
  <si>
    <t>Comodoro Arturo Merino Benítez</t>
  </si>
  <si>
    <t>Chile</t>
  </si>
  <si>
    <t>DNMM</t>
  </si>
  <si>
    <t>Murtala Muhammed Int'l</t>
  </si>
  <si>
    <t>Nigeria</t>
  </si>
  <si>
    <t>HKJK</t>
  </si>
  <si>
    <t>Jomo Kenyatta International</t>
  </si>
  <si>
    <t>Kenya</t>
  </si>
  <si>
    <t>KDFW</t>
  </si>
  <si>
    <t>Dallas/Fort Worth Int'l</t>
  </si>
  <si>
    <t>KSFO</t>
  </si>
  <si>
    <t>San Francisco International</t>
  </si>
  <si>
    <t>EGKK</t>
  </si>
  <si>
    <t>London Gatwick Airport</t>
  </si>
  <si>
    <t>LOWW</t>
  </si>
  <si>
    <t>Vienna International</t>
  </si>
  <si>
    <t>Austria</t>
  </si>
  <si>
    <t>WMKK</t>
  </si>
  <si>
    <t>Kuala Lumpur International</t>
  </si>
  <si>
    <t>Malaysia</t>
  </si>
  <si>
    <t>VTBS</t>
  </si>
  <si>
    <t>Suvarnabhumi Airport</t>
  </si>
  <si>
    <t>Thailand</t>
  </si>
  <si>
    <t>RCTP</t>
  </si>
  <si>
    <t>Taiwan Taoyuan International</t>
  </si>
  <si>
    <t>Taiwan</t>
  </si>
  <si>
    <t>LIMC</t>
  </si>
  <si>
    <t>Milan Malpensa Airport</t>
  </si>
  <si>
    <t>Italy</t>
  </si>
  <si>
    <t>LIRF</t>
  </si>
  <si>
    <t>Rome Leonardo da Vinci–Fiumicino</t>
  </si>
  <si>
    <t>EKCH</t>
  </si>
  <si>
    <t>Copenhagen Airport</t>
  </si>
  <si>
    <t>Denmark</t>
  </si>
  <si>
    <t>ENGM</t>
  </si>
  <si>
    <t>Oslo Airport, Gardermoen</t>
  </si>
  <si>
    <t>Norway</t>
  </si>
  <si>
    <t>PHNL</t>
  </si>
  <si>
    <t>Daniel K. Inouye International</t>
  </si>
  <si>
    <t>CYVR</t>
  </si>
  <si>
    <t>Vancouver International</t>
  </si>
  <si>
    <t>WIII</t>
  </si>
  <si>
    <t>Soekarno–Hatta International</t>
  </si>
  <si>
    <t>Indonesia</t>
  </si>
  <si>
    <t>RPLL</t>
  </si>
  <si>
    <t>Ninoy Aquino International</t>
  </si>
  <si>
    <t>Philippines</t>
  </si>
  <si>
    <t>VDPP</t>
  </si>
  <si>
    <t>Phnom Penh International</t>
  </si>
  <si>
    <t>Cambodia</t>
  </si>
  <si>
    <t>VVTS</t>
  </si>
  <si>
    <t>Tan Son Nhat International</t>
  </si>
  <si>
    <t>Vietnam</t>
  </si>
  <si>
    <t>OBBI</t>
  </si>
  <si>
    <t>Bahrain International Airport</t>
  </si>
  <si>
    <t>Bahrain</t>
  </si>
  <si>
    <t>OKBK</t>
  </si>
  <si>
    <t>Kuwait International Airport</t>
  </si>
  <si>
    <t>Kuwait</t>
  </si>
  <si>
    <t>OOMS</t>
  </si>
  <si>
    <t>Muscat International Airport</t>
  </si>
  <si>
    <t>Oman</t>
  </si>
  <si>
    <t>HAAB</t>
  </si>
  <si>
    <t>Addis Ababa Bole Int'l</t>
  </si>
  <si>
    <t>Ethiopia</t>
  </si>
  <si>
    <t>DGAA</t>
  </si>
  <si>
    <t>Kotoka International Airport</t>
  </si>
  <si>
    <t>Ghana</t>
  </si>
  <si>
    <t>GOOY</t>
  </si>
  <si>
    <t>Blaise Diagne International</t>
  </si>
  <si>
    <t>Senegal</t>
  </si>
  <si>
    <t>KBOS</t>
  </si>
  <si>
    <t>Boston Logan International</t>
  </si>
  <si>
    <t>KIAD</t>
  </si>
  <si>
    <t>Washington Dulles Int'l</t>
  </si>
  <si>
    <t>KMIA</t>
  </si>
  <si>
    <t>Miami International Airport</t>
  </si>
  <si>
    <t>KSEA</t>
  </si>
  <si>
    <t>Seattle-Tacoma International</t>
  </si>
  <si>
    <t>KDEN</t>
  </si>
  <si>
    <t>Denver International Airport</t>
  </si>
  <si>
    <t>KPHX</t>
  </si>
  <si>
    <t>Phoenix Sky Harbor</t>
  </si>
  <si>
    <t>KEWR</t>
  </si>
  <si>
    <t>Newark Liberty International</t>
  </si>
  <si>
    <t>KMSY</t>
  </si>
  <si>
    <t>Louis Armstrong New Orleans</t>
  </si>
  <si>
    <t>TJSJ</t>
  </si>
  <si>
    <t>Luis Muñoz Marín Int'l</t>
  </si>
  <si>
    <t>Puerto Rico</t>
  </si>
  <si>
    <t>SUMU</t>
  </si>
  <si>
    <t>Carrasco International</t>
  </si>
  <si>
    <t>Uruguay</t>
  </si>
  <si>
    <t>SPJC</t>
  </si>
  <si>
    <t>Jorge Chávez International</t>
  </si>
  <si>
    <t>Peru</t>
  </si>
  <si>
    <t>SEQU</t>
  </si>
  <si>
    <t>Mariscal Sucre International</t>
  </si>
  <si>
    <t>Ecuador</t>
  </si>
  <si>
    <t>MPTO</t>
  </si>
  <si>
    <t>Tocumen International</t>
  </si>
  <si>
    <t>Panama</t>
  </si>
  <si>
    <t>SVMI</t>
  </si>
  <si>
    <t>Simón Bolívar International</t>
  </si>
  <si>
    <t>Venezuela</t>
  </si>
  <si>
    <t>LPPT</t>
  </si>
  <si>
    <t>Lisbon Humberto Delgado</t>
  </si>
  <si>
    <t>Portugal</t>
  </si>
  <si>
    <t>LEBL</t>
  </si>
  <si>
    <t>Josep Tarradellas Barcelona</t>
  </si>
  <si>
    <t>LFMN</t>
  </si>
  <si>
    <t>Nice Côte d'Azur Airport</t>
  </si>
  <si>
    <t>LSGG</t>
  </si>
  <si>
    <t>Geneva Airport</t>
  </si>
  <si>
    <t>EDDM</t>
  </si>
  <si>
    <t>Munich Airport</t>
  </si>
  <si>
    <t>ELLX</t>
  </si>
  <si>
    <t>Luxembourg Airport</t>
  </si>
  <si>
    <t>Luxembourg</t>
  </si>
  <si>
    <t>LGAV</t>
  </si>
  <si>
    <t>Athens International</t>
  </si>
  <si>
    <t>Greece</t>
  </si>
  <si>
    <t>LROP</t>
  </si>
  <si>
    <t>Henri Coandă International</t>
  </si>
  <si>
    <t>Romania</t>
  </si>
  <si>
    <t>LHBP</t>
  </si>
  <si>
    <t>Budapest Ferenc Liszt</t>
  </si>
  <si>
    <t>Hungary</t>
  </si>
  <si>
    <t>EPWA</t>
  </si>
  <si>
    <t>Warsaw Chopin Airport</t>
  </si>
  <si>
    <t>Poland</t>
  </si>
  <si>
    <t>EVRA</t>
  </si>
  <si>
    <t>Riga International Airport</t>
  </si>
  <si>
    <t>Latvia</t>
  </si>
  <si>
    <t>EETN</t>
  </si>
  <si>
    <t>Lennart Meri Tallinn</t>
  </si>
  <si>
    <t>Estonia</t>
  </si>
  <si>
    <t>EYVI</t>
  </si>
  <si>
    <t>Vilnius International</t>
  </si>
  <si>
    <t>Lithuania</t>
  </si>
  <si>
    <t>EFHK</t>
  </si>
  <si>
    <t>Helsinki-Vantaa Airport</t>
  </si>
  <si>
    <t>Finland</t>
  </si>
  <si>
    <t>BIRK</t>
  </si>
  <si>
    <t>Reykjavík Airport</t>
  </si>
  <si>
    <t>Iceland</t>
  </si>
  <si>
    <t>GMMN</t>
  </si>
  <si>
    <t>Mohammed V International</t>
  </si>
  <si>
    <t>Morocco</t>
  </si>
  <si>
    <t>DAAG</t>
  </si>
  <si>
    <t>Houari Boumediene Airport</t>
  </si>
  <si>
    <t>Algeria</t>
  </si>
  <si>
    <t>DTTA</t>
  </si>
  <si>
    <t>Tunis–Carthage International</t>
  </si>
  <si>
    <t>Tunisia</t>
  </si>
  <si>
    <t>HSSS</t>
  </si>
  <si>
    <t>Khartoum International</t>
  </si>
  <si>
    <t>Sudan</t>
  </si>
  <si>
    <t>HUEN</t>
  </si>
  <si>
    <t>Entebbe International</t>
  </si>
  <si>
    <t>Uganda</t>
  </si>
  <si>
    <t>HTDA</t>
  </si>
  <si>
    <t>Julius Nyerere International</t>
  </si>
  <si>
    <t>Tanzania</t>
  </si>
  <si>
    <t>FQMA</t>
  </si>
  <si>
    <t>Maputo International</t>
  </si>
  <si>
    <t>Mozambique</t>
  </si>
  <si>
    <t>FBSK</t>
  </si>
  <si>
    <t>Sir Seretse Khama Int'l</t>
  </si>
  <si>
    <t>Botswana</t>
  </si>
  <si>
    <t>FYWH</t>
  </si>
  <si>
    <t>Hosea Kutako International</t>
  </si>
  <si>
    <t>Namibia</t>
  </si>
  <si>
    <t>VILK</t>
  </si>
  <si>
    <t>Lucknow International</t>
  </si>
  <si>
    <t>VCBI</t>
  </si>
  <si>
    <t>Bandaranaike International</t>
  </si>
  <si>
    <t>Sri Lanka</t>
  </si>
  <si>
    <t>VNKT</t>
  </si>
  <si>
    <t>Tribhuvan International</t>
  </si>
  <si>
    <t>Nepal</t>
  </si>
  <si>
    <t>VGHS</t>
  </si>
  <si>
    <t>Shahjalal International</t>
  </si>
  <si>
    <t>Bangladesh</t>
  </si>
  <si>
    <t>VYYY</t>
  </si>
  <si>
    <t>Yangon International</t>
  </si>
  <si>
    <t>Myanmar</t>
  </si>
  <si>
    <t>VTCC</t>
  </si>
  <si>
    <t>Chiang Mai International</t>
  </si>
  <si>
    <t>VVDN</t>
  </si>
  <si>
    <t>Da Nang International</t>
  </si>
  <si>
    <t>WBKK</t>
  </si>
  <si>
    <t>Kota Kinabalu International</t>
  </si>
  <si>
    <t>WBSB</t>
  </si>
  <si>
    <t>Brunei International</t>
  </si>
  <si>
    <t>Brunei</t>
  </si>
  <si>
    <t>RPLC</t>
  </si>
  <si>
    <t>Clark International Airport</t>
  </si>
  <si>
    <t>RORS</t>
  </si>
  <si>
    <t>Shimojishima Airport</t>
  </si>
  <si>
    <t>RCKH</t>
  </si>
  <si>
    <t>Kaohsiung International</t>
  </si>
  <si>
    <t>VMMC</t>
  </si>
  <si>
    <t>Macau International</t>
  </si>
  <si>
    <t>ZGGG</t>
  </si>
  <si>
    <t>Guangzhou Baiyun Int'l</t>
  </si>
  <si>
    <t>ZGSZ</t>
  </si>
  <si>
    <t>Shenzhen Bao'an Int'l</t>
  </si>
  <si>
    <t>ZUUU</t>
  </si>
  <si>
    <t>Chengdu Shuangliu Int'l</t>
  </si>
  <si>
    <t>ZWWW</t>
  </si>
  <si>
    <t>Ürümqi Diwopu Int'l</t>
  </si>
  <si>
    <t>YPAD</t>
  </si>
  <si>
    <t>Adelaide Airport</t>
  </si>
  <si>
    <t>YBBN</t>
  </si>
  <si>
    <t>Brisbane Airport</t>
  </si>
  <si>
    <t>YPPH</t>
  </si>
  <si>
    <t>Perth Airport</t>
  </si>
  <si>
    <t>YMHB</t>
  </si>
  <si>
    <t>Hobart International</t>
  </si>
  <si>
    <t>NZCH</t>
  </si>
  <si>
    <t>Christchurch International</t>
  </si>
  <si>
    <t>NZWN</t>
  </si>
  <si>
    <t>Wellington International</t>
  </si>
  <si>
    <t>NSTU</t>
  </si>
  <si>
    <t>Pago Pago International</t>
  </si>
  <si>
    <t>American Samoa</t>
  </si>
  <si>
    <t>NFFN</t>
  </si>
  <si>
    <t>Nadi International</t>
  </si>
  <si>
    <t>Fiji</t>
  </si>
  <si>
    <t>NGTA</t>
  </si>
  <si>
    <t>Bonriki International</t>
  </si>
  <si>
    <t>Kiribati</t>
  </si>
  <si>
    <t>NIUE</t>
  </si>
  <si>
    <t>Niue International</t>
  </si>
  <si>
    <t>Niue</t>
  </si>
  <si>
    <t>NVVV</t>
  </si>
  <si>
    <t>Bauerfield International</t>
  </si>
  <si>
    <t>Vanuatu</t>
  </si>
  <si>
    <t>AYPY</t>
  </si>
  <si>
    <t>Jacksons International</t>
  </si>
  <si>
    <t>Papua New Guinea</t>
  </si>
  <si>
    <t>UTFN</t>
  </si>
  <si>
    <t>Ashgabat International</t>
  </si>
  <si>
    <t>Turkmenistan</t>
  </si>
  <si>
    <t>UTTT</t>
  </si>
  <si>
    <t>Tashkent International</t>
  </si>
  <si>
    <t>Uzbekistan</t>
  </si>
  <si>
    <t>UAAA</t>
  </si>
  <si>
    <t>Almaty International</t>
  </si>
  <si>
    <t>Kazakhstan</t>
  </si>
  <si>
    <t>UAKK</t>
  </si>
  <si>
    <t>Karaganda Airport</t>
  </si>
  <si>
    <t>UAII</t>
  </si>
  <si>
    <t>Shymkent International</t>
  </si>
  <si>
    <t>UCFM</t>
  </si>
  <si>
    <t>Manas International</t>
  </si>
  <si>
    <t>Kyrgyzstan</t>
  </si>
  <si>
    <t>UTDD</t>
  </si>
  <si>
    <t>Dushanbe International</t>
  </si>
  <si>
    <t>Tajikistan</t>
  </si>
  <si>
    <t>OAKB</t>
  </si>
  <si>
    <t>Kabul International</t>
  </si>
  <si>
    <t>Afghanistan</t>
  </si>
  <si>
    <t>OPRN</t>
  </si>
  <si>
    <t>Islamabad International</t>
  </si>
  <si>
    <t>Pakistan</t>
  </si>
  <si>
    <t>OPLA</t>
  </si>
  <si>
    <t>Allama Iqbal International</t>
  </si>
  <si>
    <t>OPKC</t>
  </si>
  <si>
    <t>Jinnah International</t>
  </si>
  <si>
    <t>OIID</t>
  </si>
  <si>
    <t>Tehran Imam Khomeini</t>
  </si>
  <si>
    <t>Iran</t>
  </si>
  <si>
    <t>OIII</t>
  </si>
  <si>
    <t>Mehrabad International</t>
  </si>
  <si>
    <t>ORBI</t>
  </si>
  <si>
    <t>Baghdad International</t>
  </si>
  <si>
    <t>Iraq</t>
  </si>
  <si>
    <t>OEDF</t>
  </si>
  <si>
    <t>King Fahd International</t>
  </si>
  <si>
    <t>Saudi Arabia</t>
  </si>
  <si>
    <t>OERK</t>
  </si>
  <si>
    <t>King Khalid International</t>
  </si>
  <si>
    <t>OEJN</t>
  </si>
  <si>
    <t>King Abdulaziz Int'l</t>
  </si>
  <si>
    <t>OEMA</t>
  </si>
  <si>
    <t>Prince Mohammad Bin Abdulaziz</t>
  </si>
  <si>
    <t>OJAI</t>
  </si>
  <si>
    <t>Queen Alia International</t>
  </si>
  <si>
    <t>Jordan</t>
  </si>
  <si>
    <t>LLBG</t>
  </si>
  <si>
    <t>Ben Gurion Airport</t>
  </si>
  <si>
    <t>Israel</t>
  </si>
  <si>
    <t>BGGH</t>
  </si>
  <si>
    <t>Nuuk Airport</t>
  </si>
  <si>
    <t>Greenland</t>
  </si>
  <si>
    <t>Airport 1</t>
  </si>
  <si>
    <t>Airport 2</t>
  </si>
  <si>
    <t>Latitude</t>
  </si>
  <si>
    <t>Longitude</t>
  </si>
  <si>
    <t>Distance</t>
  </si>
  <si>
    <t>[km]</t>
  </si>
  <si>
    <t>veff</t>
  </si>
  <si>
    <t>t0</t>
  </si>
  <si>
    <t>[km/h]</t>
  </si>
  <si>
    <t>[$]</t>
  </si>
  <si>
    <t>Flight costs formula inputs</t>
  </si>
  <si>
    <t>Flight duration calculation inputs</t>
  </si>
  <si>
    <t>C0</t>
  </si>
  <si>
    <t>aD</t>
  </si>
  <si>
    <t>[$/km]</t>
  </si>
  <si>
    <t>b</t>
  </si>
  <si>
    <t>Time per stopover</t>
  </si>
  <si>
    <t>Stopover</t>
  </si>
  <si>
    <t>Region</t>
  </si>
  <si>
    <t>Start</t>
  </si>
  <si>
    <t>Destination</t>
  </si>
  <si>
    <t>You are planner for an Airline.</t>
  </si>
  <si>
    <t>You have to plan the promotion for new routes and are therefore about to analyze the existing network of your Airline.</t>
  </si>
  <si>
    <t>You are given all current Airports with data as well as all Connections your airline is flying.</t>
  </si>
  <si>
    <t>You will analyze new routes starting in Australia and ending in Europe - you are allowed to use all flights your airline currently operates.</t>
  </si>
  <si>
    <t>Earth radius</t>
  </si>
  <si>
    <t>C(D)=C0​+aD+bD²</t>
  </si>
  <si>
    <t>C(D) = total flight cost</t>
  </si>
  <si>
    <t>D = distance in km</t>
  </si>
  <si>
    <t>C0 = fixed cost per flight</t>
  </si>
  <si>
    <t>aD = “normal” fuel + variable operating cost</t>
  </si>
  <si>
    <t>bD² = extra fuel burn due to fuel weight (small but real effect)</t>
  </si>
  <si>
    <t>- Shortest Route by time</t>
  </si>
  <si>
    <t>- Shortest Route by distance</t>
  </si>
  <si>
    <t>- Cheapest Route by costs</t>
  </si>
  <si>
    <t>- Smallest Number of Stopovers</t>
  </si>
  <si>
    <t>For every categorie I want to have the following:</t>
  </si>
  <si>
    <t>- Amount (h or km or $ or number)</t>
  </si>
  <si>
    <t>- Number of flights</t>
  </si>
  <si>
    <t>The distance of the single connections has to be calculated by you - use the Haversine formula (earth radius: 6371 km) for that based on the Latitude and Longitude given - do not think about flight corridors or else.</t>
  </si>
  <si>
    <t>Total route costs: C(D) for every flight + all landing fees + all starting fees</t>
  </si>
  <si>
    <t>All connections are interpreted as two-way connections (i.e. Connection A -&gt; B = Connection B -&gt; A), the distance and the flight time is the same but the costs might be different (due to landing and starting fee).</t>
  </si>
  <si>
    <t>Routes are not restricted to direct flights!</t>
  </si>
  <si>
    <t>The cost of a flight (per flight leg) is dependent on the flight distance:</t>
  </si>
  <si>
    <t>Questions (please round your answers to whole numbers)</t>
  </si>
  <si>
    <t>Landing and starting fees are not included in C0​ and must be added once per leg.</t>
  </si>
  <si>
    <t>Plan the most efficient routes between all Australien (Start - every Australian airport the airline is operating from is a possible origin) and European Airports (Destination - every European airport the airline is operating from is a possible destination) in the following categories (independent for each category):</t>
  </si>
  <si>
    <t>Intermediate airports may lie on any continent.</t>
  </si>
  <si>
    <t>- Countries involved in the route (Include all airports on the route: origin, intermediate, destination) (unique, sorted alphabetically and concatenated by ;)</t>
  </si>
  <si>
    <t>- Continents involved in the route (Include all airports on the route: origin, intermediate, destination) (unique, sorted alphabetically and concatenated by ;)</t>
  </si>
  <si>
    <t>Answer the questions (final result rounded to whole number) using your planning model and your calculations.</t>
  </si>
  <si>
    <t>Number of flights = number of legs between airports.</t>
  </si>
  <si>
    <t>- Flight Path (Airports [ICAO] concatenated by ;)</t>
  </si>
  <si>
    <t>How long is the shortest (distance) route between YBBN and EVRA?</t>
  </si>
  <si>
    <t>How long is the shortest (distance) route between YBBN and LOWW?</t>
  </si>
  <si>
    <t>How long is the shortest (distance) route between YBBN and LSZH?</t>
  </si>
  <si>
    <t>How long is the shortest (distance) route between YMML and LIRF?</t>
  </si>
  <si>
    <t>How long is the shortest (distance) route between YPPH and LHBP?</t>
  </si>
  <si>
    <t>What is the flight path for the shortest (distance) route between YBBN and LIRF?</t>
  </si>
  <si>
    <t>What is the flight path for the shortest (distance) route between YMHB and EHAM?</t>
  </si>
  <si>
    <t>What is the flight path for the shortest (distance) route between YMML and BIRK?</t>
  </si>
  <si>
    <t>What is the flight path for the shortest (distance) route between YPAD and EYVI?</t>
  </si>
  <si>
    <t>What is the flight path for the shortest (distance) route between YPPH and EGKK?</t>
  </si>
  <si>
    <t>How many flights are part of the shortest (distance) route between YMHB and LPPT?</t>
  </si>
  <si>
    <t>How many flights are part of the shortest (distance) route between YPPH and ESSA?</t>
  </si>
  <si>
    <t>How many flights are part of the shortest (distance) route between YSSY and LSGG?</t>
  </si>
  <si>
    <t>How many flights are part of the shortest (distance) route between YSSY and UUEE?</t>
  </si>
  <si>
    <t>Which countries are involved in the shortest (distance) route between YBBN and EDDM?</t>
  </si>
  <si>
    <t>Which countries are involved in the shortest (distance) route between YPPH and EDDF?</t>
  </si>
  <si>
    <t>Which countries are involved in the shortest (distance) route between YPPH and LSZH?</t>
  </si>
  <si>
    <t>Which countries are involved in the shortest (distance) route between YSSY and LGAV?</t>
  </si>
  <si>
    <t>Which countries are involved in the shortest (distance) route between YSSY and LSZH?</t>
  </si>
  <si>
    <t>Which continents are involved in the shortest (distance) route between YMML and LGAV?</t>
  </si>
  <si>
    <t>Which continents are involved in the shortest (distance) route between YPAD and LPPT?</t>
  </si>
  <si>
    <t>Which continents are involved in the shortest (distance) route between YPPH and EKCH?</t>
  </si>
  <si>
    <t>Which continents are involved in the shortest (distance) route between YPPH and ELLX?</t>
  </si>
  <si>
    <t>Which continents are involved in the shortest (distance) route between YPPH and LIMC?</t>
  </si>
  <si>
    <t>How many stopovers are there on the route with the fewest stopovers between YBBN and LPPT?</t>
  </si>
  <si>
    <t>How many stopovers are there on the route with the fewest stopovers between YMHB and LIRF?</t>
  </si>
  <si>
    <t>How many stopovers are there on the route with the fewest stopovers between YPAD and LPPT?</t>
  </si>
  <si>
    <t>How many stopovers are there on the route with the fewest stopovers between YSSY and LFMN?</t>
  </si>
  <si>
    <t>Use countries/continents as given in the airport data - no changes.</t>
  </si>
  <si>
    <t>How many flights are part of the shortest (distance) route between YMML and EGLL?</t>
  </si>
  <si>
    <t>How expensive is the cheapest route between YMHB and EVRA?</t>
  </si>
  <si>
    <t>How expensive is the cheapest route between YPAD and LSZH?</t>
  </si>
  <si>
    <t>How expensive is the cheapest route between YPPH and EYVI?</t>
  </si>
  <si>
    <t>How expensive is the cheapest route between YSSY and EFHK?</t>
  </si>
  <si>
    <t>How expensive is the cheapest route between YSSY and UUEE?</t>
  </si>
  <si>
    <t>What is the flight path for the cheapest route between YBBN and LEBL?</t>
  </si>
  <si>
    <t>What is the flight path for the cheapest route between YBBN and EVRA?</t>
  </si>
  <si>
    <t>What is the flight path for the cheapest route between YBBN and LSZH?</t>
  </si>
  <si>
    <t>What is the flight path for the cheapest route between YMHB and LHBP?</t>
  </si>
  <si>
    <t>What is the flight path for the cheapest route between YPPH and LIRF?</t>
  </si>
  <si>
    <t>How many flights are part of the cheapest route between YBBN and EFHK?</t>
  </si>
  <si>
    <t>How many flights are part of the cheapest route between YMHB and EPWA?</t>
  </si>
  <si>
    <t>How many flights are part of the cheapest route between YPAD and ELLX?</t>
  </si>
  <si>
    <t>How many flights are part of the cheapest route between YPPH and BIRK?</t>
  </si>
  <si>
    <t>How many flights are part of the cheapest route between YSSY and LFPG?</t>
  </si>
  <si>
    <t>Which countries are involved in the cheapest route between YMHB and EFHK?</t>
  </si>
  <si>
    <t>Which countries are involved in the cheapest route between YMHB and LEBL?</t>
  </si>
  <si>
    <t>Which countries are involved in the cheapest route between YMML and LEBL?</t>
  </si>
  <si>
    <t>Which countries are involved in the cheapest route between YPAD and EGLL?</t>
  </si>
  <si>
    <t>Which countries are involved in the cheapest route between YPPH and LHBP?</t>
  </si>
  <si>
    <t>Which continents are involved in the cheapest route between YBBN and EETN?</t>
  </si>
  <si>
    <t>Which continents are involved in the cheapest route between YMHB and EDDM?</t>
  </si>
  <si>
    <t>Which continents are involved in the cheapest route between YMML and EBBR?</t>
  </si>
  <si>
    <t>Which continents are involved in the cheapest route between YPAD and BIRK?</t>
  </si>
  <si>
    <t>Which continents are involved in the cheapest route between YPAD and LROP?</t>
  </si>
  <si>
    <t>How long is the shortest (time) route between YMHB and UUEE?</t>
  </si>
  <si>
    <t>How long is the shortest (time) route between YPAD and EETN?</t>
  </si>
  <si>
    <t>How long is the shortest (time) route between YPAD and EGLL?</t>
  </si>
  <si>
    <t>How long is the shortest (time) route between YPPH and EPWA?</t>
  </si>
  <si>
    <t>How long is the shortest (time) route between YPPH and ESSA?</t>
  </si>
  <si>
    <t>What is the flight path for the shortest (time) route between YMHB and EGKK?</t>
  </si>
  <si>
    <t>What is the flight path for the shortest (time) route between YMHB and EGLL?</t>
  </si>
  <si>
    <t>What is the flight path for the shortest (time) route between YPAD and EYVI?</t>
  </si>
  <si>
    <t>What is the flight path for the shortest (time) route between YPPH and ENGM?</t>
  </si>
  <si>
    <t>What is the flight path for the shortest (time) route between YPPH and EPWA?</t>
  </si>
  <si>
    <t>How many flights are part of the shortest (time) route between YBBN and UUEE?</t>
  </si>
  <si>
    <t>How many flights are part of the shortest (time) route between YMHB and LSZH?</t>
  </si>
  <si>
    <t>How many flights are part of the shortest (time) route between YMML and EYVI?</t>
  </si>
  <si>
    <t>How many flights are part of the shortest (time) route between YPAD and EFHK?</t>
  </si>
  <si>
    <t>How many flights are part of the shortest (time) route between YPPH and EFHK?</t>
  </si>
  <si>
    <t>Which countries are involved in the shortest (time) route between YBBN and EVRA?</t>
  </si>
  <si>
    <t>Which countries are involved in the shortest (time) route between YBBN and LSZH?</t>
  </si>
  <si>
    <t>Which countries are involved in the shortest (time) route between YPAD and ELLX?</t>
  </si>
  <si>
    <t>Which countries are involved in the shortest (time) route between YPAD and LHBP?</t>
  </si>
  <si>
    <t>Which countries are involved in the shortest (time) route between YPPH and LOWW?</t>
  </si>
  <si>
    <t>Which continents are involved in the shortest (time) route between YBBN and LEBL?</t>
  </si>
  <si>
    <t>Which continents are involved in the shortest (time) route between YMHB and LGAV?</t>
  </si>
  <si>
    <t>Which continents are involved in the shortest (time) route between YMML and EDDF?</t>
  </si>
  <si>
    <t>Which continents are involved in the shortest (time) route between YMML and LSGG?</t>
  </si>
  <si>
    <t>Which continents are involved in the shortest (time) route between YMML and UUEE?</t>
  </si>
  <si>
    <t>Flight duration per leg: T(D) = D/veff + t0, with veff = 850 km/h and t0 = 0.4h.</t>
  </si>
  <si>
    <t>t0 applies to every single leg (taxi, takeoff, descent, landing). Doesn't matter if the airport is origin, stopover, or destination – each leg gets its own t0.</t>
  </si>
  <si>
    <t>A stopover is every intermediate airport (not origin, not destination). Each stopover adds 2h on top of the t0s that already apply to the incoming and outgoing legs.</t>
  </si>
  <si>
    <t>Example A → B → C (1 stopover at B): duration = leg A→B + leg B→C + 2h.</t>
  </si>
  <si>
    <t>If two paths to the same airport have the exact same total weight (time / distance / cost / number of flights), keep the one found first.</t>
  </si>
  <si>
    <t>"First" = row order in the Connections sheet, top to bottom. Reverse edges inherit the position of their forward edge.</t>
  </si>
  <si>
    <t>Re-sorting the Connections sheet may change which path wins on ties. The total weight stays the same, but the airports on the path – and therefore the countries and continents – can differ.</t>
  </si>
  <si>
    <t>How many stopovers are there on the route with the fewest stopovers between YPAD and EGLL?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</si>
</sst>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b/>
      <sz val="11"/>
      <color theme="1"/>
      <name val="Roboto"/>
    </font>
    <font>
      <sz val="8"/>
      <name val="Aptos Narrow"/>
      <family val="2"/>
      <scheme val="minor"/>
    </font>
    <font>
      <b/>
      <sz val="12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1" fillId="0" borderId="0"/>
  </cellStyleXfs>
  <cellXfs count="29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5" fillId="0" borderId="0" xfId="2"/>
    <xf numFmtId="0" fontId="9" fillId="0" borderId="0" xfId="0" applyFont="1"/>
    <xf numFmtId="4" fontId="2" fillId="6" borderId="2" xfId="4" applyFont="1" applyFill="1">
      <alignment horizontal="left"/>
    </xf>
    <xf numFmtId="3" fontId="9" fillId="4" borderId="5" xfId="3" applyNumberFormat="1" applyFont="1" applyFill="1" applyBorder="1"/>
    <xf numFmtId="0" fontId="12" fillId="0" borderId="0" xfId="0" applyFont="1"/>
    <xf numFmtId="4" fontId="9" fillId="4" borderId="5" xfId="3" applyNumberFormat="1" applyFont="1" applyFill="1" applyBorder="1"/>
    <xf numFmtId="4" fontId="0" fillId="0" borderId="0" xfId="0" applyNumberFormat="1"/>
    <xf numFmtId="0" fontId="3" fillId="0" borderId="0" xfId="1" quotePrefix="1" applyFont="1" applyAlignment="1">
      <alignment horizontal="left"/>
    </xf>
    <xf numFmtId="0" fontId="13" fillId="0" borderId="0" xfId="1" applyFont="1" applyAlignment="1">
      <alignment horizontal="left"/>
    </xf>
    <xf numFmtId="4" fontId="2" fillId="0" borderId="0" xfId="0" applyNumberFormat="1" applyFont="1"/>
    <xf numFmtId="3" fontId="0" fillId="0" borderId="0" xfId="0" applyNumberFormat="1"/>
    <xf numFmtId="164" fontId="9" fillId="4" borderId="5" xfId="3" applyNumberFormat="1" applyFont="1" applyFill="1" applyBorder="1"/>
    <xf numFmtId="3" fontId="8" fillId="0" borderId="0" xfId="2" applyNumberFormat="1" applyFont="1"/>
    <xf numFmtId="3" fontId="3" fillId="3" borderId="5" xfId="1" applyNumberFormat="1" applyFont="1" applyFill="1" applyBorder="1" applyAlignment="1">
      <alignment horizontal="center"/>
    </xf>
    <xf numFmtId="3" fontId="5" fillId="0" borderId="0" xfId="2" applyNumberFormat="1"/>
    <xf numFmtId="0" fontId="15" fillId="0" borderId="0" xfId="2" applyFont="1"/>
    <xf numFmtId="0" fontId="12" fillId="0" borderId="0" xfId="2" applyFont="1"/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50"/>
  <sheetViews>
    <sheetView showGridLines="0" tabSelected="1" zoomScale="80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4" t="s">
        <v>3</v>
      </c>
      <c r="C2" s="25"/>
      <c r="D2" s="25"/>
      <c r="E2" s="25"/>
      <c r="F2" s="25"/>
      <c r="G2" s="25"/>
      <c r="H2" s="25"/>
      <c r="I2" s="25"/>
      <c r="J2" s="25"/>
      <c r="K2" s="26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7" t="s">
        <v>6</v>
      </c>
      <c r="C4" s="28"/>
      <c r="D4" s="28"/>
      <c r="E4" s="28"/>
      <c r="F4" s="28"/>
      <c r="G4" s="28"/>
      <c r="H4" s="28"/>
      <c r="I4" s="28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434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435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3" t="s">
        <v>436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 t="s">
        <v>454</v>
      </c>
      <c r="C9" s="1"/>
      <c r="D9" s="1"/>
      <c r="E9" s="1"/>
      <c r="F9" s="1"/>
      <c r="G9" s="1"/>
      <c r="H9" s="1"/>
      <c r="I9" s="1"/>
      <c r="J9" s="1"/>
      <c r="K9" s="1"/>
    </row>
    <row r="10" spans="2:11">
      <c r="B10" s="3"/>
    </row>
    <row r="11" spans="2:11">
      <c r="B11" s="14" t="s">
        <v>437</v>
      </c>
    </row>
    <row r="12" spans="2:11">
      <c r="B12" s="14" t="s">
        <v>452</v>
      </c>
    </row>
    <row r="13" spans="2:11">
      <c r="B13" s="14"/>
    </row>
    <row r="14" spans="2:11">
      <c r="B14" s="14" t="s">
        <v>546</v>
      </c>
    </row>
    <row r="15" spans="2:11">
      <c r="B15" s="14" t="s">
        <v>547</v>
      </c>
    </row>
    <row r="16" spans="2:11">
      <c r="B16" s="14" t="s">
        <v>548</v>
      </c>
    </row>
    <row r="17" spans="2:3" s="3" customFormat="1">
      <c r="B17" s="14" t="s">
        <v>549</v>
      </c>
    </row>
    <row r="18" spans="2:3" s="3" customFormat="1"/>
    <row r="19" spans="2:3" s="3" customFormat="1">
      <c r="B19" s="3" t="s">
        <v>456</v>
      </c>
    </row>
    <row r="20" spans="2:3" s="3" customFormat="1">
      <c r="B20" s="3" t="s">
        <v>439</v>
      </c>
    </row>
    <row r="21" spans="2:3">
      <c r="B21" s="14" t="s">
        <v>440</v>
      </c>
    </row>
    <row r="22" spans="2:3">
      <c r="B22" s="14" t="s">
        <v>441</v>
      </c>
    </row>
    <row r="23" spans="2:3">
      <c r="B23" s="14" t="s">
        <v>442</v>
      </c>
      <c r="C23" s="1"/>
    </row>
    <row r="24" spans="2:3">
      <c r="B24" s="14" t="s">
        <v>443</v>
      </c>
      <c r="C24" s="1"/>
    </row>
    <row r="25" spans="2:3">
      <c r="B25" s="3" t="s">
        <v>444</v>
      </c>
      <c r="C25" s="1"/>
    </row>
    <row r="26" spans="2:3">
      <c r="B26" s="3" t="s">
        <v>458</v>
      </c>
      <c r="C26" s="1"/>
    </row>
    <row r="27" spans="2:3">
      <c r="B27" s="3" t="s">
        <v>453</v>
      </c>
      <c r="C27" s="1"/>
    </row>
    <row r="28" spans="2:3">
      <c r="B28" s="3"/>
      <c r="C28" s="1"/>
    </row>
    <row r="29" spans="2:3">
      <c r="B29" s="14" t="s">
        <v>459</v>
      </c>
      <c r="C29" s="1"/>
    </row>
    <row r="30" spans="2:3">
      <c r="B30" s="14" t="s">
        <v>445</v>
      </c>
      <c r="C30" s="1"/>
    </row>
    <row r="31" spans="2:3">
      <c r="B31" s="14" t="s">
        <v>446</v>
      </c>
    </row>
    <row r="32" spans="2:3">
      <c r="B32" s="14" t="s">
        <v>447</v>
      </c>
    </row>
    <row r="33" spans="2:2">
      <c r="B33" s="14" t="s">
        <v>448</v>
      </c>
    </row>
    <row r="34" spans="2:2">
      <c r="B34" s="14"/>
    </row>
    <row r="35" spans="2:2">
      <c r="B35" s="14" t="s">
        <v>449</v>
      </c>
    </row>
    <row r="36" spans="2:2">
      <c r="B36" s="14" t="s">
        <v>450</v>
      </c>
    </row>
    <row r="37" spans="2:2">
      <c r="B37" s="14" t="s">
        <v>465</v>
      </c>
    </row>
    <row r="38" spans="2:2">
      <c r="B38" s="14" t="s">
        <v>451</v>
      </c>
    </row>
    <row r="39" spans="2:2">
      <c r="B39" s="14" t="s">
        <v>461</v>
      </c>
    </row>
    <row r="40" spans="2:2">
      <c r="B40" s="14" t="s">
        <v>462</v>
      </c>
    </row>
    <row r="41" spans="2:2">
      <c r="B41" s="14"/>
    </row>
    <row r="42" spans="2:2">
      <c r="B42" s="14" t="s">
        <v>455</v>
      </c>
    </row>
    <row r="43" spans="2:2">
      <c r="B43" s="14" t="s">
        <v>464</v>
      </c>
    </row>
    <row r="44" spans="2:2">
      <c r="B44" s="14" t="s">
        <v>460</v>
      </c>
    </row>
    <row r="45" spans="2:2">
      <c r="B45" s="14" t="s">
        <v>550</v>
      </c>
    </row>
    <row r="46" spans="2:2">
      <c r="B46" s="14" t="s">
        <v>551</v>
      </c>
    </row>
    <row r="47" spans="2:2">
      <c r="B47" s="14" t="s">
        <v>552</v>
      </c>
    </row>
    <row r="48" spans="2:2">
      <c r="B48" s="14" t="s">
        <v>494</v>
      </c>
    </row>
    <row r="49" spans="2:2">
      <c r="B49" s="3"/>
    </row>
    <row r="50" spans="2:2">
      <c r="B50" s="3" t="s">
        <v>463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G28"/>
  <sheetViews>
    <sheetView showGridLines="0" zoomScale="80" zoomScaleNormal="80" workbookViewId="0"/>
  </sheetViews>
  <sheetFormatPr defaultRowHeight="14.4"/>
  <cols>
    <col min="1" max="1" width="4.77734375" style="6" customWidth="1"/>
    <col min="2" max="2" width="5.33203125" style="6" customWidth="1"/>
    <col min="3" max="3" width="17.33203125" bestFit="1" customWidth="1"/>
    <col min="5" max="5" width="13.6640625" customWidth="1"/>
    <col min="6" max="6" width="18.109375" bestFit="1" customWidth="1"/>
    <col min="7" max="7" width="19.5546875" bestFit="1" customWidth="1"/>
    <col min="11" max="110" width="10.109375" bestFit="1" customWidth="1"/>
  </cols>
  <sheetData>
    <row r="1" spans="1:7">
      <c r="A1" s="6" t="str">
        <f>Instructions!B2&amp;": "&amp;Instructions!B4</f>
        <v>Non-Financial or Non-FP&amp;A Model: Flight Plan</v>
      </c>
    </row>
    <row r="2" spans="1:7">
      <c r="A2" s="6" t="s">
        <v>5</v>
      </c>
    </row>
    <row r="4" spans="1:7" s="9" customFormat="1" ht="14.4" customHeight="1">
      <c r="B4" s="9" t="s">
        <v>417</v>
      </c>
    </row>
    <row r="6" spans="1:7">
      <c r="C6" t="s">
        <v>438</v>
      </c>
      <c r="F6" s="10">
        <v>6371</v>
      </c>
      <c r="G6" s="8" t="s">
        <v>418</v>
      </c>
    </row>
    <row r="8" spans="1:7" s="9" customFormat="1" ht="14.4" customHeight="1">
      <c r="B8" s="9" t="s">
        <v>430</v>
      </c>
    </row>
    <row r="10" spans="1:7">
      <c r="C10" t="s">
        <v>429</v>
      </c>
      <c r="F10" s="10">
        <v>2</v>
      </c>
      <c r="G10" s="8" t="s">
        <v>4</v>
      </c>
    </row>
    <row r="12" spans="1:7" s="9" customFormat="1" ht="14.4" customHeight="1">
      <c r="B12" s="9" t="s">
        <v>424</v>
      </c>
    </row>
    <row r="14" spans="1:7">
      <c r="C14" t="s">
        <v>419</v>
      </c>
      <c r="F14" s="10">
        <v>850</v>
      </c>
      <c r="G14" s="8" t="s">
        <v>421</v>
      </c>
    </row>
    <row r="15" spans="1:7">
      <c r="C15" t="s">
        <v>420</v>
      </c>
      <c r="F15" s="12">
        <v>0.4</v>
      </c>
      <c r="G15" s="8" t="s">
        <v>4</v>
      </c>
    </row>
    <row r="17" spans="2:7" s="9" customFormat="1" ht="14.4" customHeight="1">
      <c r="B17" s="9" t="s">
        <v>423</v>
      </c>
    </row>
    <row r="19" spans="2:7">
      <c r="C19" t="s">
        <v>425</v>
      </c>
      <c r="F19" s="10">
        <v>6000</v>
      </c>
      <c r="G19" s="8" t="s">
        <v>422</v>
      </c>
    </row>
    <row r="20" spans="2:7">
      <c r="C20" t="s">
        <v>426</v>
      </c>
      <c r="F20" s="10">
        <v>5</v>
      </c>
      <c r="G20" s="8" t="s">
        <v>427</v>
      </c>
    </row>
    <row r="21" spans="2:7">
      <c r="C21" t="s">
        <v>428</v>
      </c>
      <c r="F21" s="18">
        <v>2E-3</v>
      </c>
      <c r="G21" s="8"/>
    </row>
    <row r="23" spans="2:7" s="9" customFormat="1" ht="14.4" customHeight="1">
      <c r="B23" s="9" t="s">
        <v>431</v>
      </c>
    </row>
    <row r="25" spans="2:7">
      <c r="C25" t="s">
        <v>432</v>
      </c>
      <c r="F25" s="10" t="s">
        <v>51</v>
      </c>
    </row>
    <row r="26" spans="2:7">
      <c r="C26" t="s">
        <v>433</v>
      </c>
      <c r="F26" s="10" t="s">
        <v>19</v>
      </c>
    </row>
    <row r="28" spans="2:7" s="9" customFormat="1" ht="14.4" customHeight="1">
      <c r="B28" s="9" t="s">
        <v>1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54BE-834B-4FC8-BD90-85CB3DC70F4D}">
  <sheetPr>
    <tabColor theme="8" tint="0.39997558519241921"/>
  </sheetPr>
  <dimension ref="A1:O149"/>
  <sheetViews>
    <sheetView showGridLines="0" zoomScale="80" zoomScaleNormal="80" workbookViewId="0"/>
  </sheetViews>
  <sheetFormatPr defaultRowHeight="14.4"/>
  <cols>
    <col min="1" max="1" width="6.88671875" bestFit="1" customWidth="1"/>
    <col min="2" max="2" width="31.77734375" bestFit="1" customWidth="1"/>
    <col min="3" max="3" width="13.44140625" bestFit="1" customWidth="1"/>
    <col min="4" max="4" width="17.44140625" bestFit="1" customWidth="1"/>
    <col min="5" max="5" width="9.21875" style="13" customWidth="1"/>
    <col min="6" max="6" width="9.6640625" style="13" bestFit="1" customWidth="1"/>
    <col min="7" max="7" width="14.33203125" style="13" bestFit="1" customWidth="1"/>
    <col min="8" max="8" width="13.6640625" style="13" bestFit="1" customWidth="1"/>
  </cols>
  <sheetData>
    <row r="1" spans="1:15">
      <c r="A1" s="6" t="s">
        <v>7</v>
      </c>
      <c r="B1" s="6" t="s">
        <v>8</v>
      </c>
      <c r="C1" s="6" t="s">
        <v>9</v>
      </c>
      <c r="D1" s="6" t="s">
        <v>10</v>
      </c>
      <c r="E1" s="16" t="s">
        <v>415</v>
      </c>
      <c r="F1" s="16" t="s">
        <v>416</v>
      </c>
      <c r="G1" s="16" t="s">
        <v>11</v>
      </c>
      <c r="H1" s="16" t="s">
        <v>12</v>
      </c>
    </row>
    <row r="2" spans="1:15">
      <c r="A2" t="s">
        <v>355</v>
      </c>
      <c r="B2" s="10" t="s">
        <v>356</v>
      </c>
      <c r="C2" s="10" t="s">
        <v>50</v>
      </c>
      <c r="D2" s="10" t="s">
        <v>357</v>
      </c>
      <c r="E2" s="12">
        <v>-9.4434000000000005</v>
      </c>
      <c r="F2" s="12">
        <v>147.2201</v>
      </c>
      <c r="G2" s="12">
        <v>1400</v>
      </c>
      <c r="H2" s="12">
        <v>400</v>
      </c>
      <c r="I2" s="13"/>
      <c r="J2" s="13"/>
      <c r="N2" s="17"/>
      <c r="O2" s="17"/>
    </row>
    <row r="3" spans="1:15">
      <c r="A3" t="s">
        <v>410</v>
      </c>
      <c r="B3" s="10" t="s">
        <v>411</v>
      </c>
      <c r="C3" s="10" t="s">
        <v>15</v>
      </c>
      <c r="D3" s="10" t="s">
        <v>412</v>
      </c>
      <c r="E3" s="12">
        <v>64.190899999999999</v>
      </c>
      <c r="F3" s="12">
        <v>-51.678100000000001</v>
      </c>
      <c r="G3" s="12">
        <v>1400</v>
      </c>
      <c r="H3" s="12">
        <v>400</v>
      </c>
      <c r="I3" s="13"/>
      <c r="J3" s="13"/>
      <c r="N3" s="17"/>
      <c r="O3" s="17"/>
    </row>
    <row r="4" spans="1:15">
      <c r="A4" t="s">
        <v>259</v>
      </c>
      <c r="B4" s="10" t="s">
        <v>260</v>
      </c>
      <c r="C4" s="10" t="s">
        <v>19</v>
      </c>
      <c r="D4" s="10" t="s">
        <v>261</v>
      </c>
      <c r="E4" s="12">
        <v>64.13</v>
      </c>
      <c r="F4" s="12">
        <v>-21.9406</v>
      </c>
      <c r="G4" s="12">
        <v>1500</v>
      </c>
      <c r="H4" s="12">
        <v>450</v>
      </c>
      <c r="I4" s="13"/>
      <c r="J4" s="13"/>
      <c r="O4" s="17"/>
    </row>
    <row r="5" spans="1:15">
      <c r="A5" t="s">
        <v>155</v>
      </c>
      <c r="B5" s="10" t="s">
        <v>156</v>
      </c>
      <c r="C5" s="10" t="s">
        <v>15</v>
      </c>
      <c r="D5" s="10" t="s">
        <v>74</v>
      </c>
      <c r="E5" s="12">
        <v>49.1967</v>
      </c>
      <c r="F5" s="12">
        <v>-123.1815</v>
      </c>
      <c r="G5" s="12">
        <v>2200</v>
      </c>
      <c r="H5" s="12">
        <v>650</v>
      </c>
      <c r="I5" s="13"/>
      <c r="J5" s="13"/>
      <c r="N5" s="17"/>
      <c r="O5" s="17"/>
    </row>
    <row r="6" spans="1:15">
      <c r="A6" t="s">
        <v>72</v>
      </c>
      <c r="B6" s="10" t="s">
        <v>73</v>
      </c>
      <c r="C6" s="10" t="s">
        <v>15</v>
      </c>
      <c r="D6" s="10" t="s">
        <v>74</v>
      </c>
      <c r="E6" s="12">
        <v>43.677700000000002</v>
      </c>
      <c r="F6" s="12">
        <v>-79.624799999999993</v>
      </c>
      <c r="G6" s="12">
        <v>2800</v>
      </c>
      <c r="H6" s="12">
        <v>820</v>
      </c>
      <c r="I6" s="13"/>
      <c r="J6" s="13"/>
      <c r="N6" s="17"/>
      <c r="O6" s="17"/>
    </row>
    <row r="7" spans="1:15">
      <c r="A7" t="s">
        <v>265</v>
      </c>
      <c r="B7" s="10" t="s">
        <v>266</v>
      </c>
      <c r="C7" s="10" t="s">
        <v>54</v>
      </c>
      <c r="D7" s="10" t="s">
        <v>267</v>
      </c>
      <c r="E7" s="12">
        <v>36.691000000000003</v>
      </c>
      <c r="F7" s="12">
        <v>3.2153999999999998</v>
      </c>
      <c r="G7" s="12">
        <v>1400</v>
      </c>
      <c r="H7" s="12">
        <v>400</v>
      </c>
      <c r="I7" s="13"/>
      <c r="J7" s="13"/>
      <c r="N7" s="17"/>
      <c r="O7" s="17"/>
    </row>
    <row r="8" spans="1:15">
      <c r="A8" t="s">
        <v>181</v>
      </c>
      <c r="B8" s="10" t="s">
        <v>182</v>
      </c>
      <c r="C8" s="10" t="s">
        <v>54</v>
      </c>
      <c r="D8" s="10" t="s">
        <v>183</v>
      </c>
      <c r="E8" s="12">
        <v>5.6052</v>
      </c>
      <c r="F8" s="12">
        <v>-0.1668</v>
      </c>
      <c r="G8" s="12">
        <v>1500</v>
      </c>
      <c r="H8" s="12">
        <v>420</v>
      </c>
      <c r="I8" s="13"/>
      <c r="J8" s="13"/>
      <c r="N8" s="17"/>
    </row>
    <row r="9" spans="1:15">
      <c r="A9" t="s">
        <v>118</v>
      </c>
      <c r="B9" s="10" t="s">
        <v>119</v>
      </c>
      <c r="C9" s="10" t="s">
        <v>54</v>
      </c>
      <c r="D9" s="10" t="s">
        <v>120</v>
      </c>
      <c r="E9" s="12">
        <v>6.5773999999999999</v>
      </c>
      <c r="F9" s="12">
        <v>3.3212000000000002</v>
      </c>
      <c r="G9" s="12">
        <v>1300</v>
      </c>
      <c r="H9" s="12">
        <v>350</v>
      </c>
      <c r="I9" s="13"/>
      <c r="J9" s="13"/>
      <c r="N9" s="17"/>
      <c r="O9" s="17"/>
    </row>
    <row r="10" spans="1:15">
      <c r="A10" t="s">
        <v>268</v>
      </c>
      <c r="B10" s="10" t="s">
        <v>269</v>
      </c>
      <c r="C10" s="10" t="s">
        <v>54</v>
      </c>
      <c r="D10" s="10" t="s">
        <v>270</v>
      </c>
      <c r="E10" s="12">
        <v>36.850999999999999</v>
      </c>
      <c r="F10" s="12">
        <v>10.2272</v>
      </c>
      <c r="G10" s="12">
        <v>1200</v>
      </c>
      <c r="H10" s="12">
        <v>350</v>
      </c>
      <c r="I10" s="13"/>
      <c r="J10" s="13"/>
      <c r="N10" s="17"/>
      <c r="O10" s="17"/>
    </row>
    <row r="11" spans="1:15">
      <c r="A11" t="s">
        <v>109</v>
      </c>
      <c r="B11" s="10" t="s">
        <v>110</v>
      </c>
      <c r="C11" s="10" t="s">
        <v>19</v>
      </c>
      <c r="D11" s="10" t="s">
        <v>111</v>
      </c>
      <c r="E11" s="12">
        <v>50.901400000000002</v>
      </c>
      <c r="F11" s="12">
        <v>4.4843999999999999</v>
      </c>
      <c r="G11" s="12">
        <v>2500</v>
      </c>
      <c r="H11" s="12">
        <v>700</v>
      </c>
      <c r="I11" s="13"/>
      <c r="J11" s="13"/>
      <c r="N11" s="17"/>
      <c r="O11" s="17"/>
    </row>
    <row r="12" spans="1:15">
      <c r="A12" t="s">
        <v>39</v>
      </c>
      <c r="B12" s="10" t="s">
        <v>40</v>
      </c>
      <c r="C12" s="10" t="s">
        <v>19</v>
      </c>
      <c r="D12" s="10" t="s">
        <v>41</v>
      </c>
      <c r="E12" s="12">
        <v>50.0379</v>
      </c>
      <c r="F12" s="12">
        <v>8.5622000000000007</v>
      </c>
      <c r="G12" s="12">
        <v>4000</v>
      </c>
      <c r="H12" s="12">
        <v>1150</v>
      </c>
      <c r="I12" s="13"/>
      <c r="J12" s="13"/>
      <c r="N12" s="17"/>
      <c r="O12" s="17"/>
    </row>
    <row r="13" spans="1:15">
      <c r="A13" t="s">
        <v>230</v>
      </c>
      <c r="B13" s="10" t="s">
        <v>231</v>
      </c>
      <c r="C13" s="10" t="s">
        <v>19</v>
      </c>
      <c r="D13" s="10" t="s">
        <v>41</v>
      </c>
      <c r="E13" s="12">
        <v>48.3538</v>
      </c>
      <c r="F13" s="12">
        <v>11.786099999999999</v>
      </c>
      <c r="G13" s="12">
        <v>3800</v>
      </c>
      <c r="H13" s="12">
        <v>1100</v>
      </c>
      <c r="N13" s="17"/>
      <c r="O13" s="17"/>
    </row>
    <row r="14" spans="1:15">
      <c r="A14" t="s">
        <v>250</v>
      </c>
      <c r="B14" s="10" t="s">
        <v>251</v>
      </c>
      <c r="C14" s="10" t="s">
        <v>19</v>
      </c>
      <c r="D14" s="10" t="s">
        <v>252</v>
      </c>
      <c r="E14" s="12">
        <v>59.4133</v>
      </c>
      <c r="F14" s="12">
        <v>24.832799999999999</v>
      </c>
      <c r="G14" s="12">
        <v>1100</v>
      </c>
      <c r="H14" s="12">
        <v>320</v>
      </c>
      <c r="N14" s="17"/>
      <c r="O14" s="17"/>
    </row>
    <row r="15" spans="1:15">
      <c r="A15" t="s">
        <v>256</v>
      </c>
      <c r="B15" s="10" t="s">
        <v>257</v>
      </c>
      <c r="C15" s="10" t="s">
        <v>19</v>
      </c>
      <c r="D15" s="10" t="s">
        <v>258</v>
      </c>
      <c r="E15" s="12">
        <v>60.3172</v>
      </c>
      <c r="F15" s="12">
        <v>24.9633</v>
      </c>
      <c r="G15" s="12">
        <v>2400</v>
      </c>
      <c r="H15" s="12">
        <v>700</v>
      </c>
      <c r="N15" s="17"/>
    </row>
    <row r="16" spans="1:15">
      <c r="A16" t="s">
        <v>128</v>
      </c>
      <c r="B16" s="10" t="s">
        <v>129</v>
      </c>
      <c r="C16" s="10" t="s">
        <v>19</v>
      </c>
      <c r="D16" s="10" t="s">
        <v>20</v>
      </c>
      <c r="E16" s="12">
        <v>51.148099999999999</v>
      </c>
      <c r="F16" s="12">
        <v>-0.1903</v>
      </c>
      <c r="G16" s="12">
        <v>3200</v>
      </c>
      <c r="H16" s="12">
        <v>900</v>
      </c>
    </row>
    <row r="17" spans="1:15">
      <c r="A17" t="s">
        <v>17</v>
      </c>
      <c r="B17" s="10" t="s">
        <v>18</v>
      </c>
      <c r="C17" s="10" t="s">
        <v>19</v>
      </c>
      <c r="D17" s="10" t="s">
        <v>20</v>
      </c>
      <c r="E17" s="12">
        <v>51.47</v>
      </c>
      <c r="F17" s="12">
        <v>-0.45429999999999998</v>
      </c>
      <c r="G17" s="12">
        <v>4500</v>
      </c>
      <c r="H17" s="12">
        <v>1200</v>
      </c>
      <c r="N17" s="17"/>
      <c r="O17" s="17"/>
    </row>
    <row r="18" spans="1:15">
      <c r="A18" t="s">
        <v>58</v>
      </c>
      <c r="B18" s="10" t="s">
        <v>59</v>
      </c>
      <c r="C18" s="10" t="s">
        <v>19</v>
      </c>
      <c r="D18" s="10" t="s">
        <v>60</v>
      </c>
      <c r="E18" s="12">
        <v>52.310499999999998</v>
      </c>
      <c r="F18" s="12">
        <v>4.7683</v>
      </c>
      <c r="G18" s="12">
        <v>3600</v>
      </c>
      <c r="H18" s="12">
        <v>1000</v>
      </c>
      <c r="N18" s="17"/>
      <c r="O18" s="17"/>
    </row>
    <row r="19" spans="1:15">
      <c r="A19" t="s">
        <v>147</v>
      </c>
      <c r="B19" s="10" t="s">
        <v>148</v>
      </c>
      <c r="C19" s="10" t="s">
        <v>19</v>
      </c>
      <c r="D19" s="10" t="s">
        <v>149</v>
      </c>
      <c r="E19" s="12">
        <v>55.618000000000002</v>
      </c>
      <c r="F19" s="12">
        <v>12.6508</v>
      </c>
      <c r="G19" s="12">
        <v>2400</v>
      </c>
      <c r="H19" s="12">
        <v>700</v>
      </c>
      <c r="N19" s="17"/>
      <c r="O19" s="17"/>
    </row>
    <row r="20" spans="1:15">
      <c r="A20" t="s">
        <v>232</v>
      </c>
      <c r="B20" s="10" t="s">
        <v>233</v>
      </c>
      <c r="C20" s="10" t="s">
        <v>19</v>
      </c>
      <c r="D20" s="10" t="s">
        <v>234</v>
      </c>
      <c r="E20" s="12">
        <v>49.6233</v>
      </c>
      <c r="F20" s="12">
        <v>6.2043999999999997</v>
      </c>
      <c r="G20" s="12">
        <v>1800</v>
      </c>
      <c r="H20" s="12">
        <v>500</v>
      </c>
      <c r="N20" s="17"/>
      <c r="O20" s="17"/>
    </row>
    <row r="21" spans="1:15">
      <c r="A21" t="s">
        <v>150</v>
      </c>
      <c r="B21" s="10" t="s">
        <v>151</v>
      </c>
      <c r="C21" s="10" t="s">
        <v>19</v>
      </c>
      <c r="D21" s="10" t="s">
        <v>152</v>
      </c>
      <c r="E21" s="12">
        <v>60.197499999999998</v>
      </c>
      <c r="F21" s="12">
        <v>11.1004</v>
      </c>
      <c r="G21" s="12">
        <v>2300</v>
      </c>
      <c r="H21" s="12">
        <v>680</v>
      </c>
      <c r="N21" s="17"/>
      <c r="O21" s="17"/>
    </row>
    <row r="22" spans="1:15">
      <c r="A22" t="s">
        <v>244</v>
      </c>
      <c r="B22" s="10" t="s">
        <v>245</v>
      </c>
      <c r="C22" s="10" t="s">
        <v>19</v>
      </c>
      <c r="D22" s="10" t="s">
        <v>246</v>
      </c>
      <c r="E22" s="12">
        <v>52.165700000000001</v>
      </c>
      <c r="F22" s="12">
        <v>20.967099999999999</v>
      </c>
      <c r="G22" s="12">
        <v>1800</v>
      </c>
      <c r="H22" s="12">
        <v>550</v>
      </c>
      <c r="N22" s="17"/>
      <c r="O22" s="17"/>
    </row>
    <row r="23" spans="1:15">
      <c r="A23" t="s">
        <v>112</v>
      </c>
      <c r="B23" s="10" t="s">
        <v>113</v>
      </c>
      <c r="C23" s="10" t="s">
        <v>19</v>
      </c>
      <c r="D23" s="10" t="s">
        <v>114</v>
      </c>
      <c r="E23" s="12">
        <v>59.649799999999999</v>
      </c>
      <c r="F23" s="12">
        <v>17.9238</v>
      </c>
      <c r="G23" s="12">
        <v>2200</v>
      </c>
      <c r="H23" s="12">
        <v>650</v>
      </c>
      <c r="N23" s="17"/>
      <c r="O23" s="17"/>
    </row>
    <row r="24" spans="1:15">
      <c r="A24" t="s">
        <v>247</v>
      </c>
      <c r="B24" s="10" t="s">
        <v>248</v>
      </c>
      <c r="C24" s="10" t="s">
        <v>19</v>
      </c>
      <c r="D24" s="10" t="s">
        <v>249</v>
      </c>
      <c r="E24" s="12">
        <v>56.9236</v>
      </c>
      <c r="F24" s="12">
        <v>23.9711</v>
      </c>
      <c r="G24" s="12">
        <v>1200</v>
      </c>
      <c r="H24" s="12">
        <v>350</v>
      </c>
      <c r="N24" s="17"/>
      <c r="O24" s="17"/>
    </row>
    <row r="25" spans="1:15">
      <c r="A25" t="s">
        <v>253</v>
      </c>
      <c r="B25" s="10" t="s">
        <v>254</v>
      </c>
      <c r="C25" s="10" t="s">
        <v>19</v>
      </c>
      <c r="D25" s="10" t="s">
        <v>255</v>
      </c>
      <c r="E25" s="12">
        <v>54.634099999999997</v>
      </c>
      <c r="F25" s="12">
        <v>25.285799999999998</v>
      </c>
      <c r="G25" s="12">
        <v>1200</v>
      </c>
      <c r="H25" s="12">
        <v>350</v>
      </c>
      <c r="N25" s="17"/>
      <c r="O25" s="17"/>
    </row>
    <row r="26" spans="1:15">
      <c r="A26" t="s">
        <v>93</v>
      </c>
      <c r="B26" s="10" t="s">
        <v>94</v>
      </c>
      <c r="C26" s="10" t="s">
        <v>54</v>
      </c>
      <c r="D26" s="10" t="s">
        <v>55</v>
      </c>
      <c r="E26" s="12">
        <v>-33.971499999999999</v>
      </c>
      <c r="F26" s="12">
        <v>18.6021</v>
      </c>
      <c r="G26" s="12">
        <v>1600</v>
      </c>
      <c r="H26" s="12">
        <v>420</v>
      </c>
      <c r="N26" s="17"/>
      <c r="O26" s="17"/>
    </row>
    <row r="27" spans="1:15">
      <c r="A27" t="s">
        <v>52</v>
      </c>
      <c r="B27" s="10" t="s">
        <v>53</v>
      </c>
      <c r="C27" s="10" t="s">
        <v>54</v>
      </c>
      <c r="D27" s="10" t="s">
        <v>55</v>
      </c>
      <c r="E27" s="12">
        <v>-26.136700000000001</v>
      </c>
      <c r="F27" s="12">
        <v>28.241099999999999</v>
      </c>
      <c r="G27" s="12">
        <v>1800</v>
      </c>
      <c r="H27" s="12">
        <v>400</v>
      </c>
      <c r="N27" s="17"/>
      <c r="O27" s="17"/>
    </row>
    <row r="28" spans="1:15">
      <c r="A28" t="s">
        <v>283</v>
      </c>
      <c r="B28" s="10" t="s">
        <v>284</v>
      </c>
      <c r="C28" s="10" t="s">
        <v>54</v>
      </c>
      <c r="D28" s="10" t="s">
        <v>285</v>
      </c>
      <c r="E28" s="12">
        <v>-24.555199999999999</v>
      </c>
      <c r="F28" s="12">
        <v>25.918299999999999</v>
      </c>
      <c r="G28" s="12">
        <v>1100</v>
      </c>
      <c r="H28" s="12">
        <v>320</v>
      </c>
      <c r="N28" s="17"/>
      <c r="O28" s="17"/>
    </row>
    <row r="29" spans="1:15">
      <c r="A29" t="s">
        <v>280</v>
      </c>
      <c r="B29" s="10" t="s">
        <v>281</v>
      </c>
      <c r="C29" s="10" t="s">
        <v>54</v>
      </c>
      <c r="D29" s="10" t="s">
        <v>282</v>
      </c>
      <c r="E29" s="12">
        <v>-25.9208</v>
      </c>
      <c r="F29" s="12">
        <v>32.573099999999997</v>
      </c>
      <c r="G29" s="12">
        <v>1200</v>
      </c>
      <c r="H29" s="12">
        <v>350</v>
      </c>
      <c r="N29" s="17"/>
      <c r="O29" s="17"/>
    </row>
    <row r="30" spans="1:15">
      <c r="A30" t="s">
        <v>286</v>
      </c>
      <c r="B30" s="10" t="s">
        <v>287</v>
      </c>
      <c r="C30" s="10" t="s">
        <v>54</v>
      </c>
      <c r="D30" s="10" t="s">
        <v>288</v>
      </c>
      <c r="E30" s="12">
        <v>-22.479900000000001</v>
      </c>
      <c r="F30" s="12">
        <v>17.4709</v>
      </c>
      <c r="G30" s="12">
        <v>1300</v>
      </c>
      <c r="H30" s="12">
        <v>380</v>
      </c>
      <c r="N30" s="17"/>
    </row>
    <row r="31" spans="1:15">
      <c r="A31" t="s">
        <v>262</v>
      </c>
      <c r="B31" s="10" t="s">
        <v>263</v>
      </c>
      <c r="C31" s="10" t="s">
        <v>54</v>
      </c>
      <c r="D31" s="10" t="s">
        <v>264</v>
      </c>
      <c r="E31" s="12">
        <v>33.3675</v>
      </c>
      <c r="F31" s="12">
        <v>-7.59</v>
      </c>
      <c r="G31" s="12">
        <v>1600</v>
      </c>
      <c r="H31" s="12">
        <v>480</v>
      </c>
      <c r="N31" s="17"/>
      <c r="O31" s="17"/>
    </row>
    <row r="32" spans="1:15">
      <c r="A32" t="s">
        <v>184</v>
      </c>
      <c r="B32" s="10" t="s">
        <v>185</v>
      </c>
      <c r="C32" s="10" t="s">
        <v>54</v>
      </c>
      <c r="D32" s="10" t="s">
        <v>186</v>
      </c>
      <c r="E32" s="12">
        <v>14.671099999999999</v>
      </c>
      <c r="F32" s="12">
        <v>-17.0733</v>
      </c>
      <c r="G32" s="12">
        <v>1300</v>
      </c>
      <c r="H32" s="12">
        <v>350</v>
      </c>
      <c r="N32" s="17"/>
      <c r="O32" s="17"/>
    </row>
    <row r="33" spans="1:15">
      <c r="A33" t="s">
        <v>178</v>
      </c>
      <c r="B33" s="10" t="s">
        <v>179</v>
      </c>
      <c r="C33" s="10" t="s">
        <v>54</v>
      </c>
      <c r="D33" s="10" t="s">
        <v>180</v>
      </c>
      <c r="E33" s="12">
        <v>8.9779</v>
      </c>
      <c r="F33" s="12">
        <v>38.799300000000002</v>
      </c>
      <c r="G33" s="12">
        <v>1400</v>
      </c>
      <c r="H33" s="12">
        <v>380</v>
      </c>
      <c r="N33" s="17"/>
      <c r="O33" s="17"/>
    </row>
    <row r="34" spans="1:15">
      <c r="A34" t="s">
        <v>75</v>
      </c>
      <c r="B34" s="10" t="s">
        <v>76</v>
      </c>
      <c r="C34" s="10" t="s">
        <v>54</v>
      </c>
      <c r="D34" s="10" t="s">
        <v>77</v>
      </c>
      <c r="E34" s="12">
        <v>30.1219</v>
      </c>
      <c r="F34" s="12">
        <v>31.4056</v>
      </c>
      <c r="G34" s="12">
        <v>1500</v>
      </c>
      <c r="H34" s="12">
        <v>400</v>
      </c>
      <c r="N34" s="17"/>
      <c r="O34" s="17"/>
    </row>
    <row r="35" spans="1:15">
      <c r="A35" t="s">
        <v>121</v>
      </c>
      <c r="B35" s="10" t="s">
        <v>122</v>
      </c>
      <c r="C35" s="10" t="s">
        <v>54</v>
      </c>
      <c r="D35" s="10" t="s">
        <v>123</v>
      </c>
      <c r="E35" s="12">
        <v>-1.3191999999999999</v>
      </c>
      <c r="F35" s="12">
        <v>36.927500000000002</v>
      </c>
      <c r="G35" s="12">
        <v>1200</v>
      </c>
      <c r="H35" s="12">
        <v>320</v>
      </c>
      <c r="N35" s="17"/>
      <c r="O35" s="17"/>
    </row>
    <row r="36" spans="1:15">
      <c r="A36" t="s">
        <v>271</v>
      </c>
      <c r="B36" s="10" t="s">
        <v>272</v>
      </c>
      <c r="C36" s="10" t="s">
        <v>54</v>
      </c>
      <c r="D36" s="10" t="s">
        <v>273</v>
      </c>
      <c r="E36" s="12">
        <v>15.589499999999999</v>
      </c>
      <c r="F36" s="12">
        <v>32.553199999999997</v>
      </c>
      <c r="G36" s="12">
        <v>1100</v>
      </c>
      <c r="H36" s="12">
        <v>300</v>
      </c>
      <c r="N36" s="17"/>
      <c r="O36" s="17"/>
    </row>
    <row r="37" spans="1:15">
      <c r="A37" t="s">
        <v>277</v>
      </c>
      <c r="B37" s="10" t="s">
        <v>278</v>
      </c>
      <c r="C37" s="10" t="s">
        <v>54</v>
      </c>
      <c r="D37" s="10" t="s">
        <v>279</v>
      </c>
      <c r="E37" s="12">
        <v>-6.8780999999999999</v>
      </c>
      <c r="F37" s="12">
        <v>39.202599999999997</v>
      </c>
      <c r="G37" s="12">
        <v>1400</v>
      </c>
      <c r="H37" s="12">
        <v>420</v>
      </c>
      <c r="O37" s="17"/>
    </row>
    <row r="38" spans="1:15">
      <c r="A38" t="s">
        <v>274</v>
      </c>
      <c r="B38" s="10" t="s">
        <v>275</v>
      </c>
      <c r="C38" s="10" t="s">
        <v>54</v>
      </c>
      <c r="D38" s="10" t="s">
        <v>276</v>
      </c>
      <c r="E38" s="12">
        <v>4.24E-2</v>
      </c>
      <c r="F38" s="12">
        <v>32.4435</v>
      </c>
      <c r="G38" s="12">
        <v>1300</v>
      </c>
      <c r="H38" s="12">
        <v>380</v>
      </c>
      <c r="N38" s="17"/>
      <c r="O38" s="17"/>
    </row>
    <row r="39" spans="1:15">
      <c r="A39" t="s">
        <v>13</v>
      </c>
      <c r="B39" s="10" t="s">
        <v>14</v>
      </c>
      <c r="C39" s="10" t="s">
        <v>15</v>
      </c>
      <c r="D39" s="10" t="s">
        <v>16</v>
      </c>
      <c r="E39" s="12">
        <v>33.640700000000002</v>
      </c>
      <c r="F39" s="12">
        <v>-84.427700000000002</v>
      </c>
      <c r="G39" s="12">
        <v>1200</v>
      </c>
      <c r="H39" s="12">
        <v>450</v>
      </c>
      <c r="N39" s="17"/>
      <c r="O39" s="17"/>
    </row>
    <row r="40" spans="1:15">
      <c r="A40" t="s">
        <v>187</v>
      </c>
      <c r="B40" s="10" t="s">
        <v>188</v>
      </c>
      <c r="C40" s="10" t="s">
        <v>15</v>
      </c>
      <c r="D40" s="10" t="s">
        <v>16</v>
      </c>
      <c r="E40" s="12">
        <v>42.365600000000001</v>
      </c>
      <c r="F40" s="12">
        <v>-71.009600000000006</v>
      </c>
      <c r="G40" s="12">
        <v>1600</v>
      </c>
      <c r="H40" s="12">
        <v>520</v>
      </c>
      <c r="N40" s="17"/>
      <c r="O40" s="17"/>
    </row>
    <row r="41" spans="1:15">
      <c r="A41" t="s">
        <v>195</v>
      </c>
      <c r="B41" s="10" t="s">
        <v>196</v>
      </c>
      <c r="C41" s="10" t="s">
        <v>15</v>
      </c>
      <c r="D41" s="10" t="s">
        <v>16</v>
      </c>
      <c r="E41" s="12">
        <v>39.856099999999998</v>
      </c>
      <c r="F41" s="12">
        <v>-104.6737</v>
      </c>
      <c r="G41" s="12">
        <v>1300</v>
      </c>
      <c r="H41" s="12">
        <v>450</v>
      </c>
      <c r="N41" s="17"/>
      <c r="O41" s="17"/>
    </row>
    <row r="42" spans="1:15">
      <c r="A42" t="s">
        <v>124</v>
      </c>
      <c r="B42" s="10" t="s">
        <v>125</v>
      </c>
      <c r="C42" s="10" t="s">
        <v>15</v>
      </c>
      <c r="D42" s="10" t="s">
        <v>16</v>
      </c>
      <c r="E42" s="12">
        <v>32.899799999999999</v>
      </c>
      <c r="F42" s="12">
        <v>-97.040300000000002</v>
      </c>
      <c r="G42" s="12">
        <v>1400</v>
      </c>
      <c r="H42" s="12">
        <v>500</v>
      </c>
      <c r="N42" s="17"/>
      <c r="O42" s="17"/>
    </row>
    <row r="43" spans="1:15">
      <c r="A43" t="s">
        <v>199</v>
      </c>
      <c r="B43" s="10" t="s">
        <v>200</v>
      </c>
      <c r="C43" s="10" t="s">
        <v>15</v>
      </c>
      <c r="D43" s="10" t="s">
        <v>16</v>
      </c>
      <c r="E43" s="12">
        <v>40.689500000000002</v>
      </c>
      <c r="F43" s="12">
        <v>-74.174499999999995</v>
      </c>
      <c r="G43" s="12">
        <v>1900</v>
      </c>
      <c r="H43" s="12">
        <v>600</v>
      </c>
      <c r="N43" s="17"/>
      <c r="O43" s="17"/>
    </row>
    <row r="44" spans="1:15">
      <c r="A44" t="s">
        <v>189</v>
      </c>
      <c r="B44" s="10" t="s">
        <v>190</v>
      </c>
      <c r="C44" s="10" t="s">
        <v>15</v>
      </c>
      <c r="D44" s="10" t="s">
        <v>16</v>
      </c>
      <c r="E44" s="12">
        <v>38.944499999999998</v>
      </c>
      <c r="F44" s="12">
        <v>-77.455799999999996</v>
      </c>
      <c r="G44" s="12">
        <v>1700</v>
      </c>
      <c r="H44" s="12">
        <v>550</v>
      </c>
      <c r="N44" s="17"/>
      <c r="O44" s="17"/>
    </row>
    <row r="45" spans="1:15">
      <c r="A45" t="s">
        <v>61</v>
      </c>
      <c r="B45" s="10" t="s">
        <v>62</v>
      </c>
      <c r="C45" s="10" t="s">
        <v>15</v>
      </c>
      <c r="D45" s="10" t="s">
        <v>16</v>
      </c>
      <c r="E45" s="12">
        <v>40.641300000000001</v>
      </c>
      <c r="F45" s="12">
        <v>-73.778099999999995</v>
      </c>
      <c r="G45" s="12">
        <v>2000</v>
      </c>
      <c r="H45" s="12">
        <v>700</v>
      </c>
      <c r="N45" s="17"/>
      <c r="O45" s="17"/>
    </row>
    <row r="46" spans="1:15">
      <c r="A46" t="s">
        <v>28</v>
      </c>
      <c r="B46" s="10" t="s">
        <v>29</v>
      </c>
      <c r="C46" s="10" t="s">
        <v>15</v>
      </c>
      <c r="D46" s="10" t="s">
        <v>16</v>
      </c>
      <c r="E46" s="12">
        <v>33.941600000000001</v>
      </c>
      <c r="F46" s="12">
        <v>-118.4085</v>
      </c>
      <c r="G46" s="12">
        <v>1500</v>
      </c>
      <c r="H46" s="12">
        <v>500</v>
      </c>
      <c r="N46" s="17"/>
      <c r="O46" s="17"/>
    </row>
    <row r="47" spans="1:15">
      <c r="A47" t="s">
        <v>191</v>
      </c>
      <c r="B47" s="10" t="s">
        <v>192</v>
      </c>
      <c r="C47" s="10" t="s">
        <v>15</v>
      </c>
      <c r="D47" s="10" t="s">
        <v>16</v>
      </c>
      <c r="E47" s="12">
        <v>25.7959</v>
      </c>
      <c r="F47" s="12">
        <v>-80.287099999999995</v>
      </c>
      <c r="G47" s="12">
        <v>1900</v>
      </c>
      <c r="H47" s="12">
        <v>580</v>
      </c>
      <c r="N47" s="17"/>
      <c r="O47" s="17"/>
    </row>
    <row r="48" spans="1:15">
      <c r="A48" t="s">
        <v>201</v>
      </c>
      <c r="B48" s="10" t="s">
        <v>202</v>
      </c>
      <c r="C48" s="10" t="s">
        <v>15</v>
      </c>
      <c r="D48" s="10" t="s">
        <v>16</v>
      </c>
      <c r="E48" s="12">
        <v>29.991099999999999</v>
      </c>
      <c r="F48" s="12">
        <v>-90.259200000000007</v>
      </c>
      <c r="G48" s="12">
        <v>1100</v>
      </c>
      <c r="H48" s="12">
        <v>350</v>
      </c>
      <c r="N48" s="17"/>
      <c r="O48" s="17"/>
    </row>
    <row r="49" spans="1:15">
      <c r="A49" t="s">
        <v>42</v>
      </c>
      <c r="B49" s="10" t="s">
        <v>43</v>
      </c>
      <c r="C49" s="10" t="s">
        <v>15</v>
      </c>
      <c r="D49" s="10" t="s">
        <v>16</v>
      </c>
      <c r="E49" s="12">
        <v>41.974200000000003</v>
      </c>
      <c r="F49" s="12">
        <v>-87.907300000000006</v>
      </c>
      <c r="G49" s="12">
        <v>1300</v>
      </c>
      <c r="H49" s="12">
        <v>480</v>
      </c>
      <c r="N49" s="17"/>
      <c r="O49" s="17"/>
    </row>
    <row r="50" spans="1:15">
      <c r="A50" t="s">
        <v>197</v>
      </c>
      <c r="B50" s="10" t="s">
        <v>198</v>
      </c>
      <c r="C50" s="10" t="s">
        <v>15</v>
      </c>
      <c r="D50" s="10" t="s">
        <v>16</v>
      </c>
      <c r="E50" s="12">
        <v>33.434199999999997</v>
      </c>
      <c r="F50" s="12">
        <v>-112.0081</v>
      </c>
      <c r="G50" s="12">
        <v>1200</v>
      </c>
      <c r="H50" s="12">
        <v>420</v>
      </c>
      <c r="N50" s="17"/>
      <c r="O50" s="17"/>
    </row>
    <row r="51" spans="1:15">
      <c r="A51" t="s">
        <v>193</v>
      </c>
      <c r="B51" s="10" t="s">
        <v>194</v>
      </c>
      <c r="C51" s="10" t="s">
        <v>15</v>
      </c>
      <c r="D51" s="10" t="s">
        <v>16</v>
      </c>
      <c r="E51" s="12">
        <v>47.450200000000002</v>
      </c>
      <c r="F51" s="12">
        <v>-122.30880000000001</v>
      </c>
      <c r="G51" s="12">
        <v>1500</v>
      </c>
      <c r="H51" s="12">
        <v>480</v>
      </c>
      <c r="N51" s="17"/>
      <c r="O51" s="17"/>
    </row>
    <row r="52" spans="1:15">
      <c r="A52" t="s">
        <v>126</v>
      </c>
      <c r="B52" s="10" t="s">
        <v>127</v>
      </c>
      <c r="C52" s="10" t="s">
        <v>15</v>
      </c>
      <c r="D52" s="10" t="s">
        <v>16</v>
      </c>
      <c r="E52" s="12">
        <v>37.621299999999998</v>
      </c>
      <c r="F52" s="12">
        <v>-122.379</v>
      </c>
      <c r="G52" s="12">
        <v>1800</v>
      </c>
      <c r="H52" s="12">
        <v>600</v>
      </c>
      <c r="N52" s="17"/>
      <c r="O52" s="17"/>
    </row>
    <row r="53" spans="1:15">
      <c r="A53" t="s">
        <v>224</v>
      </c>
      <c r="B53" s="10" t="s">
        <v>225</v>
      </c>
      <c r="C53" s="10" t="s">
        <v>19</v>
      </c>
      <c r="D53" s="10" t="s">
        <v>68</v>
      </c>
      <c r="E53" s="12">
        <v>41.297400000000003</v>
      </c>
      <c r="F53" s="12">
        <v>2.0832999999999999</v>
      </c>
      <c r="G53" s="12">
        <v>2300</v>
      </c>
      <c r="H53" s="12">
        <v>680</v>
      </c>
      <c r="N53" s="17"/>
      <c r="O53" s="17"/>
    </row>
    <row r="54" spans="1:15">
      <c r="A54" t="s">
        <v>66</v>
      </c>
      <c r="B54" s="10" t="s">
        <v>67</v>
      </c>
      <c r="C54" s="10" t="s">
        <v>19</v>
      </c>
      <c r="D54" s="10" t="s">
        <v>68</v>
      </c>
      <c r="E54" s="12">
        <v>40.471899999999998</v>
      </c>
      <c r="F54" s="12">
        <v>-3.5626000000000002</v>
      </c>
      <c r="G54" s="12">
        <v>2400</v>
      </c>
      <c r="H54" s="12">
        <v>700</v>
      </c>
      <c r="N54" s="17"/>
      <c r="O54" s="17"/>
    </row>
    <row r="55" spans="1:15">
      <c r="A55" t="s">
        <v>226</v>
      </c>
      <c r="B55" s="10" t="s">
        <v>227</v>
      </c>
      <c r="C55" s="10" t="s">
        <v>19</v>
      </c>
      <c r="D55" s="10" t="s">
        <v>32</v>
      </c>
      <c r="E55" s="12">
        <v>43.6584</v>
      </c>
      <c r="F55" s="12">
        <v>7.2159000000000004</v>
      </c>
      <c r="G55" s="12">
        <v>2000</v>
      </c>
      <c r="H55" s="12">
        <v>580</v>
      </c>
      <c r="N55" s="17"/>
      <c r="O55" s="17"/>
    </row>
    <row r="56" spans="1:15">
      <c r="A56" t="s">
        <v>30</v>
      </c>
      <c r="B56" s="10" t="s">
        <v>31</v>
      </c>
      <c r="C56" s="10" t="s">
        <v>19</v>
      </c>
      <c r="D56" s="10" t="s">
        <v>32</v>
      </c>
      <c r="E56" s="12">
        <v>49.009700000000002</v>
      </c>
      <c r="F56" s="12">
        <v>2.5478999999999998</v>
      </c>
      <c r="G56" s="12">
        <v>3800</v>
      </c>
      <c r="H56" s="12">
        <v>1100</v>
      </c>
      <c r="N56" s="17"/>
      <c r="O56" s="17"/>
    </row>
    <row r="57" spans="1:15">
      <c r="A57" t="s">
        <v>235</v>
      </c>
      <c r="B57" s="10" t="s">
        <v>236</v>
      </c>
      <c r="C57" s="10" t="s">
        <v>19</v>
      </c>
      <c r="D57" s="10" t="s">
        <v>237</v>
      </c>
      <c r="E57" s="12">
        <v>37.935600000000001</v>
      </c>
      <c r="F57" s="12">
        <v>23.944500000000001</v>
      </c>
      <c r="G57" s="12">
        <v>2200</v>
      </c>
      <c r="H57" s="12">
        <v>650</v>
      </c>
    </row>
    <row r="58" spans="1:15">
      <c r="A58" t="s">
        <v>241</v>
      </c>
      <c r="B58" s="10" t="s">
        <v>242</v>
      </c>
      <c r="C58" s="10" t="s">
        <v>19</v>
      </c>
      <c r="D58" s="10" t="s">
        <v>243</v>
      </c>
      <c r="E58" s="12">
        <v>47.433300000000003</v>
      </c>
      <c r="F58" s="12">
        <v>19.2333</v>
      </c>
      <c r="G58" s="12">
        <v>1700</v>
      </c>
      <c r="H58" s="12">
        <v>500</v>
      </c>
      <c r="O58" s="17"/>
    </row>
    <row r="59" spans="1:15">
      <c r="A59" t="s">
        <v>142</v>
      </c>
      <c r="B59" s="10" t="s">
        <v>143</v>
      </c>
      <c r="C59" s="10" t="s">
        <v>19</v>
      </c>
      <c r="D59" s="10" t="s">
        <v>144</v>
      </c>
      <c r="E59" s="12">
        <v>45.63</v>
      </c>
      <c r="F59" s="12">
        <v>8.7231000000000005</v>
      </c>
      <c r="G59" s="12">
        <v>2500</v>
      </c>
      <c r="H59" s="12">
        <v>720</v>
      </c>
      <c r="N59" s="17"/>
      <c r="O59" s="17"/>
    </row>
    <row r="60" spans="1:15">
      <c r="A60" t="s">
        <v>145</v>
      </c>
      <c r="B60" s="10" t="s">
        <v>146</v>
      </c>
      <c r="C60" s="10" t="s">
        <v>19</v>
      </c>
      <c r="D60" s="10" t="s">
        <v>144</v>
      </c>
      <c r="E60" s="12">
        <v>41.8003</v>
      </c>
      <c r="F60" s="12">
        <v>12.238899999999999</v>
      </c>
      <c r="G60" s="12">
        <v>2600</v>
      </c>
      <c r="H60" s="12">
        <v>750</v>
      </c>
      <c r="N60" s="17"/>
      <c r="O60" s="17"/>
    </row>
    <row r="61" spans="1:15">
      <c r="A61" t="s">
        <v>407</v>
      </c>
      <c r="B61" s="10" t="s">
        <v>408</v>
      </c>
      <c r="C61" s="10" t="s">
        <v>23</v>
      </c>
      <c r="D61" s="10" t="s">
        <v>409</v>
      </c>
      <c r="E61" s="12">
        <v>32.005499999999998</v>
      </c>
      <c r="F61" s="12">
        <v>34.885399999999997</v>
      </c>
      <c r="G61" s="12">
        <v>2800</v>
      </c>
      <c r="H61" s="12">
        <v>800</v>
      </c>
      <c r="N61" s="17"/>
      <c r="O61" s="17"/>
    </row>
    <row r="62" spans="1:15">
      <c r="A62" t="s">
        <v>130</v>
      </c>
      <c r="B62" s="10" t="s">
        <v>131</v>
      </c>
      <c r="C62" s="10" t="s">
        <v>19</v>
      </c>
      <c r="D62" s="10" t="s">
        <v>132</v>
      </c>
      <c r="E62" s="12">
        <v>48.110300000000002</v>
      </c>
      <c r="F62" s="12">
        <v>16.569700000000001</v>
      </c>
      <c r="G62" s="12">
        <v>2800</v>
      </c>
      <c r="H62" s="12">
        <v>800</v>
      </c>
      <c r="N62" s="17"/>
      <c r="O62" s="17"/>
    </row>
    <row r="63" spans="1:15">
      <c r="A63" t="s">
        <v>221</v>
      </c>
      <c r="B63" s="10" t="s">
        <v>222</v>
      </c>
      <c r="C63" s="10" t="s">
        <v>19</v>
      </c>
      <c r="D63" s="10" t="s">
        <v>223</v>
      </c>
      <c r="E63" s="12">
        <v>38.7742</v>
      </c>
      <c r="F63" s="12">
        <v>-9.1341999999999999</v>
      </c>
      <c r="G63" s="12">
        <v>2100</v>
      </c>
      <c r="H63" s="12">
        <v>600</v>
      </c>
      <c r="N63" s="17"/>
      <c r="O63" s="17"/>
    </row>
    <row r="64" spans="1:15">
      <c r="A64" t="s">
        <v>238</v>
      </c>
      <c r="B64" s="10" t="s">
        <v>239</v>
      </c>
      <c r="C64" s="10" t="s">
        <v>19</v>
      </c>
      <c r="D64" s="10" t="s">
        <v>240</v>
      </c>
      <c r="E64" s="12">
        <v>44.570900000000002</v>
      </c>
      <c r="F64" s="12">
        <v>26.084399999999999</v>
      </c>
      <c r="G64" s="12">
        <v>1500</v>
      </c>
      <c r="H64" s="12">
        <v>450</v>
      </c>
      <c r="N64" s="17"/>
      <c r="O64" s="17"/>
    </row>
    <row r="65" spans="1:15">
      <c r="A65" t="s">
        <v>228</v>
      </c>
      <c r="B65" s="10" t="s">
        <v>229</v>
      </c>
      <c r="C65" s="10" t="s">
        <v>19</v>
      </c>
      <c r="D65" s="10" t="s">
        <v>85</v>
      </c>
      <c r="E65" s="12">
        <v>46.237000000000002</v>
      </c>
      <c r="F65" s="12">
        <v>6.1090999999999998</v>
      </c>
      <c r="G65" s="12">
        <v>3500</v>
      </c>
      <c r="H65" s="12">
        <v>1000</v>
      </c>
      <c r="N65" s="17"/>
      <c r="O65" s="17"/>
    </row>
    <row r="66" spans="1:15">
      <c r="A66" t="s">
        <v>83</v>
      </c>
      <c r="B66" s="10" t="s">
        <v>84</v>
      </c>
      <c r="C66" s="10" t="s">
        <v>19</v>
      </c>
      <c r="D66" s="10" t="s">
        <v>85</v>
      </c>
      <c r="E66" s="12">
        <v>47.458199999999998</v>
      </c>
      <c r="F66" s="12">
        <v>8.5480999999999998</v>
      </c>
      <c r="G66" s="12">
        <v>4200</v>
      </c>
      <c r="H66" s="12">
        <v>1200</v>
      </c>
      <c r="N66" s="17"/>
      <c r="O66" s="17"/>
    </row>
    <row r="67" spans="1:15">
      <c r="A67" t="s">
        <v>89</v>
      </c>
      <c r="B67" s="10" t="s">
        <v>90</v>
      </c>
      <c r="C67" s="10" t="s">
        <v>91</v>
      </c>
      <c r="D67" s="10" t="s">
        <v>92</v>
      </c>
      <c r="E67" s="12">
        <v>41.275300000000001</v>
      </c>
      <c r="F67" s="12">
        <v>28.751899999999999</v>
      </c>
      <c r="G67" s="12">
        <v>2900</v>
      </c>
      <c r="H67" s="12">
        <v>750</v>
      </c>
      <c r="N67" s="17"/>
      <c r="O67" s="17"/>
    </row>
    <row r="68" spans="1:15">
      <c r="A68" t="s">
        <v>101</v>
      </c>
      <c r="B68" s="10" t="s">
        <v>102</v>
      </c>
      <c r="C68" s="10" t="s">
        <v>15</v>
      </c>
      <c r="D68" s="10" t="s">
        <v>103</v>
      </c>
      <c r="E68" s="12">
        <v>19.4361</v>
      </c>
      <c r="F68" s="12">
        <v>-99.071899999999999</v>
      </c>
      <c r="G68" s="12">
        <v>1800</v>
      </c>
      <c r="H68" s="12">
        <v>500</v>
      </c>
      <c r="N68" s="17"/>
      <c r="O68" s="17"/>
    </row>
    <row r="69" spans="1:15">
      <c r="A69" t="s">
        <v>215</v>
      </c>
      <c r="B69" s="10" t="s">
        <v>216</v>
      </c>
      <c r="C69" s="10" t="s">
        <v>15</v>
      </c>
      <c r="D69" s="10" t="s">
        <v>217</v>
      </c>
      <c r="E69" s="12">
        <v>9.0714000000000006</v>
      </c>
      <c r="F69" s="12">
        <v>-79.383499999999998</v>
      </c>
      <c r="G69" s="12">
        <v>1900</v>
      </c>
      <c r="H69" s="12">
        <v>520</v>
      </c>
      <c r="N69" s="17"/>
      <c r="O69" s="17"/>
    </row>
    <row r="70" spans="1:15">
      <c r="A70" t="s">
        <v>343</v>
      </c>
      <c r="B70" s="10" t="s">
        <v>344</v>
      </c>
      <c r="C70" s="10" t="s">
        <v>50</v>
      </c>
      <c r="D70" s="10" t="s">
        <v>345</v>
      </c>
      <c r="E70" s="12">
        <v>-17.755400000000002</v>
      </c>
      <c r="F70" s="12">
        <v>177.44300000000001</v>
      </c>
      <c r="G70" s="12">
        <v>1800</v>
      </c>
      <c r="H70" s="12">
        <v>500</v>
      </c>
      <c r="N70" s="17"/>
      <c r="O70" s="17"/>
    </row>
    <row r="71" spans="1:15">
      <c r="A71" t="s">
        <v>346</v>
      </c>
      <c r="B71" s="10" t="s">
        <v>347</v>
      </c>
      <c r="C71" s="10" t="s">
        <v>50</v>
      </c>
      <c r="D71" s="10" t="s">
        <v>348</v>
      </c>
      <c r="E71" s="12">
        <v>1.3811</v>
      </c>
      <c r="F71" s="12">
        <v>173.14699999999999</v>
      </c>
      <c r="G71" s="12">
        <v>1100</v>
      </c>
      <c r="H71" s="12">
        <v>300</v>
      </c>
      <c r="N71" s="17"/>
    </row>
    <row r="72" spans="1:15">
      <c r="A72" t="s">
        <v>349</v>
      </c>
      <c r="B72" s="10" t="s">
        <v>350</v>
      </c>
      <c r="C72" s="10" t="s">
        <v>50</v>
      </c>
      <c r="D72" s="10" t="s">
        <v>351</v>
      </c>
      <c r="E72" s="12">
        <v>-19.0792</v>
      </c>
      <c r="F72" s="12">
        <v>-169.92500000000001</v>
      </c>
      <c r="G72" s="12">
        <v>1000</v>
      </c>
      <c r="H72" s="12">
        <v>250</v>
      </c>
      <c r="N72" s="17"/>
    </row>
    <row r="73" spans="1:15">
      <c r="A73" t="s">
        <v>340</v>
      </c>
      <c r="B73" s="10" t="s">
        <v>341</v>
      </c>
      <c r="C73" s="10" t="s">
        <v>50</v>
      </c>
      <c r="D73" s="10" t="s">
        <v>342</v>
      </c>
      <c r="E73" s="12">
        <v>-14.331</v>
      </c>
      <c r="F73" s="12">
        <v>-170.71</v>
      </c>
      <c r="G73" s="12">
        <v>1200</v>
      </c>
      <c r="H73" s="12">
        <v>350</v>
      </c>
      <c r="N73" s="17"/>
      <c r="O73" s="17"/>
    </row>
    <row r="74" spans="1:15">
      <c r="A74" t="s">
        <v>352</v>
      </c>
      <c r="B74" s="10" t="s">
        <v>353</v>
      </c>
      <c r="C74" s="10" t="s">
        <v>50</v>
      </c>
      <c r="D74" s="10" t="s">
        <v>354</v>
      </c>
      <c r="E74" s="12">
        <v>-17.699400000000001</v>
      </c>
      <c r="F74" s="12">
        <v>168.32</v>
      </c>
      <c r="G74" s="12">
        <v>1200</v>
      </c>
      <c r="H74" s="12">
        <v>350</v>
      </c>
      <c r="N74" s="17"/>
      <c r="O74" s="17"/>
    </row>
    <row r="75" spans="1:15">
      <c r="A75" t="s">
        <v>95</v>
      </c>
      <c r="B75" s="10" t="s">
        <v>96</v>
      </c>
      <c r="C75" s="10" t="s">
        <v>50</v>
      </c>
      <c r="D75" s="10" t="s">
        <v>97</v>
      </c>
      <c r="E75" s="12">
        <v>-37.008099999999999</v>
      </c>
      <c r="F75" s="12">
        <v>174.792</v>
      </c>
      <c r="G75" s="12">
        <v>2700</v>
      </c>
      <c r="H75" s="12">
        <v>700</v>
      </c>
      <c r="N75" s="17"/>
      <c r="O75" s="17"/>
    </row>
    <row r="76" spans="1:15">
      <c r="A76" t="s">
        <v>336</v>
      </c>
      <c r="B76" s="10" t="s">
        <v>337</v>
      </c>
      <c r="C76" s="10" t="s">
        <v>50</v>
      </c>
      <c r="D76" s="10" t="s">
        <v>97</v>
      </c>
      <c r="E76" s="12">
        <v>-43.489400000000003</v>
      </c>
      <c r="F76" s="12">
        <v>172.53100000000001</v>
      </c>
      <c r="G76" s="12">
        <v>2100</v>
      </c>
      <c r="H76" s="12">
        <v>600</v>
      </c>
      <c r="N76" s="17"/>
      <c r="O76" s="17"/>
    </row>
    <row r="77" spans="1:15">
      <c r="A77" t="s">
        <v>338</v>
      </c>
      <c r="B77" s="10" t="s">
        <v>339</v>
      </c>
      <c r="C77" s="10" t="s">
        <v>50</v>
      </c>
      <c r="D77" s="10" t="s">
        <v>97</v>
      </c>
      <c r="E77" s="12">
        <v>-41.327199999999998</v>
      </c>
      <c r="F77" s="12">
        <v>174.80500000000001</v>
      </c>
      <c r="G77" s="12">
        <v>1900</v>
      </c>
      <c r="H77" s="12">
        <v>550</v>
      </c>
      <c r="N77" s="17"/>
      <c r="O77" s="17"/>
    </row>
    <row r="78" spans="1:15">
      <c r="A78" t="s">
        <v>377</v>
      </c>
      <c r="B78" s="10" t="s">
        <v>378</v>
      </c>
      <c r="C78" s="10" t="s">
        <v>23</v>
      </c>
      <c r="D78" s="10" t="s">
        <v>379</v>
      </c>
      <c r="E78" s="12">
        <v>34.565800000000003</v>
      </c>
      <c r="F78" s="12">
        <v>69.212299999999999</v>
      </c>
      <c r="G78" s="12">
        <v>1100</v>
      </c>
      <c r="H78" s="12">
        <v>300</v>
      </c>
      <c r="N78" s="17"/>
      <c r="O78" s="17"/>
    </row>
    <row r="79" spans="1:15">
      <c r="A79" t="s">
        <v>169</v>
      </c>
      <c r="B79" s="10" t="s">
        <v>170</v>
      </c>
      <c r="C79" s="10" t="s">
        <v>23</v>
      </c>
      <c r="D79" s="10" t="s">
        <v>171</v>
      </c>
      <c r="E79" s="12">
        <v>26.270800000000001</v>
      </c>
      <c r="F79" s="12">
        <v>50.633600000000001</v>
      </c>
      <c r="G79" s="12">
        <v>1700</v>
      </c>
      <c r="H79" s="12">
        <v>450</v>
      </c>
      <c r="N79" s="17"/>
      <c r="O79" s="17"/>
    </row>
    <row r="80" spans="1:15">
      <c r="A80" t="s">
        <v>395</v>
      </c>
      <c r="B80" s="10" t="s">
        <v>396</v>
      </c>
      <c r="C80" s="10" t="s">
        <v>23</v>
      </c>
      <c r="D80" s="10" t="s">
        <v>397</v>
      </c>
      <c r="E80" s="12">
        <v>26.4711</v>
      </c>
      <c r="F80" s="12">
        <v>49.797800000000002</v>
      </c>
      <c r="G80" s="12">
        <v>2400</v>
      </c>
      <c r="H80" s="12">
        <v>700</v>
      </c>
      <c r="N80" s="17"/>
      <c r="O80" s="17"/>
    </row>
    <row r="81" spans="1:15">
      <c r="A81" t="s">
        <v>400</v>
      </c>
      <c r="B81" s="10" t="s">
        <v>401</v>
      </c>
      <c r="C81" s="10" t="s">
        <v>23</v>
      </c>
      <c r="D81" s="10" t="s">
        <v>397</v>
      </c>
      <c r="E81" s="12">
        <v>21.679600000000001</v>
      </c>
      <c r="F81" s="12">
        <v>39.156500000000001</v>
      </c>
      <c r="G81" s="12">
        <v>2600</v>
      </c>
      <c r="H81" s="12">
        <v>750</v>
      </c>
      <c r="N81" s="17"/>
      <c r="O81" s="17"/>
    </row>
    <row r="82" spans="1:15">
      <c r="A82" t="s">
        <v>402</v>
      </c>
      <c r="B82" s="10" t="s">
        <v>403</v>
      </c>
      <c r="C82" s="10" t="s">
        <v>23</v>
      </c>
      <c r="D82" s="10" t="s">
        <v>397</v>
      </c>
      <c r="E82" s="12">
        <v>24.5534</v>
      </c>
      <c r="F82" s="12">
        <v>39.705100000000002</v>
      </c>
      <c r="G82" s="12">
        <v>2100</v>
      </c>
      <c r="H82" s="12">
        <v>600</v>
      </c>
      <c r="N82" s="17"/>
      <c r="O82" s="17"/>
    </row>
    <row r="83" spans="1:15">
      <c r="A83" t="s">
        <v>398</v>
      </c>
      <c r="B83" s="10" t="s">
        <v>399</v>
      </c>
      <c r="C83" s="10" t="s">
        <v>23</v>
      </c>
      <c r="D83" s="10" t="s">
        <v>397</v>
      </c>
      <c r="E83" s="12">
        <v>24.957599999999999</v>
      </c>
      <c r="F83" s="12">
        <v>46.698799999999999</v>
      </c>
      <c r="G83" s="12">
        <v>2500</v>
      </c>
      <c r="H83" s="12">
        <v>720</v>
      </c>
      <c r="N83" s="17"/>
      <c r="O83" s="17"/>
    </row>
    <row r="84" spans="1:15">
      <c r="A84" t="s">
        <v>387</v>
      </c>
      <c r="B84" s="10" t="s">
        <v>388</v>
      </c>
      <c r="C84" s="10" t="s">
        <v>23</v>
      </c>
      <c r="D84" s="10" t="s">
        <v>389</v>
      </c>
      <c r="E84" s="12">
        <v>35.4161</v>
      </c>
      <c r="F84" s="12">
        <v>51.152200000000001</v>
      </c>
      <c r="G84" s="12">
        <v>1600</v>
      </c>
      <c r="H84" s="12">
        <v>450</v>
      </c>
      <c r="N84" s="17"/>
      <c r="O84" s="17"/>
    </row>
    <row r="85" spans="1:15">
      <c r="A85" t="s">
        <v>390</v>
      </c>
      <c r="B85" s="10" t="s">
        <v>391</v>
      </c>
      <c r="C85" s="10" t="s">
        <v>23</v>
      </c>
      <c r="D85" s="10" t="s">
        <v>389</v>
      </c>
      <c r="E85" s="12">
        <v>35.6892</v>
      </c>
      <c r="F85" s="12">
        <v>51.313400000000001</v>
      </c>
      <c r="G85" s="12">
        <v>1400</v>
      </c>
      <c r="H85" s="12">
        <v>400</v>
      </c>
      <c r="N85" s="17"/>
      <c r="O85" s="17"/>
    </row>
    <row r="86" spans="1:15">
      <c r="A86" t="s">
        <v>404</v>
      </c>
      <c r="B86" s="10" t="s">
        <v>405</v>
      </c>
      <c r="C86" s="10" t="s">
        <v>23</v>
      </c>
      <c r="D86" s="10" t="s">
        <v>406</v>
      </c>
      <c r="E86" s="12">
        <v>31.7225</v>
      </c>
      <c r="F86" s="12">
        <v>35.993299999999998</v>
      </c>
      <c r="G86" s="12">
        <v>1900</v>
      </c>
      <c r="H86" s="12">
        <v>550</v>
      </c>
      <c r="N86" s="17"/>
      <c r="O86" s="17"/>
    </row>
    <row r="87" spans="1:15">
      <c r="A87" t="s">
        <v>172</v>
      </c>
      <c r="B87" s="10" t="s">
        <v>173</v>
      </c>
      <c r="C87" s="10" t="s">
        <v>23</v>
      </c>
      <c r="D87" s="10" t="s">
        <v>174</v>
      </c>
      <c r="E87" s="12">
        <v>29.226600000000001</v>
      </c>
      <c r="F87" s="12">
        <v>47.969700000000003</v>
      </c>
      <c r="G87" s="12">
        <v>1800</v>
      </c>
      <c r="H87" s="12">
        <v>480</v>
      </c>
      <c r="N87" s="17"/>
      <c r="O87" s="17"/>
    </row>
    <row r="88" spans="1:15">
      <c r="A88" t="s">
        <v>21</v>
      </c>
      <c r="B88" s="10" t="s">
        <v>22</v>
      </c>
      <c r="C88" s="10" t="s">
        <v>23</v>
      </c>
      <c r="D88" s="10" t="s">
        <v>24</v>
      </c>
      <c r="E88" s="12">
        <v>25.2532</v>
      </c>
      <c r="F88" s="12">
        <v>55.365699999999997</v>
      </c>
      <c r="G88" s="12">
        <v>3200</v>
      </c>
      <c r="H88" s="12">
        <v>800</v>
      </c>
      <c r="N88" s="17"/>
      <c r="O88" s="17"/>
    </row>
    <row r="89" spans="1:15">
      <c r="A89" t="s">
        <v>175</v>
      </c>
      <c r="B89" s="10" t="s">
        <v>176</v>
      </c>
      <c r="C89" s="10" t="s">
        <v>23</v>
      </c>
      <c r="D89" s="10" t="s">
        <v>177</v>
      </c>
      <c r="E89" s="12">
        <v>23.593299999999999</v>
      </c>
      <c r="F89" s="12">
        <v>58.284399999999998</v>
      </c>
      <c r="G89" s="12">
        <v>1900</v>
      </c>
      <c r="H89" s="12">
        <v>500</v>
      </c>
      <c r="N89" s="17"/>
      <c r="O89" s="17"/>
    </row>
    <row r="90" spans="1:15">
      <c r="A90" t="s">
        <v>385</v>
      </c>
      <c r="B90" s="10" t="s">
        <v>386</v>
      </c>
      <c r="C90" s="10" t="s">
        <v>23</v>
      </c>
      <c r="D90" s="10" t="s">
        <v>382</v>
      </c>
      <c r="E90" s="12">
        <v>24.906500000000001</v>
      </c>
      <c r="F90" s="12">
        <v>67.160799999999995</v>
      </c>
      <c r="G90" s="12">
        <v>1800</v>
      </c>
      <c r="H90" s="12">
        <v>500</v>
      </c>
      <c r="N90" s="17"/>
      <c r="O90" s="17"/>
    </row>
    <row r="91" spans="1:15">
      <c r="A91" t="s">
        <v>383</v>
      </c>
      <c r="B91" s="10" t="s">
        <v>384</v>
      </c>
      <c r="C91" s="10" t="s">
        <v>23</v>
      </c>
      <c r="D91" s="10" t="s">
        <v>382</v>
      </c>
      <c r="E91" s="12">
        <v>31.521599999999999</v>
      </c>
      <c r="F91" s="12">
        <v>74.403599999999997</v>
      </c>
      <c r="G91" s="12">
        <v>1700</v>
      </c>
      <c r="H91" s="12">
        <v>480</v>
      </c>
      <c r="N91" s="17"/>
      <c r="O91" s="17"/>
    </row>
    <row r="92" spans="1:15">
      <c r="A92" t="s">
        <v>380</v>
      </c>
      <c r="B92" s="10" t="s">
        <v>381</v>
      </c>
      <c r="C92" s="10" t="s">
        <v>23</v>
      </c>
      <c r="D92" s="10" t="s">
        <v>382</v>
      </c>
      <c r="E92" s="12">
        <v>33.548900000000003</v>
      </c>
      <c r="F92" s="12">
        <v>72.823599999999999</v>
      </c>
      <c r="G92" s="12">
        <v>1800</v>
      </c>
      <c r="H92" s="12">
        <v>500</v>
      </c>
      <c r="N92" s="17"/>
      <c r="O92" s="17"/>
    </row>
    <row r="93" spans="1:15">
      <c r="A93" t="s">
        <v>392</v>
      </c>
      <c r="B93" s="10" t="s">
        <v>393</v>
      </c>
      <c r="C93" s="10" t="s">
        <v>23</v>
      </c>
      <c r="D93" s="10" t="s">
        <v>394</v>
      </c>
      <c r="E93" s="12">
        <v>33.262500000000003</v>
      </c>
      <c r="F93" s="12">
        <v>44.234400000000001</v>
      </c>
      <c r="G93" s="12">
        <v>1500</v>
      </c>
      <c r="H93" s="12">
        <v>450</v>
      </c>
      <c r="N93" s="17"/>
      <c r="O93" s="17"/>
    </row>
    <row r="94" spans="1:15">
      <c r="A94" t="s">
        <v>106</v>
      </c>
      <c r="B94" s="10" t="s">
        <v>107</v>
      </c>
      <c r="C94" s="10" t="s">
        <v>23</v>
      </c>
      <c r="D94" s="10" t="s">
        <v>108</v>
      </c>
      <c r="E94" s="12">
        <v>25.273099999999999</v>
      </c>
      <c r="F94" s="12">
        <v>51.6081</v>
      </c>
      <c r="G94" s="12">
        <v>3000</v>
      </c>
      <c r="H94" s="12">
        <v>800</v>
      </c>
      <c r="N94" s="17"/>
    </row>
    <row r="95" spans="1:15">
      <c r="A95" t="s">
        <v>153</v>
      </c>
      <c r="B95" s="10" t="s">
        <v>154</v>
      </c>
      <c r="C95" s="10" t="s">
        <v>50</v>
      </c>
      <c r="D95" s="10" t="s">
        <v>16</v>
      </c>
      <c r="E95" s="12">
        <v>21.3245</v>
      </c>
      <c r="F95" s="12">
        <v>-157.92500000000001</v>
      </c>
      <c r="G95" s="12">
        <v>1900</v>
      </c>
      <c r="H95" s="12">
        <v>550</v>
      </c>
      <c r="N95" s="17"/>
      <c r="O95" s="17"/>
    </row>
    <row r="96" spans="1:15">
      <c r="A96" t="s">
        <v>316</v>
      </c>
      <c r="B96" s="10" t="s">
        <v>317</v>
      </c>
      <c r="C96" s="10" t="s">
        <v>23</v>
      </c>
      <c r="D96" s="10" t="s">
        <v>141</v>
      </c>
      <c r="E96" s="12">
        <v>22.577100000000002</v>
      </c>
      <c r="F96" s="12">
        <v>120.35</v>
      </c>
      <c r="G96" s="12">
        <v>1800</v>
      </c>
      <c r="H96" s="12">
        <v>500</v>
      </c>
      <c r="N96" s="17"/>
      <c r="O96" s="17"/>
    </row>
    <row r="97" spans="1:15">
      <c r="A97" t="s">
        <v>139</v>
      </c>
      <c r="B97" s="10" t="s">
        <v>140</v>
      </c>
      <c r="C97" s="10" t="s">
        <v>23</v>
      </c>
      <c r="D97" s="10" t="s">
        <v>141</v>
      </c>
      <c r="E97" s="12">
        <v>25.0777</v>
      </c>
      <c r="F97" s="12">
        <v>121.233</v>
      </c>
      <c r="G97" s="12">
        <v>2300</v>
      </c>
      <c r="H97" s="12">
        <v>650</v>
      </c>
      <c r="N97" s="17"/>
      <c r="O97" s="17"/>
    </row>
    <row r="98" spans="1:15">
      <c r="A98" t="s">
        <v>25</v>
      </c>
      <c r="B98" s="10" t="s">
        <v>26</v>
      </c>
      <c r="C98" s="10" t="s">
        <v>23</v>
      </c>
      <c r="D98" s="10" t="s">
        <v>27</v>
      </c>
      <c r="E98" s="12">
        <v>35.549399999999999</v>
      </c>
      <c r="F98" s="12">
        <v>139.779</v>
      </c>
      <c r="G98" s="12">
        <v>2800</v>
      </c>
      <c r="H98" s="12">
        <v>750</v>
      </c>
      <c r="N98" s="17"/>
      <c r="O98" s="17"/>
    </row>
    <row r="99" spans="1:15">
      <c r="A99" t="s">
        <v>69</v>
      </c>
      <c r="B99" s="10" t="s">
        <v>70</v>
      </c>
      <c r="C99" s="10" t="s">
        <v>23</v>
      </c>
      <c r="D99" s="10" t="s">
        <v>71</v>
      </c>
      <c r="E99" s="12">
        <v>37.4602</v>
      </c>
      <c r="F99" s="12">
        <v>126.441</v>
      </c>
      <c r="G99" s="12">
        <v>2600</v>
      </c>
      <c r="H99" s="12">
        <v>680</v>
      </c>
      <c r="N99" s="17"/>
    </row>
    <row r="100" spans="1:15">
      <c r="A100" t="s">
        <v>314</v>
      </c>
      <c r="B100" s="10" t="s">
        <v>315</v>
      </c>
      <c r="C100" s="10" t="s">
        <v>23</v>
      </c>
      <c r="D100" s="10" t="s">
        <v>27</v>
      </c>
      <c r="E100" s="12">
        <v>24.826699999999999</v>
      </c>
      <c r="F100" s="12">
        <v>125.145</v>
      </c>
      <c r="G100" s="12">
        <v>1200</v>
      </c>
      <c r="H100" s="12">
        <v>350</v>
      </c>
      <c r="N100" s="17"/>
    </row>
    <row r="101" spans="1:15">
      <c r="A101" t="s">
        <v>312</v>
      </c>
      <c r="B101" s="10" t="s">
        <v>313</v>
      </c>
      <c r="C101" s="10" t="s">
        <v>23</v>
      </c>
      <c r="D101" s="10" t="s">
        <v>162</v>
      </c>
      <c r="E101" s="12">
        <v>15.1858</v>
      </c>
      <c r="F101" s="12">
        <v>120.56</v>
      </c>
      <c r="G101" s="12">
        <v>1400</v>
      </c>
      <c r="H101" s="12">
        <v>400</v>
      </c>
      <c r="N101" s="17"/>
      <c r="O101" s="17"/>
    </row>
    <row r="102" spans="1:15">
      <c r="A102" t="s">
        <v>160</v>
      </c>
      <c r="B102" s="10" t="s">
        <v>161</v>
      </c>
      <c r="C102" s="10" t="s">
        <v>23</v>
      </c>
      <c r="D102" s="10" t="s">
        <v>162</v>
      </c>
      <c r="E102" s="12">
        <v>14.508599999999999</v>
      </c>
      <c r="F102" s="12">
        <v>121.02</v>
      </c>
      <c r="G102" s="12">
        <v>1800</v>
      </c>
      <c r="H102" s="12">
        <v>500</v>
      </c>
      <c r="N102" s="17"/>
      <c r="O102" s="17"/>
    </row>
    <row r="103" spans="1:15">
      <c r="A103" t="s">
        <v>80</v>
      </c>
      <c r="B103" s="10" t="s">
        <v>81</v>
      </c>
      <c r="C103" s="10" t="s">
        <v>46</v>
      </c>
      <c r="D103" s="10" t="s">
        <v>82</v>
      </c>
      <c r="E103" s="12">
        <v>-34.822200000000002</v>
      </c>
      <c r="F103" s="12">
        <v>-58.535800000000002</v>
      </c>
      <c r="G103" s="12">
        <v>2200</v>
      </c>
      <c r="H103" s="12">
        <v>580</v>
      </c>
      <c r="N103" s="17"/>
      <c r="O103" s="17"/>
    </row>
    <row r="104" spans="1:15">
      <c r="A104" t="s">
        <v>44</v>
      </c>
      <c r="B104" s="10" t="s">
        <v>45</v>
      </c>
      <c r="C104" s="10" t="s">
        <v>46</v>
      </c>
      <c r="D104" s="10" t="s">
        <v>47</v>
      </c>
      <c r="E104" s="12">
        <v>-23.435600000000001</v>
      </c>
      <c r="F104" s="12">
        <v>-46.473100000000002</v>
      </c>
      <c r="G104" s="12">
        <v>2100</v>
      </c>
      <c r="H104" s="12">
        <v>550</v>
      </c>
      <c r="O104" s="17"/>
    </row>
    <row r="105" spans="1:15">
      <c r="A105" t="s">
        <v>115</v>
      </c>
      <c r="B105" s="10" t="s">
        <v>116</v>
      </c>
      <c r="C105" s="10" t="s">
        <v>46</v>
      </c>
      <c r="D105" s="10" t="s">
        <v>117</v>
      </c>
      <c r="E105" s="12">
        <v>-33.393000000000001</v>
      </c>
      <c r="F105" s="12">
        <v>-70.785799999999995</v>
      </c>
      <c r="G105" s="12">
        <v>2000</v>
      </c>
      <c r="H105" s="12">
        <v>550</v>
      </c>
      <c r="N105" s="17"/>
      <c r="O105" s="17"/>
    </row>
    <row r="106" spans="1:15">
      <c r="A106" t="s">
        <v>212</v>
      </c>
      <c r="B106" s="10" t="s">
        <v>213</v>
      </c>
      <c r="C106" s="10" t="s">
        <v>46</v>
      </c>
      <c r="D106" s="10" t="s">
        <v>214</v>
      </c>
      <c r="E106" s="12">
        <v>-0.12920000000000001</v>
      </c>
      <c r="F106" s="12">
        <v>-78.357500000000002</v>
      </c>
      <c r="G106" s="12">
        <v>1600</v>
      </c>
      <c r="H106" s="12">
        <v>450</v>
      </c>
      <c r="N106" s="17"/>
      <c r="O106" s="17"/>
    </row>
    <row r="107" spans="1:15">
      <c r="A107" t="s">
        <v>98</v>
      </c>
      <c r="B107" s="10" t="s">
        <v>99</v>
      </c>
      <c r="C107" s="10" t="s">
        <v>46</v>
      </c>
      <c r="D107" s="10" t="s">
        <v>100</v>
      </c>
      <c r="E107" s="12">
        <v>4.7016999999999998</v>
      </c>
      <c r="F107" s="12">
        <v>-74.146900000000002</v>
      </c>
      <c r="G107" s="12">
        <v>1400</v>
      </c>
      <c r="H107" s="12">
        <v>380</v>
      </c>
      <c r="N107" s="17"/>
      <c r="O107" s="17"/>
    </row>
    <row r="108" spans="1:15">
      <c r="A108" t="s">
        <v>209</v>
      </c>
      <c r="B108" s="10" t="s">
        <v>210</v>
      </c>
      <c r="C108" s="10" t="s">
        <v>46</v>
      </c>
      <c r="D108" s="10" t="s">
        <v>211</v>
      </c>
      <c r="E108" s="12">
        <v>-12.0219</v>
      </c>
      <c r="F108" s="12">
        <v>-77.1143</v>
      </c>
      <c r="G108" s="12">
        <v>2100</v>
      </c>
      <c r="H108" s="12">
        <v>550</v>
      </c>
      <c r="N108" s="17"/>
      <c r="O108" s="17"/>
    </row>
    <row r="109" spans="1:15">
      <c r="A109" t="s">
        <v>206</v>
      </c>
      <c r="B109" s="10" t="s">
        <v>207</v>
      </c>
      <c r="C109" s="10" t="s">
        <v>46</v>
      </c>
      <c r="D109" s="10" t="s">
        <v>208</v>
      </c>
      <c r="E109" s="12">
        <v>-34.8384</v>
      </c>
      <c r="F109" s="12">
        <v>-56.030799999999999</v>
      </c>
      <c r="G109" s="12">
        <v>1800</v>
      </c>
      <c r="H109" s="12">
        <v>500</v>
      </c>
      <c r="N109" s="17"/>
      <c r="O109" s="17"/>
    </row>
    <row r="110" spans="1:15">
      <c r="A110" t="s">
        <v>218</v>
      </c>
      <c r="B110" s="10" t="s">
        <v>219</v>
      </c>
      <c r="C110" s="10" t="s">
        <v>46</v>
      </c>
      <c r="D110" s="10" t="s">
        <v>220</v>
      </c>
      <c r="E110" s="12">
        <v>10.6031</v>
      </c>
      <c r="F110" s="12">
        <v>-66.990600000000001</v>
      </c>
      <c r="G110" s="12">
        <v>1200</v>
      </c>
      <c r="H110" s="12">
        <v>300</v>
      </c>
      <c r="N110" s="17"/>
      <c r="O110" s="17"/>
    </row>
    <row r="111" spans="1:15">
      <c r="A111" t="s">
        <v>203</v>
      </c>
      <c r="B111" s="10" t="s">
        <v>204</v>
      </c>
      <c r="C111" s="10" t="s">
        <v>15</v>
      </c>
      <c r="D111" s="10" t="s">
        <v>205</v>
      </c>
      <c r="E111" s="12">
        <v>18.439399999999999</v>
      </c>
      <c r="F111" s="12">
        <v>-66.001900000000006</v>
      </c>
      <c r="G111" s="12">
        <v>1500</v>
      </c>
      <c r="H111" s="12">
        <v>400</v>
      </c>
      <c r="N111" s="17"/>
      <c r="O111" s="17"/>
    </row>
    <row r="112" spans="1:15">
      <c r="A112" t="s">
        <v>364</v>
      </c>
      <c r="B112" s="10" t="s">
        <v>365</v>
      </c>
      <c r="C112" s="10" t="s">
        <v>23</v>
      </c>
      <c r="D112" s="10" t="s">
        <v>366</v>
      </c>
      <c r="E112" s="12">
        <v>43.3521</v>
      </c>
      <c r="F112" s="12">
        <v>77.040499999999994</v>
      </c>
      <c r="G112" s="12">
        <v>1700</v>
      </c>
      <c r="H112" s="12">
        <v>500</v>
      </c>
      <c r="N112" s="17"/>
      <c r="O112" s="17"/>
    </row>
    <row r="113" spans="1:15">
      <c r="A113" t="s">
        <v>369</v>
      </c>
      <c r="B113" s="10" t="s">
        <v>370</v>
      </c>
      <c r="C113" s="10" t="s">
        <v>23</v>
      </c>
      <c r="D113" s="10" t="s">
        <v>366</v>
      </c>
      <c r="E113" s="12">
        <v>42.364400000000003</v>
      </c>
      <c r="F113" s="12">
        <v>69.479399999999998</v>
      </c>
      <c r="G113" s="12">
        <v>1300</v>
      </c>
      <c r="H113" s="12">
        <v>380</v>
      </c>
      <c r="N113" s="17"/>
      <c r="O113" s="17"/>
    </row>
    <row r="114" spans="1:15">
      <c r="A114" t="s">
        <v>367</v>
      </c>
      <c r="B114" s="10" t="s">
        <v>368</v>
      </c>
      <c r="C114" s="10" t="s">
        <v>23</v>
      </c>
      <c r="D114" s="10" t="s">
        <v>366</v>
      </c>
      <c r="E114" s="12">
        <v>49.6708</v>
      </c>
      <c r="F114" s="12">
        <v>73.334699999999998</v>
      </c>
      <c r="G114" s="12">
        <v>1400</v>
      </c>
      <c r="H114" s="12">
        <v>400</v>
      </c>
      <c r="N114" s="17"/>
      <c r="O114" s="17"/>
    </row>
    <row r="115" spans="1:15">
      <c r="A115" t="s">
        <v>371</v>
      </c>
      <c r="B115" s="10" t="s">
        <v>372</v>
      </c>
      <c r="C115" s="10" t="s">
        <v>23</v>
      </c>
      <c r="D115" s="10" t="s">
        <v>373</v>
      </c>
      <c r="E115" s="12">
        <v>43.061300000000003</v>
      </c>
      <c r="F115" s="12">
        <v>74.477599999999995</v>
      </c>
      <c r="G115" s="12">
        <v>1400</v>
      </c>
      <c r="H115" s="12">
        <v>420</v>
      </c>
      <c r="N115" s="17"/>
      <c r="O115" s="17"/>
    </row>
    <row r="116" spans="1:15">
      <c r="A116" t="s">
        <v>374</v>
      </c>
      <c r="B116" s="10" t="s">
        <v>375</v>
      </c>
      <c r="C116" s="10" t="s">
        <v>23</v>
      </c>
      <c r="D116" s="10" t="s">
        <v>376</v>
      </c>
      <c r="E116" s="12">
        <v>38.543300000000002</v>
      </c>
      <c r="F116" s="12">
        <v>68.825100000000006</v>
      </c>
      <c r="G116" s="12">
        <v>1300</v>
      </c>
      <c r="H116" s="12">
        <v>380</v>
      </c>
      <c r="N116" s="17"/>
      <c r="O116" s="17"/>
    </row>
    <row r="117" spans="1:15">
      <c r="A117" t="s">
        <v>358</v>
      </c>
      <c r="B117" s="10" t="s">
        <v>359</v>
      </c>
      <c r="C117" s="10" t="s">
        <v>23</v>
      </c>
      <c r="D117" s="10" t="s">
        <v>360</v>
      </c>
      <c r="E117" s="12">
        <v>37.986800000000002</v>
      </c>
      <c r="F117" s="12">
        <v>58.360999999999997</v>
      </c>
      <c r="G117" s="12">
        <v>1500</v>
      </c>
      <c r="H117" s="12">
        <v>450</v>
      </c>
      <c r="N117" s="17"/>
      <c r="O117" s="17"/>
    </row>
    <row r="118" spans="1:15">
      <c r="A118" t="s">
        <v>361</v>
      </c>
      <c r="B118" s="10" t="s">
        <v>362</v>
      </c>
      <c r="C118" s="10" t="s">
        <v>23</v>
      </c>
      <c r="D118" s="10" t="s">
        <v>363</v>
      </c>
      <c r="E118" s="12">
        <v>41.257899999999999</v>
      </c>
      <c r="F118" s="12">
        <v>69.281199999999998</v>
      </c>
      <c r="G118" s="12">
        <v>1600</v>
      </c>
      <c r="H118" s="12">
        <v>480</v>
      </c>
      <c r="N118" s="17"/>
      <c r="O118" s="17"/>
    </row>
    <row r="119" spans="1:15">
      <c r="A119" t="s">
        <v>86</v>
      </c>
      <c r="B119" s="10" t="s">
        <v>87</v>
      </c>
      <c r="C119" s="10" t="s">
        <v>19</v>
      </c>
      <c r="D119" s="10" t="s">
        <v>88</v>
      </c>
      <c r="E119" s="12">
        <v>55.9726</v>
      </c>
      <c r="F119" s="12">
        <v>37.4146</v>
      </c>
      <c r="G119" s="12">
        <v>1700</v>
      </c>
      <c r="H119" s="12">
        <v>500</v>
      </c>
      <c r="N119" s="17"/>
      <c r="O119" s="17"/>
    </row>
    <row r="120" spans="1:15">
      <c r="A120" t="s">
        <v>104</v>
      </c>
      <c r="B120" s="10" t="s">
        <v>105</v>
      </c>
      <c r="C120" s="10" t="s">
        <v>23</v>
      </c>
      <c r="D120" s="10" t="s">
        <v>65</v>
      </c>
      <c r="E120" s="12">
        <v>19.089600000000001</v>
      </c>
      <c r="F120" s="12">
        <v>72.865600000000001</v>
      </c>
      <c r="G120" s="12">
        <v>2000</v>
      </c>
      <c r="H120" s="12">
        <v>550</v>
      </c>
      <c r="N120" s="17"/>
      <c r="O120" s="17"/>
    </row>
    <row r="121" spans="1:15">
      <c r="A121" t="s">
        <v>291</v>
      </c>
      <c r="B121" s="10" t="s">
        <v>292</v>
      </c>
      <c r="C121" s="10" t="s">
        <v>23</v>
      </c>
      <c r="D121" s="10" t="s">
        <v>293</v>
      </c>
      <c r="E121" s="12">
        <v>7.1807999999999996</v>
      </c>
      <c r="F121" s="12">
        <v>79.884100000000004</v>
      </c>
      <c r="G121" s="12">
        <v>1800</v>
      </c>
      <c r="H121" s="12">
        <v>500</v>
      </c>
      <c r="N121" s="17"/>
      <c r="O121" s="17"/>
    </row>
    <row r="122" spans="1:15">
      <c r="A122" t="s">
        <v>163</v>
      </c>
      <c r="B122" s="10" t="s">
        <v>164</v>
      </c>
      <c r="C122" s="10" t="s">
        <v>23</v>
      </c>
      <c r="D122" s="10" t="s">
        <v>165</v>
      </c>
      <c r="E122" s="12">
        <v>11.5466</v>
      </c>
      <c r="F122" s="12">
        <v>104.84399999999999</v>
      </c>
      <c r="G122" s="12">
        <v>1100</v>
      </c>
      <c r="H122" s="12">
        <v>300</v>
      </c>
      <c r="N122" s="17"/>
      <c r="O122" s="17"/>
    </row>
    <row r="123" spans="1:15">
      <c r="A123" t="s">
        <v>297</v>
      </c>
      <c r="B123" s="10" t="s">
        <v>298</v>
      </c>
      <c r="C123" s="10" t="s">
        <v>23</v>
      </c>
      <c r="D123" s="10" t="s">
        <v>299</v>
      </c>
      <c r="E123" s="12">
        <v>23.843299999999999</v>
      </c>
      <c r="F123" s="12">
        <v>90.397800000000004</v>
      </c>
      <c r="G123" s="12">
        <v>1500</v>
      </c>
      <c r="H123" s="12">
        <v>450</v>
      </c>
      <c r="N123" s="17"/>
    </row>
    <row r="124" spans="1:15">
      <c r="A124" t="s">
        <v>36</v>
      </c>
      <c r="B124" s="10" t="s">
        <v>37</v>
      </c>
      <c r="C124" s="10" t="s">
        <v>23</v>
      </c>
      <c r="D124" s="10" t="s">
        <v>38</v>
      </c>
      <c r="E124" s="12">
        <v>22.308900000000001</v>
      </c>
      <c r="F124" s="12">
        <v>113.91500000000001</v>
      </c>
      <c r="G124" s="12">
        <v>3100</v>
      </c>
      <c r="H124" s="12">
        <v>850</v>
      </c>
      <c r="N124" s="17"/>
      <c r="O124" s="17"/>
    </row>
    <row r="125" spans="1:15">
      <c r="A125" t="s">
        <v>63</v>
      </c>
      <c r="B125" s="10" t="s">
        <v>64</v>
      </c>
      <c r="C125" s="10" t="s">
        <v>23</v>
      </c>
      <c r="D125" s="10" t="s">
        <v>65</v>
      </c>
      <c r="E125" s="12">
        <v>28.5562</v>
      </c>
      <c r="F125" s="12">
        <v>77.099999999999994</v>
      </c>
      <c r="G125" s="12">
        <v>1900</v>
      </c>
      <c r="H125" s="12">
        <v>500</v>
      </c>
      <c r="N125" s="17"/>
      <c r="O125" s="17"/>
    </row>
    <row r="126" spans="1:15">
      <c r="A126" t="s">
        <v>289</v>
      </c>
      <c r="B126" s="10" t="s">
        <v>290</v>
      </c>
      <c r="C126" s="10" t="s">
        <v>23</v>
      </c>
      <c r="D126" s="10" t="s">
        <v>65</v>
      </c>
      <c r="E126" s="12">
        <v>26.7606</v>
      </c>
      <c r="F126" s="12">
        <v>80.889300000000006</v>
      </c>
      <c r="G126" s="12">
        <v>1200</v>
      </c>
      <c r="H126" s="12">
        <v>350</v>
      </c>
      <c r="N126" s="17"/>
      <c r="O126" s="17"/>
    </row>
    <row r="127" spans="1:15">
      <c r="A127" t="s">
        <v>318</v>
      </c>
      <c r="B127" s="10" t="s">
        <v>319</v>
      </c>
      <c r="C127" s="10" t="s">
        <v>23</v>
      </c>
      <c r="D127" s="10" t="s">
        <v>38</v>
      </c>
      <c r="E127" s="12">
        <v>22.1495</v>
      </c>
      <c r="F127" s="12">
        <v>113.59099999999999</v>
      </c>
      <c r="G127" s="12">
        <v>2100</v>
      </c>
      <c r="H127" s="12">
        <v>600</v>
      </c>
    </row>
    <row r="128" spans="1:15">
      <c r="A128" t="s">
        <v>294</v>
      </c>
      <c r="B128" s="10" t="s">
        <v>295</v>
      </c>
      <c r="C128" s="10" t="s">
        <v>23</v>
      </c>
      <c r="D128" s="10" t="s">
        <v>296</v>
      </c>
      <c r="E128" s="12">
        <v>27.6966</v>
      </c>
      <c r="F128" s="12">
        <v>85.359099999999998</v>
      </c>
      <c r="G128" s="12">
        <v>1300</v>
      </c>
      <c r="H128" s="12">
        <v>380</v>
      </c>
      <c r="N128" s="17"/>
      <c r="O128" s="17"/>
    </row>
    <row r="129" spans="1:15">
      <c r="A129" t="s">
        <v>136</v>
      </c>
      <c r="B129" s="10" t="s">
        <v>137</v>
      </c>
      <c r="C129" s="10" t="s">
        <v>23</v>
      </c>
      <c r="D129" s="10" t="s">
        <v>138</v>
      </c>
      <c r="E129" s="12">
        <v>13.69</v>
      </c>
      <c r="F129" s="12">
        <v>100.75</v>
      </c>
      <c r="G129" s="12">
        <v>2100</v>
      </c>
      <c r="H129" s="12">
        <v>600</v>
      </c>
      <c r="N129" s="17"/>
      <c r="O129" s="17"/>
    </row>
    <row r="130" spans="1:15">
      <c r="A130" t="s">
        <v>303</v>
      </c>
      <c r="B130" s="10" t="s">
        <v>304</v>
      </c>
      <c r="C130" s="10" t="s">
        <v>23</v>
      </c>
      <c r="D130" s="10" t="s">
        <v>138</v>
      </c>
      <c r="E130" s="12">
        <v>18.775300000000001</v>
      </c>
      <c r="F130" s="12">
        <v>98.962599999999995</v>
      </c>
      <c r="G130" s="12">
        <v>1200</v>
      </c>
      <c r="H130" s="12">
        <v>350</v>
      </c>
      <c r="N130" s="17"/>
      <c r="O130" s="17"/>
    </row>
    <row r="131" spans="1:15">
      <c r="A131" t="s">
        <v>305</v>
      </c>
      <c r="B131" s="10" t="s">
        <v>306</v>
      </c>
      <c r="C131" s="10" t="s">
        <v>23</v>
      </c>
      <c r="D131" s="10" t="s">
        <v>168</v>
      </c>
      <c r="E131" s="12">
        <v>16.043900000000001</v>
      </c>
      <c r="F131" s="12">
        <v>108.199</v>
      </c>
      <c r="G131" s="12">
        <v>1100</v>
      </c>
      <c r="H131" s="12">
        <v>320</v>
      </c>
      <c r="N131" s="17"/>
      <c r="O131" s="17"/>
    </row>
    <row r="132" spans="1:15">
      <c r="A132" t="s">
        <v>166</v>
      </c>
      <c r="B132" s="10" t="s">
        <v>167</v>
      </c>
      <c r="C132" s="10" t="s">
        <v>23</v>
      </c>
      <c r="D132" s="10" t="s">
        <v>168</v>
      </c>
      <c r="E132" s="12">
        <v>10.8188</v>
      </c>
      <c r="F132" s="12">
        <v>106.652</v>
      </c>
      <c r="G132" s="12">
        <v>1500</v>
      </c>
      <c r="H132" s="12">
        <v>400</v>
      </c>
      <c r="N132" s="17"/>
      <c r="O132" s="17"/>
    </row>
    <row r="133" spans="1:15">
      <c r="A133" t="s">
        <v>300</v>
      </c>
      <c r="B133" s="10" t="s">
        <v>301</v>
      </c>
      <c r="C133" s="10" t="s">
        <v>23</v>
      </c>
      <c r="D133" s="10" t="s">
        <v>302</v>
      </c>
      <c r="E133" s="12">
        <v>16.907299999999999</v>
      </c>
      <c r="F133" s="12">
        <v>96.133200000000002</v>
      </c>
      <c r="G133" s="12">
        <v>1400</v>
      </c>
      <c r="H133" s="12">
        <v>400</v>
      </c>
      <c r="N133" s="17"/>
      <c r="O133" s="17"/>
    </row>
    <row r="134" spans="1:15">
      <c r="A134" t="s">
        <v>307</v>
      </c>
      <c r="B134" s="10" t="s">
        <v>308</v>
      </c>
      <c r="C134" s="10" t="s">
        <v>23</v>
      </c>
      <c r="D134" s="10" t="s">
        <v>135</v>
      </c>
      <c r="E134" s="12">
        <v>5.9371999999999998</v>
      </c>
      <c r="F134" s="12">
        <v>116.051</v>
      </c>
      <c r="G134" s="12">
        <v>1300</v>
      </c>
      <c r="H134" s="12">
        <v>380</v>
      </c>
      <c r="N134" s="17"/>
      <c r="O134" s="17"/>
    </row>
    <row r="135" spans="1:15">
      <c r="A135" t="s">
        <v>309</v>
      </c>
      <c r="B135" s="10" t="s">
        <v>310</v>
      </c>
      <c r="C135" s="10" t="s">
        <v>23</v>
      </c>
      <c r="D135" s="10" t="s">
        <v>311</v>
      </c>
      <c r="E135" s="12">
        <v>4.9442000000000004</v>
      </c>
      <c r="F135" s="12">
        <v>114.928</v>
      </c>
      <c r="G135" s="12">
        <v>1500</v>
      </c>
      <c r="H135" s="12">
        <v>450</v>
      </c>
      <c r="N135" s="17"/>
    </row>
    <row r="136" spans="1:15">
      <c r="A136" t="s">
        <v>157</v>
      </c>
      <c r="B136" s="10" t="s">
        <v>158</v>
      </c>
      <c r="C136" s="10" t="s">
        <v>23</v>
      </c>
      <c r="D136" s="10" t="s">
        <v>159</v>
      </c>
      <c r="E136" s="12">
        <v>-6.1256000000000004</v>
      </c>
      <c r="F136" s="12">
        <v>106.65600000000001</v>
      </c>
      <c r="G136" s="12">
        <v>1900</v>
      </c>
      <c r="H136" s="12">
        <v>520</v>
      </c>
      <c r="N136" s="17"/>
      <c r="O136" s="17"/>
    </row>
    <row r="137" spans="1:15">
      <c r="A137" t="s">
        <v>133</v>
      </c>
      <c r="B137" s="10" t="s">
        <v>134</v>
      </c>
      <c r="C137" s="10" t="s">
        <v>23</v>
      </c>
      <c r="D137" s="10" t="s">
        <v>135</v>
      </c>
      <c r="E137" s="12">
        <v>2.7456</v>
      </c>
      <c r="F137" s="12">
        <v>101.71</v>
      </c>
      <c r="G137" s="12">
        <v>2000</v>
      </c>
      <c r="H137" s="12">
        <v>550</v>
      </c>
      <c r="N137" s="17"/>
      <c r="O137" s="17"/>
    </row>
    <row r="138" spans="1:15">
      <c r="A138" t="s">
        <v>33</v>
      </c>
      <c r="B138" s="10" t="s">
        <v>34</v>
      </c>
      <c r="C138" s="10" t="s">
        <v>23</v>
      </c>
      <c r="D138" s="10" t="s">
        <v>35</v>
      </c>
      <c r="E138" s="12">
        <v>1.3644000000000001</v>
      </c>
      <c r="F138" s="12">
        <v>103.991</v>
      </c>
      <c r="G138" s="12">
        <v>2500</v>
      </c>
      <c r="H138" s="12">
        <v>600</v>
      </c>
      <c r="N138" s="17"/>
    </row>
    <row r="139" spans="1:15">
      <c r="A139" t="s">
        <v>330</v>
      </c>
      <c r="B139" s="10" t="s">
        <v>331</v>
      </c>
      <c r="C139" s="10" t="s">
        <v>50</v>
      </c>
      <c r="D139" s="10" t="s">
        <v>51</v>
      </c>
      <c r="E139" s="12">
        <v>-27.3842</v>
      </c>
      <c r="F139" s="12">
        <v>153.11699999999999</v>
      </c>
      <c r="G139" s="12">
        <v>2600</v>
      </c>
      <c r="H139" s="12">
        <v>750</v>
      </c>
      <c r="N139" s="17"/>
      <c r="O139" s="17"/>
    </row>
    <row r="140" spans="1:15">
      <c r="A140" t="s">
        <v>334</v>
      </c>
      <c r="B140" s="10" t="s">
        <v>335</v>
      </c>
      <c r="C140" s="10" t="s">
        <v>50</v>
      </c>
      <c r="D140" s="10" t="s">
        <v>51</v>
      </c>
      <c r="E140" s="12">
        <v>-42.836399999999998</v>
      </c>
      <c r="F140" s="12">
        <v>147.51</v>
      </c>
      <c r="G140" s="12">
        <v>1500</v>
      </c>
      <c r="H140" s="12">
        <v>450</v>
      </c>
      <c r="N140" s="17"/>
      <c r="O140" s="17"/>
    </row>
    <row r="141" spans="1:15">
      <c r="A141" t="s">
        <v>78</v>
      </c>
      <c r="B141" s="10" t="s">
        <v>79</v>
      </c>
      <c r="C141" s="10" t="s">
        <v>50</v>
      </c>
      <c r="D141" s="10" t="s">
        <v>51</v>
      </c>
      <c r="E141" s="12">
        <v>-37.668999999999997</v>
      </c>
      <c r="F141" s="12">
        <v>144.84100000000001</v>
      </c>
      <c r="G141" s="12">
        <v>3000</v>
      </c>
      <c r="H141" s="12">
        <v>850</v>
      </c>
      <c r="N141" s="17"/>
      <c r="O141" s="17"/>
    </row>
    <row r="142" spans="1:15">
      <c r="A142" t="s">
        <v>328</v>
      </c>
      <c r="B142" s="10" t="s">
        <v>329</v>
      </c>
      <c r="C142" s="10" t="s">
        <v>50</v>
      </c>
      <c r="D142" s="10" t="s">
        <v>51</v>
      </c>
      <c r="E142" s="12">
        <v>-34.945</v>
      </c>
      <c r="F142" s="12">
        <v>138.53100000000001</v>
      </c>
      <c r="G142" s="12">
        <v>2200</v>
      </c>
      <c r="H142" s="12">
        <v>650</v>
      </c>
      <c r="N142" s="17"/>
      <c r="O142" s="17"/>
    </row>
    <row r="143" spans="1:15">
      <c r="A143" t="s">
        <v>332</v>
      </c>
      <c r="B143" s="10" t="s">
        <v>333</v>
      </c>
      <c r="C143" s="10" t="s">
        <v>50</v>
      </c>
      <c r="D143" s="10" t="s">
        <v>51</v>
      </c>
      <c r="E143" s="12">
        <v>-31.940300000000001</v>
      </c>
      <c r="F143" s="12">
        <v>115.967</v>
      </c>
      <c r="G143" s="12">
        <v>2500</v>
      </c>
      <c r="H143" s="12">
        <v>720</v>
      </c>
      <c r="N143" s="17"/>
      <c r="O143" s="17"/>
    </row>
    <row r="144" spans="1:15">
      <c r="A144" t="s">
        <v>48</v>
      </c>
      <c r="B144" s="10" t="s">
        <v>49</v>
      </c>
      <c r="C144" s="10" t="s">
        <v>50</v>
      </c>
      <c r="D144" s="10" t="s">
        <v>51</v>
      </c>
      <c r="E144" s="12">
        <v>-33.946100000000001</v>
      </c>
      <c r="F144" s="12">
        <v>151.17699999999999</v>
      </c>
      <c r="G144" s="12">
        <v>3400</v>
      </c>
      <c r="H144" s="12">
        <v>900</v>
      </c>
      <c r="N144" s="17"/>
      <c r="O144" s="17"/>
    </row>
    <row r="145" spans="1:15">
      <c r="A145" t="s">
        <v>56</v>
      </c>
      <c r="B145" s="10" t="s">
        <v>57</v>
      </c>
      <c r="C145" s="10" t="s">
        <v>23</v>
      </c>
      <c r="D145" s="10" t="s">
        <v>38</v>
      </c>
      <c r="E145" s="12">
        <v>40.079900000000002</v>
      </c>
      <c r="F145" s="12">
        <v>116.60299999999999</v>
      </c>
      <c r="G145" s="12">
        <v>2200</v>
      </c>
      <c r="H145" s="12">
        <v>650</v>
      </c>
      <c r="N145" s="17"/>
      <c r="O145" s="17"/>
    </row>
    <row r="146" spans="1:15">
      <c r="A146" t="s">
        <v>320</v>
      </c>
      <c r="B146" s="10" t="s">
        <v>321</v>
      </c>
      <c r="C146" s="10" t="s">
        <v>23</v>
      </c>
      <c r="D146" s="10" t="s">
        <v>38</v>
      </c>
      <c r="E146" s="12">
        <v>23.392399999999999</v>
      </c>
      <c r="F146" s="12">
        <v>113.29900000000001</v>
      </c>
      <c r="G146" s="12">
        <v>2800</v>
      </c>
      <c r="H146" s="12">
        <v>850</v>
      </c>
      <c r="N146" s="17"/>
      <c r="O146" s="17"/>
    </row>
    <row r="147" spans="1:15">
      <c r="A147" t="s">
        <v>322</v>
      </c>
      <c r="B147" s="10" t="s">
        <v>323</v>
      </c>
      <c r="C147" s="10" t="s">
        <v>23</v>
      </c>
      <c r="D147" s="10" t="s">
        <v>38</v>
      </c>
      <c r="E147" s="12">
        <v>22.639399999999998</v>
      </c>
      <c r="F147" s="12">
        <v>113.81100000000001</v>
      </c>
      <c r="G147" s="12">
        <v>2700</v>
      </c>
      <c r="H147" s="12">
        <v>820</v>
      </c>
      <c r="N147" s="17"/>
      <c r="O147" s="17"/>
    </row>
    <row r="148" spans="1:15">
      <c r="A148" t="s">
        <v>324</v>
      </c>
      <c r="B148" s="10" t="s">
        <v>325</v>
      </c>
      <c r="C148" s="10" t="s">
        <v>23</v>
      </c>
      <c r="D148" s="10" t="s">
        <v>38</v>
      </c>
      <c r="E148" s="12">
        <v>30.578499999999998</v>
      </c>
      <c r="F148" s="12">
        <v>103.947</v>
      </c>
      <c r="G148" s="12">
        <v>2500</v>
      </c>
      <c r="H148" s="12">
        <v>750</v>
      </c>
    </row>
    <row r="149" spans="1:15">
      <c r="A149" t="s">
        <v>326</v>
      </c>
      <c r="B149" s="10" t="s">
        <v>327</v>
      </c>
      <c r="C149" s="10" t="s">
        <v>23</v>
      </c>
      <c r="D149" s="10" t="s">
        <v>38</v>
      </c>
      <c r="E149" s="12">
        <v>43.9071</v>
      </c>
      <c r="F149" s="12">
        <v>87.474199999999996</v>
      </c>
      <c r="G149" s="12">
        <v>1900</v>
      </c>
      <c r="H149" s="12">
        <v>550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C1F-E8CD-4A92-A8A3-AD6DEB7592BD}">
  <sheetPr>
    <tabColor theme="8" tint="0.39997558519241921"/>
  </sheetPr>
  <dimension ref="A1:B312"/>
  <sheetViews>
    <sheetView showGridLines="0" zoomScale="80" zoomScaleNormal="80" workbookViewId="0"/>
  </sheetViews>
  <sheetFormatPr defaultRowHeight="14.4"/>
  <cols>
    <col min="1" max="1" width="13.77734375" customWidth="1"/>
    <col min="2" max="2" width="13.5546875" bestFit="1" customWidth="1"/>
  </cols>
  <sheetData>
    <row r="1" spans="1:2">
      <c r="A1" s="6" t="s">
        <v>413</v>
      </c>
      <c r="B1" s="6" t="s">
        <v>414</v>
      </c>
    </row>
    <row r="2" spans="1:2">
      <c r="A2" s="12" t="s">
        <v>250</v>
      </c>
      <c r="B2" s="12" t="s">
        <v>256</v>
      </c>
    </row>
    <row r="3" spans="1:2">
      <c r="A3" s="12" t="s">
        <v>322</v>
      </c>
      <c r="B3" s="12" t="s">
        <v>320</v>
      </c>
    </row>
    <row r="4" spans="1:2">
      <c r="A4" s="12" t="s">
        <v>320</v>
      </c>
      <c r="B4" s="12" t="s">
        <v>36</v>
      </c>
    </row>
    <row r="5" spans="1:2">
      <c r="A5" s="12" t="s">
        <v>109</v>
      </c>
      <c r="B5" s="12" t="s">
        <v>58</v>
      </c>
    </row>
    <row r="6" spans="1:2">
      <c r="A6" s="12" t="s">
        <v>155</v>
      </c>
      <c r="B6" s="12" t="s">
        <v>193</v>
      </c>
    </row>
    <row r="7" spans="1:2">
      <c r="A7" s="12" t="s">
        <v>241</v>
      </c>
      <c r="B7" s="12" t="s">
        <v>130</v>
      </c>
    </row>
    <row r="8" spans="1:2">
      <c r="A8" s="12" t="s">
        <v>206</v>
      </c>
      <c r="B8" s="12" t="s">
        <v>80</v>
      </c>
    </row>
    <row r="9" spans="1:2">
      <c r="A9" s="12" t="s">
        <v>228</v>
      </c>
      <c r="B9" s="12" t="s">
        <v>83</v>
      </c>
    </row>
    <row r="10" spans="1:2">
      <c r="A10" s="12" t="s">
        <v>232</v>
      </c>
      <c r="B10" s="12" t="s">
        <v>30</v>
      </c>
    </row>
    <row r="11" spans="1:2">
      <c r="A11" s="12" t="s">
        <v>247</v>
      </c>
      <c r="B11" s="12" t="s">
        <v>250</v>
      </c>
    </row>
    <row r="12" spans="1:2">
      <c r="A12" s="12" t="s">
        <v>83</v>
      </c>
      <c r="B12" s="12" t="s">
        <v>39</v>
      </c>
    </row>
    <row r="13" spans="1:2">
      <c r="A13" s="12" t="s">
        <v>283</v>
      </c>
      <c r="B13" s="12" t="s">
        <v>52</v>
      </c>
    </row>
    <row r="14" spans="1:2">
      <c r="A14" s="12" t="s">
        <v>187</v>
      </c>
      <c r="B14" s="12" t="s">
        <v>61</v>
      </c>
    </row>
    <row r="15" spans="1:2">
      <c r="A15" s="12" t="s">
        <v>230</v>
      </c>
      <c r="B15" s="12" t="s">
        <v>39</v>
      </c>
    </row>
    <row r="16" spans="1:2">
      <c r="A16" s="12" t="s">
        <v>338</v>
      </c>
      <c r="B16" s="12" t="s">
        <v>336</v>
      </c>
    </row>
    <row r="17" spans="1:2">
      <c r="A17" s="12" t="s">
        <v>33</v>
      </c>
      <c r="B17" s="12" t="s">
        <v>133</v>
      </c>
    </row>
    <row r="18" spans="1:2">
      <c r="A18" s="12" t="s">
        <v>175</v>
      </c>
      <c r="B18" s="12" t="s">
        <v>21</v>
      </c>
    </row>
    <row r="19" spans="1:2">
      <c r="A19" s="12" t="s">
        <v>39</v>
      </c>
      <c r="B19" s="12" t="s">
        <v>58</v>
      </c>
    </row>
    <row r="20" spans="1:2">
      <c r="A20" s="12" t="s">
        <v>189</v>
      </c>
      <c r="B20" s="12" t="s">
        <v>61</v>
      </c>
    </row>
    <row r="21" spans="1:2">
      <c r="A21" s="12" t="s">
        <v>181</v>
      </c>
      <c r="B21" s="12" t="s">
        <v>118</v>
      </c>
    </row>
    <row r="22" spans="1:2">
      <c r="A22" s="12" t="s">
        <v>289</v>
      </c>
      <c r="B22" s="12" t="s">
        <v>63</v>
      </c>
    </row>
    <row r="23" spans="1:2">
      <c r="A23" s="12" t="s">
        <v>30</v>
      </c>
      <c r="B23" s="12" t="s">
        <v>39</v>
      </c>
    </row>
    <row r="24" spans="1:2">
      <c r="A24" s="12" t="s">
        <v>238</v>
      </c>
      <c r="B24" s="12" t="s">
        <v>89</v>
      </c>
    </row>
    <row r="25" spans="1:2">
      <c r="A25" s="12" t="s">
        <v>280</v>
      </c>
      <c r="B25" s="12" t="s">
        <v>52</v>
      </c>
    </row>
    <row r="26" spans="1:2">
      <c r="A26" s="12" t="s">
        <v>226</v>
      </c>
      <c r="B26" s="12" t="s">
        <v>145</v>
      </c>
    </row>
    <row r="27" spans="1:2">
      <c r="A27" s="12" t="s">
        <v>66</v>
      </c>
      <c r="B27" s="12" t="s">
        <v>224</v>
      </c>
    </row>
    <row r="28" spans="1:2">
      <c r="A28" s="12" t="s">
        <v>147</v>
      </c>
      <c r="B28" s="12" t="s">
        <v>150</v>
      </c>
    </row>
    <row r="29" spans="1:2">
      <c r="A29" s="12" t="s">
        <v>169</v>
      </c>
      <c r="B29" s="12" t="s">
        <v>21</v>
      </c>
    </row>
    <row r="30" spans="1:2">
      <c r="A30" s="12" t="s">
        <v>224</v>
      </c>
      <c r="B30" s="12" t="s">
        <v>226</v>
      </c>
    </row>
    <row r="31" spans="1:2">
      <c r="A31" s="12" t="s">
        <v>75</v>
      </c>
      <c r="B31" s="12" t="s">
        <v>404</v>
      </c>
    </row>
    <row r="32" spans="1:2">
      <c r="A32" s="12" t="s">
        <v>66</v>
      </c>
      <c r="B32" s="12" t="s">
        <v>221</v>
      </c>
    </row>
    <row r="33" spans="1:2">
      <c r="A33" s="12" t="s">
        <v>221</v>
      </c>
      <c r="B33" s="12" t="s">
        <v>66</v>
      </c>
    </row>
    <row r="34" spans="1:2">
      <c r="A34" s="12" t="s">
        <v>274</v>
      </c>
      <c r="B34" s="12" t="s">
        <v>121</v>
      </c>
    </row>
    <row r="35" spans="1:2">
      <c r="A35" s="12" t="s">
        <v>28</v>
      </c>
      <c r="B35" s="12" t="s">
        <v>126</v>
      </c>
    </row>
    <row r="36" spans="1:2">
      <c r="A36" s="12" t="s">
        <v>112</v>
      </c>
      <c r="B36" s="12" t="s">
        <v>147</v>
      </c>
    </row>
    <row r="37" spans="1:2">
      <c r="A37" s="12" t="s">
        <v>395</v>
      </c>
      <c r="B37" s="12" t="s">
        <v>21</v>
      </c>
    </row>
    <row r="38" spans="1:2">
      <c r="A38" s="12" t="s">
        <v>235</v>
      </c>
      <c r="B38" s="12" t="s">
        <v>89</v>
      </c>
    </row>
    <row r="39" spans="1:2">
      <c r="A39" s="12" t="s">
        <v>172</v>
      </c>
      <c r="B39" s="12" t="s">
        <v>106</v>
      </c>
    </row>
    <row r="40" spans="1:2">
      <c r="A40" s="12" t="s">
        <v>72</v>
      </c>
      <c r="B40" s="12" t="s">
        <v>61</v>
      </c>
    </row>
    <row r="41" spans="1:2">
      <c r="A41" s="12" t="s">
        <v>300</v>
      </c>
      <c r="B41" s="12" t="s">
        <v>136</v>
      </c>
    </row>
    <row r="42" spans="1:2">
      <c r="A42" s="12" t="s">
        <v>268</v>
      </c>
      <c r="B42" s="12" t="s">
        <v>145</v>
      </c>
    </row>
    <row r="43" spans="1:2">
      <c r="A43" s="12" t="s">
        <v>303</v>
      </c>
      <c r="B43" s="12" t="s">
        <v>136</v>
      </c>
    </row>
    <row r="44" spans="1:2">
      <c r="A44" s="12" t="s">
        <v>305</v>
      </c>
      <c r="B44" s="12" t="s">
        <v>166</v>
      </c>
    </row>
    <row r="45" spans="1:2">
      <c r="A45" s="12" t="s">
        <v>334</v>
      </c>
      <c r="B45" s="12" t="s">
        <v>78</v>
      </c>
    </row>
    <row r="46" spans="1:2">
      <c r="A46" s="12" t="s">
        <v>83</v>
      </c>
      <c r="B46" s="12" t="s">
        <v>130</v>
      </c>
    </row>
    <row r="47" spans="1:2">
      <c r="A47" s="12" t="s">
        <v>197</v>
      </c>
      <c r="B47" s="12" t="s">
        <v>28</v>
      </c>
    </row>
    <row r="48" spans="1:2">
      <c r="A48" s="12" t="s">
        <v>328</v>
      </c>
      <c r="B48" s="12" t="s">
        <v>78</v>
      </c>
    </row>
    <row r="49" spans="1:2">
      <c r="A49" s="12" t="s">
        <v>17</v>
      </c>
      <c r="B49" s="12" t="s">
        <v>39</v>
      </c>
    </row>
    <row r="50" spans="1:2">
      <c r="A50" s="12" t="s">
        <v>316</v>
      </c>
      <c r="B50" s="12" t="s">
        <v>36</v>
      </c>
    </row>
    <row r="51" spans="1:2">
      <c r="A51" s="12" t="s">
        <v>201</v>
      </c>
      <c r="B51" s="12" t="s">
        <v>13</v>
      </c>
    </row>
    <row r="52" spans="1:2">
      <c r="A52" s="12" t="s">
        <v>361</v>
      </c>
      <c r="B52" s="12" t="s">
        <v>364</v>
      </c>
    </row>
    <row r="53" spans="1:2">
      <c r="A53" s="12" t="s">
        <v>48</v>
      </c>
      <c r="B53" s="12" t="s">
        <v>78</v>
      </c>
    </row>
    <row r="54" spans="1:2">
      <c r="A54" s="12" t="s">
        <v>226</v>
      </c>
      <c r="B54" s="12" t="s">
        <v>30</v>
      </c>
    </row>
    <row r="55" spans="1:2">
      <c r="A55" s="12" t="s">
        <v>265</v>
      </c>
      <c r="B55" s="12" t="s">
        <v>66</v>
      </c>
    </row>
    <row r="56" spans="1:2">
      <c r="A56" s="12" t="s">
        <v>215</v>
      </c>
      <c r="B56" s="12" t="s">
        <v>98</v>
      </c>
    </row>
    <row r="57" spans="1:2">
      <c r="A57" s="12" t="s">
        <v>330</v>
      </c>
      <c r="B57" s="12" t="s">
        <v>48</v>
      </c>
    </row>
    <row r="58" spans="1:2">
      <c r="A58" s="12" t="s">
        <v>336</v>
      </c>
      <c r="B58" s="12" t="s">
        <v>95</v>
      </c>
    </row>
    <row r="59" spans="1:2">
      <c r="A59" s="12" t="s">
        <v>294</v>
      </c>
      <c r="B59" s="12" t="s">
        <v>63</v>
      </c>
    </row>
    <row r="60" spans="1:2">
      <c r="A60" s="12" t="s">
        <v>66</v>
      </c>
      <c r="B60" s="12" t="s">
        <v>262</v>
      </c>
    </row>
    <row r="61" spans="1:2">
      <c r="A61" s="12" t="s">
        <v>241</v>
      </c>
      <c r="B61" s="12" t="s">
        <v>39</v>
      </c>
    </row>
    <row r="62" spans="1:2">
      <c r="A62" s="12" t="s">
        <v>398</v>
      </c>
      <c r="B62" s="12" t="s">
        <v>400</v>
      </c>
    </row>
    <row r="63" spans="1:2">
      <c r="A63" s="12" t="s">
        <v>244</v>
      </c>
      <c r="B63" s="12" t="s">
        <v>39</v>
      </c>
    </row>
    <row r="64" spans="1:2">
      <c r="A64" s="12" t="s">
        <v>305</v>
      </c>
      <c r="B64" s="12" t="s">
        <v>36</v>
      </c>
    </row>
    <row r="65" spans="1:2">
      <c r="A65" s="12" t="s">
        <v>364</v>
      </c>
      <c r="B65" s="12" t="s">
        <v>326</v>
      </c>
    </row>
    <row r="66" spans="1:2">
      <c r="A66" s="12" t="s">
        <v>69</v>
      </c>
      <c r="B66" s="12" t="s">
        <v>56</v>
      </c>
    </row>
    <row r="67" spans="1:2">
      <c r="A67" s="12" t="s">
        <v>230</v>
      </c>
      <c r="B67" s="12" t="s">
        <v>17</v>
      </c>
    </row>
    <row r="68" spans="1:2">
      <c r="A68" s="12" t="s">
        <v>191</v>
      </c>
      <c r="B68" s="12" t="s">
        <v>13</v>
      </c>
    </row>
    <row r="69" spans="1:2">
      <c r="A69" s="12" t="s">
        <v>195</v>
      </c>
      <c r="B69" s="12" t="s">
        <v>197</v>
      </c>
    </row>
    <row r="70" spans="1:2">
      <c r="A70" s="12" t="s">
        <v>166</v>
      </c>
      <c r="B70" s="12" t="s">
        <v>33</v>
      </c>
    </row>
    <row r="71" spans="1:2">
      <c r="A71" s="12" t="s">
        <v>218</v>
      </c>
      <c r="B71" s="12" t="s">
        <v>215</v>
      </c>
    </row>
    <row r="72" spans="1:2">
      <c r="A72" s="12" t="s">
        <v>124</v>
      </c>
      <c r="B72" s="12" t="s">
        <v>195</v>
      </c>
    </row>
    <row r="73" spans="1:2">
      <c r="A73" s="12" t="s">
        <v>128</v>
      </c>
      <c r="B73" s="12" t="s">
        <v>226</v>
      </c>
    </row>
    <row r="74" spans="1:2">
      <c r="A74" s="12" t="s">
        <v>235</v>
      </c>
      <c r="B74" s="12" t="s">
        <v>145</v>
      </c>
    </row>
    <row r="75" spans="1:2">
      <c r="A75" s="12" t="s">
        <v>30</v>
      </c>
      <c r="B75" s="12" t="s">
        <v>66</v>
      </c>
    </row>
    <row r="76" spans="1:2">
      <c r="A76" s="12" t="s">
        <v>312</v>
      </c>
      <c r="B76" s="12" t="s">
        <v>36</v>
      </c>
    </row>
    <row r="77" spans="1:2">
      <c r="A77" s="12" t="s">
        <v>334</v>
      </c>
      <c r="B77" s="12" t="s">
        <v>48</v>
      </c>
    </row>
    <row r="78" spans="1:2">
      <c r="A78" s="12" t="s">
        <v>193</v>
      </c>
      <c r="B78" s="12" t="s">
        <v>126</v>
      </c>
    </row>
    <row r="79" spans="1:2">
      <c r="A79" s="12" t="s">
        <v>145</v>
      </c>
      <c r="B79" s="12" t="s">
        <v>30</v>
      </c>
    </row>
    <row r="80" spans="1:2">
      <c r="A80" s="12" t="s">
        <v>160</v>
      </c>
      <c r="B80" s="12" t="s">
        <v>36</v>
      </c>
    </row>
    <row r="81" spans="1:2">
      <c r="A81" s="12" t="s">
        <v>392</v>
      </c>
      <c r="B81" s="12" t="s">
        <v>106</v>
      </c>
    </row>
    <row r="82" spans="1:2">
      <c r="A82" s="12" t="s">
        <v>163</v>
      </c>
      <c r="B82" s="12" t="s">
        <v>33</v>
      </c>
    </row>
    <row r="83" spans="1:2">
      <c r="A83" s="12" t="s">
        <v>80</v>
      </c>
      <c r="B83" s="12" t="s">
        <v>115</v>
      </c>
    </row>
    <row r="84" spans="1:2">
      <c r="A84" s="12" t="s">
        <v>63</v>
      </c>
      <c r="B84" s="12" t="s">
        <v>104</v>
      </c>
    </row>
    <row r="85" spans="1:2">
      <c r="A85" s="12" t="s">
        <v>58</v>
      </c>
      <c r="B85" s="12" t="s">
        <v>112</v>
      </c>
    </row>
    <row r="86" spans="1:2">
      <c r="A86" s="12" t="s">
        <v>178</v>
      </c>
      <c r="B86" s="12" t="s">
        <v>121</v>
      </c>
    </row>
    <row r="87" spans="1:2">
      <c r="A87" s="12" t="s">
        <v>224</v>
      </c>
      <c r="B87" s="12" t="s">
        <v>17</v>
      </c>
    </row>
    <row r="88" spans="1:2">
      <c r="A88" s="12" t="s">
        <v>244</v>
      </c>
      <c r="B88" s="12" t="s">
        <v>86</v>
      </c>
    </row>
    <row r="89" spans="1:2">
      <c r="A89" s="12" t="s">
        <v>42</v>
      </c>
      <c r="B89" s="12" t="s">
        <v>61</v>
      </c>
    </row>
    <row r="90" spans="1:2">
      <c r="A90" s="12" t="s">
        <v>13</v>
      </c>
      <c r="B90" s="12" t="s">
        <v>124</v>
      </c>
    </row>
    <row r="91" spans="1:2">
      <c r="A91" s="12" t="s">
        <v>286</v>
      </c>
      <c r="B91" s="12" t="s">
        <v>52</v>
      </c>
    </row>
    <row r="92" spans="1:2">
      <c r="A92" s="12" t="s">
        <v>25</v>
      </c>
      <c r="B92" s="12" t="s">
        <v>69</v>
      </c>
    </row>
    <row r="93" spans="1:2">
      <c r="A93" s="12" t="s">
        <v>385</v>
      </c>
      <c r="B93" s="12" t="s">
        <v>21</v>
      </c>
    </row>
    <row r="94" spans="1:2">
      <c r="A94" s="12" t="s">
        <v>387</v>
      </c>
      <c r="B94" s="12" t="s">
        <v>21</v>
      </c>
    </row>
    <row r="95" spans="1:2">
      <c r="A95" s="12" t="s">
        <v>136</v>
      </c>
      <c r="B95" s="12" t="s">
        <v>133</v>
      </c>
    </row>
    <row r="96" spans="1:2">
      <c r="A96" s="12" t="s">
        <v>253</v>
      </c>
      <c r="B96" s="12" t="s">
        <v>39</v>
      </c>
    </row>
    <row r="97" spans="1:2">
      <c r="A97" s="12" t="s">
        <v>390</v>
      </c>
      <c r="B97" s="12" t="s">
        <v>21</v>
      </c>
    </row>
    <row r="98" spans="1:2">
      <c r="A98" s="12" t="s">
        <v>402</v>
      </c>
      <c r="B98" s="12" t="s">
        <v>106</v>
      </c>
    </row>
    <row r="99" spans="1:2">
      <c r="A99" s="12" t="s">
        <v>52</v>
      </c>
      <c r="B99" s="12" t="s">
        <v>93</v>
      </c>
    </row>
    <row r="100" spans="1:2">
      <c r="A100" s="12" t="s">
        <v>309</v>
      </c>
      <c r="B100" s="12" t="s">
        <v>33</v>
      </c>
    </row>
    <row r="101" spans="1:2">
      <c r="A101" s="12" t="s">
        <v>265</v>
      </c>
      <c r="B101" s="12" t="s">
        <v>30</v>
      </c>
    </row>
    <row r="102" spans="1:2">
      <c r="A102" s="12" t="s">
        <v>410</v>
      </c>
      <c r="B102" s="12" t="s">
        <v>259</v>
      </c>
    </row>
    <row r="103" spans="1:2">
      <c r="A103" s="12" t="s">
        <v>307</v>
      </c>
      <c r="B103" s="12" t="s">
        <v>33</v>
      </c>
    </row>
    <row r="104" spans="1:2">
      <c r="A104" s="12" t="s">
        <v>17</v>
      </c>
      <c r="B104" s="12" t="s">
        <v>145</v>
      </c>
    </row>
    <row r="105" spans="1:2">
      <c r="A105" s="12" t="s">
        <v>124</v>
      </c>
      <c r="B105" s="12" t="s">
        <v>101</v>
      </c>
    </row>
    <row r="106" spans="1:2">
      <c r="A106" s="12" t="s">
        <v>259</v>
      </c>
      <c r="B106" s="12" t="s">
        <v>150</v>
      </c>
    </row>
    <row r="107" spans="1:2">
      <c r="A107" s="12" t="s">
        <v>309</v>
      </c>
      <c r="B107" s="12" t="s">
        <v>133</v>
      </c>
    </row>
    <row r="108" spans="1:2">
      <c r="A108" s="12" t="s">
        <v>268</v>
      </c>
      <c r="B108" s="12" t="s">
        <v>30</v>
      </c>
    </row>
    <row r="109" spans="1:2">
      <c r="A109" s="12" t="s">
        <v>358</v>
      </c>
      <c r="B109" s="12" t="s">
        <v>21</v>
      </c>
    </row>
    <row r="110" spans="1:2">
      <c r="A110" s="12" t="s">
        <v>324</v>
      </c>
      <c r="B110" s="12" t="s">
        <v>56</v>
      </c>
    </row>
    <row r="111" spans="1:2">
      <c r="A111" s="12" t="s">
        <v>271</v>
      </c>
      <c r="B111" s="12" t="s">
        <v>75</v>
      </c>
    </row>
    <row r="112" spans="1:2">
      <c r="A112" s="12" t="s">
        <v>392</v>
      </c>
      <c r="B112" s="12" t="s">
        <v>89</v>
      </c>
    </row>
    <row r="113" spans="1:2">
      <c r="A113" s="12" t="s">
        <v>203</v>
      </c>
      <c r="B113" s="12" t="s">
        <v>191</v>
      </c>
    </row>
    <row r="114" spans="1:2">
      <c r="A114" s="12" t="s">
        <v>136</v>
      </c>
      <c r="B114" s="12" t="s">
        <v>36</v>
      </c>
    </row>
    <row r="115" spans="1:2">
      <c r="A115" s="12" t="s">
        <v>404</v>
      </c>
      <c r="B115" s="12" t="s">
        <v>106</v>
      </c>
    </row>
    <row r="116" spans="1:2">
      <c r="A116" s="12" t="s">
        <v>377</v>
      </c>
      <c r="B116" s="12" t="s">
        <v>21</v>
      </c>
    </row>
    <row r="117" spans="1:2">
      <c r="A117" s="12" t="s">
        <v>44</v>
      </c>
      <c r="B117" s="12" t="s">
        <v>80</v>
      </c>
    </row>
    <row r="118" spans="1:2">
      <c r="A118" s="12" t="s">
        <v>86</v>
      </c>
      <c r="B118" s="12" t="s">
        <v>89</v>
      </c>
    </row>
    <row r="119" spans="1:2">
      <c r="A119" s="12" t="s">
        <v>247</v>
      </c>
      <c r="B119" s="12" t="s">
        <v>89</v>
      </c>
    </row>
    <row r="120" spans="1:2">
      <c r="A120" s="12" t="s">
        <v>250</v>
      </c>
      <c r="B120" s="12" t="s">
        <v>17</v>
      </c>
    </row>
    <row r="121" spans="1:2">
      <c r="A121" s="12" t="s">
        <v>215</v>
      </c>
      <c r="B121" s="12" t="s">
        <v>191</v>
      </c>
    </row>
    <row r="122" spans="1:2">
      <c r="A122" s="12" t="s">
        <v>259</v>
      </c>
      <c r="B122" s="12" t="s">
        <v>17</v>
      </c>
    </row>
    <row r="123" spans="1:2">
      <c r="A123" s="12" t="s">
        <v>56</v>
      </c>
      <c r="B123" s="12" t="s">
        <v>320</v>
      </c>
    </row>
    <row r="124" spans="1:2">
      <c r="A124" s="12" t="s">
        <v>209</v>
      </c>
      <c r="B124" s="12" t="s">
        <v>98</v>
      </c>
    </row>
    <row r="125" spans="1:2">
      <c r="A125" s="12" t="s">
        <v>300</v>
      </c>
      <c r="B125" s="12" t="s">
        <v>33</v>
      </c>
    </row>
    <row r="126" spans="1:2">
      <c r="A126" s="12" t="s">
        <v>314</v>
      </c>
      <c r="B126" s="12" t="s">
        <v>36</v>
      </c>
    </row>
    <row r="127" spans="1:2">
      <c r="A127" s="12" t="s">
        <v>352</v>
      </c>
      <c r="B127" s="12" t="s">
        <v>330</v>
      </c>
    </row>
    <row r="128" spans="1:2">
      <c r="A128" s="12" t="s">
        <v>374</v>
      </c>
      <c r="B128" s="12" t="s">
        <v>21</v>
      </c>
    </row>
    <row r="129" spans="1:2">
      <c r="A129" s="12" t="s">
        <v>104</v>
      </c>
      <c r="B129" s="12" t="s">
        <v>21</v>
      </c>
    </row>
    <row r="130" spans="1:2">
      <c r="A130" s="12" t="s">
        <v>380</v>
      </c>
      <c r="B130" s="12" t="s">
        <v>21</v>
      </c>
    </row>
    <row r="131" spans="1:2">
      <c r="A131" s="12" t="s">
        <v>300</v>
      </c>
      <c r="B131" s="12" t="s">
        <v>36</v>
      </c>
    </row>
    <row r="132" spans="1:2">
      <c r="A132" s="12" t="s">
        <v>390</v>
      </c>
      <c r="B132" s="12" t="s">
        <v>89</v>
      </c>
    </row>
    <row r="133" spans="1:2">
      <c r="A133" s="12" t="s">
        <v>303</v>
      </c>
      <c r="B133" s="12" t="s">
        <v>33</v>
      </c>
    </row>
    <row r="134" spans="1:2">
      <c r="A134" s="12" t="s">
        <v>139</v>
      </c>
      <c r="B134" s="12" t="s">
        <v>25</v>
      </c>
    </row>
    <row r="135" spans="1:2">
      <c r="A135" s="12" t="s">
        <v>291</v>
      </c>
      <c r="B135" s="12" t="s">
        <v>63</v>
      </c>
    </row>
    <row r="136" spans="1:2">
      <c r="A136" s="12" t="s">
        <v>355</v>
      </c>
      <c r="B136" s="12" t="s">
        <v>330</v>
      </c>
    </row>
    <row r="137" spans="1:2">
      <c r="A137" s="12" t="s">
        <v>328</v>
      </c>
      <c r="B137" s="12" t="s">
        <v>332</v>
      </c>
    </row>
    <row r="138" spans="1:2">
      <c r="A138" s="12" t="s">
        <v>336</v>
      </c>
      <c r="B138" s="12" t="s">
        <v>48</v>
      </c>
    </row>
    <row r="139" spans="1:2">
      <c r="A139" s="12" t="s">
        <v>343</v>
      </c>
      <c r="B139" s="12" t="s">
        <v>95</v>
      </c>
    </row>
    <row r="140" spans="1:2">
      <c r="A140" s="12" t="s">
        <v>48</v>
      </c>
      <c r="B140" s="12" t="s">
        <v>95</v>
      </c>
    </row>
    <row r="141" spans="1:2">
      <c r="A141" s="12" t="s">
        <v>338</v>
      </c>
      <c r="B141" s="12" t="s">
        <v>48</v>
      </c>
    </row>
    <row r="142" spans="1:2">
      <c r="A142" s="12" t="s">
        <v>407</v>
      </c>
      <c r="B142" s="12" t="s">
        <v>145</v>
      </c>
    </row>
    <row r="143" spans="1:2">
      <c r="A143" s="12" t="s">
        <v>383</v>
      </c>
      <c r="B143" s="12" t="s">
        <v>106</v>
      </c>
    </row>
    <row r="144" spans="1:2">
      <c r="A144" s="12" t="s">
        <v>346</v>
      </c>
      <c r="B144" s="12" t="s">
        <v>343</v>
      </c>
    </row>
    <row r="145" spans="1:2">
      <c r="A145" s="12" t="s">
        <v>75</v>
      </c>
      <c r="B145" s="12" t="s">
        <v>21</v>
      </c>
    </row>
    <row r="146" spans="1:2">
      <c r="A146" s="12" t="s">
        <v>215</v>
      </c>
      <c r="B146" s="12" t="s">
        <v>101</v>
      </c>
    </row>
    <row r="147" spans="1:2">
      <c r="A147" s="12" t="s">
        <v>297</v>
      </c>
      <c r="B147" s="12" t="s">
        <v>36</v>
      </c>
    </row>
    <row r="148" spans="1:2">
      <c r="A148" s="12" t="s">
        <v>326</v>
      </c>
      <c r="B148" s="12" t="s">
        <v>56</v>
      </c>
    </row>
    <row r="149" spans="1:2">
      <c r="A149" s="12" t="s">
        <v>367</v>
      </c>
      <c r="B149" s="12" t="s">
        <v>86</v>
      </c>
    </row>
    <row r="150" spans="1:2">
      <c r="A150" s="12" t="s">
        <v>277</v>
      </c>
      <c r="B150" s="12" t="s">
        <v>52</v>
      </c>
    </row>
    <row r="151" spans="1:2">
      <c r="A151" s="12" t="s">
        <v>209</v>
      </c>
      <c r="B151" s="12" t="s">
        <v>115</v>
      </c>
    </row>
    <row r="152" spans="1:2">
      <c r="A152" s="12" t="s">
        <v>89</v>
      </c>
      <c r="B152" s="12" t="s">
        <v>17</v>
      </c>
    </row>
    <row r="153" spans="1:2">
      <c r="A153" s="12" t="s">
        <v>312</v>
      </c>
      <c r="B153" s="12" t="s">
        <v>69</v>
      </c>
    </row>
    <row r="154" spans="1:2">
      <c r="A154" s="12" t="s">
        <v>178</v>
      </c>
      <c r="B154" s="12" t="s">
        <v>21</v>
      </c>
    </row>
    <row r="155" spans="1:2">
      <c r="A155" s="12" t="s">
        <v>318</v>
      </c>
      <c r="B155" s="12" t="s">
        <v>33</v>
      </c>
    </row>
    <row r="156" spans="1:2">
      <c r="A156" s="12" t="s">
        <v>349</v>
      </c>
      <c r="B156" s="12" t="s">
        <v>95</v>
      </c>
    </row>
    <row r="157" spans="1:2">
      <c r="A157" s="12" t="s">
        <v>63</v>
      </c>
      <c r="B157" s="12" t="s">
        <v>106</v>
      </c>
    </row>
    <row r="158" spans="1:2">
      <c r="A158" s="12" t="s">
        <v>203</v>
      </c>
      <c r="B158" s="12" t="s">
        <v>61</v>
      </c>
    </row>
    <row r="159" spans="1:2">
      <c r="A159" s="12" t="s">
        <v>36</v>
      </c>
      <c r="B159" s="12" t="s">
        <v>33</v>
      </c>
    </row>
    <row r="160" spans="1:2">
      <c r="A160" s="12" t="s">
        <v>271</v>
      </c>
      <c r="B160" s="12" t="s">
        <v>21</v>
      </c>
    </row>
    <row r="161" spans="1:2">
      <c r="A161" s="12" t="s">
        <v>289</v>
      </c>
      <c r="B161" s="12" t="s">
        <v>21</v>
      </c>
    </row>
    <row r="162" spans="1:2">
      <c r="A162" s="12" t="s">
        <v>42</v>
      </c>
      <c r="B162" s="12" t="s">
        <v>28</v>
      </c>
    </row>
    <row r="163" spans="1:2">
      <c r="A163" s="12" t="s">
        <v>25</v>
      </c>
      <c r="B163" s="12" t="s">
        <v>36</v>
      </c>
    </row>
    <row r="164" spans="1:2">
      <c r="A164" s="12" t="s">
        <v>52</v>
      </c>
      <c r="B164" s="12" t="s">
        <v>121</v>
      </c>
    </row>
    <row r="165" spans="1:2">
      <c r="A165" s="12" t="s">
        <v>274</v>
      </c>
      <c r="B165" s="12" t="s">
        <v>52</v>
      </c>
    </row>
    <row r="166" spans="1:2">
      <c r="A166" s="12" t="s">
        <v>291</v>
      </c>
      <c r="B166" s="12" t="s">
        <v>33</v>
      </c>
    </row>
    <row r="167" spans="1:2">
      <c r="A167" s="12" t="s">
        <v>322</v>
      </c>
      <c r="B167" s="12" t="s">
        <v>25</v>
      </c>
    </row>
    <row r="168" spans="1:2">
      <c r="A168" s="12" t="s">
        <v>160</v>
      </c>
      <c r="B168" s="12" t="s">
        <v>25</v>
      </c>
    </row>
    <row r="169" spans="1:2">
      <c r="A169" s="12" t="s">
        <v>369</v>
      </c>
      <c r="B169" s="12" t="s">
        <v>89</v>
      </c>
    </row>
    <row r="170" spans="1:2">
      <c r="A170" s="12" t="s">
        <v>371</v>
      </c>
      <c r="B170" s="12" t="s">
        <v>86</v>
      </c>
    </row>
    <row r="171" spans="1:2">
      <c r="A171" s="12" t="s">
        <v>364</v>
      </c>
      <c r="B171" s="12" t="s">
        <v>86</v>
      </c>
    </row>
    <row r="172" spans="1:2">
      <c r="A172" s="12" t="s">
        <v>98</v>
      </c>
      <c r="B172" s="12" t="s">
        <v>101</v>
      </c>
    </row>
    <row r="173" spans="1:2">
      <c r="A173" s="12" t="s">
        <v>75</v>
      </c>
      <c r="B173" s="12" t="s">
        <v>30</v>
      </c>
    </row>
    <row r="174" spans="1:2">
      <c r="A174" s="12" t="s">
        <v>332</v>
      </c>
      <c r="B174" s="12" t="s">
        <v>48</v>
      </c>
    </row>
    <row r="175" spans="1:2">
      <c r="A175" s="12" t="s">
        <v>294</v>
      </c>
      <c r="B175" s="12" t="s">
        <v>106</v>
      </c>
    </row>
    <row r="176" spans="1:2">
      <c r="A176" s="12" t="s">
        <v>297</v>
      </c>
      <c r="B176" s="12" t="s">
        <v>21</v>
      </c>
    </row>
    <row r="177" spans="1:2">
      <c r="A177" s="12" t="s">
        <v>361</v>
      </c>
      <c r="B177" s="12" t="s">
        <v>89</v>
      </c>
    </row>
    <row r="178" spans="1:2">
      <c r="A178" s="12" t="s">
        <v>72</v>
      </c>
      <c r="B178" s="12" t="s">
        <v>155</v>
      </c>
    </row>
    <row r="179" spans="1:2">
      <c r="A179" s="12" t="s">
        <v>101</v>
      </c>
      <c r="B179" s="12" t="s">
        <v>61</v>
      </c>
    </row>
    <row r="180" spans="1:2">
      <c r="A180" s="12" t="s">
        <v>238</v>
      </c>
      <c r="B180" s="12" t="s">
        <v>21</v>
      </c>
    </row>
    <row r="181" spans="1:2">
      <c r="A181" s="12" t="s">
        <v>121</v>
      </c>
      <c r="B181" s="12" t="s">
        <v>75</v>
      </c>
    </row>
    <row r="182" spans="1:2">
      <c r="A182" s="12" t="s">
        <v>121</v>
      </c>
      <c r="B182" s="12" t="s">
        <v>21</v>
      </c>
    </row>
    <row r="183" spans="1:2">
      <c r="A183" s="12" t="s">
        <v>294</v>
      </c>
      <c r="B183" s="12" t="s">
        <v>33</v>
      </c>
    </row>
    <row r="184" spans="1:2">
      <c r="A184" s="12" t="s">
        <v>410</v>
      </c>
      <c r="B184" s="12" t="s">
        <v>155</v>
      </c>
    </row>
    <row r="185" spans="1:2">
      <c r="A185" s="12" t="s">
        <v>407</v>
      </c>
      <c r="B185" s="12" t="s">
        <v>17</v>
      </c>
    </row>
    <row r="186" spans="1:2">
      <c r="A186" s="12" t="s">
        <v>404</v>
      </c>
      <c r="B186" s="12" t="s">
        <v>17</v>
      </c>
    </row>
    <row r="187" spans="1:2">
      <c r="A187" s="12" t="s">
        <v>241</v>
      </c>
      <c r="B187" s="12" t="s">
        <v>106</v>
      </c>
    </row>
    <row r="188" spans="1:2">
      <c r="A188" s="12" t="s">
        <v>274</v>
      </c>
      <c r="B188" s="12" t="s">
        <v>21</v>
      </c>
    </row>
    <row r="189" spans="1:2">
      <c r="A189" s="12" t="s">
        <v>387</v>
      </c>
      <c r="B189" s="12" t="s">
        <v>39</v>
      </c>
    </row>
    <row r="190" spans="1:2">
      <c r="A190" s="12" t="s">
        <v>326</v>
      </c>
      <c r="B190" s="12" t="s">
        <v>89</v>
      </c>
    </row>
    <row r="191" spans="1:2">
      <c r="A191" s="12" t="s">
        <v>61</v>
      </c>
      <c r="B191" s="12" t="s">
        <v>28</v>
      </c>
    </row>
    <row r="192" spans="1:2">
      <c r="A192" s="12" t="s">
        <v>277</v>
      </c>
      <c r="B192" s="12" t="s">
        <v>21</v>
      </c>
    </row>
    <row r="193" spans="1:2">
      <c r="A193" s="12" t="s">
        <v>153</v>
      </c>
      <c r="B193" s="12" t="s">
        <v>28</v>
      </c>
    </row>
    <row r="194" spans="1:2">
      <c r="A194" s="12" t="s">
        <v>259</v>
      </c>
      <c r="B194" s="12" t="s">
        <v>72</v>
      </c>
    </row>
    <row r="195" spans="1:2">
      <c r="A195" s="12" t="s">
        <v>184</v>
      </c>
      <c r="B195" s="12" t="s">
        <v>30</v>
      </c>
    </row>
    <row r="196" spans="1:2">
      <c r="A196" s="12" t="s">
        <v>340</v>
      </c>
      <c r="B196" s="12" t="s">
        <v>153</v>
      </c>
    </row>
    <row r="197" spans="1:2">
      <c r="A197" s="12" t="s">
        <v>44</v>
      </c>
      <c r="B197" s="12" t="s">
        <v>98</v>
      </c>
    </row>
    <row r="198" spans="1:2">
      <c r="A198" s="12" t="s">
        <v>166</v>
      </c>
      <c r="B198" s="12" t="s">
        <v>25</v>
      </c>
    </row>
    <row r="199" spans="1:2">
      <c r="A199" s="12" t="s">
        <v>307</v>
      </c>
      <c r="B199" s="12" t="s">
        <v>25</v>
      </c>
    </row>
    <row r="200" spans="1:2">
      <c r="A200" s="12" t="s">
        <v>400</v>
      </c>
      <c r="B200" s="12" t="s">
        <v>30</v>
      </c>
    </row>
    <row r="201" spans="1:2">
      <c r="A201" s="12" t="s">
        <v>172</v>
      </c>
      <c r="B201" s="12" t="s">
        <v>30</v>
      </c>
    </row>
    <row r="202" spans="1:2">
      <c r="A202" s="12" t="s">
        <v>309</v>
      </c>
      <c r="B202" s="12" t="s">
        <v>25</v>
      </c>
    </row>
    <row r="203" spans="1:2">
      <c r="A203" s="12" t="s">
        <v>212</v>
      </c>
      <c r="B203" s="12" t="s">
        <v>61</v>
      </c>
    </row>
    <row r="204" spans="1:2">
      <c r="A204" s="12" t="s">
        <v>383</v>
      </c>
      <c r="B204" s="12" t="s">
        <v>33</v>
      </c>
    </row>
    <row r="205" spans="1:2">
      <c r="A205" s="12" t="s">
        <v>52</v>
      </c>
      <c r="B205" s="12" t="s">
        <v>181</v>
      </c>
    </row>
    <row r="206" spans="1:2">
      <c r="A206" s="12" t="s">
        <v>361</v>
      </c>
      <c r="B206" s="12" t="s">
        <v>39</v>
      </c>
    </row>
    <row r="207" spans="1:2">
      <c r="A207" s="12" t="s">
        <v>398</v>
      </c>
      <c r="B207" s="12" t="s">
        <v>30</v>
      </c>
    </row>
    <row r="208" spans="1:2">
      <c r="A208" s="12" t="s">
        <v>226</v>
      </c>
      <c r="B208" s="12" t="s">
        <v>21</v>
      </c>
    </row>
    <row r="209" spans="1:2">
      <c r="A209" s="12" t="s">
        <v>232</v>
      </c>
      <c r="B209" s="12" t="s">
        <v>106</v>
      </c>
    </row>
    <row r="210" spans="1:2">
      <c r="A210" s="12" t="s">
        <v>265</v>
      </c>
      <c r="B210" s="12" t="s">
        <v>21</v>
      </c>
    </row>
    <row r="211" spans="1:2">
      <c r="A211" s="12" t="s">
        <v>355</v>
      </c>
      <c r="B211" s="12" t="s">
        <v>33</v>
      </c>
    </row>
    <row r="212" spans="1:2">
      <c r="A212" s="12" t="s">
        <v>106</v>
      </c>
      <c r="B212" s="12" t="s">
        <v>30</v>
      </c>
    </row>
    <row r="213" spans="1:2">
      <c r="A213" s="12" t="s">
        <v>118</v>
      </c>
      <c r="B213" s="12" t="s">
        <v>17</v>
      </c>
    </row>
    <row r="214" spans="1:2">
      <c r="A214" s="12" t="s">
        <v>169</v>
      </c>
      <c r="B214" s="12" t="s">
        <v>17</v>
      </c>
    </row>
    <row r="215" spans="1:2">
      <c r="A215" s="12" t="s">
        <v>343</v>
      </c>
      <c r="B215" s="12" t="s">
        <v>153</v>
      </c>
    </row>
    <row r="216" spans="1:2">
      <c r="A216" s="12" t="s">
        <v>181</v>
      </c>
      <c r="B216" s="12" t="s">
        <v>17</v>
      </c>
    </row>
    <row r="217" spans="1:2">
      <c r="A217" s="12" t="s">
        <v>324</v>
      </c>
      <c r="B217" s="12" t="s">
        <v>21</v>
      </c>
    </row>
    <row r="218" spans="1:2">
      <c r="A218" s="12" t="s">
        <v>395</v>
      </c>
      <c r="B218" s="12" t="s">
        <v>17</v>
      </c>
    </row>
    <row r="219" spans="1:2">
      <c r="A219" s="12" t="s">
        <v>175</v>
      </c>
      <c r="B219" s="12" t="s">
        <v>39</v>
      </c>
    </row>
    <row r="220" spans="1:2">
      <c r="A220" s="12" t="s">
        <v>364</v>
      </c>
      <c r="B220" s="12" t="s">
        <v>33</v>
      </c>
    </row>
    <row r="221" spans="1:2">
      <c r="A221" s="12" t="s">
        <v>25</v>
      </c>
      <c r="B221" s="12" t="s">
        <v>33</v>
      </c>
    </row>
    <row r="222" spans="1:2">
      <c r="A222" s="12" t="s">
        <v>328</v>
      </c>
      <c r="B222" s="12" t="s">
        <v>33</v>
      </c>
    </row>
    <row r="223" spans="1:2">
      <c r="A223" s="12" t="s">
        <v>17</v>
      </c>
      <c r="B223" s="12" t="s">
        <v>21</v>
      </c>
    </row>
    <row r="224" spans="1:2">
      <c r="A224" s="12" t="s">
        <v>61</v>
      </c>
      <c r="B224" s="12" t="s">
        <v>17</v>
      </c>
    </row>
    <row r="225" spans="1:2">
      <c r="A225" s="12" t="s">
        <v>17</v>
      </c>
      <c r="B225" s="12" t="s">
        <v>61</v>
      </c>
    </row>
    <row r="226" spans="1:2">
      <c r="A226" s="12" t="s">
        <v>72</v>
      </c>
      <c r="B226" s="12" t="s">
        <v>17</v>
      </c>
    </row>
    <row r="227" spans="1:2">
      <c r="A227" s="12" t="s">
        <v>262</v>
      </c>
      <c r="B227" s="12" t="s">
        <v>61</v>
      </c>
    </row>
    <row r="228" spans="1:2">
      <c r="A228" s="12" t="s">
        <v>21</v>
      </c>
      <c r="B228" s="12" t="s">
        <v>33</v>
      </c>
    </row>
    <row r="229" spans="1:2">
      <c r="A229" s="12" t="s">
        <v>58</v>
      </c>
      <c r="B229" s="12" t="s">
        <v>61</v>
      </c>
    </row>
    <row r="230" spans="1:2">
      <c r="A230" s="12" t="s">
        <v>189</v>
      </c>
      <c r="B230" s="12" t="s">
        <v>17</v>
      </c>
    </row>
    <row r="231" spans="1:2">
      <c r="A231" s="12" t="s">
        <v>109</v>
      </c>
      <c r="B231" s="12" t="s">
        <v>61</v>
      </c>
    </row>
    <row r="232" spans="1:2">
      <c r="A232" s="12" t="s">
        <v>150</v>
      </c>
      <c r="B232" s="12" t="s">
        <v>61</v>
      </c>
    </row>
    <row r="233" spans="1:2">
      <c r="A233" s="12" t="s">
        <v>187</v>
      </c>
      <c r="B233" s="12" t="s">
        <v>39</v>
      </c>
    </row>
    <row r="234" spans="1:2">
      <c r="A234" s="12" t="s">
        <v>380</v>
      </c>
      <c r="B234" s="12" t="s">
        <v>17</v>
      </c>
    </row>
    <row r="235" spans="1:2">
      <c r="A235" s="12" t="s">
        <v>184</v>
      </c>
      <c r="B235" s="12" t="s">
        <v>61</v>
      </c>
    </row>
    <row r="236" spans="1:2">
      <c r="A236" s="12" t="s">
        <v>224</v>
      </c>
      <c r="B236" s="12" t="s">
        <v>61</v>
      </c>
    </row>
    <row r="237" spans="1:2">
      <c r="A237" s="12" t="s">
        <v>330</v>
      </c>
      <c r="B237" s="12" t="s">
        <v>33</v>
      </c>
    </row>
    <row r="238" spans="1:2">
      <c r="A238" s="12" t="s">
        <v>385</v>
      </c>
      <c r="B238" s="12" t="s">
        <v>30</v>
      </c>
    </row>
    <row r="239" spans="1:2">
      <c r="A239" s="12" t="s">
        <v>61</v>
      </c>
      <c r="B239" s="12" t="s">
        <v>39</v>
      </c>
    </row>
    <row r="240" spans="1:2">
      <c r="A240" s="12" t="s">
        <v>153</v>
      </c>
      <c r="B240" s="12" t="s">
        <v>25</v>
      </c>
    </row>
    <row r="241" spans="1:2">
      <c r="A241" s="12" t="s">
        <v>228</v>
      </c>
      <c r="B241" s="12" t="s">
        <v>61</v>
      </c>
    </row>
    <row r="242" spans="1:2">
      <c r="A242" s="12" t="s">
        <v>33</v>
      </c>
      <c r="B242" s="12" t="s">
        <v>48</v>
      </c>
    </row>
    <row r="243" spans="1:2">
      <c r="A243" s="12" t="s">
        <v>203</v>
      </c>
      <c r="B243" s="12" t="s">
        <v>66</v>
      </c>
    </row>
    <row r="244" spans="1:2">
      <c r="A244" s="12" t="s">
        <v>21</v>
      </c>
      <c r="B244" s="12" t="s">
        <v>52</v>
      </c>
    </row>
    <row r="245" spans="1:2">
      <c r="A245" s="12" t="s">
        <v>142</v>
      </c>
      <c r="B245" s="12" t="s">
        <v>61</v>
      </c>
    </row>
    <row r="246" spans="1:2">
      <c r="A246" s="12" t="s">
        <v>157</v>
      </c>
      <c r="B246" s="12" t="s">
        <v>21</v>
      </c>
    </row>
    <row r="247" spans="1:2">
      <c r="A247" s="12" t="s">
        <v>189</v>
      </c>
      <c r="B247" s="12" t="s">
        <v>230</v>
      </c>
    </row>
    <row r="248" spans="1:2">
      <c r="A248" s="12" t="s">
        <v>191</v>
      </c>
      <c r="B248" s="12" t="s">
        <v>44</v>
      </c>
    </row>
    <row r="249" spans="1:2">
      <c r="A249" s="12" t="s">
        <v>221</v>
      </c>
      <c r="B249" s="12" t="s">
        <v>191</v>
      </c>
    </row>
    <row r="250" spans="1:2">
      <c r="A250" s="12" t="s">
        <v>63</v>
      </c>
      <c r="B250" s="12" t="s">
        <v>17</v>
      </c>
    </row>
    <row r="251" spans="1:2">
      <c r="A251" s="12" t="s">
        <v>280</v>
      </c>
      <c r="B251" s="12" t="s">
        <v>106</v>
      </c>
    </row>
    <row r="252" spans="1:2">
      <c r="A252" s="12" t="s">
        <v>218</v>
      </c>
      <c r="B252" s="12" t="s">
        <v>66</v>
      </c>
    </row>
    <row r="253" spans="1:2">
      <c r="A253" s="12" t="s">
        <v>95</v>
      </c>
      <c r="B253" s="12" t="s">
        <v>153</v>
      </c>
    </row>
    <row r="254" spans="1:2">
      <c r="A254" s="12" t="s">
        <v>128</v>
      </c>
      <c r="B254" s="12" t="s">
        <v>191</v>
      </c>
    </row>
    <row r="255" spans="1:2">
      <c r="A255" s="12" t="s">
        <v>104</v>
      </c>
      <c r="B255" s="12" t="s">
        <v>17</v>
      </c>
    </row>
    <row r="256" spans="1:2">
      <c r="A256" s="12" t="s">
        <v>201</v>
      </c>
      <c r="B256" s="12" t="s">
        <v>17</v>
      </c>
    </row>
    <row r="257" spans="1:2">
      <c r="A257" s="12" t="s">
        <v>400</v>
      </c>
      <c r="B257" s="12" t="s">
        <v>33</v>
      </c>
    </row>
    <row r="258" spans="1:2">
      <c r="A258" s="12" t="s">
        <v>86</v>
      </c>
      <c r="B258" s="12" t="s">
        <v>25</v>
      </c>
    </row>
    <row r="259" spans="1:2">
      <c r="A259" s="12" t="s">
        <v>124</v>
      </c>
      <c r="B259" s="12" t="s">
        <v>17</v>
      </c>
    </row>
    <row r="260" spans="1:2">
      <c r="A260" s="12" t="s">
        <v>155</v>
      </c>
      <c r="B260" s="12" t="s">
        <v>17</v>
      </c>
    </row>
    <row r="261" spans="1:2">
      <c r="A261" s="12" t="s">
        <v>256</v>
      </c>
      <c r="B261" s="12" t="s">
        <v>25</v>
      </c>
    </row>
    <row r="262" spans="1:2">
      <c r="A262" s="12" t="s">
        <v>235</v>
      </c>
      <c r="B262" s="12" t="s">
        <v>61</v>
      </c>
    </row>
    <row r="263" spans="1:2">
      <c r="A263" s="12" t="s">
        <v>89</v>
      </c>
      <c r="B263" s="12" t="s">
        <v>61</v>
      </c>
    </row>
    <row r="264" spans="1:2">
      <c r="A264" s="12" t="s">
        <v>195</v>
      </c>
      <c r="B264" s="12" t="s">
        <v>39</v>
      </c>
    </row>
    <row r="265" spans="1:2">
      <c r="A265" s="12" t="s">
        <v>286</v>
      </c>
      <c r="B265" s="12" t="s">
        <v>39</v>
      </c>
    </row>
    <row r="266" spans="1:2">
      <c r="A266" s="12" t="s">
        <v>126</v>
      </c>
      <c r="B266" s="12" t="s">
        <v>25</v>
      </c>
    </row>
    <row r="267" spans="1:2">
      <c r="A267" s="12" t="s">
        <v>193</v>
      </c>
      <c r="B267" s="12" t="s">
        <v>69</v>
      </c>
    </row>
    <row r="268" spans="1:2">
      <c r="A268" s="12" t="s">
        <v>336</v>
      </c>
      <c r="B268" s="12" t="s">
        <v>33</v>
      </c>
    </row>
    <row r="269" spans="1:2">
      <c r="A269" s="12" t="s">
        <v>197</v>
      </c>
      <c r="B269" s="12" t="s">
        <v>17</v>
      </c>
    </row>
    <row r="270" spans="1:2">
      <c r="A270" s="12" t="s">
        <v>291</v>
      </c>
      <c r="B270" s="12" t="s">
        <v>30</v>
      </c>
    </row>
    <row r="271" spans="1:2">
      <c r="A271" s="12" t="s">
        <v>98</v>
      </c>
      <c r="B271" s="12" t="s">
        <v>30</v>
      </c>
    </row>
    <row r="272" spans="1:2">
      <c r="A272" s="12" t="s">
        <v>147</v>
      </c>
      <c r="B272" s="12" t="s">
        <v>136</v>
      </c>
    </row>
    <row r="273" spans="1:2">
      <c r="A273" s="12" t="s">
        <v>215</v>
      </c>
      <c r="B273" s="12" t="s">
        <v>30</v>
      </c>
    </row>
    <row r="274" spans="1:2">
      <c r="A274" s="12" t="s">
        <v>28</v>
      </c>
      <c r="B274" s="12" t="s">
        <v>25</v>
      </c>
    </row>
    <row r="275" spans="1:2">
      <c r="A275" s="12" t="s">
        <v>153</v>
      </c>
      <c r="B275" s="12" t="s">
        <v>36</v>
      </c>
    </row>
    <row r="276" spans="1:2">
      <c r="A276" s="12" t="s">
        <v>115</v>
      </c>
      <c r="B276" s="12" t="s">
        <v>28</v>
      </c>
    </row>
    <row r="277" spans="1:2">
      <c r="A277" s="12" t="s">
        <v>136</v>
      </c>
      <c r="B277" s="12" t="s">
        <v>39</v>
      </c>
    </row>
    <row r="278" spans="1:2">
      <c r="A278" s="12" t="s">
        <v>343</v>
      </c>
      <c r="B278" s="12" t="s">
        <v>28</v>
      </c>
    </row>
    <row r="279" spans="1:2">
      <c r="A279" s="12" t="s">
        <v>407</v>
      </c>
      <c r="B279" s="12" t="s">
        <v>61</v>
      </c>
    </row>
    <row r="280" spans="1:2">
      <c r="A280" s="12" t="s">
        <v>112</v>
      </c>
      <c r="B280" s="12" t="s">
        <v>33</v>
      </c>
    </row>
    <row r="281" spans="1:2">
      <c r="A281" s="12" t="s">
        <v>109</v>
      </c>
      <c r="B281" s="12" t="s">
        <v>36</v>
      </c>
    </row>
    <row r="282" spans="1:2">
      <c r="A282" s="12" t="s">
        <v>30</v>
      </c>
      <c r="B282" s="12" t="s">
        <v>44</v>
      </c>
    </row>
    <row r="283" spans="1:2">
      <c r="A283" s="12" t="s">
        <v>244</v>
      </c>
      <c r="B283" s="12" t="s">
        <v>33</v>
      </c>
    </row>
    <row r="284" spans="1:2">
      <c r="A284" s="12" t="s">
        <v>93</v>
      </c>
      <c r="B284" s="12" t="s">
        <v>78</v>
      </c>
    </row>
    <row r="285" spans="1:2">
      <c r="A285" s="12" t="s">
        <v>206</v>
      </c>
      <c r="B285" s="12" t="s">
        <v>221</v>
      </c>
    </row>
    <row r="286" spans="1:2">
      <c r="A286" s="12" t="s">
        <v>209</v>
      </c>
      <c r="B286" s="12" t="s">
        <v>66</v>
      </c>
    </row>
    <row r="287" spans="1:2">
      <c r="A287" s="12" t="s">
        <v>320</v>
      </c>
      <c r="B287" s="12" t="s">
        <v>17</v>
      </c>
    </row>
    <row r="288" spans="1:2">
      <c r="A288" s="12" t="s">
        <v>36</v>
      </c>
      <c r="B288" s="12" t="s">
        <v>17</v>
      </c>
    </row>
    <row r="289" spans="1:2">
      <c r="A289" s="12" t="s">
        <v>69</v>
      </c>
      <c r="B289" s="12" t="s">
        <v>28</v>
      </c>
    </row>
    <row r="290" spans="1:2">
      <c r="A290" s="12" t="s">
        <v>93</v>
      </c>
      <c r="B290" s="12" t="s">
        <v>17</v>
      </c>
    </row>
    <row r="291" spans="1:2">
      <c r="A291" s="12" t="s">
        <v>115</v>
      </c>
      <c r="B291" s="12" t="s">
        <v>95</v>
      </c>
    </row>
    <row r="292" spans="1:2">
      <c r="A292" s="12" t="s">
        <v>322</v>
      </c>
      <c r="B292" s="12" t="s">
        <v>30</v>
      </c>
    </row>
    <row r="293" spans="1:2">
      <c r="A293" s="12" t="s">
        <v>130</v>
      </c>
      <c r="B293" s="12" t="s">
        <v>33</v>
      </c>
    </row>
    <row r="294" spans="1:2">
      <c r="A294" s="12" t="s">
        <v>66</v>
      </c>
      <c r="B294" s="12" t="s">
        <v>80</v>
      </c>
    </row>
    <row r="295" spans="1:2">
      <c r="A295" s="12" t="s">
        <v>230</v>
      </c>
      <c r="B295" s="12" t="s">
        <v>33</v>
      </c>
    </row>
    <row r="296" spans="1:2">
      <c r="A296" s="12" t="s">
        <v>83</v>
      </c>
      <c r="B296" s="12" t="s">
        <v>33</v>
      </c>
    </row>
    <row r="297" spans="1:2">
      <c r="A297" s="12" t="s">
        <v>58</v>
      </c>
      <c r="B297" s="12" t="s">
        <v>33</v>
      </c>
    </row>
    <row r="298" spans="1:2">
      <c r="A298" s="12" t="s">
        <v>95</v>
      </c>
      <c r="B298" s="12" t="s">
        <v>28</v>
      </c>
    </row>
    <row r="299" spans="1:2">
      <c r="A299" s="12" t="s">
        <v>56</v>
      </c>
      <c r="B299" s="12" t="s">
        <v>42</v>
      </c>
    </row>
    <row r="300" spans="1:2">
      <c r="A300" s="12" t="s">
        <v>133</v>
      </c>
      <c r="B300" s="12" t="s">
        <v>17</v>
      </c>
    </row>
    <row r="301" spans="1:2">
      <c r="A301" s="12" t="s">
        <v>139</v>
      </c>
      <c r="B301" s="12" t="s">
        <v>28</v>
      </c>
    </row>
    <row r="302" spans="1:2">
      <c r="A302" s="12" t="s">
        <v>199</v>
      </c>
      <c r="B302" s="12" t="s">
        <v>106</v>
      </c>
    </row>
    <row r="303" spans="1:2">
      <c r="A303" s="12" t="s">
        <v>145</v>
      </c>
      <c r="B303" s="12" t="s">
        <v>80</v>
      </c>
    </row>
    <row r="304" spans="1:2">
      <c r="A304" s="12" t="s">
        <v>101</v>
      </c>
      <c r="B304" s="12" t="s">
        <v>25</v>
      </c>
    </row>
    <row r="305" spans="1:2">
      <c r="A305" s="12" t="s">
        <v>28</v>
      </c>
      <c r="B305" s="12" t="s">
        <v>36</v>
      </c>
    </row>
    <row r="306" spans="1:2">
      <c r="A306" s="12" t="s">
        <v>78</v>
      </c>
      <c r="B306" s="12" t="s">
        <v>21</v>
      </c>
    </row>
    <row r="307" spans="1:2">
      <c r="A307" s="12" t="s">
        <v>160</v>
      </c>
      <c r="B307" s="12" t="s">
        <v>28</v>
      </c>
    </row>
    <row r="308" spans="1:2">
      <c r="A308" s="12" t="s">
        <v>106</v>
      </c>
      <c r="B308" s="12" t="s">
        <v>48</v>
      </c>
    </row>
    <row r="309" spans="1:2">
      <c r="A309" s="12" t="s">
        <v>72</v>
      </c>
      <c r="B309" s="12" t="s">
        <v>36</v>
      </c>
    </row>
    <row r="310" spans="1:2">
      <c r="A310" s="12" t="s">
        <v>332</v>
      </c>
      <c r="B310" s="12" t="s">
        <v>17</v>
      </c>
    </row>
    <row r="311" spans="1:2">
      <c r="A311" s="12" t="s">
        <v>17</v>
      </c>
      <c r="B311" s="12" t="s">
        <v>48</v>
      </c>
    </row>
    <row r="312" spans="1:2">
      <c r="A312" s="12" t="s">
        <v>36</v>
      </c>
      <c r="B312" s="12" t="s">
        <v>80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C81"/>
  <sheetViews>
    <sheetView zoomScale="80" zoomScaleNormal="80" workbookViewId="0"/>
  </sheetViews>
  <sheetFormatPr defaultRowHeight="15.6"/>
  <cols>
    <col min="1" max="1" width="89.88671875" style="3" bestFit="1" customWidth="1"/>
    <col min="2" max="2" width="70" style="21" customWidth="1"/>
    <col min="3" max="3" width="8.88671875" style="23"/>
    <col min="4" max="16384" width="8.88671875" style="7"/>
  </cols>
  <sheetData>
    <row r="1" spans="1:3">
      <c r="A1" s="15" t="s">
        <v>457</v>
      </c>
      <c r="B1" s="19" t="s">
        <v>0</v>
      </c>
      <c r="C1" s="22" t="s">
        <v>2</v>
      </c>
    </row>
    <row r="2" spans="1:3">
      <c r="A2" s="3" t="s">
        <v>521</v>
      </c>
      <c r="B2" s="20"/>
      <c r="C2" s="11" t="s">
        <v>4</v>
      </c>
    </row>
    <row r="3" spans="1:3">
      <c r="A3" s="3" t="s">
        <v>522</v>
      </c>
      <c r="B3" s="20"/>
      <c r="C3" s="11" t="s">
        <v>4</v>
      </c>
    </row>
    <row r="4" spans="1:3">
      <c r="A4" s="3" t="s">
        <v>523</v>
      </c>
      <c r="B4" s="20"/>
      <c r="C4" s="11" t="s">
        <v>4</v>
      </c>
    </row>
    <row r="5" spans="1:3">
      <c r="A5" s="3" t="s">
        <v>524</v>
      </c>
      <c r="B5" s="20"/>
      <c r="C5" s="11" t="s">
        <v>4</v>
      </c>
    </row>
    <row r="6" spans="1:3">
      <c r="A6" s="3" t="s">
        <v>525</v>
      </c>
      <c r="B6" s="20"/>
      <c r="C6" s="11" t="s">
        <v>4</v>
      </c>
    </row>
    <row r="7" spans="1:3">
      <c r="A7" s="3" t="s">
        <v>526</v>
      </c>
      <c r="B7" s="20"/>
      <c r="C7" s="11"/>
    </row>
    <row r="8" spans="1:3">
      <c r="A8" s="3" t="s">
        <v>527</v>
      </c>
      <c r="B8" s="20"/>
      <c r="C8" s="11"/>
    </row>
    <row r="9" spans="1:3">
      <c r="A9" s="3" t="s">
        <v>528</v>
      </c>
      <c r="B9" s="20"/>
      <c r="C9" s="11"/>
    </row>
    <row r="10" spans="1:3">
      <c r="A10" s="3" t="s">
        <v>529</v>
      </c>
      <c r="B10" s="20"/>
      <c r="C10" s="11"/>
    </row>
    <row r="11" spans="1:3">
      <c r="A11" s="3" t="s">
        <v>530</v>
      </c>
      <c r="B11" s="20"/>
      <c r="C11" s="11"/>
    </row>
    <row r="12" spans="1:3">
      <c r="A12" s="3" t="s">
        <v>531</v>
      </c>
      <c r="B12" s="20"/>
      <c r="C12" s="11"/>
    </row>
    <row r="13" spans="1:3">
      <c r="A13" s="3" t="s">
        <v>532</v>
      </c>
      <c r="B13" s="20"/>
      <c r="C13" s="11"/>
    </row>
    <row r="14" spans="1:3">
      <c r="A14" s="3" t="s">
        <v>533</v>
      </c>
      <c r="B14" s="20"/>
      <c r="C14" s="11"/>
    </row>
    <row r="15" spans="1:3">
      <c r="A15" s="3" t="s">
        <v>534</v>
      </c>
      <c r="B15" s="20"/>
      <c r="C15" s="11"/>
    </row>
    <row r="16" spans="1:3">
      <c r="A16" s="3" t="s">
        <v>535</v>
      </c>
      <c r="B16" s="20"/>
      <c r="C16" s="11"/>
    </row>
    <row r="17" spans="1:3">
      <c r="A17" s="3" t="s">
        <v>536</v>
      </c>
      <c r="B17" s="20"/>
      <c r="C17" s="11"/>
    </row>
    <row r="18" spans="1:3">
      <c r="A18" s="3" t="s">
        <v>537</v>
      </c>
      <c r="B18" s="20"/>
      <c r="C18" s="11"/>
    </row>
    <row r="19" spans="1:3">
      <c r="A19" s="3" t="s">
        <v>538</v>
      </c>
      <c r="B19" s="20"/>
      <c r="C19" s="11"/>
    </row>
    <row r="20" spans="1:3">
      <c r="A20" s="3" t="s">
        <v>539</v>
      </c>
      <c r="B20" s="20"/>
      <c r="C20" s="11"/>
    </row>
    <row r="21" spans="1:3">
      <c r="A21" s="3" t="s">
        <v>540</v>
      </c>
      <c r="B21" s="20"/>
      <c r="C21" s="11"/>
    </row>
    <row r="22" spans="1:3">
      <c r="A22" s="3" t="s">
        <v>541</v>
      </c>
      <c r="B22" s="20"/>
      <c r="C22" s="11"/>
    </row>
    <row r="23" spans="1:3">
      <c r="A23" s="3" t="s">
        <v>542</v>
      </c>
      <c r="B23" s="20"/>
      <c r="C23" s="11"/>
    </row>
    <row r="24" spans="1:3">
      <c r="A24" s="3" t="s">
        <v>543</v>
      </c>
      <c r="B24" s="20"/>
      <c r="C24" s="11"/>
    </row>
    <row r="25" spans="1:3">
      <c r="A25" s="3" t="s">
        <v>544</v>
      </c>
      <c r="B25" s="20"/>
      <c r="C25" s="11"/>
    </row>
    <row r="26" spans="1:3">
      <c r="A26" s="3" t="s">
        <v>545</v>
      </c>
      <c r="B26" s="20"/>
      <c r="C26" s="11"/>
    </row>
    <row r="27" spans="1:3">
      <c r="A27" s="3" t="s">
        <v>466</v>
      </c>
      <c r="B27" s="20"/>
      <c r="C27" s="11" t="s">
        <v>418</v>
      </c>
    </row>
    <row r="28" spans="1:3">
      <c r="A28" s="3" t="s">
        <v>467</v>
      </c>
      <c r="B28" s="20"/>
      <c r="C28" s="11" t="s">
        <v>418</v>
      </c>
    </row>
    <row r="29" spans="1:3">
      <c r="A29" s="3" t="s">
        <v>468</v>
      </c>
      <c r="B29" s="20"/>
      <c r="C29" s="11" t="s">
        <v>418</v>
      </c>
    </row>
    <row r="30" spans="1:3">
      <c r="A30" s="3" t="s">
        <v>469</v>
      </c>
      <c r="B30" s="20"/>
      <c r="C30" s="11" t="s">
        <v>418</v>
      </c>
    </row>
    <row r="31" spans="1:3">
      <c r="A31" s="3" t="s">
        <v>470</v>
      </c>
      <c r="B31" s="20"/>
      <c r="C31" s="11" t="s">
        <v>418</v>
      </c>
    </row>
    <row r="32" spans="1:3">
      <c r="A32" s="3" t="s">
        <v>471</v>
      </c>
      <c r="B32" s="20"/>
      <c r="C32" s="11"/>
    </row>
    <row r="33" spans="1:3">
      <c r="A33" s="3" t="s">
        <v>472</v>
      </c>
      <c r="B33" s="20"/>
      <c r="C33" s="11"/>
    </row>
    <row r="34" spans="1:3">
      <c r="A34" s="3" t="s">
        <v>473</v>
      </c>
      <c r="B34" s="20"/>
      <c r="C34" s="11"/>
    </row>
    <row r="35" spans="1:3">
      <c r="A35" s="3" t="s">
        <v>474</v>
      </c>
      <c r="B35" s="20"/>
      <c r="C35" s="11"/>
    </row>
    <row r="36" spans="1:3">
      <c r="A36" s="3" t="s">
        <v>475</v>
      </c>
      <c r="B36" s="20"/>
      <c r="C36" s="11"/>
    </row>
    <row r="37" spans="1:3">
      <c r="A37" s="3" t="s">
        <v>476</v>
      </c>
      <c r="B37" s="20"/>
      <c r="C37" s="11"/>
    </row>
    <row r="38" spans="1:3">
      <c r="A38" s="3" t="s">
        <v>495</v>
      </c>
      <c r="B38" s="20"/>
      <c r="C38" s="11"/>
    </row>
    <row r="39" spans="1:3">
      <c r="A39" s="3" t="s">
        <v>477</v>
      </c>
      <c r="B39" s="20"/>
      <c r="C39" s="11"/>
    </row>
    <row r="40" spans="1:3">
      <c r="A40" s="3" t="s">
        <v>478</v>
      </c>
      <c r="B40" s="20"/>
      <c r="C40" s="11"/>
    </row>
    <row r="41" spans="1:3">
      <c r="A41" s="3" t="s">
        <v>479</v>
      </c>
      <c r="B41" s="20"/>
      <c r="C41" s="11"/>
    </row>
    <row r="42" spans="1:3">
      <c r="A42" s="3" t="s">
        <v>480</v>
      </c>
      <c r="B42" s="20"/>
      <c r="C42" s="11"/>
    </row>
    <row r="43" spans="1:3">
      <c r="A43" s="3" t="s">
        <v>481</v>
      </c>
      <c r="B43" s="20"/>
      <c r="C43" s="11"/>
    </row>
    <row r="44" spans="1:3">
      <c r="A44" s="3" t="s">
        <v>482</v>
      </c>
      <c r="B44" s="20"/>
      <c r="C44" s="11"/>
    </row>
    <row r="45" spans="1:3">
      <c r="A45" s="3" t="s">
        <v>483</v>
      </c>
      <c r="B45" s="20"/>
      <c r="C45" s="11"/>
    </row>
    <row r="46" spans="1:3">
      <c r="A46" s="3" t="s">
        <v>484</v>
      </c>
      <c r="B46" s="20"/>
      <c r="C46" s="11"/>
    </row>
    <row r="47" spans="1:3">
      <c r="A47" s="3" t="s">
        <v>485</v>
      </c>
      <c r="B47" s="20"/>
      <c r="C47" s="11"/>
    </row>
    <row r="48" spans="1:3">
      <c r="A48" s="3" t="s">
        <v>486</v>
      </c>
      <c r="B48" s="20"/>
      <c r="C48" s="11"/>
    </row>
    <row r="49" spans="1:3">
      <c r="A49" s="3" t="s">
        <v>487</v>
      </c>
      <c r="B49" s="20"/>
      <c r="C49" s="11"/>
    </row>
    <row r="50" spans="1:3">
      <c r="A50" s="3" t="s">
        <v>488</v>
      </c>
      <c r="B50" s="20"/>
      <c r="C50" s="11"/>
    </row>
    <row r="51" spans="1:3">
      <c r="A51" s="3" t="s">
        <v>489</v>
      </c>
      <c r="B51" s="20"/>
      <c r="C51" s="11"/>
    </row>
    <row r="52" spans="1:3">
      <c r="A52" s="3" t="s">
        <v>496</v>
      </c>
      <c r="B52" s="20"/>
      <c r="C52" s="23" t="s">
        <v>422</v>
      </c>
    </row>
    <row r="53" spans="1:3">
      <c r="A53" s="3" t="s">
        <v>497</v>
      </c>
      <c r="B53" s="20"/>
      <c r="C53" s="23" t="s">
        <v>422</v>
      </c>
    </row>
    <row r="54" spans="1:3">
      <c r="A54" s="3" t="s">
        <v>498</v>
      </c>
      <c r="B54" s="20"/>
      <c r="C54" s="23" t="s">
        <v>422</v>
      </c>
    </row>
    <row r="55" spans="1:3">
      <c r="A55" s="3" t="s">
        <v>499</v>
      </c>
      <c r="B55" s="20"/>
      <c r="C55" s="23" t="s">
        <v>422</v>
      </c>
    </row>
    <row r="56" spans="1:3">
      <c r="A56" s="3" t="s">
        <v>500</v>
      </c>
      <c r="B56" s="20"/>
      <c r="C56" s="23" t="s">
        <v>422</v>
      </c>
    </row>
    <row r="57" spans="1:3">
      <c r="A57" s="3" t="s">
        <v>501</v>
      </c>
      <c r="B57" s="20"/>
    </row>
    <row r="58" spans="1:3">
      <c r="A58" s="3" t="s">
        <v>502</v>
      </c>
      <c r="B58" s="20"/>
    </row>
    <row r="59" spans="1:3">
      <c r="A59" s="3" t="s">
        <v>503</v>
      </c>
      <c r="B59" s="20"/>
    </row>
    <row r="60" spans="1:3">
      <c r="A60" s="3" t="s">
        <v>504</v>
      </c>
      <c r="B60" s="20"/>
    </row>
    <row r="61" spans="1:3">
      <c r="A61" s="3" t="s">
        <v>505</v>
      </c>
      <c r="B61" s="20"/>
    </row>
    <row r="62" spans="1:3">
      <c r="A62" s="3" t="s">
        <v>506</v>
      </c>
      <c r="B62" s="20"/>
    </row>
    <row r="63" spans="1:3">
      <c r="A63" s="3" t="s">
        <v>507</v>
      </c>
      <c r="B63" s="20"/>
    </row>
    <row r="64" spans="1:3">
      <c r="A64" s="3" t="s">
        <v>508</v>
      </c>
      <c r="B64" s="20"/>
    </row>
    <row r="65" spans="1:2">
      <c r="A65" s="3" t="s">
        <v>509</v>
      </c>
      <c r="B65" s="20"/>
    </row>
    <row r="66" spans="1:2">
      <c r="A66" s="3" t="s">
        <v>510</v>
      </c>
      <c r="B66" s="20"/>
    </row>
    <row r="67" spans="1:2">
      <c r="A67" s="3" t="s">
        <v>511</v>
      </c>
      <c r="B67" s="20"/>
    </row>
    <row r="68" spans="1:2">
      <c r="A68" s="3" t="s">
        <v>512</v>
      </c>
      <c r="B68" s="20"/>
    </row>
    <row r="69" spans="1:2">
      <c r="A69" s="3" t="s">
        <v>513</v>
      </c>
      <c r="B69" s="20"/>
    </row>
    <row r="70" spans="1:2">
      <c r="A70" s="3" t="s">
        <v>514</v>
      </c>
      <c r="B70" s="20"/>
    </row>
    <row r="71" spans="1:2">
      <c r="A71" s="3" t="s">
        <v>515</v>
      </c>
      <c r="B71" s="20"/>
    </row>
    <row r="72" spans="1:2">
      <c r="A72" s="3" t="s">
        <v>516</v>
      </c>
      <c r="B72" s="20"/>
    </row>
    <row r="73" spans="1:2">
      <c r="A73" s="3" t="s">
        <v>517</v>
      </c>
      <c r="B73" s="20"/>
    </row>
    <row r="74" spans="1:2">
      <c r="A74" s="3" t="s">
        <v>518</v>
      </c>
      <c r="B74" s="20"/>
    </row>
    <row r="75" spans="1:2">
      <c r="A75" s="3" t="s">
        <v>519</v>
      </c>
      <c r="B75" s="20"/>
    </row>
    <row r="76" spans="1:2">
      <c r="A76" s="3" t="s">
        <v>520</v>
      </c>
      <c r="B76" s="20"/>
    </row>
    <row r="77" spans="1:2">
      <c r="A77" s="3" t="s">
        <v>490</v>
      </c>
      <c r="B77" s="20"/>
    </row>
    <row r="78" spans="1:2">
      <c r="A78" s="3" t="s">
        <v>491</v>
      </c>
      <c r="B78" s="20"/>
    </row>
    <row r="79" spans="1:2">
      <c r="A79" s="3" t="s">
        <v>492</v>
      </c>
      <c r="B79" s="20"/>
    </row>
    <row r="80" spans="1:2">
      <c r="A80" s="3" t="s">
        <v>493</v>
      </c>
      <c r="B80" s="20"/>
    </row>
    <row r="81" spans="1:2">
      <c r="A81" s="3" t="s">
        <v>553</v>
      </c>
      <c r="B81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Assumption</vt:lpstr>
      <vt:lpstr>Airports</vt:lpstr>
      <vt:lpstr>Connections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2026-04-21T04:15:41Z</dcterms:modified>
</cp:coreProperties>
</file>