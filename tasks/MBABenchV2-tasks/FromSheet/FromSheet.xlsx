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DCF (Discounted Cash Flow)\FromSheet\starting_files\"/>
    </mc:Choice>
  </mc:AlternateContent>
  <xr:revisionPtr revIDLastSave="0" documentId="13_ncr:1_{2AD069F1-1C83-4423-BE7C-37311B65A163}" xr6:coauthVersionLast="47" xr6:coauthVersionMax="47" xr10:uidLastSave="{00000000-0000-0000-0000-000000000000}"/>
  <bookViews>
    <workbookView xWindow="-108" yWindow="-108" windowWidth="23256" windowHeight="12456" tabRatio="734" xr2:uid="{9D050BFD-007E-4C38-9D7B-ED1AFA0D54D5}"/>
  </bookViews>
  <sheets>
    <sheet name="Instructions" sheetId="2" r:id="rId1"/>
    <sheet name="Assumption" sheetId="9" r:id="rId2"/>
    <sheet name="Estimates" sheetId="14" r:id="rId3"/>
    <sheet name="Questions" sheetId="6" r:id="rId4"/>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<sst xmlns="http://schemas.openxmlformats.org/spreadsheetml/2006/main" count="724" uniqueCount="172">
  <si>
    <t>Answers</t>
  </si>
  <si>
    <t>Assumptions sheet may be also in the text on the Instructions tab - please use the assumptions on this sheet for your model</t>
  </si>
  <si>
    <t>End Sheet</t>
  </si>
  <si>
    <t>Questions (please round your answers to two decimal places)</t>
  </si>
  <si>
    <t>Current Assets</t>
  </si>
  <si>
    <t>Current Liabilities</t>
  </si>
  <si>
    <t>Unit</t>
  </si>
  <si>
    <t>Answer the questions using your model.</t>
  </si>
  <si>
    <t>Model basics</t>
  </si>
  <si>
    <t xml:space="preserve"> </t>
  </si>
  <si>
    <t>EBITDA</t>
  </si>
  <si>
    <t>EBIT</t>
  </si>
  <si>
    <t>Total Assets</t>
  </si>
  <si>
    <t>Cash and Cash Equivalents</t>
  </si>
  <si>
    <t>Short-Term Debt</t>
  </si>
  <si>
    <t>Total Debt</t>
  </si>
  <si>
    <t>Valuation basis date</t>
  </si>
  <si>
    <t>Valuation date</t>
  </si>
  <si>
    <t>Market Variables</t>
  </si>
  <si>
    <t>Risk-free interest rate</t>
  </si>
  <si>
    <t>Adjusted beta, 3-year daily</t>
  </si>
  <si>
    <t>Market risk premium</t>
  </si>
  <si>
    <t>Cost of debt</t>
  </si>
  <si>
    <t>[%]</t>
  </si>
  <si>
    <t>Growth</t>
  </si>
  <si>
    <t>Pretax Income</t>
  </si>
  <si>
    <t>Do not question the data provided.</t>
  </si>
  <si>
    <t>Assume book value of debt = market value of debt.</t>
  </si>
  <si>
    <t>Assume no changes regarding the balance sheet data provided between the Valuation basis date and the Valuation date.</t>
  </si>
  <si>
    <t>p.a.</t>
  </si>
  <si>
    <t>Valuation Task</t>
  </si>
  <si>
    <t>Ensure that the valuation is transitioned to the valuation date.</t>
  </si>
  <si>
    <t>g</t>
  </si>
  <si>
    <t>For the terminal value, calculate a normalized FCFF as a time-weighted average of all explicit forecast period FCFFs, using linear weights (weight 1 for 2026 through weight 10 for 2035).</t>
  </si>
  <si>
    <t>Use mid-year convention, including for the terminal value.</t>
  </si>
  <si>
    <t>DCF (Discounted Cash Flow) - From Sheet</t>
  </si>
  <si>
    <t>Earnings Per Share</t>
  </si>
  <si>
    <t>Dec '24</t>
  </si>
  <si>
    <t>Dec '25</t>
  </si>
  <si>
    <t>Dec '26</t>
  </si>
  <si>
    <t>Dec '27</t>
  </si>
  <si>
    <t>Dec '28</t>
  </si>
  <si>
    <t>Dec '29</t>
  </si>
  <si>
    <t>Dec '30</t>
  </si>
  <si>
    <t>Dec '31</t>
  </si>
  <si>
    <t>Dec '32</t>
  </si>
  <si>
    <t>Dec '33</t>
  </si>
  <si>
    <t>Dec '34</t>
  </si>
  <si>
    <t>Dec '35</t>
  </si>
  <si>
    <t>Dec '36</t>
  </si>
  <si>
    <t>Dec '37</t>
  </si>
  <si>
    <t>EPS</t>
  </si>
  <si>
    <t>Guidance (Low)</t>
  </si>
  <si>
    <t>-</t>
  </si>
  <si>
    <t>EPS - IFRS</t>
  </si>
  <si>
    <t>EPS - ex. Extraordinary Items</t>
  </si>
  <si>
    <t>Geographic Segments (M)</t>
  </si>
  <si>
    <t>Local Currency Revenue Growth (%)</t>
  </si>
  <si>
    <t>Sales</t>
  </si>
  <si>
    <t>Latin America</t>
  </si>
  <si>
    <t>Europe</t>
  </si>
  <si>
    <t>Asia, Middle East and Africa</t>
  </si>
  <si>
    <t>Corp./Elimination</t>
  </si>
  <si>
    <t>Industry Metrics</t>
  </si>
  <si>
    <t>Equity Ratio (%)</t>
  </si>
  <si>
    <t>Same Store Sales (%)</t>
  </si>
  <si>
    <t>Cost of Debt (%)</t>
  </si>
  <si>
    <t>Income Statement (M)</t>
  </si>
  <si>
    <t>Guidance (High)</t>
  </si>
  <si>
    <t>Cost of Sales</t>
  </si>
  <si>
    <t>Organic Growth (%)</t>
  </si>
  <si>
    <t>Gross Income</t>
  </si>
  <si>
    <t>SG&amp;A Expense</t>
  </si>
  <si>
    <t>Selling &amp; Marketing Expense</t>
  </si>
  <si>
    <t>General &amp; Admin Expense</t>
  </si>
  <si>
    <t>EBITDA - Adjusted</t>
  </si>
  <si>
    <t>EBITDA - Reported</t>
  </si>
  <si>
    <t>EBITA</t>
  </si>
  <si>
    <t>EBIT - Adjusted</t>
  </si>
  <si>
    <t>EBIT - Reported</t>
  </si>
  <si>
    <t>Interest Expense</t>
  </si>
  <si>
    <t>Pretax Income - Adjusted</t>
  </si>
  <si>
    <t>Pretax Income - Reported</t>
  </si>
  <si>
    <t>Tax Expense</t>
  </si>
  <si>
    <t>Net Income</t>
  </si>
  <si>
    <t>Net Income - Adjusted</t>
  </si>
  <si>
    <t>Net Income - Reported</t>
  </si>
  <si>
    <t>Balance Sheet (M)</t>
  </si>
  <si>
    <t>Accounts Receivable</t>
  </si>
  <si>
    <t>Inventories</t>
  </si>
  <si>
    <t>Accounts Payable</t>
  </si>
  <si>
    <t>Pension &amp; Benefits</t>
  </si>
  <si>
    <t>Long-Term Investments</t>
  </si>
  <si>
    <t>Long-Term Debt</t>
  </si>
  <si>
    <t>Intangible Assets</t>
  </si>
  <si>
    <t>Total Goodwill</t>
  </si>
  <si>
    <t>Net Debt</t>
  </si>
  <si>
    <t>Working Capital</t>
  </si>
  <si>
    <t>Minority Interest</t>
  </si>
  <si>
    <t>Shareholder Equity</t>
  </si>
  <si>
    <t>Cash Flow (M)</t>
  </si>
  <si>
    <t>Free Cash Flow</t>
  </si>
  <si>
    <t>Cash Flow from Operations</t>
  </si>
  <si>
    <t>Cash Flow from Investing</t>
  </si>
  <si>
    <t>Cash Flow from Financing</t>
  </si>
  <si>
    <t>Share Repurchase</t>
  </si>
  <si>
    <t>Per Share</t>
  </si>
  <si>
    <t>Dividends per Share</t>
  </si>
  <si>
    <t>Free Cash Flow per Share</t>
  </si>
  <si>
    <t>Cash Flow per Share</t>
  </si>
  <si>
    <t>Book Value per Share</t>
  </si>
  <si>
    <t>Book Value per Share - Tangible</t>
  </si>
  <si>
    <t>Valuation</t>
  </si>
  <si>
    <t>Price/Earnings (x)</t>
  </si>
  <si>
    <t>BV Growth (x)</t>
  </si>
  <si>
    <t>PEG Ratio (x)</t>
  </si>
  <si>
    <t>Price/Operating Cash Flow (x)</t>
  </si>
  <si>
    <t>Price/Book Value (x)</t>
  </si>
  <si>
    <t>Price/Tangible Book Value (x)</t>
  </si>
  <si>
    <t>Price/Cash Flow (x)</t>
  </si>
  <si>
    <t>Price/Free Cash Flow (x)</t>
  </si>
  <si>
    <t>Price/Sales (x)</t>
  </si>
  <si>
    <t>Enterprise Value/Sales (x)</t>
  </si>
  <si>
    <t>Enterprise Value/EBITDA (x)</t>
  </si>
  <si>
    <t>Enterprise Value/EBITA (x)</t>
  </si>
  <si>
    <t>Enterprise Value/EBIT (x)</t>
  </si>
  <si>
    <t>Enterprise Value/FCF (x)</t>
  </si>
  <si>
    <t>Dividend Yield (%)</t>
  </si>
  <si>
    <t>Sales/Share (x)</t>
  </si>
  <si>
    <t>Return on Assets (ROA) (%)</t>
  </si>
  <si>
    <t>Return on Equity (ROE) (%)</t>
  </si>
  <si>
    <t>Operating Return on Assets (%)</t>
  </si>
  <si>
    <t>Operating Return on Shareholder's Equity (%)</t>
  </si>
  <si>
    <t>Return on Average Assets (%)</t>
  </si>
  <si>
    <t>Net Income Return on SH Equity (%)</t>
  </si>
  <si>
    <t>[CHF m]</t>
  </si>
  <si>
    <t>Calculate one version, where you calculate the DCF with an iteratively calculated WACC and one version, where you calculate the DCF with a non-circular WACC based on the target capital structure weights.</t>
  </si>
  <si>
    <t>Target Debt weight</t>
  </si>
  <si>
    <t>Target Equity weight</t>
  </si>
  <si>
    <t>Target capital structure weights</t>
  </si>
  <si>
    <t>What is the Entity value at Valuation date (Iterative WACC)?</t>
  </si>
  <si>
    <t>What is the Equity value at Valuation date (Iterative WACC)?</t>
  </si>
  <si>
    <t>What is the Discounted FCFF (to Valuation basis date) for the period 2026 (Iterative WACC)?</t>
  </si>
  <si>
    <t>What is the Discounted FCFF (to Valuation basis date) for the period 2027 (Iterative WACC)?</t>
  </si>
  <si>
    <t>What is the Discounted FCFF (to Valuation basis date) for the period 2028 (Iterative WACC)?</t>
  </si>
  <si>
    <t>What is the Discounted FCFF (to Valuation basis date) for the period 2029 (Iterative WACC)?</t>
  </si>
  <si>
    <t>What is the Discounted FCFF (to Valuation basis date) for the period 2030 (Iterative WACC)?</t>
  </si>
  <si>
    <t>What is the Discounted FCFF (to Valuation basis date) for the period 2031 (Iterative WACC)?</t>
  </si>
  <si>
    <t>What is the Discounted FCFF (to Valuation basis date) for the period 2032 (Iterative WACC)?</t>
  </si>
  <si>
    <t>What is the Discounted FCFF (to Valuation basis date) for the period 2033 (Iterative WACC)?</t>
  </si>
  <si>
    <t>What is the Discounted FCFF (to Valuation basis date) for the period 2034 (Iterative WACC)?</t>
  </si>
  <si>
    <t>What is the Discounted FCFF (to Valuation basis date) for the period 2035 (Iterative WACC)?</t>
  </si>
  <si>
    <t>What is the Discounted FCFF (to Valuation basis date) for the TV (Iterative WACC)?</t>
  </si>
  <si>
    <t>What is the Entity value at Valuation date (target capital structure WACC)?</t>
  </si>
  <si>
    <t>What is the Equity value at Valuation date (target capital structure WACC)?</t>
  </si>
  <si>
    <t>What is the Discounted FCFF (to Valuation basis date) for the period 2026 (target capital structure WACC)?</t>
  </si>
  <si>
    <t>What is the Discounted FCFF (to Valuation basis date) for the period 2027 (target capital structure WACC)?</t>
  </si>
  <si>
    <t>What is the Discounted FCFF (to Valuation basis date) for the period 2028 (target capital structure WACC)?</t>
  </si>
  <si>
    <t>What is the Discounted FCFF (to Valuation basis date) for the period 2029 (target capital structure WACC)?</t>
  </si>
  <si>
    <t>What is the Discounted FCFF (to Valuation basis date) for the period 2030 (target capital structure WACC)?</t>
  </si>
  <si>
    <t>What is the Discounted FCFF (to Valuation basis date) for the period 2031 (target capital structure WACC)?</t>
  </si>
  <si>
    <t>What is the Discounted FCFF (to Valuation basis date) for the period 2032 (target capital structure WACC)?</t>
  </si>
  <si>
    <t>What is the Discounted FCFF (to Valuation basis date) for the period 2033 (target capital structure WACC)?</t>
  </si>
  <si>
    <t>What is the Discounted FCFF (to Valuation basis date) for the period 2034 (target capital structure WACC)?</t>
  </si>
  <si>
    <t>What is the Discounted FCFF (to Valuation basis date) for the period 2035 (target capital structure WACC)?</t>
  </si>
  <si>
    <t>What is the Discounted FCFF (to Valuation basis date) for the TV (target capital structure WACC)?</t>
  </si>
  <si>
    <t>Perform a DCF valuation for the company based on the provided data - select the data needed for your DCF from the tab Estimates, which is included actual data as well as estimate/forecast data.</t>
  </si>
  <si>
    <t>all in million CHF</t>
  </si>
  <si>
    <t>Use the narrow operational definition for the NWC.</t>
  </si>
  <si>
    <t>You are given 12 years of explicit Forecast data, use first 10 years as the forecast period - after those ten years, calculate the terminal value using the data given.</t>
  </si>
  <si>
    <t>Derive CapEx indirectly from the balance sheet and depreciation data.</t>
  </si>
  <si>
    <t>Compute the implicit tax rate for all years you are able (because the data is available) to calculate the tax rate (exclude years where the implicit tax rate is negative and years where the implicit tax rate falls outside two population standard deviations from the mean of the remaining positive tax rates) and use the simple average of the remaining rates as the constant tax rate throughout the DCF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</si>
</sst>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11"/>
      <color theme="1"/>
      <name val="Calibri"/>
      <family val="2"/>
      <charset val="1"/>
    </font>
    <font>
      <sz val="12"/>
      <color rgb="FF0000FF"/>
      <name val="Aptos Narrow"/>
      <family val="2"/>
      <scheme val="minor"/>
    </font>
    <font>
      <sz val="10"/>
      <color theme="1"/>
      <name val="Arial"/>
      <family val="2"/>
    </font>
    <font>
      <b/>
      <sz val="10"/>
      <color rgb="FF003366"/>
      <name val="Arial"/>
      <family val="2"/>
    </font>
    <font>
      <sz val="10"/>
      <color rgb="FFFF0000"/>
      <name val="Arial"/>
      <family val="2"/>
    </font>
  </fonts>
  <fills count="9">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C8C8C8"/>
        <bgColor indexed="64"/>
      </patternFill>
    </fill>
    <fill>
      <patternFill patternType="solid">
        <fgColor rgb="FFF0F0F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1" fillId="0" borderId="0"/>
    <xf numFmtId="0" fontId="5" fillId="0" borderId="0"/>
    <xf numFmtId="9" fontId="1" fillId="0" borderId="0" applyFont="0" applyFill="0" applyBorder="0" applyAlignment="0" applyProtection="0"/>
    <xf numFmtId="4" fontId="10" fillId="5" borderId="2">
      <alignment horizontal="left"/>
    </xf>
    <xf numFmtId="0" fontId="13" fillId="0" borderId="0"/>
    <xf numFmtId="0" fontId="15" fillId="0" borderId="0"/>
  </cellStyleXfs>
  <cellXfs count="58">
    <xf numFmtId="0" fontId="0" fillId="0" borderId="0" xfId="0"/>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2" fillId="0" borderId="0" xfId="0" applyFont="1"/>
    <xf numFmtId="0" fontId="8" fillId="0" borderId="0" xfId="2" applyFont="1"/>
    <xf numFmtId="0" fontId="5" fillId="0" borderId="0" xfId="2"/>
    <xf numFmtId="4" fontId="3" fillId="3" borderId="5" xfId="1" applyNumberFormat="1" applyFont="1" applyFill="1" applyBorder="1" applyAlignment="1">
      <alignment horizontal="center"/>
    </xf>
    <xf numFmtId="0" fontId="9" fillId="0" borderId="0" xfId="0" applyFont="1"/>
    <xf numFmtId="4" fontId="11" fillId="6" borderId="2" xfId="4" applyFont="1" applyFill="1">
      <alignment horizontal="left"/>
    </xf>
    <xf numFmtId="4" fontId="2" fillId="6" borderId="2" xfId="4" applyFont="1" applyFill="1">
      <alignment horizontal="left"/>
    </xf>
    <xf numFmtId="0" fontId="12" fillId="6" borderId="0" xfId="0" applyFont="1" applyFill="1"/>
    <xf numFmtId="10" fontId="9" fillId="4" borderId="5" xfId="3" applyNumberFormat="1" applyFont="1" applyFill="1" applyBorder="1"/>
    <xf numFmtId="0" fontId="14" fillId="0" borderId="0" xfId="0" applyFont="1"/>
    <xf numFmtId="14" fontId="9" fillId="4" borderId="5" xfId="3" applyNumberFormat="1" applyFont="1" applyFill="1" applyBorder="1"/>
    <xf numFmtId="4" fontId="9" fillId="4" borderId="5" xfId="3" applyNumberFormat="1" applyFont="1" applyFill="1" applyBorder="1"/>
    <xf numFmtId="0" fontId="3" fillId="0" borderId="0" xfId="1" quotePrefix="1" applyFont="1" applyAlignment="1">
      <alignment horizontal="left"/>
    </xf>
    <xf numFmtId="0" fontId="3" fillId="0" borderId="0" xfId="1" quotePrefix="1" applyFont="1"/>
    <xf numFmtId="0" fontId="15" fillId="0" borderId="0" xfId="6"/>
    <xf numFmtId="0" fontId="16" fillId="7" borderId="0" xfId="6" applyFont="1" applyFill="1" applyAlignment="1">
      <alignment horizontal="left"/>
    </xf>
    <xf numFmtId="0" fontId="16" fillId="8" borderId="0" xfId="6" applyFont="1" applyFill="1" applyAlignment="1">
      <alignment horizontal="left" indent="3"/>
    </xf>
    <xf numFmtId="4" fontId="16" fillId="8" borderId="0" xfId="6" applyNumberFormat="1" applyFont="1" applyFill="1" applyAlignment="1">
      <alignment horizontal="right"/>
    </xf>
    <xf numFmtId="0" fontId="15" fillId="0" borderId="0" xfId="6" applyAlignment="1">
      <alignment horizontal="left" indent="4"/>
    </xf>
    <xf numFmtId="0" fontId="15" fillId="0" borderId="0" xfId="6" applyAlignment="1">
      <alignment horizontal="left"/>
    </xf>
    <xf numFmtId="4" fontId="15" fillId="0" borderId="0" xfId="6" applyNumberFormat="1" applyAlignment="1">
      <alignment horizontal="right"/>
    </xf>
    <xf numFmtId="0" fontId="15" fillId="8" borderId="0" xfId="6" applyFill="1" applyAlignment="1">
      <alignment horizontal="left" indent="1"/>
    </xf>
    <xf numFmtId="4" fontId="17" fillId="8" borderId="0" xfId="6" applyNumberFormat="1" applyFont="1" applyFill="1" applyAlignment="1">
      <alignment horizontal="right"/>
    </xf>
    <xf numFmtId="4" fontId="15" fillId="8" borderId="0" xfId="6" applyNumberFormat="1" applyFill="1" applyAlignment="1">
      <alignment horizontal="right"/>
    </xf>
    <xf numFmtId="0" fontId="15" fillId="0" borderId="0" xfId="6" applyAlignment="1">
      <alignment horizontal="left" indent="1"/>
    </xf>
    <xf numFmtId="0" fontId="15" fillId="8" borderId="0" xfId="6" applyFill="1" applyAlignment="1">
      <alignment horizontal="left"/>
    </xf>
    <xf numFmtId="165" fontId="17" fillId="8" borderId="0" xfId="6" applyNumberFormat="1" applyFont="1" applyFill="1" applyAlignment="1">
      <alignment horizontal="right"/>
    </xf>
    <xf numFmtId="0" fontId="16" fillId="0" borderId="0" xfId="6" applyFont="1" applyAlignment="1">
      <alignment horizontal="left" indent="3"/>
    </xf>
    <xf numFmtId="3" fontId="16" fillId="0" borderId="0" xfId="6" applyNumberFormat="1" applyFont="1" applyAlignment="1">
      <alignment horizontal="right"/>
    </xf>
    <xf numFmtId="0" fontId="15" fillId="8" borderId="0" xfId="6" applyFill="1" applyAlignment="1">
      <alignment horizontal="left" indent="4"/>
    </xf>
    <xf numFmtId="3" fontId="15" fillId="8" borderId="0" xfId="6" applyNumberFormat="1" applyFill="1" applyAlignment="1">
      <alignment horizontal="right"/>
    </xf>
    <xf numFmtId="3" fontId="15" fillId="0" borderId="0" xfId="6" applyNumberFormat="1" applyAlignment="1">
      <alignment horizontal="right"/>
    </xf>
    <xf numFmtId="3" fontId="17" fillId="0" borderId="0" xfId="6" applyNumberFormat="1" applyFont="1" applyAlignment="1">
      <alignment horizontal="right"/>
    </xf>
    <xf numFmtId="3" fontId="16" fillId="8" borderId="0" xfId="6" applyNumberFormat="1" applyFont="1" applyFill="1" applyAlignment="1">
      <alignment horizontal="right"/>
    </xf>
    <xf numFmtId="3" fontId="17" fillId="8" borderId="0" xfId="6" applyNumberFormat="1" applyFont="1" applyFill="1" applyAlignment="1">
      <alignment horizontal="right"/>
    </xf>
    <xf numFmtId="165" fontId="15" fillId="8" borderId="0" xfId="6" applyNumberFormat="1" applyFill="1" applyAlignment="1">
      <alignment horizontal="right"/>
    </xf>
    <xf numFmtId="0" fontId="16" fillId="0" borderId="0" xfId="6" applyFont="1" applyAlignment="1">
      <alignment horizontal="left"/>
    </xf>
    <xf numFmtId="165" fontId="16" fillId="0" borderId="0" xfId="6" applyNumberFormat="1" applyFont="1" applyAlignment="1">
      <alignment horizontal="right"/>
    </xf>
    <xf numFmtId="165" fontId="17" fillId="0" borderId="0" xfId="6" applyNumberFormat="1" applyFont="1" applyAlignment="1">
      <alignment horizontal="right"/>
    </xf>
    <xf numFmtId="0" fontId="16" fillId="8" borderId="0" xfId="6" applyFont="1" applyFill="1" applyAlignment="1">
      <alignment horizontal="left"/>
    </xf>
    <xf numFmtId="165" fontId="15" fillId="0" borderId="0" xfId="6" applyNumberFormat="1" applyAlignment="1">
      <alignment horizontal="right"/>
    </xf>
    <xf numFmtId="0" fontId="16" fillId="0" borderId="0" xfId="6" applyFont="1" applyAlignment="1">
      <alignment horizontal="left" indent="6"/>
    </xf>
    <xf numFmtId="0" fontId="15" fillId="8" borderId="0" xfId="6" applyFill="1" applyAlignment="1">
      <alignment horizontal="left" indent="7"/>
    </xf>
    <xf numFmtId="0" fontId="15" fillId="0" borderId="0" xfId="6" applyAlignment="1">
      <alignment horizontal="left" indent="7"/>
    </xf>
    <xf numFmtId="0" fontId="16" fillId="8" borderId="0" xfId="6" applyFont="1" applyFill="1" applyAlignment="1">
      <alignment horizontal="left" indent="6"/>
    </xf>
    <xf numFmtId="4" fontId="16" fillId="0" borderId="0" xfId="6" applyNumberFormat="1" applyFont="1" applyAlignment="1">
      <alignment horizontal="right"/>
    </xf>
    <xf numFmtId="0" fontId="10" fillId="0" borderId="0" xfId="6" applyFont="1"/>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cellXfs>
  <cellStyles count="7">
    <cellStyle name="M Section Header" xfId="4" xr:uid="{F944F0E6-F034-49F8-8B3F-D0C9E50BA2F6}"/>
    <cellStyle name="Normal" xfId="0" builtinId="0"/>
    <cellStyle name="Normal 2" xfId="2" xr:uid="{037B3D13-DA10-4240-9E6B-55FD128391C9}"/>
    <cellStyle name="Normal 3" xfId="1" xr:uid="{1C87C372-71EA-4FEE-904D-475CC6E05479}"/>
    <cellStyle name="Normal 4" xfId="5" xr:uid="{273FDE25-047F-448D-BEF1-698059824ACE}"/>
    <cellStyle name="Normal 5" xfId="6" xr:uid="{49204594-0C77-49DE-9192-E869546F9EF7}"/>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25"/>
  <sheetViews>
    <sheetView showGridLines="0" tabSelected="1" zoomScale="79" zoomScaleNormal="80" zoomScaleSheetLayoutView="100" workbookViewId="0"/>
  </sheetViews>
  <sheetFormatPr defaultColWidth="5.21875" defaultRowHeight="14.4"/>
  <cols>
    <col min="1" max="1" width="1.88671875" style="1" customWidth="1"/>
    <col min="2" max="2" width="32.109375" style="4" customWidth="1"/>
    <col min="3" max="3" width="17.109375" style="4" bestFit="1" customWidth="1"/>
    <col min="4" max="4" width="20.88671875" style="4" bestFit="1" customWidth="1"/>
    <col min="5" max="5" width="24.109375" style="4" customWidth="1"/>
    <col min="6" max="6" width="21.5546875" style="4" customWidth="1"/>
    <col min="7" max="7" width="26.33203125" style="4" bestFit="1" customWidth="1"/>
    <col min="8" max="8" width="40.109375" style="4" customWidth="1"/>
    <col min="9" max="9" width="23.5546875" style="5" customWidth="1"/>
    <col min="10" max="10" width="23.5546875" style="2" customWidth="1"/>
    <col min="11" max="11" width="27.77734375" style="2" customWidth="1"/>
    <col min="12" max="12" width="20.5546875" style="2" customWidth="1"/>
    <col min="13" max="376" width="11.109375" style="2" bestFit="1" customWidth="1"/>
    <col min="377" max="377" width="5.21875" style="2"/>
    <col min="378" max="383" width="9.6640625" style="2" customWidth="1"/>
    <col min="384" max="384" width="5.21875" style="2"/>
    <col min="385" max="393" width="9.6640625" style="2" customWidth="1"/>
    <col min="394" max="16384" width="5.21875" style="2"/>
  </cols>
  <sheetData>
    <row r="1" spans="2:11" ht="15" customHeight="1">
      <c r="B1" s="1"/>
      <c r="C1" s="1"/>
      <c r="D1" s="1"/>
      <c r="E1" s="1"/>
      <c r="F1" s="1"/>
      <c r="G1" s="1"/>
      <c r="H1" s="1"/>
      <c r="I1" s="1"/>
      <c r="J1" s="1"/>
      <c r="K1" s="1"/>
    </row>
    <row r="2" spans="2:11" ht="60.75" customHeight="1">
      <c r="B2" s="53" t="s">
        <v>30</v>
      </c>
      <c r="C2" s="54"/>
      <c r="D2" s="54"/>
      <c r="E2" s="54"/>
      <c r="F2" s="54"/>
      <c r="G2" s="54"/>
      <c r="H2" s="54"/>
      <c r="I2" s="54"/>
      <c r="J2" s="54"/>
      <c r="K2" s="55"/>
    </row>
    <row r="3" spans="2:11" ht="15" customHeight="1">
      <c r="B3" s="1"/>
      <c r="C3" s="1"/>
      <c r="D3" s="1"/>
      <c r="E3" s="1"/>
      <c r="F3" s="1"/>
      <c r="G3" s="1"/>
      <c r="H3" s="1"/>
      <c r="I3" s="1"/>
      <c r="J3" s="1"/>
      <c r="K3" s="1"/>
    </row>
    <row r="4" spans="2:11" ht="33.75" customHeight="1">
      <c r="B4" s="56" t="s">
        <v>35</v>
      </c>
      <c r="C4" s="57"/>
      <c r="D4" s="57"/>
      <c r="E4" s="57"/>
      <c r="F4" s="57"/>
      <c r="G4" s="57"/>
      <c r="H4" s="57"/>
      <c r="I4" s="57"/>
      <c r="J4" s="1"/>
    </row>
    <row r="5" spans="2:11" ht="15" customHeight="1">
      <c r="B5" s="1"/>
      <c r="C5" s="1"/>
      <c r="D5" s="1"/>
      <c r="E5" s="1"/>
      <c r="F5" s="1"/>
      <c r="G5" s="1"/>
      <c r="H5" s="1"/>
      <c r="I5" s="1"/>
      <c r="J5" s="1"/>
      <c r="K5" s="1"/>
    </row>
    <row r="6" spans="2:11" ht="15" customHeight="1">
      <c r="B6" s="19" t="s">
        <v>166</v>
      </c>
      <c r="C6" s="1"/>
      <c r="D6" s="1"/>
      <c r="E6" s="1"/>
      <c r="F6" s="1"/>
      <c r="G6" s="1"/>
      <c r="H6" s="1"/>
      <c r="I6" s="1"/>
      <c r="J6" s="1"/>
      <c r="K6" s="1"/>
    </row>
    <row r="7" spans="2:11">
      <c r="B7" s="3" t="s">
        <v>27</v>
      </c>
    </row>
    <row r="8" spans="2:11">
      <c r="B8" s="3" t="s">
        <v>171</v>
      </c>
    </row>
    <row r="9" spans="2:11">
      <c r="B9" s="3" t="s">
        <v>169</v>
      </c>
    </row>
    <row r="10" spans="2:11">
      <c r="B10" s="3" t="s">
        <v>33</v>
      </c>
    </row>
    <row r="11" spans="2:11">
      <c r="B11" s="3" t="s">
        <v>28</v>
      </c>
    </row>
    <row r="12" spans="2:11">
      <c r="B12" s="3" t="s">
        <v>26</v>
      </c>
    </row>
    <row r="13" spans="2:11">
      <c r="B13" s="3" t="s">
        <v>34</v>
      </c>
    </row>
    <row r="14" spans="2:11">
      <c r="B14" s="3" t="s">
        <v>168</v>
      </c>
    </row>
    <row r="15" spans="2:11">
      <c r="B15" s="3" t="s">
        <v>170</v>
      </c>
      <c r="E15"/>
    </row>
    <row r="16" spans="2:11">
      <c r="B16" s="3" t="s">
        <v>31</v>
      </c>
    </row>
    <row r="17" spans="2:2">
      <c r="B17" s="3"/>
    </row>
    <row r="18" spans="2:2">
      <c r="B18" s="3" t="s">
        <v>136</v>
      </c>
    </row>
    <row r="19" spans="2:2">
      <c r="B19" s="3"/>
    </row>
    <row r="20" spans="2:2">
      <c r="B20" s="3" t="s">
        <v>7</v>
      </c>
    </row>
    <row r="23" spans="2:2">
      <c r="B23" s="3"/>
    </row>
    <row r="24" spans="2:2">
      <c r="B24" s="3"/>
    </row>
    <row r="25" spans="2:2">
      <c r="B25" s="3"/>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AN25"/>
  <sheetViews>
    <sheetView showGridLines="0" zoomScale="74" workbookViewId="0"/>
  </sheetViews>
  <sheetFormatPr defaultRowHeight="14.4"/>
  <cols>
    <col min="1" max="1" width="4.77734375" style="6" customWidth="1"/>
    <col min="2" max="2" width="5.33203125" style="6" customWidth="1"/>
    <col min="3" max="3" width="24.5546875" customWidth="1"/>
    <col min="5" max="5" width="29.21875" bestFit="1" customWidth="1"/>
    <col min="6" max="12" width="17.88671875" customWidth="1"/>
    <col min="13" max="110" width="10.109375" bestFit="1" customWidth="1"/>
  </cols>
  <sheetData>
    <row r="1" spans="1:40">
      <c r="A1" s="6" t="str">
        <f>Instructions!B2&amp;": "&amp;Instructions!B4</f>
        <v>Valuation Task: DCF (Discounted Cash Flow) - From Sheet</v>
      </c>
    </row>
    <row r="2" spans="1:40">
      <c r="A2" s="6" t="s">
        <v>1</v>
      </c>
    </row>
    <row r="4" spans="1:40" s="13" customFormat="1" ht="14.4" customHeight="1">
      <c r="A4" s="11"/>
      <c r="B4" s="12" t="s">
        <v>8</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row>
    <row r="6" spans="1:40">
      <c r="C6" t="s">
        <v>16</v>
      </c>
      <c r="F6" s="16">
        <v>46022</v>
      </c>
      <c r="G6" s="10"/>
    </row>
    <row r="7" spans="1:40">
      <c r="C7" t="s">
        <v>17</v>
      </c>
      <c r="F7" s="16">
        <v>46151</v>
      </c>
      <c r="G7" s="10"/>
    </row>
    <row r="9" spans="1:40" s="13" customFormat="1" ht="14.4" customHeight="1">
      <c r="A9" s="11"/>
      <c r="B9" s="12" t="s">
        <v>18</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row>
    <row r="11" spans="1:40">
      <c r="C11" t="s">
        <v>19</v>
      </c>
      <c r="F11" s="14">
        <v>3.7000000000000002E-3</v>
      </c>
      <c r="G11" s="10" t="s">
        <v>23</v>
      </c>
    </row>
    <row r="12" spans="1:40">
      <c r="C12" t="s">
        <v>20</v>
      </c>
      <c r="F12" s="17">
        <v>1.36</v>
      </c>
    </row>
    <row r="13" spans="1:40">
      <c r="C13" t="s">
        <v>21</v>
      </c>
      <c r="F13" s="14">
        <v>5.4519999999999999E-2</v>
      </c>
      <c r="G13" s="10" t="s">
        <v>23</v>
      </c>
    </row>
    <row r="14" spans="1:40">
      <c r="C14" t="s">
        <v>22</v>
      </c>
      <c r="F14" s="14">
        <v>5.6132827324478175E-3</v>
      </c>
      <c r="G14" s="10" t="s">
        <v>23</v>
      </c>
    </row>
    <row r="16" spans="1:40" s="13" customFormat="1" ht="14.4" customHeight="1">
      <c r="A16" s="11"/>
      <c r="B16" s="12" t="s">
        <v>139</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row>
    <row r="18" spans="1:40">
      <c r="C18" t="s">
        <v>138</v>
      </c>
      <c r="F18" s="14">
        <v>0.82</v>
      </c>
      <c r="G18" s="10" t="s">
        <v>23</v>
      </c>
    </row>
    <row r="19" spans="1:40">
      <c r="C19" t="s">
        <v>137</v>
      </c>
      <c r="F19" s="14">
        <v>0.18</v>
      </c>
      <c r="G19" s="10" t="s">
        <v>23</v>
      </c>
    </row>
    <row r="21" spans="1:40" s="13" customFormat="1" ht="14.4" customHeight="1">
      <c r="A21" s="11"/>
      <c r="B21" s="12" t="s">
        <v>24</v>
      </c>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row>
    <row r="23" spans="1:40">
      <c r="C23" t="s">
        <v>32</v>
      </c>
      <c r="F23" s="14">
        <v>2.0500000000000001E-2</v>
      </c>
      <c r="G23" s="10" t="s">
        <v>23</v>
      </c>
      <c r="H23" t="s">
        <v>29</v>
      </c>
    </row>
    <row r="25" spans="1:40" s="13" customFormat="1" ht="14.4" customHeight="1">
      <c r="A25" s="11"/>
      <c r="B25" s="12" t="s">
        <v>2</v>
      </c>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03B85-A1B8-4C3C-8BF1-9905FBF7D4D1}">
  <sheetPr>
    <tabColor theme="8" tint="0.79998168889431442"/>
    <outlinePr summaryBelow="0" summaryRight="0"/>
  </sheetPr>
  <dimension ref="A1:O138"/>
  <sheetViews>
    <sheetView zoomScale="74" zoomScaleNormal="74" workbookViewId="0"/>
  </sheetViews>
  <sheetFormatPr defaultColWidth="9.109375" defaultRowHeight="15" customHeight="1" outlineLevelRow="3"/>
  <cols>
    <col min="1" max="1" width="40.6640625" style="20" customWidth="1"/>
    <col min="2" max="12" width="7.6640625" style="20" customWidth="1"/>
    <col min="13" max="15" width="8.88671875" style="20" customWidth="1"/>
    <col min="16" max="16384" width="9.109375" style="20"/>
  </cols>
  <sheetData>
    <row r="1" spans="1:15" ht="15" customHeight="1">
      <c r="A1" s="52" t="s">
        <v>167</v>
      </c>
    </row>
    <row r="2" spans="1:15" ht="15" customHeight="1">
      <c r="A2" s="20" t="s">
        <v>36</v>
      </c>
    </row>
    <row r="3" spans="1:15" ht="15" customHeight="1">
      <c r="A3" s="21"/>
      <c r="B3" s="21" t="s">
        <v>37</v>
      </c>
      <c r="C3" s="21" t="s">
        <v>38</v>
      </c>
      <c r="D3" s="21" t="s">
        <v>39</v>
      </c>
      <c r="E3" s="21" t="s">
        <v>40</v>
      </c>
      <c r="F3" s="21" t="s">
        <v>41</v>
      </c>
      <c r="G3" s="21" t="s">
        <v>42</v>
      </c>
      <c r="H3" s="21" t="s">
        <v>43</v>
      </c>
      <c r="I3" s="21" t="s">
        <v>44</v>
      </c>
      <c r="J3" s="21" t="s">
        <v>45</v>
      </c>
      <c r="K3" s="21" t="s">
        <v>46</v>
      </c>
      <c r="L3" s="21" t="s">
        <v>47</v>
      </c>
      <c r="M3" s="21" t="s">
        <v>48</v>
      </c>
      <c r="N3" s="21" t="s">
        <v>49</v>
      </c>
      <c r="O3" s="21" t="s">
        <v>50</v>
      </c>
    </row>
    <row r="4" spans="1:15" ht="15" customHeight="1" outlineLevel="1">
      <c r="A4" s="22" t="s">
        <v>51</v>
      </c>
      <c r="B4" s="23">
        <v>0.70611800000000002</v>
      </c>
      <c r="C4" s="23">
        <v>1.2031499999999999</v>
      </c>
      <c r="D4" s="23">
        <v>0.93389999999999995</v>
      </c>
      <c r="E4" s="23">
        <v>1.06576</v>
      </c>
      <c r="F4" s="23">
        <v>1.46736</v>
      </c>
      <c r="G4" s="23">
        <v>1.35423</v>
      </c>
      <c r="H4" s="23">
        <v>1.84853</v>
      </c>
      <c r="I4" s="23">
        <v>2.8002199999999999</v>
      </c>
      <c r="J4" s="23">
        <v>2.8883000000000001</v>
      </c>
      <c r="K4" s="23">
        <v>3.08656</v>
      </c>
      <c r="L4" s="23">
        <v>0.76678000000000002</v>
      </c>
      <c r="M4" s="23">
        <v>3.9523899999999998</v>
      </c>
      <c r="N4" s="23">
        <v>4.5331700000000001</v>
      </c>
      <c r="O4" s="23">
        <v>5.0888200000000001</v>
      </c>
    </row>
    <row r="5" spans="1:15" ht="15" customHeight="1" outlineLevel="2">
      <c r="A5" s="24" t="s">
        <v>52</v>
      </c>
      <c r="B5" s="25" t="s">
        <v>53</v>
      </c>
      <c r="C5" s="25" t="s">
        <v>53</v>
      </c>
      <c r="D5" s="26">
        <v>1.3597999999999999</v>
      </c>
      <c r="E5" s="25" t="s">
        <v>53</v>
      </c>
      <c r="F5" s="25" t="s">
        <v>53</v>
      </c>
      <c r="G5" s="25" t="s">
        <v>53</v>
      </c>
      <c r="H5" s="25" t="s">
        <v>53</v>
      </c>
      <c r="I5" s="25" t="s">
        <v>53</v>
      </c>
      <c r="J5" s="25" t="s">
        <v>53</v>
      </c>
      <c r="K5" s="25" t="s">
        <v>53</v>
      </c>
      <c r="L5" s="25" t="s">
        <v>53</v>
      </c>
      <c r="M5" s="25" t="s">
        <v>53</v>
      </c>
      <c r="N5" s="25" t="s">
        <v>53</v>
      </c>
      <c r="O5" s="25" t="s">
        <v>53</v>
      </c>
    </row>
    <row r="6" spans="1:15" ht="15" customHeight="1" outlineLevel="1">
      <c r="A6" s="27" t="s">
        <v>54</v>
      </c>
      <c r="B6" s="28">
        <v>-1.4041600000000001</v>
      </c>
      <c r="C6" s="29">
        <v>1.2597799999999999</v>
      </c>
      <c r="D6" s="28">
        <v>-1.1047800000000001</v>
      </c>
      <c r="E6" s="29">
        <v>1.0210600000000001</v>
      </c>
      <c r="F6" s="29">
        <v>1.5925100000000001</v>
      </c>
      <c r="G6" s="29">
        <v>1.2086600000000001</v>
      </c>
      <c r="H6" s="29">
        <v>1.73241</v>
      </c>
      <c r="I6" s="29">
        <v>2.8155999999999999</v>
      </c>
      <c r="J6" s="29">
        <v>2.86599</v>
      </c>
      <c r="K6" s="29">
        <v>2.8374700000000002</v>
      </c>
      <c r="L6" s="29">
        <v>3.52719</v>
      </c>
      <c r="M6" s="29">
        <v>3.89378</v>
      </c>
      <c r="N6" s="29">
        <v>4.48482</v>
      </c>
      <c r="O6" s="29">
        <v>5.0491999999999999</v>
      </c>
    </row>
    <row r="7" spans="1:15" ht="15" customHeight="1" outlineLevel="1">
      <c r="A7" s="30" t="s">
        <v>55</v>
      </c>
      <c r="B7" s="26">
        <v>0.57697100000000001</v>
      </c>
      <c r="C7" s="26">
        <v>1.2096199999999999</v>
      </c>
      <c r="D7" s="26">
        <v>0.93389999999999995</v>
      </c>
      <c r="E7" s="26">
        <v>1.25857</v>
      </c>
      <c r="F7" s="26">
        <v>1.46736</v>
      </c>
      <c r="G7" s="26">
        <v>1.35423</v>
      </c>
      <c r="H7" s="26">
        <v>1.84853</v>
      </c>
      <c r="I7" s="26">
        <v>2.8002199999999999</v>
      </c>
      <c r="J7" s="26">
        <v>2.87765</v>
      </c>
      <c r="K7" s="26">
        <v>3.08656</v>
      </c>
      <c r="L7" s="26">
        <v>0.76678000000000002</v>
      </c>
      <c r="M7" s="26">
        <v>3.94868</v>
      </c>
      <c r="N7" s="26">
        <v>4.5136399999999997</v>
      </c>
      <c r="O7" s="26">
        <v>5.03226</v>
      </c>
    </row>
    <row r="9" spans="1:15" ht="15" customHeight="1">
      <c r="A9" s="20" t="s">
        <v>56</v>
      </c>
    </row>
    <row r="10" spans="1:15" ht="15" customHeight="1">
      <c r="A10" s="21"/>
      <c r="B10" s="21" t="s">
        <v>37</v>
      </c>
      <c r="C10" s="21" t="s">
        <v>38</v>
      </c>
      <c r="D10" s="21" t="s">
        <v>39</v>
      </c>
      <c r="E10" s="21" t="s">
        <v>40</v>
      </c>
      <c r="F10" s="21" t="s">
        <v>41</v>
      </c>
      <c r="G10" s="21" t="s">
        <v>42</v>
      </c>
      <c r="H10" s="21" t="s">
        <v>43</v>
      </c>
      <c r="I10" s="21" t="s">
        <v>44</v>
      </c>
      <c r="J10" s="21" t="s">
        <v>45</v>
      </c>
      <c r="K10" s="21" t="s">
        <v>46</v>
      </c>
      <c r="L10" s="21" t="s">
        <v>47</v>
      </c>
      <c r="M10" s="21" t="s">
        <v>48</v>
      </c>
      <c r="N10" s="21" t="s">
        <v>49</v>
      </c>
      <c r="O10" s="21" t="s">
        <v>50</v>
      </c>
    </row>
    <row r="11" spans="1:15" ht="15" customHeight="1" outlineLevel="1">
      <c r="A11" s="27" t="s">
        <v>57</v>
      </c>
      <c r="B11" s="31" t="s">
        <v>53</v>
      </c>
      <c r="C11" s="32">
        <v>-1.7</v>
      </c>
      <c r="D11" s="31" t="s">
        <v>53</v>
      </c>
      <c r="E11" s="31" t="s">
        <v>53</v>
      </c>
      <c r="F11" s="31" t="s">
        <v>53</v>
      </c>
      <c r="G11" s="31" t="s">
        <v>53</v>
      </c>
      <c r="H11" s="31" t="s">
        <v>53</v>
      </c>
      <c r="I11" s="31" t="s">
        <v>53</v>
      </c>
      <c r="J11" s="31" t="s">
        <v>53</v>
      </c>
      <c r="K11" s="31" t="s">
        <v>53</v>
      </c>
      <c r="L11" s="31" t="s">
        <v>53</v>
      </c>
      <c r="M11" s="31" t="s">
        <v>53</v>
      </c>
      <c r="N11" s="31" t="s">
        <v>53</v>
      </c>
      <c r="O11" s="31" t="s">
        <v>53</v>
      </c>
    </row>
    <row r="12" spans="1:15" ht="15" customHeight="1" outlineLevel="1">
      <c r="A12" s="33" t="s">
        <v>58</v>
      </c>
      <c r="B12" s="34">
        <v>27113.599999999999</v>
      </c>
      <c r="C12" s="34">
        <v>25284</v>
      </c>
      <c r="D12" s="34">
        <v>22629.1</v>
      </c>
      <c r="E12" s="34">
        <v>24255.5</v>
      </c>
      <c r="F12" s="34">
        <v>25132.5</v>
      </c>
      <c r="G12" s="34">
        <v>21060.1</v>
      </c>
      <c r="H12" s="34">
        <v>25712</v>
      </c>
      <c r="I12" s="34">
        <v>29461.7</v>
      </c>
      <c r="J12" s="34">
        <v>28326.5</v>
      </c>
      <c r="K12" s="34">
        <v>28142.2</v>
      </c>
      <c r="L12" s="34">
        <v>17224.099999999999</v>
      </c>
      <c r="M12" s="34">
        <v>17860.900000000001</v>
      </c>
      <c r="N12" s="34">
        <v>19300.5</v>
      </c>
      <c r="O12" s="34">
        <v>20349.7</v>
      </c>
    </row>
    <row r="13" spans="1:15" ht="15" customHeight="1" outlineLevel="2">
      <c r="A13" s="35" t="s">
        <v>59</v>
      </c>
      <c r="B13" s="36">
        <v>2980.54</v>
      </c>
      <c r="C13" s="36">
        <v>2606.0300000000002</v>
      </c>
      <c r="D13" s="36">
        <v>2549.66</v>
      </c>
      <c r="E13" s="36">
        <v>2411.7800000000002</v>
      </c>
      <c r="F13" s="36">
        <v>2464.16</v>
      </c>
      <c r="G13" s="36">
        <v>2024.84</v>
      </c>
      <c r="H13" s="36">
        <v>2501.8200000000002</v>
      </c>
      <c r="I13" s="36">
        <v>2953.34</v>
      </c>
      <c r="J13" s="36">
        <v>3000.55</v>
      </c>
      <c r="K13" s="36">
        <v>3071.38</v>
      </c>
      <c r="L13" s="36">
        <v>3409.98</v>
      </c>
      <c r="M13" s="36">
        <v>3563.02</v>
      </c>
      <c r="N13" s="36">
        <v>3760.76</v>
      </c>
      <c r="O13" s="36">
        <v>4116</v>
      </c>
    </row>
    <row r="14" spans="1:15" ht="15" customHeight="1" outlineLevel="2">
      <c r="A14" s="24" t="s">
        <v>60</v>
      </c>
      <c r="B14" s="37">
        <v>6764.85</v>
      </c>
      <c r="C14" s="37">
        <v>6600.12</v>
      </c>
      <c r="D14" s="37">
        <v>6207</v>
      </c>
      <c r="E14" s="37">
        <v>6671.02</v>
      </c>
      <c r="F14" s="37">
        <v>7213.77</v>
      </c>
      <c r="G14" s="37">
        <v>6425.79</v>
      </c>
      <c r="H14" s="37">
        <v>7696.15</v>
      </c>
      <c r="I14" s="37">
        <v>8471.42</v>
      </c>
      <c r="J14" s="37">
        <v>7639.3</v>
      </c>
      <c r="K14" s="37">
        <v>7670.99</v>
      </c>
      <c r="L14" s="37">
        <v>9435.77</v>
      </c>
      <c r="M14" s="37">
        <v>9715.99</v>
      </c>
      <c r="N14" s="37">
        <v>10489.1</v>
      </c>
      <c r="O14" s="37">
        <v>11444.5</v>
      </c>
    </row>
    <row r="15" spans="1:15" ht="15" customHeight="1" outlineLevel="2">
      <c r="A15" s="35" t="s">
        <v>61</v>
      </c>
      <c r="B15" s="31" t="s">
        <v>53</v>
      </c>
      <c r="C15" s="31" t="s">
        <v>53</v>
      </c>
      <c r="D15" s="31" t="s">
        <v>53</v>
      </c>
      <c r="E15" s="31" t="s">
        <v>53</v>
      </c>
      <c r="F15" s="31" t="s">
        <v>53</v>
      </c>
      <c r="G15" s="31" t="s">
        <v>53</v>
      </c>
      <c r="H15" s="31" t="s">
        <v>53</v>
      </c>
      <c r="I15" s="31" t="s">
        <v>53</v>
      </c>
      <c r="J15" s="36">
        <v>4176.24</v>
      </c>
      <c r="K15" s="36">
        <v>3849.35</v>
      </c>
      <c r="L15" s="36">
        <v>4164.71</v>
      </c>
      <c r="M15" s="36">
        <v>3727.62</v>
      </c>
      <c r="N15" s="36">
        <v>3897.69</v>
      </c>
      <c r="O15" s="36">
        <v>4156.97</v>
      </c>
    </row>
    <row r="16" spans="1:15" ht="15" customHeight="1" outlineLevel="2">
      <c r="A16" s="24" t="s">
        <v>62</v>
      </c>
      <c r="B16" s="38">
        <v>-345.78300000000002</v>
      </c>
      <c r="C16" s="38">
        <v>-565.75199999999995</v>
      </c>
      <c r="D16" s="38">
        <v>-399.25099999999998</v>
      </c>
      <c r="E16" s="37">
        <v>688.827</v>
      </c>
      <c r="F16" s="37">
        <v>683.75599999999997</v>
      </c>
      <c r="G16" s="37">
        <v>468.67</v>
      </c>
      <c r="H16" s="37">
        <v>476.69799999999998</v>
      </c>
      <c r="I16" s="37">
        <v>631.84900000000005</v>
      </c>
      <c r="J16" s="37">
        <v>589.93799999999999</v>
      </c>
      <c r="K16" s="37">
        <v>467.84699999999998</v>
      </c>
      <c r="L16" s="37">
        <v>213.60300000000001</v>
      </c>
      <c r="M16" s="37">
        <v>546.25099999999998</v>
      </c>
      <c r="N16" s="37">
        <v>568.101</v>
      </c>
      <c r="O16" s="37">
        <v>591.04399999999998</v>
      </c>
    </row>
    <row r="17" spans="1:15" ht="15" customHeight="1" outlineLevel="1">
      <c r="A17" s="22" t="s">
        <v>11</v>
      </c>
      <c r="B17" s="39">
        <v>2785.12</v>
      </c>
      <c r="C17" s="39">
        <v>3276.1</v>
      </c>
      <c r="D17" s="39">
        <v>-303.55200000000002</v>
      </c>
      <c r="E17" s="39">
        <v>2924.87</v>
      </c>
      <c r="F17" s="39">
        <v>3605</v>
      </c>
      <c r="G17" s="39">
        <v>3067.74</v>
      </c>
      <c r="H17" s="39">
        <v>4216.9799999999996</v>
      </c>
      <c r="I17" s="39">
        <v>3251.1</v>
      </c>
      <c r="J17" s="39">
        <v>4800.26</v>
      </c>
      <c r="K17" s="39">
        <v>5135.42</v>
      </c>
      <c r="L17" s="39">
        <v>2956.89</v>
      </c>
      <c r="M17" s="39">
        <v>3246.14</v>
      </c>
      <c r="N17" s="39">
        <v>3696.04</v>
      </c>
      <c r="O17" s="39">
        <v>4053.08</v>
      </c>
    </row>
    <row r="18" spans="1:15" ht="15" customHeight="1" outlineLevel="2">
      <c r="A18" s="24" t="s">
        <v>59</v>
      </c>
      <c r="B18" s="25" t="s">
        <v>53</v>
      </c>
      <c r="C18" s="25" t="s">
        <v>53</v>
      </c>
      <c r="D18" s="25" t="s">
        <v>53</v>
      </c>
      <c r="E18" s="25" t="s">
        <v>53</v>
      </c>
      <c r="F18" s="25" t="s">
        <v>53</v>
      </c>
      <c r="G18" s="37">
        <v>633.38800000000003</v>
      </c>
      <c r="H18" s="37">
        <v>828.83100000000002</v>
      </c>
      <c r="I18" s="37">
        <v>964.93299999999999</v>
      </c>
      <c r="J18" s="37">
        <v>1033.05</v>
      </c>
      <c r="K18" s="37">
        <v>1112.5999999999999</v>
      </c>
      <c r="L18" s="37">
        <v>1043.92</v>
      </c>
      <c r="M18" s="37">
        <v>1104.52</v>
      </c>
      <c r="N18" s="37">
        <v>1173.71</v>
      </c>
      <c r="O18" s="37">
        <v>1296.8</v>
      </c>
    </row>
    <row r="19" spans="1:15" ht="15" customHeight="1" outlineLevel="2">
      <c r="A19" s="35" t="s">
        <v>60</v>
      </c>
      <c r="B19" s="31" t="s">
        <v>53</v>
      </c>
      <c r="C19" s="31" t="s">
        <v>53</v>
      </c>
      <c r="D19" s="31" t="s">
        <v>53</v>
      </c>
      <c r="E19" s="31" t="s">
        <v>53</v>
      </c>
      <c r="F19" s="31" t="s">
        <v>53</v>
      </c>
      <c r="G19" s="36">
        <v>843.60699999999997</v>
      </c>
      <c r="H19" s="36">
        <v>1067.42</v>
      </c>
      <c r="I19" s="36">
        <v>1101.19</v>
      </c>
      <c r="J19" s="36">
        <v>1260.6300000000001</v>
      </c>
      <c r="K19" s="36">
        <v>1422.73</v>
      </c>
      <c r="L19" s="36">
        <v>1606.95</v>
      </c>
      <c r="M19" s="36">
        <v>1720.69</v>
      </c>
      <c r="N19" s="36">
        <v>1907.15</v>
      </c>
      <c r="O19" s="36">
        <v>2122.73</v>
      </c>
    </row>
    <row r="20" spans="1:15" ht="15" customHeight="1" outlineLevel="2">
      <c r="A20" s="24" t="s">
        <v>61</v>
      </c>
      <c r="B20" s="25" t="s">
        <v>53</v>
      </c>
      <c r="C20" s="25" t="s">
        <v>53</v>
      </c>
      <c r="D20" s="25" t="s">
        <v>53</v>
      </c>
      <c r="E20" s="25" t="s">
        <v>53</v>
      </c>
      <c r="F20" s="25" t="s">
        <v>53</v>
      </c>
      <c r="G20" s="25" t="s">
        <v>53</v>
      </c>
      <c r="H20" s="25" t="s">
        <v>53</v>
      </c>
      <c r="I20" s="25" t="s">
        <v>53</v>
      </c>
      <c r="J20" s="37">
        <v>941.803</v>
      </c>
      <c r="K20" s="37">
        <v>935.69500000000005</v>
      </c>
      <c r="L20" s="37">
        <v>1024.2</v>
      </c>
      <c r="M20" s="37">
        <v>991.26400000000001</v>
      </c>
      <c r="N20" s="37">
        <v>1072.8399999999999</v>
      </c>
      <c r="O20" s="37">
        <v>1135.6600000000001</v>
      </c>
    </row>
    <row r="21" spans="1:15" ht="15" customHeight="1" outlineLevel="2">
      <c r="A21" s="35" t="s">
        <v>62</v>
      </c>
      <c r="B21" s="31" t="s">
        <v>53</v>
      </c>
      <c r="C21" s="31" t="s">
        <v>53</v>
      </c>
      <c r="D21" s="31" t="s">
        <v>53</v>
      </c>
      <c r="E21" s="31" t="s">
        <v>53</v>
      </c>
      <c r="F21" s="31" t="s">
        <v>53</v>
      </c>
      <c r="G21" s="40">
        <v>-375.846</v>
      </c>
      <c r="H21" s="40">
        <v>-400.52199999999999</v>
      </c>
      <c r="I21" s="40">
        <v>-368.41</v>
      </c>
      <c r="J21" s="40">
        <v>-442.584</v>
      </c>
      <c r="K21" s="40">
        <v>-541.38199999999995</v>
      </c>
      <c r="L21" s="40">
        <v>-524.69600000000003</v>
      </c>
      <c r="M21" s="40">
        <v>-504.73599999999999</v>
      </c>
      <c r="N21" s="40">
        <v>-502.005</v>
      </c>
      <c r="O21" s="40">
        <v>-457.75900000000001</v>
      </c>
    </row>
    <row r="22" spans="1:15" ht="15" customHeight="1" outlineLevel="1">
      <c r="A22" s="33" t="s">
        <v>10</v>
      </c>
      <c r="B22" s="34">
        <v>5288.83</v>
      </c>
      <c r="C22" s="34">
        <v>5473.88</v>
      </c>
      <c r="D22" s="34">
        <v>5187.66</v>
      </c>
      <c r="E22" s="34">
        <v>5312.8</v>
      </c>
      <c r="F22" s="34">
        <v>5787</v>
      </c>
      <c r="G22" s="34">
        <v>5110.78</v>
      </c>
      <c r="H22" s="34">
        <v>6287.62</v>
      </c>
      <c r="I22" s="34">
        <v>6615.74</v>
      </c>
      <c r="J22" s="34">
        <v>6689.11</v>
      </c>
      <c r="K22" s="34">
        <v>7115.76</v>
      </c>
      <c r="L22" s="34">
        <v>4372.83</v>
      </c>
      <c r="M22" s="34">
        <v>4501.74</v>
      </c>
      <c r="N22" s="34">
        <v>5023.32</v>
      </c>
      <c r="O22" s="34">
        <v>5428.85</v>
      </c>
    </row>
    <row r="23" spans="1:15" ht="15" customHeight="1" outlineLevel="2">
      <c r="A23" s="35" t="s">
        <v>59</v>
      </c>
      <c r="B23" s="36">
        <v>834.11</v>
      </c>
      <c r="C23" s="36">
        <v>831.71100000000001</v>
      </c>
      <c r="D23" s="36">
        <v>913.68600000000004</v>
      </c>
      <c r="E23" s="36">
        <v>846.904</v>
      </c>
      <c r="F23" s="36">
        <v>834.23900000000003</v>
      </c>
      <c r="G23" s="36">
        <v>770.80399999999997</v>
      </c>
      <c r="H23" s="31" t="s">
        <v>53</v>
      </c>
      <c r="I23" s="31" t="s">
        <v>53</v>
      </c>
      <c r="J23" s="31" t="s">
        <v>53</v>
      </c>
      <c r="K23" s="31" t="s">
        <v>53</v>
      </c>
      <c r="L23" s="31" t="s">
        <v>53</v>
      </c>
      <c r="M23" s="31" t="s">
        <v>53</v>
      </c>
      <c r="N23" s="31" t="s">
        <v>53</v>
      </c>
      <c r="O23" s="31" t="s">
        <v>53</v>
      </c>
    </row>
    <row r="24" spans="1:15" ht="15" customHeight="1" outlineLevel="2">
      <c r="A24" s="24" t="s">
        <v>60</v>
      </c>
      <c r="B24" s="37">
        <v>1162.42</v>
      </c>
      <c r="C24" s="37">
        <v>1248.98</v>
      </c>
      <c r="D24" s="37">
        <v>1199.48</v>
      </c>
      <c r="E24" s="37">
        <v>1323.78</v>
      </c>
      <c r="F24" s="37">
        <v>1501.07</v>
      </c>
      <c r="G24" s="37">
        <v>1371.43</v>
      </c>
      <c r="H24" s="25" t="s">
        <v>53</v>
      </c>
      <c r="I24" s="25" t="s">
        <v>53</v>
      </c>
      <c r="J24" s="25" t="s">
        <v>53</v>
      </c>
      <c r="K24" s="25" t="s">
        <v>53</v>
      </c>
      <c r="L24" s="25" t="s">
        <v>53</v>
      </c>
      <c r="M24" s="25" t="s">
        <v>53</v>
      </c>
      <c r="N24" s="25" t="s">
        <v>53</v>
      </c>
      <c r="O24" s="25" t="s">
        <v>53</v>
      </c>
    </row>
    <row r="25" spans="1:15" ht="15" customHeight="1" outlineLevel="2">
      <c r="A25" s="24" t="s">
        <v>60</v>
      </c>
      <c r="B25" s="31" t="s">
        <v>53</v>
      </c>
      <c r="C25" s="31" t="s">
        <v>53</v>
      </c>
      <c r="D25" s="31" t="s">
        <v>53</v>
      </c>
      <c r="E25" s="31" t="s">
        <v>53</v>
      </c>
      <c r="F25" s="31" t="s">
        <v>53</v>
      </c>
      <c r="G25" s="31" t="s">
        <v>53</v>
      </c>
      <c r="H25" s="31" t="s">
        <v>53</v>
      </c>
      <c r="I25" s="31" t="s">
        <v>53</v>
      </c>
      <c r="J25" s="31" t="s">
        <v>53</v>
      </c>
      <c r="K25" s="31" t="s">
        <v>53</v>
      </c>
      <c r="L25" s="31" t="s">
        <v>53</v>
      </c>
      <c r="M25" s="31" t="s">
        <v>53</v>
      </c>
      <c r="N25" s="31" t="s">
        <v>53</v>
      </c>
      <c r="O25" s="31" t="s">
        <v>53</v>
      </c>
    </row>
    <row r="26" spans="1:15" ht="15" customHeight="1" outlineLevel="2">
      <c r="A26" s="24" t="s">
        <v>62</v>
      </c>
      <c r="B26" s="38">
        <v>-487.40699999999998</v>
      </c>
      <c r="C26" s="38">
        <v>-418.20499999999998</v>
      </c>
      <c r="D26" s="38">
        <v>-377.59899999999999</v>
      </c>
      <c r="E26" s="38">
        <v>-271.55700000000002</v>
      </c>
      <c r="F26" s="38">
        <v>-271.80900000000003</v>
      </c>
      <c r="G26" s="25" t="s">
        <v>53</v>
      </c>
      <c r="H26" s="25" t="s">
        <v>53</v>
      </c>
      <c r="I26" s="25" t="s">
        <v>53</v>
      </c>
      <c r="J26" s="25" t="s">
        <v>53</v>
      </c>
      <c r="K26" s="25" t="s">
        <v>53</v>
      </c>
      <c r="L26" s="25" t="s">
        <v>53</v>
      </c>
      <c r="M26" s="25" t="s">
        <v>53</v>
      </c>
      <c r="N26" s="25" t="s">
        <v>53</v>
      </c>
      <c r="O26" s="25" t="s">
        <v>53</v>
      </c>
    </row>
    <row r="28" spans="1:15" ht="15" customHeight="1">
      <c r="A28" s="20" t="s">
        <v>63</v>
      </c>
    </row>
    <row r="29" spans="1:15" ht="15" customHeight="1">
      <c r="A29" s="21"/>
      <c r="B29" s="21" t="s">
        <v>37</v>
      </c>
      <c r="C29" s="21" t="s">
        <v>38</v>
      </c>
      <c r="D29" s="21" t="s">
        <v>39</v>
      </c>
      <c r="E29" s="21" t="s">
        <v>40</v>
      </c>
      <c r="F29" s="21" t="s">
        <v>41</v>
      </c>
      <c r="G29" s="21" t="s">
        <v>42</v>
      </c>
      <c r="H29" s="21" t="s">
        <v>43</v>
      </c>
      <c r="I29" s="21" t="s">
        <v>44</v>
      </c>
      <c r="J29" s="21" t="s">
        <v>45</v>
      </c>
      <c r="K29" s="21" t="s">
        <v>46</v>
      </c>
      <c r="L29" s="21" t="s">
        <v>47</v>
      </c>
      <c r="M29" s="21" t="s">
        <v>48</v>
      </c>
      <c r="N29" s="21" t="s">
        <v>49</v>
      </c>
      <c r="O29" s="21" t="s">
        <v>50</v>
      </c>
    </row>
    <row r="30" spans="1:15" ht="15" customHeight="1" outlineLevel="1">
      <c r="A30" s="27" t="s">
        <v>64</v>
      </c>
      <c r="B30" s="31" t="s">
        <v>53</v>
      </c>
      <c r="C30" s="31" t="s">
        <v>53</v>
      </c>
      <c r="D30" s="31" t="s">
        <v>53</v>
      </c>
      <c r="E30" s="31" t="s">
        <v>53</v>
      </c>
      <c r="F30" s="31" t="s">
        <v>53</v>
      </c>
      <c r="G30" s="31" t="s">
        <v>53</v>
      </c>
      <c r="H30" s="41">
        <v>54.3</v>
      </c>
      <c r="I30" s="41">
        <v>53.3</v>
      </c>
      <c r="J30" s="41">
        <v>50.5</v>
      </c>
      <c r="K30" s="41">
        <v>51.15</v>
      </c>
      <c r="L30" s="41">
        <v>49.9</v>
      </c>
      <c r="M30" s="41">
        <v>51.3</v>
      </c>
      <c r="N30" s="41">
        <v>52.6</v>
      </c>
      <c r="O30" s="31" t="s">
        <v>53</v>
      </c>
    </row>
    <row r="31" spans="1:15" ht="15" customHeight="1" outlineLevel="1">
      <c r="A31" s="33" t="s">
        <v>65</v>
      </c>
      <c r="B31" s="42" t="s">
        <v>53</v>
      </c>
      <c r="C31" s="42" t="s">
        <v>53</v>
      </c>
      <c r="D31" s="42" t="s">
        <v>53</v>
      </c>
      <c r="E31" s="42" t="s">
        <v>53</v>
      </c>
      <c r="F31" s="42" t="s">
        <v>53</v>
      </c>
      <c r="G31" s="43">
        <v>-5.6</v>
      </c>
      <c r="H31" s="43">
        <v>11.3</v>
      </c>
      <c r="I31" s="43">
        <v>13.45</v>
      </c>
      <c r="J31" s="43">
        <v>6.05</v>
      </c>
      <c r="K31" s="43">
        <v>0.05</v>
      </c>
      <c r="L31" s="43">
        <v>2.9</v>
      </c>
      <c r="M31" s="43">
        <v>3.35</v>
      </c>
      <c r="N31" s="43">
        <v>4.3499999999999996</v>
      </c>
      <c r="O31" s="43">
        <v>6</v>
      </c>
    </row>
    <row r="32" spans="1:15" ht="15" customHeight="1" outlineLevel="2">
      <c r="A32" s="35" t="s">
        <v>52</v>
      </c>
      <c r="B32" s="31" t="s">
        <v>53</v>
      </c>
      <c r="C32" s="31" t="s">
        <v>53</v>
      </c>
      <c r="D32" s="31" t="s">
        <v>53</v>
      </c>
      <c r="E32" s="31" t="s">
        <v>53</v>
      </c>
      <c r="F32" s="31" t="s">
        <v>53</v>
      </c>
      <c r="G32" s="31" t="s">
        <v>53</v>
      </c>
      <c r="H32" s="31" t="s">
        <v>53</v>
      </c>
      <c r="I32" s="41">
        <v>12</v>
      </c>
      <c r="J32" s="31" t="s">
        <v>53</v>
      </c>
      <c r="K32" s="31" t="s">
        <v>53</v>
      </c>
      <c r="L32" s="31" t="s">
        <v>53</v>
      </c>
      <c r="M32" s="31" t="s">
        <v>53</v>
      </c>
      <c r="N32" s="31" t="s">
        <v>53</v>
      </c>
      <c r="O32" s="31" t="s">
        <v>53</v>
      </c>
    </row>
    <row r="33" spans="1:15" ht="15" customHeight="1" outlineLevel="1">
      <c r="A33" s="30" t="s">
        <v>66</v>
      </c>
      <c r="B33" s="25" t="s">
        <v>53</v>
      </c>
      <c r="C33" s="25" t="s">
        <v>53</v>
      </c>
      <c r="D33" s="25" t="s">
        <v>53</v>
      </c>
      <c r="E33" s="25" t="s">
        <v>53</v>
      </c>
      <c r="F33" s="25" t="s">
        <v>53</v>
      </c>
      <c r="G33" s="25" t="s">
        <v>53</v>
      </c>
      <c r="H33" s="44">
        <v>-5.6</v>
      </c>
      <c r="I33" s="44">
        <v>-7.6</v>
      </c>
      <c r="J33" s="44">
        <v>-6.3</v>
      </c>
      <c r="K33" s="44">
        <v>-6.2</v>
      </c>
      <c r="L33" s="44">
        <v>-7.4</v>
      </c>
      <c r="M33" s="44">
        <v>-7.5</v>
      </c>
      <c r="N33" s="44">
        <v>-7.4</v>
      </c>
      <c r="O33" s="44">
        <v>-7.4</v>
      </c>
    </row>
    <row r="35" spans="1:15" ht="15" customHeight="1">
      <c r="A35" s="20" t="s">
        <v>67</v>
      </c>
    </row>
    <row r="36" spans="1:15" ht="15" customHeight="1">
      <c r="A36" s="21"/>
      <c r="B36" s="21" t="s">
        <v>37</v>
      </c>
      <c r="C36" s="21" t="s">
        <v>38</v>
      </c>
      <c r="D36" s="21" t="s">
        <v>39</v>
      </c>
      <c r="E36" s="21" t="s">
        <v>40</v>
      </c>
      <c r="F36" s="21" t="s">
        <v>41</v>
      </c>
      <c r="G36" s="21" t="s">
        <v>42</v>
      </c>
      <c r="H36" s="21" t="s">
        <v>43</v>
      </c>
      <c r="I36" s="21" t="s">
        <v>44</v>
      </c>
      <c r="J36" s="21" t="s">
        <v>45</v>
      </c>
      <c r="K36" s="21" t="s">
        <v>46</v>
      </c>
      <c r="L36" s="21" t="s">
        <v>47</v>
      </c>
      <c r="M36" s="21" t="s">
        <v>48</v>
      </c>
      <c r="N36" s="21" t="s">
        <v>49</v>
      </c>
      <c r="O36" s="21" t="s">
        <v>50</v>
      </c>
    </row>
    <row r="37" spans="1:15" ht="15" customHeight="1" outlineLevel="1">
      <c r="A37" s="22" t="s">
        <v>58</v>
      </c>
      <c r="B37" s="39">
        <v>27113.599999999999</v>
      </c>
      <c r="C37" s="39">
        <v>25284</v>
      </c>
      <c r="D37" s="39">
        <v>22629.1</v>
      </c>
      <c r="E37" s="39">
        <v>24255.5</v>
      </c>
      <c r="F37" s="39">
        <v>25132.5</v>
      </c>
      <c r="G37" s="39">
        <v>21060.1</v>
      </c>
      <c r="H37" s="39">
        <v>25712</v>
      </c>
      <c r="I37" s="39">
        <v>29461.7</v>
      </c>
      <c r="J37" s="39">
        <v>28326.5</v>
      </c>
      <c r="K37" s="39">
        <v>28142.2</v>
      </c>
      <c r="L37" s="39">
        <v>17224.099999999999</v>
      </c>
      <c r="M37" s="39">
        <v>17860.900000000001</v>
      </c>
      <c r="N37" s="39">
        <v>19300.5</v>
      </c>
      <c r="O37" s="39">
        <v>20349.7</v>
      </c>
    </row>
    <row r="38" spans="1:15" ht="15" customHeight="1" outlineLevel="2">
      <c r="A38" s="24" t="s">
        <v>52</v>
      </c>
      <c r="B38" s="25" t="s">
        <v>53</v>
      </c>
      <c r="C38" s="25" t="s">
        <v>53</v>
      </c>
      <c r="D38" s="25" t="s">
        <v>53</v>
      </c>
      <c r="E38" s="37">
        <v>23943.1</v>
      </c>
      <c r="F38" s="37">
        <v>25675.3</v>
      </c>
      <c r="G38" s="25" t="s">
        <v>53</v>
      </c>
      <c r="H38" s="25" t="s">
        <v>53</v>
      </c>
      <c r="I38" s="37">
        <v>29252.5</v>
      </c>
      <c r="J38" s="25" t="s">
        <v>53</v>
      </c>
      <c r="K38" s="25" t="s">
        <v>53</v>
      </c>
      <c r="L38" s="37">
        <v>29416.799999999999</v>
      </c>
      <c r="M38" s="25" t="s">
        <v>53</v>
      </c>
      <c r="N38" s="25" t="s">
        <v>53</v>
      </c>
      <c r="O38" s="25" t="s">
        <v>53</v>
      </c>
    </row>
    <row r="39" spans="1:15" ht="15" customHeight="1" outlineLevel="2">
      <c r="A39" s="35" t="s">
        <v>68</v>
      </c>
      <c r="B39" s="31" t="s">
        <v>53</v>
      </c>
      <c r="C39" s="31" t="s">
        <v>53</v>
      </c>
      <c r="D39" s="31" t="s">
        <v>53</v>
      </c>
      <c r="E39" s="36">
        <v>24403.5</v>
      </c>
      <c r="F39" s="36">
        <v>26173.9</v>
      </c>
      <c r="G39" s="31" t="s">
        <v>53</v>
      </c>
      <c r="H39" s="31" t="s">
        <v>53</v>
      </c>
      <c r="I39" s="31" t="s">
        <v>53</v>
      </c>
      <c r="J39" s="31" t="s">
        <v>53</v>
      </c>
      <c r="K39" s="31" t="s">
        <v>53</v>
      </c>
      <c r="L39" s="36">
        <v>29988</v>
      </c>
      <c r="M39" s="31" t="s">
        <v>53</v>
      </c>
      <c r="N39" s="31" t="s">
        <v>53</v>
      </c>
      <c r="O39" s="31" t="s">
        <v>53</v>
      </c>
    </row>
    <row r="40" spans="1:15" ht="15" customHeight="1" outlineLevel="1">
      <c r="A40" s="30" t="s">
        <v>69</v>
      </c>
      <c r="B40" s="37">
        <v>15164.8</v>
      </c>
      <c r="C40" s="37">
        <v>14690.7</v>
      </c>
      <c r="D40" s="37">
        <v>15890.3</v>
      </c>
      <c r="E40" s="37">
        <v>14057.4</v>
      </c>
      <c r="F40" s="37">
        <v>14522.5</v>
      </c>
      <c r="G40" s="37">
        <v>12035.3</v>
      </c>
      <c r="H40" s="37">
        <v>14338.3</v>
      </c>
      <c r="I40" s="37">
        <v>22561.9</v>
      </c>
      <c r="J40" s="37">
        <v>16517.7</v>
      </c>
      <c r="K40" s="37">
        <v>15807.2</v>
      </c>
      <c r="L40" s="37">
        <v>11434.9</v>
      </c>
      <c r="M40" s="37">
        <v>11659.2</v>
      </c>
      <c r="N40" s="37">
        <v>12417.4</v>
      </c>
      <c r="O40" s="25" t="s">
        <v>53</v>
      </c>
    </row>
    <row r="41" spans="1:15" ht="15" customHeight="1" outlineLevel="1">
      <c r="A41" s="22" t="s">
        <v>70</v>
      </c>
      <c r="B41" s="23">
        <v>0.15</v>
      </c>
      <c r="C41" s="23">
        <v>-2</v>
      </c>
      <c r="D41" s="23">
        <v>4.7</v>
      </c>
      <c r="E41" s="23">
        <v>5.05</v>
      </c>
      <c r="F41" s="45" t="s">
        <v>53</v>
      </c>
      <c r="G41" s="23">
        <v>-5.7</v>
      </c>
      <c r="H41" s="23">
        <v>11.3</v>
      </c>
      <c r="I41" s="23">
        <v>12.2</v>
      </c>
      <c r="J41" s="23">
        <v>6.1</v>
      </c>
      <c r="K41" s="23">
        <v>0.2</v>
      </c>
      <c r="L41" s="23">
        <v>3</v>
      </c>
      <c r="M41" s="23">
        <v>3.7</v>
      </c>
      <c r="N41" s="23">
        <v>5.4</v>
      </c>
      <c r="O41" s="23">
        <v>3.7</v>
      </c>
    </row>
    <row r="42" spans="1:15" ht="15" customHeight="1" outlineLevel="2">
      <c r="A42" s="24" t="s">
        <v>52</v>
      </c>
      <c r="B42" s="25" t="s">
        <v>53</v>
      </c>
      <c r="C42" s="25" t="s">
        <v>53</v>
      </c>
      <c r="D42" s="25" t="s">
        <v>53</v>
      </c>
      <c r="E42" s="25" t="s">
        <v>53</v>
      </c>
      <c r="F42" s="25" t="s">
        <v>53</v>
      </c>
      <c r="G42" s="25" t="s">
        <v>53</v>
      </c>
      <c r="H42" s="25" t="s">
        <v>53</v>
      </c>
      <c r="I42" s="25" t="s">
        <v>53</v>
      </c>
      <c r="J42" s="26">
        <v>6</v>
      </c>
      <c r="K42" s="26">
        <v>4</v>
      </c>
      <c r="L42" s="25" t="s">
        <v>53</v>
      </c>
      <c r="M42" s="26">
        <v>3</v>
      </c>
      <c r="N42" s="25" t="s">
        <v>53</v>
      </c>
      <c r="O42" s="25" t="s">
        <v>53</v>
      </c>
    </row>
    <row r="43" spans="1:15" ht="15" customHeight="1" outlineLevel="2">
      <c r="A43" s="35" t="s">
        <v>68</v>
      </c>
      <c r="B43" s="31" t="s">
        <v>53</v>
      </c>
      <c r="C43" s="31" t="s">
        <v>53</v>
      </c>
      <c r="D43" s="31" t="s">
        <v>53</v>
      </c>
      <c r="E43" s="31" t="s">
        <v>53</v>
      </c>
      <c r="F43" s="31" t="s">
        <v>53</v>
      </c>
      <c r="G43" s="31" t="s">
        <v>53</v>
      </c>
      <c r="H43" s="31" t="s">
        <v>53</v>
      </c>
      <c r="I43" s="31" t="s">
        <v>53</v>
      </c>
      <c r="J43" s="31" t="s">
        <v>53</v>
      </c>
      <c r="K43" s="31" t="s">
        <v>53</v>
      </c>
      <c r="L43" s="31" t="s">
        <v>53</v>
      </c>
      <c r="M43" s="29">
        <v>5</v>
      </c>
      <c r="N43" s="31" t="s">
        <v>53</v>
      </c>
      <c r="O43" s="31" t="s">
        <v>53</v>
      </c>
    </row>
    <row r="44" spans="1:15" ht="15" customHeight="1" outlineLevel="1">
      <c r="A44" s="33" t="s">
        <v>57</v>
      </c>
      <c r="B44" s="42" t="s">
        <v>53</v>
      </c>
      <c r="C44" s="43">
        <v>-1.7</v>
      </c>
      <c r="D44" s="42" t="s">
        <v>53</v>
      </c>
      <c r="E44" s="42" t="s">
        <v>53</v>
      </c>
      <c r="F44" s="42" t="s">
        <v>53</v>
      </c>
      <c r="G44" s="42" t="s">
        <v>53</v>
      </c>
      <c r="H44" s="42" t="s">
        <v>53</v>
      </c>
      <c r="I44" s="42" t="s">
        <v>53</v>
      </c>
      <c r="J44" s="42" t="s">
        <v>53</v>
      </c>
      <c r="K44" s="42" t="s">
        <v>53</v>
      </c>
      <c r="L44" s="42" t="s">
        <v>53</v>
      </c>
      <c r="M44" s="42" t="s">
        <v>53</v>
      </c>
      <c r="N44" s="42" t="s">
        <v>53</v>
      </c>
      <c r="O44" s="42" t="s">
        <v>53</v>
      </c>
    </row>
    <row r="45" spans="1:15" ht="15" customHeight="1" outlineLevel="2">
      <c r="A45" s="35" t="s">
        <v>52</v>
      </c>
      <c r="B45" s="31" t="s">
        <v>53</v>
      </c>
      <c r="C45" s="31" t="s">
        <v>53</v>
      </c>
      <c r="D45" s="31" t="s">
        <v>53</v>
      </c>
      <c r="E45" s="31" t="s">
        <v>53</v>
      </c>
      <c r="F45" s="31" t="s">
        <v>53</v>
      </c>
      <c r="G45" s="31" t="s">
        <v>53</v>
      </c>
      <c r="H45" s="31" t="s">
        <v>53</v>
      </c>
      <c r="I45" s="31" t="s">
        <v>53</v>
      </c>
      <c r="J45" s="31" t="s">
        <v>53</v>
      </c>
      <c r="K45" s="31" t="s">
        <v>53</v>
      </c>
      <c r="L45" s="41">
        <v>3</v>
      </c>
      <c r="M45" s="31" t="s">
        <v>53</v>
      </c>
      <c r="N45" s="31" t="s">
        <v>53</v>
      </c>
      <c r="O45" s="31" t="s">
        <v>53</v>
      </c>
    </row>
    <row r="46" spans="1:15" ht="15" customHeight="1" outlineLevel="2">
      <c r="A46" s="24" t="s">
        <v>68</v>
      </c>
      <c r="B46" s="25" t="s">
        <v>53</v>
      </c>
      <c r="C46" s="25" t="s">
        <v>53</v>
      </c>
      <c r="D46" s="25" t="s">
        <v>53</v>
      </c>
      <c r="E46" s="25" t="s">
        <v>53</v>
      </c>
      <c r="F46" s="25" t="s">
        <v>53</v>
      </c>
      <c r="G46" s="25" t="s">
        <v>53</v>
      </c>
      <c r="H46" s="25" t="s">
        <v>53</v>
      </c>
      <c r="I46" s="25" t="s">
        <v>53</v>
      </c>
      <c r="J46" s="25" t="s">
        <v>53</v>
      </c>
      <c r="K46" s="25" t="s">
        <v>53</v>
      </c>
      <c r="L46" s="46">
        <v>5</v>
      </c>
      <c r="M46" s="25" t="s">
        <v>53</v>
      </c>
      <c r="N46" s="25" t="s">
        <v>53</v>
      </c>
      <c r="O46" s="25" t="s">
        <v>53</v>
      </c>
    </row>
    <row r="47" spans="1:15" ht="15" customHeight="1" outlineLevel="1">
      <c r="A47" s="27" t="s">
        <v>71</v>
      </c>
      <c r="B47" s="36">
        <v>6523.44</v>
      </c>
      <c r="C47" s="36">
        <v>10593.3</v>
      </c>
      <c r="D47" s="36">
        <v>6738.76</v>
      </c>
      <c r="E47" s="36">
        <v>10198.200000000001</v>
      </c>
      <c r="F47" s="36">
        <v>10610</v>
      </c>
      <c r="G47" s="36">
        <v>8895.64</v>
      </c>
      <c r="H47" s="36">
        <v>11129.3</v>
      </c>
      <c r="I47" s="36">
        <v>11722.5</v>
      </c>
      <c r="J47" s="36">
        <v>12058.9</v>
      </c>
      <c r="K47" s="36">
        <v>12442.2</v>
      </c>
      <c r="L47" s="36">
        <v>7462.96</v>
      </c>
      <c r="M47" s="36">
        <v>7682.84</v>
      </c>
      <c r="N47" s="36">
        <v>8367.84</v>
      </c>
      <c r="O47" s="36">
        <v>9286.27</v>
      </c>
    </row>
    <row r="48" spans="1:15" ht="15" customHeight="1" outlineLevel="1">
      <c r="A48" s="33" t="s">
        <v>72</v>
      </c>
      <c r="B48" s="34">
        <v>7202.59</v>
      </c>
      <c r="C48" s="34">
        <v>7927.1</v>
      </c>
      <c r="D48" s="34">
        <v>7401.29</v>
      </c>
      <c r="E48" s="34">
        <v>5304.85</v>
      </c>
      <c r="F48" s="34">
        <v>4598.1899999999996</v>
      </c>
      <c r="G48" s="42" t="s">
        <v>53</v>
      </c>
      <c r="H48" s="42" t="s">
        <v>53</v>
      </c>
      <c r="I48" s="42" t="s">
        <v>53</v>
      </c>
      <c r="J48" s="42" t="s">
        <v>53</v>
      </c>
      <c r="K48" s="42" t="s">
        <v>53</v>
      </c>
      <c r="L48" s="42" t="s">
        <v>53</v>
      </c>
      <c r="M48" s="42" t="s">
        <v>53</v>
      </c>
      <c r="N48" s="42" t="s">
        <v>53</v>
      </c>
      <c r="O48" s="42" t="s">
        <v>53</v>
      </c>
    </row>
    <row r="49" spans="1:15" ht="15" customHeight="1" outlineLevel="2">
      <c r="A49" s="35" t="s">
        <v>73</v>
      </c>
      <c r="B49" s="31" t="s">
        <v>53</v>
      </c>
      <c r="C49" s="31" t="s">
        <v>53</v>
      </c>
      <c r="D49" s="31" t="s">
        <v>53</v>
      </c>
      <c r="E49" s="31" t="s">
        <v>53</v>
      </c>
      <c r="F49" s="31" t="s">
        <v>53</v>
      </c>
      <c r="G49" s="36">
        <v>5304.62</v>
      </c>
      <c r="H49" s="36">
        <v>6157.3</v>
      </c>
      <c r="I49" s="36">
        <v>6970.53</v>
      </c>
      <c r="J49" s="36">
        <v>5870.54</v>
      </c>
      <c r="K49" s="36">
        <v>6018.07</v>
      </c>
      <c r="L49" s="36">
        <v>3788.99</v>
      </c>
      <c r="M49" s="36">
        <v>3712.32</v>
      </c>
      <c r="N49" s="36">
        <v>3799.72</v>
      </c>
      <c r="O49" s="31" t="s">
        <v>53</v>
      </c>
    </row>
    <row r="50" spans="1:15" ht="15" customHeight="1" outlineLevel="2">
      <c r="A50" s="24" t="s">
        <v>74</v>
      </c>
      <c r="B50" s="25" t="s">
        <v>53</v>
      </c>
      <c r="C50" s="25" t="s">
        <v>53</v>
      </c>
      <c r="D50" s="25" t="s">
        <v>53</v>
      </c>
      <c r="E50" s="25" t="s">
        <v>53</v>
      </c>
      <c r="F50" s="25" t="s">
        <v>53</v>
      </c>
      <c r="G50" s="37">
        <v>1067.48</v>
      </c>
      <c r="H50" s="37">
        <v>1299.3</v>
      </c>
      <c r="I50" s="37">
        <v>1455.47</v>
      </c>
      <c r="J50" s="37">
        <v>1382.29</v>
      </c>
      <c r="K50" s="37">
        <v>1380.1</v>
      </c>
      <c r="L50" s="37">
        <v>986.95500000000004</v>
      </c>
      <c r="M50" s="37">
        <v>934.09</v>
      </c>
      <c r="N50" s="37">
        <v>927.53499999999997</v>
      </c>
      <c r="O50" s="25" t="s">
        <v>53</v>
      </c>
    </row>
    <row r="51" spans="1:15" ht="15" customHeight="1" outlineLevel="1">
      <c r="A51" s="22" t="s">
        <v>10</v>
      </c>
      <c r="B51" s="39">
        <v>5288.83</v>
      </c>
      <c r="C51" s="39">
        <v>5473.88</v>
      </c>
      <c r="D51" s="39">
        <v>5187.66</v>
      </c>
      <c r="E51" s="39">
        <v>5312.8</v>
      </c>
      <c r="F51" s="39">
        <v>5787</v>
      </c>
      <c r="G51" s="39">
        <v>5110.78</v>
      </c>
      <c r="H51" s="39">
        <v>6287.62</v>
      </c>
      <c r="I51" s="39">
        <v>6615.74</v>
      </c>
      <c r="J51" s="39">
        <v>6689.11</v>
      </c>
      <c r="K51" s="39">
        <v>7115.76</v>
      </c>
      <c r="L51" s="39">
        <v>4372.83</v>
      </c>
      <c r="M51" s="39">
        <v>4501.74</v>
      </c>
      <c r="N51" s="39">
        <v>5023.32</v>
      </c>
      <c r="O51" s="39">
        <v>5428.85</v>
      </c>
    </row>
    <row r="52" spans="1:15" ht="15" customHeight="1" outlineLevel="2">
      <c r="A52" s="24" t="s">
        <v>52</v>
      </c>
      <c r="B52" s="25" t="s">
        <v>53</v>
      </c>
      <c r="C52" s="25" t="s">
        <v>53</v>
      </c>
      <c r="D52" s="25" t="s">
        <v>53</v>
      </c>
      <c r="E52" s="37">
        <v>5436.12</v>
      </c>
      <c r="F52" s="25" t="s">
        <v>53</v>
      </c>
      <c r="G52" s="25" t="s">
        <v>53</v>
      </c>
      <c r="H52" s="25" t="s">
        <v>53</v>
      </c>
      <c r="I52" s="25" t="s">
        <v>53</v>
      </c>
      <c r="J52" s="25" t="s">
        <v>53</v>
      </c>
      <c r="K52" s="25" t="s">
        <v>53</v>
      </c>
      <c r="L52" s="25" t="s">
        <v>53</v>
      </c>
      <c r="M52" s="25" t="s">
        <v>53</v>
      </c>
      <c r="N52" s="25" t="s">
        <v>53</v>
      </c>
      <c r="O52" s="25" t="s">
        <v>53</v>
      </c>
    </row>
    <row r="53" spans="1:15" ht="15" customHeight="1" outlineLevel="2">
      <c r="A53" s="35" t="s">
        <v>68</v>
      </c>
      <c r="B53" s="31" t="s">
        <v>53</v>
      </c>
      <c r="C53" s="31" t="s">
        <v>53</v>
      </c>
      <c r="D53" s="31" t="s">
        <v>53</v>
      </c>
      <c r="E53" s="36">
        <v>5541.67</v>
      </c>
      <c r="F53" s="31" t="s">
        <v>53</v>
      </c>
      <c r="G53" s="31" t="s">
        <v>53</v>
      </c>
      <c r="H53" s="31" t="s">
        <v>53</v>
      </c>
      <c r="I53" s="31" t="s">
        <v>53</v>
      </c>
      <c r="J53" s="31" t="s">
        <v>53</v>
      </c>
      <c r="K53" s="31" t="s">
        <v>53</v>
      </c>
      <c r="L53" s="31" t="s">
        <v>53</v>
      </c>
      <c r="M53" s="31" t="s">
        <v>53</v>
      </c>
      <c r="N53" s="31" t="s">
        <v>53</v>
      </c>
      <c r="O53" s="31" t="s">
        <v>53</v>
      </c>
    </row>
    <row r="54" spans="1:15" ht="15" customHeight="1" outlineLevel="2">
      <c r="A54" s="47" t="s">
        <v>75</v>
      </c>
      <c r="B54" s="34">
        <v>5288.83</v>
      </c>
      <c r="C54" s="34">
        <v>5473.32</v>
      </c>
      <c r="D54" s="34">
        <v>5187.66</v>
      </c>
      <c r="E54" s="34">
        <v>5312.8</v>
      </c>
      <c r="F54" s="34">
        <v>5787</v>
      </c>
      <c r="G54" s="34">
        <v>5255.02</v>
      </c>
      <c r="H54" s="34">
        <v>6568.37</v>
      </c>
      <c r="I54" s="34">
        <v>6829.22</v>
      </c>
      <c r="J54" s="34">
        <v>6716.24</v>
      </c>
      <c r="K54" s="34">
        <v>7221.26</v>
      </c>
      <c r="L54" s="34">
        <v>4372.83</v>
      </c>
      <c r="M54" s="34">
        <v>4507.6499999999996</v>
      </c>
      <c r="N54" s="34">
        <v>5047.3599999999997</v>
      </c>
      <c r="O54" s="34">
        <v>5589.44</v>
      </c>
    </row>
    <row r="55" spans="1:15" ht="15" customHeight="1" outlineLevel="3">
      <c r="A55" s="48" t="s">
        <v>52</v>
      </c>
      <c r="B55" s="31" t="s">
        <v>53</v>
      </c>
      <c r="C55" s="31" t="s">
        <v>53</v>
      </c>
      <c r="D55" s="31" t="s">
        <v>53</v>
      </c>
      <c r="E55" s="36">
        <v>5436.12</v>
      </c>
      <c r="F55" s="31" t="s">
        <v>53</v>
      </c>
      <c r="G55" s="31" t="s">
        <v>53</v>
      </c>
      <c r="H55" s="31" t="s">
        <v>53</v>
      </c>
      <c r="I55" s="31" t="s">
        <v>53</v>
      </c>
      <c r="J55" s="31" t="s">
        <v>53</v>
      </c>
      <c r="K55" s="31" t="s">
        <v>53</v>
      </c>
      <c r="L55" s="31" t="s">
        <v>53</v>
      </c>
      <c r="M55" s="31" t="s">
        <v>53</v>
      </c>
      <c r="N55" s="31" t="s">
        <v>53</v>
      </c>
      <c r="O55" s="31" t="s">
        <v>53</v>
      </c>
    </row>
    <row r="56" spans="1:15" ht="15" customHeight="1" outlineLevel="3">
      <c r="A56" s="49" t="s">
        <v>68</v>
      </c>
      <c r="B56" s="25" t="s">
        <v>53</v>
      </c>
      <c r="C56" s="25" t="s">
        <v>53</v>
      </c>
      <c r="D56" s="25" t="s">
        <v>53</v>
      </c>
      <c r="E56" s="37">
        <v>5541.67</v>
      </c>
      <c r="F56" s="25" t="s">
        <v>53</v>
      </c>
      <c r="G56" s="25" t="s">
        <v>53</v>
      </c>
      <c r="H56" s="25" t="s">
        <v>53</v>
      </c>
      <c r="I56" s="25" t="s">
        <v>53</v>
      </c>
      <c r="J56" s="25" t="s">
        <v>53</v>
      </c>
      <c r="K56" s="25" t="s">
        <v>53</v>
      </c>
      <c r="L56" s="25" t="s">
        <v>53</v>
      </c>
      <c r="M56" s="25" t="s">
        <v>53</v>
      </c>
      <c r="N56" s="25" t="s">
        <v>53</v>
      </c>
      <c r="O56" s="25" t="s">
        <v>53</v>
      </c>
    </row>
    <row r="57" spans="1:15" ht="15" customHeight="1" outlineLevel="2">
      <c r="A57" s="35" t="s">
        <v>76</v>
      </c>
      <c r="B57" s="36">
        <v>4271.71</v>
      </c>
      <c r="C57" s="36">
        <v>4926.3599999999997</v>
      </c>
      <c r="D57" s="36">
        <v>4894.93</v>
      </c>
      <c r="E57" s="36">
        <v>5103.0600000000004</v>
      </c>
      <c r="F57" s="36">
        <v>6178.73</v>
      </c>
      <c r="G57" s="36">
        <v>5462.51</v>
      </c>
      <c r="H57" s="36">
        <v>6642.15</v>
      </c>
      <c r="I57" s="36">
        <v>6978.88</v>
      </c>
      <c r="J57" s="36">
        <v>6709.25</v>
      </c>
      <c r="K57" s="36">
        <v>7369.93</v>
      </c>
      <c r="L57" s="36">
        <v>4200.8599999999997</v>
      </c>
      <c r="M57" s="36">
        <v>4557.55</v>
      </c>
      <c r="N57" s="36">
        <v>5086.43</v>
      </c>
      <c r="O57" s="36">
        <v>5489.61</v>
      </c>
    </row>
    <row r="58" spans="1:15" ht="15" customHeight="1" outlineLevel="1">
      <c r="A58" s="22" t="s">
        <v>11</v>
      </c>
      <c r="B58" s="39">
        <v>2785.12</v>
      </c>
      <c r="C58" s="39">
        <v>3276.1</v>
      </c>
      <c r="D58" s="39">
        <v>-303.55200000000002</v>
      </c>
      <c r="E58" s="39">
        <v>2924.87</v>
      </c>
      <c r="F58" s="39">
        <v>3605</v>
      </c>
      <c r="G58" s="39">
        <v>3067.74</v>
      </c>
      <c r="H58" s="39">
        <v>4216.9799999999996</v>
      </c>
      <c r="I58" s="39">
        <v>3251.1</v>
      </c>
      <c r="J58" s="39">
        <v>4800.26</v>
      </c>
      <c r="K58" s="39">
        <v>5135.42</v>
      </c>
      <c r="L58" s="39">
        <v>2956.89</v>
      </c>
      <c r="M58" s="39">
        <v>3246.14</v>
      </c>
      <c r="N58" s="39">
        <v>3696.04</v>
      </c>
      <c r="O58" s="39">
        <v>4053.08</v>
      </c>
    </row>
    <row r="59" spans="1:15" ht="15" customHeight="1" outlineLevel="2">
      <c r="A59" s="24" t="s">
        <v>77</v>
      </c>
      <c r="B59" s="37">
        <v>2741.44</v>
      </c>
      <c r="C59" s="37">
        <v>3214.07</v>
      </c>
      <c r="D59" s="37">
        <v>3065.83</v>
      </c>
      <c r="E59" s="37">
        <v>2935.9</v>
      </c>
      <c r="F59" s="37">
        <v>3800.16</v>
      </c>
      <c r="G59" s="37">
        <v>3079.57</v>
      </c>
      <c r="H59" s="37">
        <v>4165.71</v>
      </c>
      <c r="I59" s="37">
        <v>3405.53</v>
      </c>
      <c r="J59" s="37">
        <v>4838.54</v>
      </c>
      <c r="K59" s="37">
        <v>5117.55</v>
      </c>
      <c r="L59" s="37">
        <v>2840.92</v>
      </c>
      <c r="M59" s="37">
        <v>3131.11</v>
      </c>
      <c r="N59" s="37">
        <v>3540.25</v>
      </c>
      <c r="O59" s="37">
        <v>3864.73</v>
      </c>
    </row>
    <row r="60" spans="1:15" ht="15" customHeight="1" outlineLevel="2">
      <c r="A60" s="50" t="s">
        <v>78</v>
      </c>
      <c r="B60" s="39">
        <v>2744.19</v>
      </c>
      <c r="C60" s="39">
        <v>3206.55</v>
      </c>
      <c r="D60" s="39">
        <v>3196.17</v>
      </c>
      <c r="E60" s="39">
        <v>2944.29</v>
      </c>
      <c r="F60" s="39">
        <v>3858</v>
      </c>
      <c r="G60" s="39">
        <v>3345.31</v>
      </c>
      <c r="H60" s="39">
        <v>4419.1499999999996</v>
      </c>
      <c r="I60" s="39">
        <v>4796.3999999999996</v>
      </c>
      <c r="J60" s="39">
        <v>4992.1899999999996</v>
      </c>
      <c r="K60" s="39">
        <v>5380.78</v>
      </c>
      <c r="L60" s="39">
        <v>3150.37</v>
      </c>
      <c r="M60" s="39">
        <v>3322.97</v>
      </c>
      <c r="N60" s="39">
        <v>3735.99</v>
      </c>
      <c r="O60" s="39">
        <v>4207.16</v>
      </c>
    </row>
    <row r="61" spans="1:15" ht="15" customHeight="1" outlineLevel="3">
      <c r="A61" s="49" t="s">
        <v>52</v>
      </c>
      <c r="B61" s="25" t="s">
        <v>53</v>
      </c>
      <c r="C61" s="25" t="s">
        <v>53</v>
      </c>
      <c r="D61" s="25" t="s">
        <v>53</v>
      </c>
      <c r="E61" s="25" t="s">
        <v>53</v>
      </c>
      <c r="F61" s="25" t="s">
        <v>53</v>
      </c>
      <c r="G61" s="25" t="s">
        <v>53</v>
      </c>
      <c r="H61" s="37">
        <v>4241.12</v>
      </c>
      <c r="I61" s="25" t="s">
        <v>53</v>
      </c>
      <c r="J61" s="25" t="s">
        <v>53</v>
      </c>
      <c r="K61" s="25" t="s">
        <v>53</v>
      </c>
      <c r="L61" s="37">
        <v>5295.02</v>
      </c>
      <c r="M61" s="25" t="s">
        <v>53</v>
      </c>
      <c r="N61" s="25" t="s">
        <v>53</v>
      </c>
      <c r="O61" s="25" t="s">
        <v>53</v>
      </c>
    </row>
    <row r="62" spans="1:15" ht="15" customHeight="1" outlineLevel="2">
      <c r="A62" s="35" t="s">
        <v>79</v>
      </c>
      <c r="B62" s="36">
        <v>2931.34</v>
      </c>
      <c r="C62" s="36">
        <v>3326.38</v>
      </c>
      <c r="D62" s="40">
        <v>-303.55200000000002</v>
      </c>
      <c r="E62" s="36">
        <v>2924.87</v>
      </c>
      <c r="F62" s="36">
        <v>3605</v>
      </c>
      <c r="G62" s="36">
        <v>3067.74</v>
      </c>
      <c r="H62" s="36">
        <v>4216.9799999999996</v>
      </c>
      <c r="I62" s="36">
        <v>3251.1</v>
      </c>
      <c r="J62" s="36">
        <v>4800.26</v>
      </c>
      <c r="K62" s="36">
        <v>5023.0200000000004</v>
      </c>
      <c r="L62" s="36">
        <v>2896.99</v>
      </c>
      <c r="M62" s="36">
        <v>3229.29</v>
      </c>
      <c r="N62" s="36">
        <v>3689.77</v>
      </c>
      <c r="O62" s="36">
        <v>4046</v>
      </c>
    </row>
    <row r="63" spans="1:15" ht="15" customHeight="1" outlineLevel="1">
      <c r="A63" s="30" t="s">
        <v>80</v>
      </c>
      <c r="B63" s="37">
        <v>984.471</v>
      </c>
      <c r="C63" s="37">
        <v>861.78399999999999</v>
      </c>
      <c r="D63" s="37">
        <v>829.67899999999997</v>
      </c>
      <c r="E63" s="37">
        <v>905.18899999999996</v>
      </c>
      <c r="F63" s="37">
        <v>818.25</v>
      </c>
      <c r="G63" s="37">
        <v>435.90899999999999</v>
      </c>
      <c r="H63" s="25" t="s">
        <v>53</v>
      </c>
      <c r="I63" s="37">
        <v>420.89600000000002</v>
      </c>
      <c r="J63" s="37">
        <v>489.255</v>
      </c>
      <c r="K63" s="37">
        <v>520.06700000000001</v>
      </c>
      <c r="L63" s="37">
        <v>227.84299999999999</v>
      </c>
      <c r="M63" s="37">
        <v>312.49900000000002</v>
      </c>
      <c r="N63" s="37">
        <v>363.55200000000002</v>
      </c>
      <c r="O63" s="37">
        <v>180.09200000000001</v>
      </c>
    </row>
    <row r="64" spans="1:15" ht="15" customHeight="1" outlineLevel="1">
      <c r="A64" s="22" t="s">
        <v>25</v>
      </c>
      <c r="B64" s="31" t="s">
        <v>53</v>
      </c>
      <c r="C64" s="39">
        <v>2707.76</v>
      </c>
      <c r="D64" s="39">
        <v>-1022.81</v>
      </c>
      <c r="E64" s="39">
        <v>2097.83</v>
      </c>
      <c r="F64" s="39">
        <v>3121.24</v>
      </c>
      <c r="G64" s="39">
        <v>2474.4</v>
      </c>
      <c r="H64" s="39">
        <v>3491.63</v>
      </c>
      <c r="I64" s="39">
        <v>4588.9799999999996</v>
      </c>
      <c r="J64" s="39">
        <v>4377.6000000000004</v>
      </c>
      <c r="K64" s="39">
        <v>4343.3100000000004</v>
      </c>
      <c r="L64" s="39">
        <v>1023.1</v>
      </c>
      <c r="M64" s="39">
        <v>2962.75</v>
      </c>
      <c r="N64" s="31" t="s">
        <v>53</v>
      </c>
      <c r="O64" s="31" t="s">
        <v>53</v>
      </c>
    </row>
    <row r="65" spans="1:15" ht="15" customHeight="1" outlineLevel="2">
      <c r="A65" s="24" t="s">
        <v>81</v>
      </c>
      <c r="B65" s="20" t="s">
        <v>53</v>
      </c>
      <c r="C65" s="37">
        <v>2422.77</v>
      </c>
      <c r="D65" s="37">
        <v>2228.79</v>
      </c>
      <c r="E65" s="37">
        <v>2098.27</v>
      </c>
      <c r="F65" s="37">
        <v>3132.86</v>
      </c>
      <c r="G65" s="37">
        <v>2474.4</v>
      </c>
      <c r="H65" s="37">
        <v>3491.63</v>
      </c>
      <c r="I65" s="37">
        <v>4392.66</v>
      </c>
      <c r="J65" s="37">
        <v>4420.6000000000004</v>
      </c>
      <c r="K65" s="37">
        <v>4629.0200000000004</v>
      </c>
      <c r="L65" s="37">
        <v>2547.9</v>
      </c>
      <c r="M65" s="37">
        <v>3005.53</v>
      </c>
      <c r="N65" s="20" t="s">
        <v>53</v>
      </c>
      <c r="O65" s="20" t="s">
        <v>53</v>
      </c>
    </row>
    <row r="66" spans="1:15" ht="15" customHeight="1" outlineLevel="2">
      <c r="A66" s="35" t="s">
        <v>82</v>
      </c>
      <c r="B66" s="31" t="s">
        <v>53</v>
      </c>
      <c r="C66" s="36">
        <v>2512.52</v>
      </c>
      <c r="D66" s="40">
        <v>-1021.94</v>
      </c>
      <c r="E66" s="36">
        <v>2098.27</v>
      </c>
      <c r="F66" s="36">
        <v>3132.86</v>
      </c>
      <c r="G66" s="36">
        <v>2474.4</v>
      </c>
      <c r="H66" s="36">
        <v>3491.63</v>
      </c>
      <c r="I66" s="36">
        <v>4440.6099999999997</v>
      </c>
      <c r="J66" s="36">
        <v>4420.6000000000004</v>
      </c>
      <c r="K66" s="36">
        <v>4402.22</v>
      </c>
      <c r="L66" s="36">
        <v>1023.1</v>
      </c>
      <c r="M66" s="36">
        <v>2980.11</v>
      </c>
      <c r="N66" s="31" t="s">
        <v>53</v>
      </c>
      <c r="O66" s="31" t="s">
        <v>53</v>
      </c>
    </row>
    <row r="67" spans="1:15" ht="15" customHeight="1" outlineLevel="1">
      <c r="A67" s="30" t="s">
        <v>83</v>
      </c>
      <c r="B67" s="20" t="s">
        <v>53</v>
      </c>
      <c r="C67" s="37">
        <v>784.72199999999998</v>
      </c>
      <c r="D67" s="37">
        <v>464.20499999999998</v>
      </c>
      <c r="E67" s="37">
        <v>579.32100000000003</v>
      </c>
      <c r="F67" s="37">
        <v>789.09400000000005</v>
      </c>
      <c r="G67" s="37">
        <v>651.58799999999997</v>
      </c>
      <c r="H67" s="37">
        <v>924.17</v>
      </c>
      <c r="I67" s="37">
        <v>1036.5999999999999</v>
      </c>
      <c r="J67" s="37">
        <v>1047.73</v>
      </c>
      <c r="K67" s="37">
        <v>1045.46</v>
      </c>
      <c r="L67" s="37">
        <v>519.21900000000005</v>
      </c>
      <c r="M67" s="37">
        <v>757.71900000000005</v>
      </c>
      <c r="N67" s="20" t="s">
        <v>53</v>
      </c>
      <c r="O67" s="20" t="s">
        <v>53</v>
      </c>
    </row>
    <row r="68" spans="1:15" ht="15" customHeight="1" outlineLevel="1">
      <c r="A68" s="22" t="s">
        <v>84</v>
      </c>
      <c r="B68" s="39">
        <v>-1446.13</v>
      </c>
      <c r="C68" s="39">
        <v>1608.09</v>
      </c>
      <c r="D68" s="39">
        <v>1227.2</v>
      </c>
      <c r="E68" s="39">
        <v>1385.6</v>
      </c>
      <c r="F68" s="39">
        <v>1948.75</v>
      </c>
      <c r="G68" s="39">
        <v>2018.47</v>
      </c>
      <c r="H68" s="39">
        <v>2711.67</v>
      </c>
      <c r="I68" s="39">
        <v>2468.85</v>
      </c>
      <c r="J68" s="39">
        <v>3361.33</v>
      </c>
      <c r="K68" s="39">
        <v>3394.29</v>
      </c>
      <c r="L68" s="39">
        <v>423.92</v>
      </c>
      <c r="M68" s="39">
        <v>2172.79</v>
      </c>
      <c r="N68" s="39">
        <v>2498.67</v>
      </c>
      <c r="O68" s="39">
        <v>2793.7</v>
      </c>
    </row>
    <row r="69" spans="1:15" ht="15" customHeight="1" outlineLevel="2">
      <c r="A69" s="24" t="s">
        <v>85</v>
      </c>
      <c r="B69" s="37">
        <v>720.995</v>
      </c>
      <c r="C69" s="37">
        <v>1608.09</v>
      </c>
      <c r="D69" s="37">
        <v>1227.2</v>
      </c>
      <c r="E69" s="37">
        <v>1385.6</v>
      </c>
      <c r="F69" s="37">
        <v>1948.75</v>
      </c>
      <c r="G69" s="37">
        <v>2018.47</v>
      </c>
      <c r="H69" s="37">
        <v>2711.67</v>
      </c>
      <c r="I69" s="37">
        <v>2468.85</v>
      </c>
      <c r="J69" s="37">
        <v>3361.33</v>
      </c>
      <c r="K69" s="37">
        <v>3394.29</v>
      </c>
      <c r="L69" s="37">
        <v>423.92</v>
      </c>
      <c r="M69" s="37">
        <v>2175.04</v>
      </c>
      <c r="N69" s="37">
        <v>2497.08</v>
      </c>
      <c r="O69" s="37">
        <v>2793.58</v>
      </c>
    </row>
    <row r="70" spans="1:15" ht="15" customHeight="1" outlineLevel="2">
      <c r="A70" s="35" t="s">
        <v>86</v>
      </c>
      <c r="B70" s="40">
        <v>-1445.67</v>
      </c>
      <c r="C70" s="36">
        <v>1667.18</v>
      </c>
      <c r="D70" s="40">
        <v>-1450.64</v>
      </c>
      <c r="E70" s="36">
        <v>1518.07</v>
      </c>
      <c r="F70" s="36">
        <v>2363.52</v>
      </c>
      <c r="G70" s="36">
        <v>1544.34</v>
      </c>
      <c r="H70" s="36">
        <v>2201.91</v>
      </c>
      <c r="I70" s="36">
        <v>3338.91</v>
      </c>
      <c r="J70" s="36">
        <v>3209.26</v>
      </c>
      <c r="K70" s="36">
        <v>3118.27</v>
      </c>
      <c r="L70" s="36">
        <v>14436.3</v>
      </c>
      <c r="M70" s="36">
        <v>2146.5</v>
      </c>
      <c r="N70" s="36">
        <v>2470.61</v>
      </c>
      <c r="O70" s="36">
        <v>2732.68</v>
      </c>
    </row>
    <row r="72" spans="1:15" ht="15" customHeight="1">
      <c r="A72" s="20" t="s">
        <v>87</v>
      </c>
    </row>
    <row r="73" spans="1:15" ht="15" customHeight="1">
      <c r="A73" s="21"/>
      <c r="B73" s="21" t="s">
        <v>37</v>
      </c>
      <c r="C73" s="21" t="s">
        <v>38</v>
      </c>
      <c r="D73" s="21" t="s">
        <v>39</v>
      </c>
      <c r="E73" s="21" t="s">
        <v>40</v>
      </c>
      <c r="F73" s="21" t="s">
        <v>41</v>
      </c>
      <c r="G73" s="21" t="s">
        <v>42</v>
      </c>
      <c r="H73" s="21" t="s">
        <v>43</v>
      </c>
      <c r="I73" s="21" t="s">
        <v>44</v>
      </c>
      <c r="J73" s="21" t="s">
        <v>45</v>
      </c>
      <c r="K73" s="21" t="s">
        <v>46</v>
      </c>
      <c r="L73" s="21" t="s">
        <v>47</v>
      </c>
      <c r="M73" s="21" t="s">
        <v>48</v>
      </c>
      <c r="N73" s="21" t="s">
        <v>49</v>
      </c>
      <c r="O73" s="21" t="s">
        <v>50</v>
      </c>
    </row>
    <row r="74" spans="1:15" ht="15" customHeight="1" outlineLevel="1">
      <c r="A74" s="22" t="s">
        <v>4</v>
      </c>
      <c r="B74" s="39">
        <v>12259.7</v>
      </c>
      <c r="C74" s="39">
        <v>7003.29</v>
      </c>
      <c r="D74" s="39">
        <v>10927.9</v>
      </c>
      <c r="E74" s="39">
        <v>10295.299999999999</v>
      </c>
      <c r="F74" s="39">
        <v>11483.7</v>
      </c>
      <c r="G74" s="39">
        <v>10911.8</v>
      </c>
      <c r="H74" s="39">
        <v>9430.4699999999993</v>
      </c>
      <c r="I74" s="39">
        <v>17291.599999999999</v>
      </c>
      <c r="J74" s="39">
        <v>13468.4</v>
      </c>
      <c r="K74" s="39">
        <v>13870.9</v>
      </c>
      <c r="L74" s="39">
        <v>10730.5</v>
      </c>
      <c r="M74" s="39">
        <v>10153.4</v>
      </c>
      <c r="N74" s="39">
        <v>11013.2</v>
      </c>
      <c r="O74" s="39">
        <v>10609.3</v>
      </c>
    </row>
    <row r="75" spans="1:15" ht="15" customHeight="1" outlineLevel="2">
      <c r="A75" s="24" t="s">
        <v>13</v>
      </c>
      <c r="B75" s="37">
        <v>4039.96</v>
      </c>
      <c r="C75" s="37">
        <v>4626.57</v>
      </c>
      <c r="D75" s="37">
        <v>3652.15</v>
      </c>
      <c r="E75" s="37">
        <v>2221.0300000000002</v>
      </c>
      <c r="F75" s="37">
        <v>3914.43</v>
      </c>
      <c r="G75" s="37">
        <v>4723.1099999999997</v>
      </c>
      <c r="H75" s="37">
        <v>5130.4699999999993</v>
      </c>
      <c r="I75" s="37">
        <v>9915.7900000000009</v>
      </c>
      <c r="J75" s="37">
        <v>6378.67</v>
      </c>
      <c r="K75" s="37">
        <v>5698.36</v>
      </c>
      <c r="L75" s="37">
        <v>5958.97</v>
      </c>
      <c r="M75" s="37">
        <v>4982.63</v>
      </c>
      <c r="N75" s="37">
        <v>5536.8</v>
      </c>
      <c r="O75" s="37">
        <v>6039.35</v>
      </c>
    </row>
    <row r="76" spans="1:15" ht="15" customHeight="1" outlineLevel="2">
      <c r="A76" s="35" t="s">
        <v>88</v>
      </c>
      <c r="B76" s="36">
        <v>3882.7</v>
      </c>
      <c r="C76" s="36">
        <v>3828.69</v>
      </c>
      <c r="D76" s="36">
        <v>3006.07</v>
      </c>
      <c r="E76" s="36">
        <v>2851.57</v>
      </c>
      <c r="F76" s="36">
        <v>2816.85</v>
      </c>
      <c r="G76" s="36">
        <v>2097.64</v>
      </c>
      <c r="H76" s="36">
        <v>2300</v>
      </c>
      <c r="I76" s="36">
        <v>2698.99</v>
      </c>
      <c r="J76" s="36">
        <v>2922.95</v>
      </c>
      <c r="K76" s="36">
        <v>2770.85</v>
      </c>
      <c r="L76" s="36">
        <v>1877.51</v>
      </c>
      <c r="M76" s="36">
        <v>1921.17</v>
      </c>
      <c r="N76" s="36">
        <v>2104.71</v>
      </c>
      <c r="O76" s="36">
        <v>2210.6799999999998</v>
      </c>
    </row>
    <row r="77" spans="1:15" ht="15" customHeight="1" outlineLevel="2">
      <c r="A77" s="24" t="s">
        <v>89</v>
      </c>
      <c r="B77" s="37">
        <v>2814.09</v>
      </c>
      <c r="C77" s="37">
        <v>2485.7399999999998</v>
      </c>
      <c r="D77" s="37">
        <v>2485.5700000000002</v>
      </c>
      <c r="E77" s="37">
        <v>2720.87</v>
      </c>
      <c r="F77" s="37">
        <v>2345.65</v>
      </c>
      <c r="G77" s="37">
        <v>1804.61</v>
      </c>
      <c r="H77" s="37">
        <v>2000</v>
      </c>
      <c r="I77" s="37">
        <v>2886.72</v>
      </c>
      <c r="J77" s="37">
        <v>2943.92</v>
      </c>
      <c r="K77" s="37">
        <v>3023.6</v>
      </c>
      <c r="L77" s="37">
        <v>1879.71</v>
      </c>
      <c r="M77" s="37">
        <v>1923.35</v>
      </c>
      <c r="N77" s="37">
        <v>2107.44</v>
      </c>
      <c r="O77" s="37">
        <v>2213.41</v>
      </c>
    </row>
    <row r="78" spans="1:15" ht="15" customHeight="1" outlineLevel="1">
      <c r="A78" s="22" t="s">
        <v>5</v>
      </c>
      <c r="B78" s="39">
        <v>13640</v>
      </c>
      <c r="C78" s="39">
        <v>12284</v>
      </c>
      <c r="D78" s="39">
        <v>9976.07</v>
      </c>
      <c r="E78" s="39">
        <v>9473.14</v>
      </c>
      <c r="F78" s="39">
        <v>8600.09</v>
      </c>
      <c r="G78" s="39">
        <v>7566.53</v>
      </c>
      <c r="H78" s="39">
        <v>8424.3700000000008</v>
      </c>
      <c r="I78" s="39">
        <v>10028.799999999999</v>
      </c>
      <c r="J78" s="39">
        <v>9338.32</v>
      </c>
      <c r="K78" s="39">
        <v>9477.3700000000008</v>
      </c>
      <c r="L78" s="39">
        <v>7590.57</v>
      </c>
      <c r="M78" s="39">
        <v>8000.76</v>
      </c>
      <c r="N78" s="39">
        <v>8154.08</v>
      </c>
      <c r="O78" s="39">
        <v>8765.69</v>
      </c>
    </row>
    <row r="79" spans="1:15" ht="15" customHeight="1" outlineLevel="2">
      <c r="A79" s="24" t="s">
        <v>90</v>
      </c>
      <c r="B79" s="37">
        <v>3396.22</v>
      </c>
      <c r="C79" s="37">
        <v>2864.47</v>
      </c>
      <c r="D79" s="37">
        <v>3217.39</v>
      </c>
      <c r="E79" s="37">
        <v>3329.33</v>
      </c>
      <c r="F79" s="37">
        <v>3324.73</v>
      </c>
      <c r="G79" s="37">
        <v>3049.54</v>
      </c>
      <c r="H79" s="37">
        <v>3303</v>
      </c>
      <c r="I79" s="37">
        <v>4308.8900000000003</v>
      </c>
      <c r="J79" s="37">
        <v>4547.5</v>
      </c>
      <c r="K79" s="37">
        <v>5032.82</v>
      </c>
      <c r="L79" s="37">
        <v>3752.84</v>
      </c>
      <c r="M79" s="37">
        <v>3957.41</v>
      </c>
      <c r="N79" s="37">
        <v>4398.78</v>
      </c>
      <c r="O79" s="37">
        <v>4764.3999999999996</v>
      </c>
    </row>
    <row r="80" spans="1:15" ht="15" customHeight="1" outlineLevel="1">
      <c r="A80" s="27" t="s">
        <v>91</v>
      </c>
      <c r="B80" s="31" t="s">
        <v>53</v>
      </c>
      <c r="C80" s="31" t="s">
        <v>53</v>
      </c>
      <c r="D80" s="31" t="s">
        <v>53</v>
      </c>
      <c r="E80" s="31" t="s">
        <v>53</v>
      </c>
      <c r="F80" s="31" t="s">
        <v>53</v>
      </c>
      <c r="G80" s="31" t="s">
        <v>53</v>
      </c>
      <c r="H80" s="36">
        <v>799.12699999999995</v>
      </c>
      <c r="I80" s="36">
        <v>88.822299999999998</v>
      </c>
      <c r="J80" s="36">
        <v>89.146199999999993</v>
      </c>
      <c r="K80" s="36">
        <v>307.99099999999999</v>
      </c>
      <c r="L80" s="36">
        <v>76.677999999999997</v>
      </c>
      <c r="M80" s="36">
        <v>182.44800000000001</v>
      </c>
      <c r="N80" s="36">
        <v>182.44800000000001</v>
      </c>
      <c r="O80" s="36">
        <v>288.42099999999999</v>
      </c>
    </row>
    <row r="81" spans="1:15" ht="15" customHeight="1" outlineLevel="1">
      <c r="A81" s="30" t="s">
        <v>92</v>
      </c>
      <c r="B81" s="25" t="s">
        <v>53</v>
      </c>
      <c r="C81" s="25" t="s">
        <v>53</v>
      </c>
      <c r="D81" s="25" t="s">
        <v>53</v>
      </c>
      <c r="E81" s="25" t="s">
        <v>53</v>
      </c>
      <c r="F81" s="25" t="s">
        <v>53</v>
      </c>
      <c r="G81" s="25" t="s">
        <v>53</v>
      </c>
      <c r="H81" s="25" t="s">
        <v>53</v>
      </c>
      <c r="I81" s="25" t="s">
        <v>53</v>
      </c>
      <c r="J81" s="37">
        <v>569.48699999999997</v>
      </c>
      <c r="K81" s="25" t="s">
        <v>53</v>
      </c>
      <c r="L81" s="37">
        <v>383.39</v>
      </c>
      <c r="M81" s="37">
        <v>382.37599999999998</v>
      </c>
      <c r="N81" s="37">
        <v>382.37599999999998</v>
      </c>
      <c r="O81" s="37">
        <v>382.37599999999998</v>
      </c>
    </row>
    <row r="82" spans="1:15" ht="15" customHeight="1" outlineLevel="1">
      <c r="A82" s="27" t="s">
        <v>12</v>
      </c>
      <c r="B82" s="36">
        <v>67407.5</v>
      </c>
      <c r="C82" s="36">
        <v>65424.2</v>
      </c>
      <c r="D82" s="36">
        <v>55149.4</v>
      </c>
      <c r="E82" s="36">
        <v>52717.3</v>
      </c>
      <c r="F82" s="36">
        <v>54841.599999999999</v>
      </c>
      <c r="G82" s="36">
        <v>50686.5</v>
      </c>
      <c r="H82" s="36">
        <v>52592.9</v>
      </c>
      <c r="I82" s="36">
        <v>58141.2</v>
      </c>
      <c r="J82" s="36">
        <v>55255.9</v>
      </c>
      <c r="K82" s="36">
        <v>57274</v>
      </c>
      <c r="L82" s="36">
        <v>36810.9</v>
      </c>
      <c r="M82" s="36">
        <v>38190.6</v>
      </c>
      <c r="N82" s="36">
        <v>39429.699999999997</v>
      </c>
      <c r="O82" s="36">
        <v>41152.199999999997</v>
      </c>
    </row>
    <row r="83" spans="1:15" ht="15" customHeight="1" outlineLevel="1">
      <c r="A83" s="30" t="s">
        <v>14</v>
      </c>
      <c r="B83" s="25" t="s">
        <v>53</v>
      </c>
      <c r="C83" s="25" t="s">
        <v>53</v>
      </c>
      <c r="D83" s="37">
        <v>3328.24</v>
      </c>
      <c r="E83" s="37">
        <v>2704.97</v>
      </c>
      <c r="F83" s="37">
        <v>2422.77</v>
      </c>
      <c r="G83" s="37">
        <v>1878.32</v>
      </c>
      <c r="H83" s="25" t="s">
        <v>53</v>
      </c>
      <c r="I83" s="25" t="s">
        <v>53</v>
      </c>
      <c r="J83" s="37">
        <v>1485.07</v>
      </c>
      <c r="K83" s="37">
        <v>1918.28</v>
      </c>
      <c r="L83" s="37">
        <v>1511.65</v>
      </c>
      <c r="M83" s="37">
        <v>1428.27</v>
      </c>
      <c r="N83" s="37">
        <v>1428.27</v>
      </c>
      <c r="O83" s="37">
        <v>1428.27</v>
      </c>
    </row>
    <row r="84" spans="1:15" ht="15" customHeight="1" outlineLevel="1">
      <c r="A84" s="27" t="s">
        <v>93</v>
      </c>
      <c r="B84" s="31" t="s">
        <v>53</v>
      </c>
      <c r="C84" s="31" t="s">
        <v>53</v>
      </c>
      <c r="D84" s="36">
        <v>12799.4</v>
      </c>
      <c r="E84" s="36">
        <v>11534.3</v>
      </c>
      <c r="F84" s="36">
        <v>10250.700000000001</v>
      </c>
      <c r="G84" s="36">
        <v>10656.6</v>
      </c>
      <c r="H84" s="31" t="s">
        <v>53</v>
      </c>
      <c r="I84" s="31" t="s">
        <v>53</v>
      </c>
      <c r="J84" s="36">
        <v>13282.8</v>
      </c>
      <c r="K84" s="36">
        <v>12796</v>
      </c>
      <c r="L84" s="36">
        <v>8617.51</v>
      </c>
      <c r="M84" s="36">
        <v>9214.5300000000007</v>
      </c>
      <c r="N84" s="36">
        <v>8476</v>
      </c>
      <c r="O84" s="36">
        <v>7576.87</v>
      </c>
    </row>
    <row r="85" spans="1:15" ht="15" customHeight="1" outlineLevel="1">
      <c r="A85" s="30" t="s">
        <v>15</v>
      </c>
      <c r="B85" s="25" t="s">
        <v>53</v>
      </c>
      <c r="C85" s="37">
        <v>18532.599999999999</v>
      </c>
      <c r="D85" s="37">
        <v>16472.3</v>
      </c>
      <c r="E85" s="37">
        <v>14239.3</v>
      </c>
      <c r="F85" s="37">
        <v>13440.9</v>
      </c>
      <c r="G85" s="37">
        <v>12833.8</v>
      </c>
      <c r="H85" s="25" t="s">
        <v>53</v>
      </c>
      <c r="I85" s="37">
        <v>16280.7</v>
      </c>
      <c r="J85" s="37">
        <v>14767.8</v>
      </c>
      <c r="K85" s="37">
        <v>14789.9</v>
      </c>
      <c r="L85" s="37">
        <v>10129.200000000001</v>
      </c>
      <c r="M85" s="37">
        <v>12188.3</v>
      </c>
      <c r="N85" s="37">
        <v>11089.2</v>
      </c>
      <c r="O85" s="37">
        <v>7958.61</v>
      </c>
    </row>
    <row r="86" spans="1:15" ht="15" customHeight="1" outlineLevel="1">
      <c r="A86" s="27" t="s">
        <v>94</v>
      </c>
      <c r="B86" s="36">
        <v>1302.21</v>
      </c>
      <c r="C86" s="36">
        <v>955.76300000000003</v>
      </c>
      <c r="D86" s="36">
        <v>888.57100000000003</v>
      </c>
      <c r="E86" s="36">
        <v>715.32</v>
      </c>
      <c r="F86" s="36">
        <v>605.69299999999998</v>
      </c>
      <c r="G86" s="40">
        <v>-973.37800000000004</v>
      </c>
      <c r="H86" s="36">
        <v>1033.8800000000001</v>
      </c>
      <c r="I86" s="36">
        <v>1785.53</v>
      </c>
      <c r="J86" s="36">
        <v>2230.75</v>
      </c>
      <c r="K86" s="36">
        <v>2547.0500000000002</v>
      </c>
      <c r="L86" s="36">
        <v>4301.63</v>
      </c>
      <c r="M86" s="36">
        <v>7760.05</v>
      </c>
      <c r="N86" s="36">
        <v>7760.05</v>
      </c>
      <c r="O86" s="36">
        <v>7760.05</v>
      </c>
    </row>
    <row r="87" spans="1:15" ht="15" customHeight="1" outlineLevel="1">
      <c r="A87" s="30" t="s">
        <v>95</v>
      </c>
      <c r="B87" s="37">
        <v>15164.8</v>
      </c>
      <c r="C87" s="37">
        <v>15268.7</v>
      </c>
      <c r="D87" s="37">
        <v>12617.5</v>
      </c>
      <c r="E87" s="37">
        <v>12403.3</v>
      </c>
      <c r="F87" s="37">
        <v>12263.4</v>
      </c>
      <c r="G87" s="37">
        <v>12778.3</v>
      </c>
      <c r="H87" s="37">
        <v>12815.3</v>
      </c>
      <c r="I87" s="37">
        <v>13802.8</v>
      </c>
      <c r="J87" s="37">
        <v>14251.8</v>
      </c>
      <c r="K87" s="37">
        <v>15553</v>
      </c>
      <c r="L87" s="37">
        <v>6957.98</v>
      </c>
      <c r="M87" s="37">
        <v>8706.7000000000007</v>
      </c>
      <c r="N87" s="37">
        <v>8696.5</v>
      </c>
      <c r="O87" s="37">
        <v>9190.68</v>
      </c>
    </row>
    <row r="88" spans="1:15" ht="15" customHeight="1" outlineLevel="1">
      <c r="A88" s="27" t="s">
        <v>96</v>
      </c>
      <c r="B88" s="36">
        <v>15999.8</v>
      </c>
      <c r="C88" s="36">
        <v>13906</v>
      </c>
      <c r="D88" s="36">
        <v>12437.4</v>
      </c>
      <c r="E88" s="36">
        <v>12018.3</v>
      </c>
      <c r="F88" s="36">
        <v>9513.33</v>
      </c>
      <c r="G88" s="36">
        <v>7720.78</v>
      </c>
      <c r="H88" s="36">
        <v>9559.82</v>
      </c>
      <c r="I88" s="36">
        <v>6167.09</v>
      </c>
      <c r="J88" s="36">
        <v>8388.1299999999992</v>
      </c>
      <c r="K88" s="36">
        <v>9003.1299999999992</v>
      </c>
      <c r="L88" s="36">
        <v>4170.1899999999996</v>
      </c>
      <c r="M88" s="36">
        <v>5159.4399999999996</v>
      </c>
      <c r="N88" s="36">
        <v>4394.32</v>
      </c>
      <c r="O88" s="36">
        <v>3520.03</v>
      </c>
    </row>
    <row r="89" spans="1:15" ht="15" customHeight="1" outlineLevel="1">
      <c r="A89" s="30" t="s">
        <v>97</v>
      </c>
      <c r="B89" s="25" t="s">
        <v>53</v>
      </c>
      <c r="C89" s="25" t="s">
        <v>53</v>
      </c>
      <c r="D89" s="37">
        <v>715.36</v>
      </c>
      <c r="E89" s="37">
        <v>1774.61</v>
      </c>
      <c r="F89" s="37">
        <v>1721.15</v>
      </c>
      <c r="G89" s="25" t="s">
        <v>53</v>
      </c>
      <c r="H89" s="38">
        <v>-111.15</v>
      </c>
      <c r="I89" s="37">
        <v>1276.82</v>
      </c>
      <c r="J89" s="37">
        <v>1677.15</v>
      </c>
      <c r="K89" s="37">
        <v>1049.73</v>
      </c>
      <c r="L89" s="37">
        <v>4.3815999999999997</v>
      </c>
      <c r="M89" s="38">
        <v>-391.041</v>
      </c>
      <c r="N89" s="38">
        <v>-290.99900000000002</v>
      </c>
      <c r="O89" s="37">
        <v>286.67200000000003</v>
      </c>
    </row>
    <row r="90" spans="1:15" ht="15" customHeight="1" outlineLevel="1">
      <c r="A90" s="27" t="s">
        <v>98</v>
      </c>
      <c r="B90" s="36">
        <v>4006.86</v>
      </c>
      <c r="C90" s="36">
        <v>3688.66</v>
      </c>
      <c r="D90" s="36">
        <v>2760.98</v>
      </c>
      <c r="E90" s="36">
        <v>2762.37</v>
      </c>
      <c r="F90" s="36">
        <v>2758.54</v>
      </c>
      <c r="G90" s="36">
        <v>2979.93</v>
      </c>
      <c r="H90" s="36">
        <v>2741.85</v>
      </c>
      <c r="I90" s="36">
        <v>948.78300000000002</v>
      </c>
      <c r="J90" s="36">
        <v>824.34</v>
      </c>
      <c r="K90" s="36">
        <v>763.05</v>
      </c>
      <c r="L90" s="36">
        <v>775.54300000000001</v>
      </c>
      <c r="M90" s="36">
        <v>801.71500000000003</v>
      </c>
      <c r="N90" s="36">
        <v>821.01599999999996</v>
      </c>
      <c r="O90" s="36">
        <v>829.86500000000001</v>
      </c>
    </row>
    <row r="91" spans="1:15" ht="15" customHeight="1" outlineLevel="1">
      <c r="A91" s="30" t="s">
        <v>99</v>
      </c>
      <c r="B91" s="37">
        <v>31514.9</v>
      </c>
      <c r="C91" s="37">
        <v>30299.7</v>
      </c>
      <c r="D91" s="37">
        <v>24065</v>
      </c>
      <c r="E91" s="37">
        <v>23777.8</v>
      </c>
      <c r="F91" s="37">
        <v>26866.799999999999</v>
      </c>
      <c r="G91" s="37">
        <v>26538.1</v>
      </c>
      <c r="H91" s="37">
        <v>26527.4</v>
      </c>
      <c r="I91" s="37">
        <v>28941.9</v>
      </c>
      <c r="J91" s="37">
        <v>28089.4</v>
      </c>
      <c r="K91" s="37">
        <v>29030</v>
      </c>
      <c r="L91" s="37">
        <v>16845.099999999999</v>
      </c>
      <c r="M91" s="37">
        <v>20219.099999999999</v>
      </c>
      <c r="N91" s="37">
        <v>21479.200000000001</v>
      </c>
      <c r="O91" s="37">
        <v>23553.1</v>
      </c>
    </row>
    <row r="93" spans="1:15" ht="15" customHeight="1">
      <c r="A93" s="20" t="s">
        <v>100</v>
      </c>
    </row>
    <row r="94" spans="1:15" ht="15" customHeight="1">
      <c r="A94" s="21"/>
      <c r="B94" s="21" t="s">
        <v>37</v>
      </c>
      <c r="C94" s="21" t="s">
        <v>38</v>
      </c>
      <c r="D94" s="21" t="s">
        <v>39</v>
      </c>
      <c r="E94" s="21" t="s">
        <v>40</v>
      </c>
      <c r="F94" s="21" t="s">
        <v>41</v>
      </c>
      <c r="G94" s="21" t="s">
        <v>42</v>
      </c>
      <c r="H94" s="21" t="s">
        <v>43</v>
      </c>
      <c r="I94" s="21" t="s">
        <v>44</v>
      </c>
      <c r="J94" s="21" t="s">
        <v>45</v>
      </c>
      <c r="K94" s="21" t="s">
        <v>46</v>
      </c>
      <c r="L94" s="21" t="s">
        <v>47</v>
      </c>
      <c r="M94" s="21" t="s">
        <v>48</v>
      </c>
      <c r="N94" s="21" t="s">
        <v>49</v>
      </c>
      <c r="O94" s="21" t="s">
        <v>50</v>
      </c>
    </row>
    <row r="95" spans="1:15" ht="15" customHeight="1" outlineLevel="1">
      <c r="A95" s="22" t="s">
        <v>101</v>
      </c>
      <c r="B95" s="39">
        <v>706.28099999999995</v>
      </c>
      <c r="C95" s="39">
        <v>1430.36</v>
      </c>
      <c r="D95" s="39">
        <v>1314.67</v>
      </c>
      <c r="E95" s="39">
        <v>1392.67</v>
      </c>
      <c r="F95" s="39">
        <v>2788.16</v>
      </c>
      <c r="G95" s="39">
        <v>2743.77</v>
      </c>
      <c r="H95" s="39">
        <v>3127.52</v>
      </c>
      <c r="I95" s="39">
        <v>2790.84</v>
      </c>
      <c r="J95" s="39">
        <v>3885.72</v>
      </c>
      <c r="K95" s="39">
        <v>4050.77</v>
      </c>
      <c r="L95" s="39">
        <v>2129.46</v>
      </c>
      <c r="M95" s="39">
        <v>2196.2600000000002</v>
      </c>
      <c r="N95" s="39">
        <v>2490.42</v>
      </c>
      <c r="O95" s="39">
        <v>2819.89</v>
      </c>
    </row>
    <row r="96" spans="1:15" ht="15" customHeight="1" outlineLevel="2">
      <c r="A96" s="24" t="s">
        <v>52</v>
      </c>
      <c r="B96" s="25" t="s">
        <v>53</v>
      </c>
      <c r="C96" s="25" t="s">
        <v>53</v>
      </c>
      <c r="D96" s="25" t="s">
        <v>53</v>
      </c>
      <c r="E96" s="25" t="s">
        <v>53</v>
      </c>
      <c r="F96" s="25" t="s">
        <v>53</v>
      </c>
      <c r="G96" s="37">
        <v>2575.77</v>
      </c>
      <c r="H96" s="25" t="s">
        <v>53</v>
      </c>
      <c r="I96" s="37">
        <v>3026.12</v>
      </c>
      <c r="J96" s="37">
        <v>3141.3</v>
      </c>
      <c r="K96" s="37">
        <v>3197.34</v>
      </c>
      <c r="L96" s="37">
        <v>2163.06</v>
      </c>
      <c r="M96" s="25" t="s">
        <v>53</v>
      </c>
      <c r="N96" s="25" t="s">
        <v>53</v>
      </c>
      <c r="O96" s="25" t="s">
        <v>53</v>
      </c>
    </row>
    <row r="97" spans="1:15" ht="15" customHeight="1" outlineLevel="1">
      <c r="A97" s="27" t="s">
        <v>102</v>
      </c>
      <c r="B97" s="36">
        <v>2345.0700000000002</v>
      </c>
      <c r="C97" s="36">
        <v>3096.6</v>
      </c>
      <c r="D97" s="36">
        <v>2632.8</v>
      </c>
      <c r="E97" s="36">
        <v>2638.74</v>
      </c>
      <c r="F97" s="36">
        <v>4179.66</v>
      </c>
      <c r="G97" s="36">
        <v>4533.3599999999997</v>
      </c>
      <c r="H97" s="36">
        <v>4834.05</v>
      </c>
      <c r="I97" s="36">
        <v>4604.63</v>
      </c>
      <c r="J97" s="36">
        <v>5736.82</v>
      </c>
      <c r="K97" s="36">
        <v>6038.32</v>
      </c>
      <c r="L97" s="36">
        <v>3053.97</v>
      </c>
      <c r="M97" s="36">
        <v>3693.66</v>
      </c>
      <c r="N97" s="36">
        <v>4080.11</v>
      </c>
      <c r="O97" s="36">
        <v>4656.25</v>
      </c>
    </row>
    <row r="98" spans="1:15" ht="15" customHeight="1" outlineLevel="1">
      <c r="A98" s="30" t="s">
        <v>103</v>
      </c>
      <c r="B98" s="38">
        <v>-774.79399999999998</v>
      </c>
      <c r="C98" s="37">
        <v>663.48900000000003</v>
      </c>
      <c r="D98" s="38">
        <v>-584.58600000000001</v>
      </c>
      <c r="E98" s="38">
        <v>-1223.99</v>
      </c>
      <c r="F98" s="38">
        <v>-205.97300000000001</v>
      </c>
      <c r="G98" s="38">
        <v>-1601.67</v>
      </c>
      <c r="H98" s="38">
        <v>-4513.0600000000004</v>
      </c>
      <c r="I98" s="37">
        <v>3590.78</v>
      </c>
      <c r="J98" s="38">
        <v>-3639.26</v>
      </c>
      <c r="K98" s="38">
        <v>-2151.14</v>
      </c>
      <c r="L98" s="38">
        <v>-2146.98</v>
      </c>
      <c r="M98" s="38">
        <v>-3950.49</v>
      </c>
      <c r="N98" s="38">
        <v>-1338.32</v>
      </c>
      <c r="O98" s="38">
        <v>-1411.51</v>
      </c>
    </row>
    <row r="99" spans="1:15" ht="15" customHeight="1" outlineLevel="1">
      <c r="A99" s="22" t="s">
        <v>104</v>
      </c>
      <c r="B99" s="39">
        <v>-4330.1099999999997</v>
      </c>
      <c r="C99" s="39">
        <v>-2704.71</v>
      </c>
      <c r="D99" s="39">
        <v>-2670.04</v>
      </c>
      <c r="E99" s="39">
        <v>-2793.28</v>
      </c>
      <c r="F99" s="39">
        <v>-2748.66</v>
      </c>
      <c r="G99" s="39">
        <v>-2454.38</v>
      </c>
      <c r="H99" s="39">
        <v>1067.42</v>
      </c>
      <c r="I99" s="39">
        <v>-4726.34</v>
      </c>
      <c r="J99" s="39">
        <v>-5477.77</v>
      </c>
      <c r="K99" s="39">
        <v>-4672.6099999999997</v>
      </c>
      <c r="L99" s="39">
        <v>238.797</v>
      </c>
      <c r="M99" s="39">
        <v>-2062.1</v>
      </c>
      <c r="N99" s="39">
        <v>-583.94299999999998</v>
      </c>
      <c r="O99" s="39">
        <v>-496.54199999999997</v>
      </c>
    </row>
    <row r="100" spans="1:15" ht="15" customHeight="1" outlineLevel="2">
      <c r="A100" s="24" t="s">
        <v>105</v>
      </c>
      <c r="B100" s="25" t="s">
        <v>53</v>
      </c>
      <c r="C100" s="25" t="s">
        <v>53</v>
      </c>
      <c r="D100" s="37">
        <v>423.5</v>
      </c>
      <c r="E100" s="37">
        <v>64.467100000000002</v>
      </c>
      <c r="F100" s="25" t="s">
        <v>53</v>
      </c>
      <c r="G100" s="37">
        <v>0</v>
      </c>
      <c r="H100" s="37">
        <v>0</v>
      </c>
      <c r="I100" s="37">
        <v>903.36300000000006</v>
      </c>
      <c r="J100" s="37">
        <v>1687.48</v>
      </c>
      <c r="K100" s="37">
        <v>1013.49</v>
      </c>
      <c r="L100" s="37">
        <v>83.250399999999999</v>
      </c>
      <c r="M100" s="37">
        <v>126.075</v>
      </c>
      <c r="N100" s="37">
        <v>269.411</v>
      </c>
      <c r="O100" s="37">
        <v>355.06299999999999</v>
      </c>
    </row>
    <row r="102" spans="1:15" ht="15" customHeight="1">
      <c r="A102" s="20" t="s">
        <v>106</v>
      </c>
    </row>
    <row r="103" spans="1:15" ht="15" customHeight="1">
      <c r="A103" s="21"/>
      <c r="B103" s="21" t="s">
        <v>37</v>
      </c>
      <c r="C103" s="21" t="s">
        <v>38</v>
      </c>
      <c r="D103" s="21" t="s">
        <v>39</v>
      </c>
      <c r="E103" s="21" t="s">
        <v>40</v>
      </c>
      <c r="F103" s="21" t="s">
        <v>41</v>
      </c>
      <c r="G103" s="21" t="s">
        <v>42</v>
      </c>
      <c r="H103" s="21" t="s">
        <v>43</v>
      </c>
      <c r="I103" s="21" t="s">
        <v>44</v>
      </c>
      <c r="J103" s="21" t="s">
        <v>45</v>
      </c>
      <c r="K103" s="21" t="s">
        <v>46</v>
      </c>
      <c r="L103" s="21" t="s">
        <v>47</v>
      </c>
      <c r="M103" s="21" t="s">
        <v>48</v>
      </c>
      <c r="N103" s="21" t="s">
        <v>49</v>
      </c>
      <c r="O103" s="21" t="s">
        <v>50</v>
      </c>
    </row>
    <row r="104" spans="1:15" ht="15" customHeight="1" outlineLevel="1">
      <c r="A104" s="22" t="s">
        <v>51</v>
      </c>
      <c r="B104" s="23">
        <v>0.70611800000000002</v>
      </c>
      <c r="C104" s="23">
        <v>1.2031499999999999</v>
      </c>
      <c r="D104" s="23">
        <v>0.93389999999999995</v>
      </c>
      <c r="E104" s="23">
        <v>1.06576</v>
      </c>
      <c r="F104" s="23">
        <v>1.46736</v>
      </c>
      <c r="G104" s="23">
        <v>1.35423</v>
      </c>
      <c r="H104" s="23">
        <v>1.84853</v>
      </c>
      <c r="I104" s="23">
        <v>2.8002199999999999</v>
      </c>
      <c r="J104" s="23">
        <v>2.8883000000000001</v>
      </c>
      <c r="K104" s="23">
        <v>3.08656</v>
      </c>
      <c r="L104" s="23">
        <v>0.76678000000000002</v>
      </c>
      <c r="M104" s="23">
        <v>3.9523899999999998</v>
      </c>
      <c r="N104" s="23">
        <v>4.5331700000000001</v>
      </c>
      <c r="O104" s="23">
        <v>5.0888200000000001</v>
      </c>
    </row>
    <row r="105" spans="1:15" ht="15" customHeight="1" outlineLevel="2">
      <c r="A105" s="24" t="s">
        <v>52</v>
      </c>
      <c r="B105" s="25" t="s">
        <v>53</v>
      </c>
      <c r="C105" s="25" t="s">
        <v>53</v>
      </c>
      <c r="D105" s="26">
        <v>1.3597999999999999</v>
      </c>
      <c r="E105" s="25" t="s">
        <v>53</v>
      </c>
      <c r="F105" s="25" t="s">
        <v>53</v>
      </c>
      <c r="G105" s="25" t="s">
        <v>53</v>
      </c>
      <c r="H105" s="25" t="s">
        <v>53</v>
      </c>
      <c r="I105" s="25" t="s">
        <v>53</v>
      </c>
      <c r="J105" s="25" t="s">
        <v>53</v>
      </c>
      <c r="K105" s="25" t="s">
        <v>53</v>
      </c>
      <c r="L105" s="25" t="s">
        <v>53</v>
      </c>
      <c r="M105" s="25" t="s">
        <v>53</v>
      </c>
      <c r="N105" s="25" t="s">
        <v>53</v>
      </c>
      <c r="O105" s="25" t="s">
        <v>53</v>
      </c>
    </row>
    <row r="106" spans="1:15" ht="15" customHeight="1" outlineLevel="1">
      <c r="A106" s="27" t="s">
        <v>54</v>
      </c>
      <c r="B106" s="28">
        <v>-1.4041600000000001</v>
      </c>
      <c r="C106" s="29">
        <v>1.2597799999999999</v>
      </c>
      <c r="D106" s="28">
        <v>-1.1047800000000001</v>
      </c>
      <c r="E106" s="29">
        <v>1.0210600000000001</v>
      </c>
      <c r="F106" s="29">
        <v>1.5925100000000001</v>
      </c>
      <c r="G106" s="29">
        <v>1.2086600000000001</v>
      </c>
      <c r="H106" s="29">
        <v>1.73241</v>
      </c>
      <c r="I106" s="29">
        <v>2.8155999999999999</v>
      </c>
      <c r="J106" s="29">
        <v>2.86599</v>
      </c>
      <c r="K106" s="29">
        <v>2.8374700000000002</v>
      </c>
      <c r="L106" s="29">
        <v>3.52719</v>
      </c>
      <c r="M106" s="29">
        <v>3.89378</v>
      </c>
      <c r="N106" s="29">
        <v>4.48482</v>
      </c>
      <c r="O106" s="29">
        <v>5.0491999999999999</v>
      </c>
    </row>
    <row r="107" spans="1:15" ht="15" customHeight="1" outlineLevel="1">
      <c r="A107" s="33" t="s">
        <v>55</v>
      </c>
      <c r="B107" s="51">
        <v>0.57697100000000001</v>
      </c>
      <c r="C107" s="51">
        <v>1.2096199999999999</v>
      </c>
      <c r="D107" s="51">
        <v>0.93389999999999995</v>
      </c>
      <c r="E107" s="51">
        <v>1.25857</v>
      </c>
      <c r="F107" s="51">
        <v>1.46736</v>
      </c>
      <c r="G107" s="51">
        <v>1.35423</v>
      </c>
      <c r="H107" s="51">
        <v>1.84853</v>
      </c>
      <c r="I107" s="51">
        <v>2.8002199999999999</v>
      </c>
      <c r="J107" s="51">
        <v>2.87765</v>
      </c>
      <c r="K107" s="51">
        <v>3.08656</v>
      </c>
      <c r="L107" s="51">
        <v>0.76678000000000002</v>
      </c>
      <c r="M107" s="51">
        <v>3.94868</v>
      </c>
      <c r="N107" s="51">
        <v>4.5136399999999997</v>
      </c>
      <c r="O107" s="51">
        <v>5.03226</v>
      </c>
    </row>
    <row r="108" spans="1:15" ht="15" customHeight="1" outlineLevel="2">
      <c r="A108" s="35" t="s">
        <v>52</v>
      </c>
      <c r="B108" s="31" t="s">
        <v>53</v>
      </c>
      <c r="C108" s="31" t="s">
        <v>53</v>
      </c>
      <c r="D108" s="29">
        <v>1.3597999999999999</v>
      </c>
      <c r="E108" s="31" t="s">
        <v>53</v>
      </c>
      <c r="F108" s="31" t="s">
        <v>53</v>
      </c>
      <c r="G108" s="31" t="s">
        <v>53</v>
      </c>
      <c r="H108" s="31" t="s">
        <v>53</v>
      </c>
      <c r="I108" s="31" t="s">
        <v>53</v>
      </c>
      <c r="J108" s="31" t="s">
        <v>53</v>
      </c>
      <c r="K108" s="31" t="s">
        <v>53</v>
      </c>
      <c r="L108" s="31" t="s">
        <v>53</v>
      </c>
      <c r="M108" s="31" t="s">
        <v>53</v>
      </c>
      <c r="N108" s="31" t="s">
        <v>53</v>
      </c>
      <c r="O108" s="31" t="s">
        <v>53</v>
      </c>
    </row>
    <row r="109" spans="1:15" ht="15" customHeight="1" outlineLevel="1">
      <c r="A109" s="30" t="s">
        <v>107</v>
      </c>
      <c r="B109" s="26">
        <v>0.63299000000000005</v>
      </c>
      <c r="C109" s="26">
        <v>0.86248000000000002</v>
      </c>
      <c r="D109" s="26">
        <v>0.79481199999999996</v>
      </c>
      <c r="E109" s="26">
        <v>0.81046700000000005</v>
      </c>
      <c r="F109" s="26">
        <v>0.86314999999999997</v>
      </c>
      <c r="G109" s="26">
        <v>0.88223200000000002</v>
      </c>
      <c r="H109" s="26">
        <v>1.0218</v>
      </c>
      <c r="I109" s="26">
        <v>1.2821499999999999</v>
      </c>
      <c r="J109" s="26">
        <v>1.49211</v>
      </c>
      <c r="K109" s="26">
        <v>1.67866</v>
      </c>
      <c r="L109" s="26">
        <v>1.8621799999999999</v>
      </c>
      <c r="M109" s="26">
        <v>2.00949</v>
      </c>
      <c r="N109" s="26">
        <v>2.22953</v>
      </c>
      <c r="O109" s="26">
        <v>2.4781900000000001</v>
      </c>
    </row>
    <row r="110" spans="1:15" ht="15" customHeight="1" outlineLevel="1">
      <c r="A110" s="27" t="s">
        <v>108</v>
      </c>
      <c r="B110" s="29">
        <v>0.69417899999999999</v>
      </c>
      <c r="C110" s="29">
        <v>1.3454600000000001</v>
      </c>
      <c r="D110" s="29">
        <v>1.11273</v>
      </c>
      <c r="E110" s="29">
        <v>1.11439</v>
      </c>
      <c r="F110" s="29">
        <v>2.3477700000000001</v>
      </c>
      <c r="G110" s="29">
        <v>2.28057</v>
      </c>
      <c r="H110" s="29">
        <v>2.7472400000000001</v>
      </c>
      <c r="I110" s="29">
        <v>2.3130000000000002</v>
      </c>
      <c r="J110" s="29">
        <v>3.81555</v>
      </c>
      <c r="K110" s="29">
        <v>3.87174</v>
      </c>
      <c r="L110" s="29">
        <v>3.5655299999999999</v>
      </c>
      <c r="M110" s="29">
        <v>3.9570400000000001</v>
      </c>
      <c r="N110" s="29">
        <v>4.5928800000000001</v>
      </c>
      <c r="O110" s="29">
        <v>5.1478700000000002</v>
      </c>
    </row>
    <row r="111" spans="1:15" ht="15" customHeight="1" outlineLevel="1">
      <c r="A111" s="30" t="s">
        <v>109</v>
      </c>
      <c r="B111" s="26">
        <v>2.2571500000000002</v>
      </c>
      <c r="C111" s="26">
        <v>2.3459400000000001</v>
      </c>
      <c r="D111" s="26">
        <v>2.00292</v>
      </c>
      <c r="E111" s="26">
        <v>2.0579000000000001</v>
      </c>
      <c r="F111" s="26">
        <v>3.1653199999999999</v>
      </c>
      <c r="G111" s="26">
        <v>3.3167499999999999</v>
      </c>
      <c r="H111" s="26">
        <v>3.8052199999999998</v>
      </c>
      <c r="I111" s="26">
        <v>3.91825</v>
      </c>
      <c r="J111" s="26">
        <v>5.1394700000000002</v>
      </c>
      <c r="K111" s="26">
        <v>5.4939299999999998</v>
      </c>
      <c r="L111" s="26">
        <v>5.5259</v>
      </c>
      <c r="M111" s="26">
        <v>6.4241900000000003</v>
      </c>
      <c r="N111" s="26">
        <v>7.2252700000000001</v>
      </c>
      <c r="O111" s="26">
        <v>7.8706699999999996</v>
      </c>
    </row>
    <row r="112" spans="1:15" ht="15" customHeight="1" outlineLevel="1">
      <c r="A112" s="27" t="s">
        <v>110</v>
      </c>
      <c r="B112" s="29">
        <v>21.857099999999999</v>
      </c>
      <c r="C112" s="29">
        <v>21.945799999999998</v>
      </c>
      <c r="D112" s="29">
        <v>18.320399999999999</v>
      </c>
      <c r="E112" s="29">
        <v>18.300799999999999</v>
      </c>
      <c r="F112" s="29">
        <v>20.1403</v>
      </c>
      <c r="G112" s="29">
        <v>18.783000000000001</v>
      </c>
      <c r="H112" s="29">
        <v>20.849299999999999</v>
      </c>
      <c r="I112" s="29">
        <v>24.473700000000001</v>
      </c>
      <c r="J112" s="29">
        <v>24.619900000000001</v>
      </c>
      <c r="K112" s="29">
        <v>26.766400000000001</v>
      </c>
      <c r="L112" s="29">
        <v>30.482299999999999</v>
      </c>
      <c r="M112" s="29">
        <v>35.844700000000003</v>
      </c>
      <c r="N112" s="29">
        <v>37.683999999999997</v>
      </c>
      <c r="O112" s="29">
        <v>40.536799999999999</v>
      </c>
    </row>
    <row r="113" spans="1:15" ht="15" customHeight="1" outlineLevel="1">
      <c r="A113" s="30" t="s">
        <v>111</v>
      </c>
      <c r="B113" s="26">
        <v>31.898399999999999</v>
      </c>
      <c r="C113" s="26">
        <v>24.632400000000001</v>
      </c>
      <c r="D113" s="26">
        <v>20.406700000000001</v>
      </c>
      <c r="E113" s="25" t="s">
        <v>53</v>
      </c>
      <c r="F113" s="25" t="s">
        <v>53</v>
      </c>
      <c r="G113" s="25" t="s">
        <v>53</v>
      </c>
      <c r="H113" s="25" t="s">
        <v>53</v>
      </c>
      <c r="I113" s="25" t="s">
        <v>53</v>
      </c>
      <c r="J113" s="26">
        <v>11.776999999999999</v>
      </c>
      <c r="K113" s="26">
        <v>12.454499999999999</v>
      </c>
      <c r="L113" s="25" t="s">
        <v>53</v>
      </c>
      <c r="M113" s="25" t="s">
        <v>53</v>
      </c>
      <c r="N113" s="25" t="s">
        <v>53</v>
      </c>
      <c r="O113" s="25" t="s">
        <v>53</v>
      </c>
    </row>
    <row r="115" spans="1:15" ht="15" customHeight="1">
      <c r="A115" s="20" t="s">
        <v>112</v>
      </c>
    </row>
    <row r="116" spans="1:15" ht="15" customHeight="1">
      <c r="A116" s="21"/>
      <c r="B116" s="21" t="s">
        <v>37</v>
      </c>
      <c r="C116" s="21" t="s">
        <v>38</v>
      </c>
      <c r="D116" s="21" t="s">
        <v>39</v>
      </c>
      <c r="E116" s="21" t="s">
        <v>40</v>
      </c>
      <c r="F116" s="21" t="s">
        <v>41</v>
      </c>
      <c r="G116" s="21" t="s">
        <v>42</v>
      </c>
      <c r="H116" s="21" t="s">
        <v>43</v>
      </c>
      <c r="I116" s="21" t="s">
        <v>44</v>
      </c>
      <c r="J116" s="21" t="s">
        <v>45</v>
      </c>
      <c r="K116" s="21" t="s">
        <v>46</v>
      </c>
      <c r="L116" s="21" t="s">
        <v>47</v>
      </c>
      <c r="M116" s="21" t="s">
        <v>48</v>
      </c>
      <c r="N116" s="21" t="s">
        <v>49</v>
      </c>
      <c r="O116" s="21" t="s">
        <v>50</v>
      </c>
    </row>
    <row r="117" spans="1:15" ht="15" customHeight="1" outlineLevel="1">
      <c r="A117" s="27" t="s">
        <v>113</v>
      </c>
      <c r="B117" s="41">
        <v>31.511199999999999</v>
      </c>
      <c r="C117" s="41">
        <v>20.157399999999999</v>
      </c>
      <c r="D117" s="41">
        <v>24.511500000000002</v>
      </c>
      <c r="E117" s="41">
        <v>16.142499999999998</v>
      </c>
      <c r="F117" s="41">
        <v>16.5563</v>
      </c>
      <c r="G117" s="41">
        <v>16.601400000000002</v>
      </c>
      <c r="H117" s="41">
        <v>12.2498</v>
      </c>
      <c r="I117" s="41">
        <v>8.7692300000000003</v>
      </c>
      <c r="J117" s="41">
        <v>12.1808</v>
      </c>
      <c r="K117" s="41">
        <v>15.3263</v>
      </c>
      <c r="L117" s="41">
        <v>111.086</v>
      </c>
      <c r="M117" s="41">
        <v>20.537700000000001</v>
      </c>
      <c r="N117" s="41">
        <v>17.906400000000001</v>
      </c>
      <c r="O117" s="41">
        <v>15.9512</v>
      </c>
    </row>
    <row r="118" spans="1:15" ht="15" customHeight="1" outlineLevel="1">
      <c r="A118" s="30" t="s">
        <v>114</v>
      </c>
      <c r="B118" s="46">
        <v>1.67482</v>
      </c>
      <c r="C118" s="44">
        <v>-1.74716</v>
      </c>
      <c r="D118" s="44">
        <v>-9.4123199999999994</v>
      </c>
      <c r="E118" s="44">
        <v>-2.03681</v>
      </c>
      <c r="F118" s="46">
        <v>3.3347699999999998</v>
      </c>
      <c r="G118" s="44">
        <v>-3.6158000000000001</v>
      </c>
      <c r="H118" s="46">
        <v>5.4229799999999999</v>
      </c>
      <c r="I118" s="46">
        <v>11.4346</v>
      </c>
      <c r="J118" s="44">
        <v>-3.1853899999999999</v>
      </c>
      <c r="K118" s="46">
        <v>6.9913400000000001</v>
      </c>
      <c r="L118" s="46">
        <v>10.796099999999999</v>
      </c>
      <c r="M118" s="46">
        <v>17.903500000000001</v>
      </c>
      <c r="N118" s="46">
        <v>5.1314399999999996</v>
      </c>
      <c r="O118" s="46">
        <v>7.5703699999999996</v>
      </c>
    </row>
    <row r="119" spans="1:15" ht="15" customHeight="1" outlineLevel="1">
      <c r="A119" s="27" t="s">
        <v>115</v>
      </c>
      <c r="B119" s="41">
        <v>4.8707200000000004</v>
      </c>
      <c r="C119" s="41">
        <v>3.1157599999999999</v>
      </c>
      <c r="D119" s="41">
        <v>3.78877</v>
      </c>
      <c r="E119" s="41">
        <v>2.4951599999999998</v>
      </c>
      <c r="F119" s="41">
        <v>2.5591300000000001</v>
      </c>
      <c r="G119" s="41">
        <v>2.5661</v>
      </c>
      <c r="H119" s="41">
        <v>1.8934800000000001</v>
      </c>
      <c r="I119" s="41">
        <v>1.35547</v>
      </c>
      <c r="J119" s="41">
        <v>1.8828</v>
      </c>
      <c r="K119" s="41">
        <v>2.3690099999999998</v>
      </c>
      <c r="L119" s="41">
        <v>17.1707</v>
      </c>
      <c r="M119" s="41">
        <v>3.1745399999999999</v>
      </c>
      <c r="N119" s="41">
        <v>2.7678199999999999</v>
      </c>
      <c r="O119" s="41">
        <v>2.4656099999999999</v>
      </c>
    </row>
    <row r="120" spans="1:15" ht="15" customHeight="1" outlineLevel="1">
      <c r="A120" s="30" t="s">
        <v>116</v>
      </c>
      <c r="B120" s="46">
        <v>9.4879999999999999E-3</v>
      </c>
      <c r="C120" s="46">
        <v>7.8320000000000004E-3</v>
      </c>
      <c r="D120" s="46">
        <v>8.6949999999999996E-3</v>
      </c>
      <c r="E120" s="46">
        <v>6.5199999999999998E-3</v>
      </c>
      <c r="F120" s="46">
        <v>5.8120000000000003E-3</v>
      </c>
      <c r="G120" s="46">
        <v>4.9589999999999999E-3</v>
      </c>
      <c r="H120" s="46">
        <v>4.6839999999999998E-3</v>
      </c>
      <c r="I120" s="46">
        <v>5.3330000000000001E-3</v>
      </c>
      <c r="J120" s="46">
        <v>6.1330000000000004E-3</v>
      </c>
      <c r="K120" s="46">
        <v>7.8340000000000007E-3</v>
      </c>
      <c r="L120" s="46">
        <v>2.7890999999999999E-2</v>
      </c>
      <c r="M120" s="46">
        <v>2.1975999999999999E-2</v>
      </c>
      <c r="N120" s="46">
        <v>1.9894999999999999E-2</v>
      </c>
      <c r="O120" s="46">
        <v>1.7433000000000001E-2</v>
      </c>
    </row>
    <row r="121" spans="1:15" ht="15" customHeight="1" outlineLevel="1">
      <c r="A121" s="27" t="s">
        <v>117</v>
      </c>
      <c r="B121" s="41">
        <v>1.018</v>
      </c>
      <c r="C121" s="41">
        <v>1.10511</v>
      </c>
      <c r="D121" s="41">
        <v>1.2495000000000001</v>
      </c>
      <c r="E121" s="41">
        <v>0.94006699999999999</v>
      </c>
      <c r="F121" s="41">
        <v>1.2062299999999999</v>
      </c>
      <c r="G121" s="41">
        <v>1.19693</v>
      </c>
      <c r="H121" s="41">
        <v>1.08609</v>
      </c>
      <c r="I121" s="41">
        <v>1.00335</v>
      </c>
      <c r="J121" s="41">
        <v>1.429</v>
      </c>
      <c r="K121" s="41">
        <v>1.76735</v>
      </c>
      <c r="L121" s="41">
        <v>2.7943500000000001</v>
      </c>
      <c r="M121" s="41">
        <v>2.26458</v>
      </c>
      <c r="N121" s="41">
        <v>2.1540400000000002</v>
      </c>
      <c r="O121" s="41">
        <v>2.0024500000000001</v>
      </c>
    </row>
    <row r="122" spans="1:15" ht="15" customHeight="1" outlineLevel="1">
      <c r="A122" s="30" t="s">
        <v>118</v>
      </c>
      <c r="B122" s="46">
        <v>0.69754499999999997</v>
      </c>
      <c r="C122" s="46">
        <v>0.98457799999999995</v>
      </c>
      <c r="D122" s="46">
        <v>1.12175</v>
      </c>
      <c r="E122" s="25" t="s">
        <v>53</v>
      </c>
      <c r="F122" s="25" t="s">
        <v>53</v>
      </c>
      <c r="G122" s="25" t="s">
        <v>53</v>
      </c>
      <c r="H122" s="25" t="s">
        <v>53</v>
      </c>
      <c r="I122" s="25" t="s">
        <v>53</v>
      </c>
      <c r="J122" s="46">
        <v>2.98733</v>
      </c>
      <c r="K122" s="46">
        <v>3.79826</v>
      </c>
      <c r="L122" s="25" t="s">
        <v>53</v>
      </c>
      <c r="M122" s="25" t="s">
        <v>53</v>
      </c>
      <c r="N122" s="25" t="s">
        <v>53</v>
      </c>
      <c r="O122" s="25" t="s">
        <v>53</v>
      </c>
    </row>
    <row r="123" spans="1:15" ht="15" customHeight="1" outlineLevel="1">
      <c r="A123" s="27" t="s">
        <v>119</v>
      </c>
      <c r="B123" s="41">
        <v>9.8577899999999996</v>
      </c>
      <c r="C123" s="41">
        <v>10.338100000000001</v>
      </c>
      <c r="D123" s="41">
        <v>11.428900000000001</v>
      </c>
      <c r="E123" s="41">
        <v>8.3599399999999999</v>
      </c>
      <c r="F123" s="41">
        <v>7.6750299999999996</v>
      </c>
      <c r="G123" s="41">
        <v>6.77834</v>
      </c>
      <c r="H123" s="41">
        <v>5.9508200000000002</v>
      </c>
      <c r="I123" s="41">
        <v>6.2670199999999996</v>
      </c>
      <c r="J123" s="41">
        <v>6.8454300000000003</v>
      </c>
      <c r="K123" s="41">
        <v>8.6105199999999993</v>
      </c>
      <c r="L123" s="41">
        <v>15.414400000000001</v>
      </c>
      <c r="M123" s="41">
        <v>12.6355</v>
      </c>
      <c r="N123" s="41">
        <v>11.2346</v>
      </c>
      <c r="O123" s="41">
        <v>10.3133</v>
      </c>
    </row>
    <row r="124" spans="1:15" ht="15" customHeight="1" outlineLevel="1">
      <c r="A124" s="30" t="s">
        <v>120</v>
      </c>
      <c r="B124" s="46">
        <v>32.053100000000001</v>
      </c>
      <c r="C124" s="46">
        <v>18.025400000000001</v>
      </c>
      <c r="D124" s="46">
        <v>20.572099999999999</v>
      </c>
      <c r="E124" s="46">
        <v>15.438000000000001</v>
      </c>
      <c r="F124" s="46">
        <v>10.3477</v>
      </c>
      <c r="G124" s="46">
        <v>9.8580699999999997</v>
      </c>
      <c r="H124" s="46">
        <v>8.2424999999999997</v>
      </c>
      <c r="I124" s="46">
        <v>10.616400000000001</v>
      </c>
      <c r="J124" s="46">
        <v>9.2206700000000001</v>
      </c>
      <c r="K124" s="46">
        <v>12.2182</v>
      </c>
      <c r="L124" s="46">
        <v>23.889399999999998</v>
      </c>
      <c r="M124" s="46">
        <v>20.513500000000001</v>
      </c>
      <c r="N124" s="46">
        <v>17.6736</v>
      </c>
      <c r="O124" s="46">
        <v>15.7683</v>
      </c>
    </row>
    <row r="125" spans="1:15" ht="15" customHeight="1" outlineLevel="1">
      <c r="A125" s="27" t="s">
        <v>121</v>
      </c>
      <c r="B125" s="41">
        <v>1.0354300000000001</v>
      </c>
      <c r="C125" s="41">
        <v>1.21025</v>
      </c>
      <c r="D125" s="41">
        <v>1.2763500000000001</v>
      </c>
      <c r="E125" s="41">
        <v>0.89491799999999999</v>
      </c>
      <c r="F125" s="41">
        <v>1.23776</v>
      </c>
      <c r="G125" s="41">
        <v>1.29403</v>
      </c>
      <c r="H125" s="41">
        <v>1.0675600000000001</v>
      </c>
      <c r="I125" s="41">
        <v>1.01034</v>
      </c>
      <c r="J125" s="41">
        <v>1.4156</v>
      </c>
      <c r="K125" s="41">
        <v>1.91587</v>
      </c>
      <c r="L125" s="41">
        <v>2.8033700000000001</v>
      </c>
      <c r="M125" s="41">
        <v>2.5762900000000002</v>
      </c>
      <c r="N125" s="41">
        <v>2.3841299999999999</v>
      </c>
      <c r="O125" s="41">
        <v>2.2612100000000002</v>
      </c>
    </row>
    <row r="126" spans="1:15" ht="15" customHeight="1" outlineLevel="1">
      <c r="A126" s="30" t="s">
        <v>122</v>
      </c>
      <c r="B126" s="46">
        <v>1.5391600000000001</v>
      </c>
      <c r="C126" s="46">
        <v>1.8962600000000001</v>
      </c>
      <c r="D126" s="46">
        <v>1.9355</v>
      </c>
      <c r="E126" s="46">
        <v>1.47983</v>
      </c>
      <c r="F126" s="46">
        <v>1.70347</v>
      </c>
      <c r="G126" s="46">
        <v>1.76793</v>
      </c>
      <c r="H126" s="46">
        <v>1.5344899999999999</v>
      </c>
      <c r="I126" s="46">
        <v>1.1940999999999999</v>
      </c>
      <c r="J126" s="46">
        <v>1.68089</v>
      </c>
      <c r="K126" s="46">
        <v>2.1663600000000001</v>
      </c>
      <c r="L126" s="46">
        <v>2.9937200000000002</v>
      </c>
      <c r="M126" s="46">
        <v>2.7620800000000001</v>
      </c>
      <c r="N126" s="46">
        <v>2.55606</v>
      </c>
      <c r="O126" s="46">
        <v>2.42428</v>
      </c>
    </row>
    <row r="127" spans="1:15" ht="15" customHeight="1" outlineLevel="1">
      <c r="A127" s="27" t="s">
        <v>123</v>
      </c>
      <c r="B127" s="41">
        <v>7.8906299999999998</v>
      </c>
      <c r="C127" s="41">
        <v>8.7588799999999996</v>
      </c>
      <c r="D127" s="41">
        <v>8.4428699999999992</v>
      </c>
      <c r="E127" s="41">
        <v>6.7561600000000004</v>
      </c>
      <c r="F127" s="41">
        <v>7.3980399999999999</v>
      </c>
      <c r="G127" s="41">
        <v>7.2851600000000003</v>
      </c>
      <c r="H127" s="41">
        <v>6.2749800000000002</v>
      </c>
      <c r="I127" s="41">
        <v>5.3176699999999997</v>
      </c>
      <c r="J127" s="41">
        <v>7.1181099999999997</v>
      </c>
      <c r="K127" s="41">
        <v>8.5677699999999994</v>
      </c>
      <c r="L127" s="41">
        <v>11.7919</v>
      </c>
      <c r="M127" s="41">
        <v>10.9587</v>
      </c>
      <c r="N127" s="41">
        <v>9.8208599999999997</v>
      </c>
      <c r="O127" s="41">
        <v>9.0872399999999995</v>
      </c>
    </row>
    <row r="128" spans="1:15" ht="15" customHeight="1" outlineLevel="1">
      <c r="A128" s="30" t="s">
        <v>124</v>
      </c>
      <c r="B128" s="46">
        <v>15.222799999999999</v>
      </c>
      <c r="C128" s="46">
        <v>14.917199999999999</v>
      </c>
      <c r="D128" s="46">
        <v>14.286099999999999</v>
      </c>
      <c r="E128" s="46">
        <v>12.225899999999999</v>
      </c>
      <c r="F128" s="46">
        <v>11.266</v>
      </c>
      <c r="G128" s="46">
        <v>12.090299999999999</v>
      </c>
      <c r="H128" s="46">
        <v>9.4712800000000001</v>
      </c>
      <c r="I128" s="46">
        <v>10.330399999999999</v>
      </c>
      <c r="J128" s="46">
        <v>9.8405299999999993</v>
      </c>
      <c r="K128" s="46">
        <v>11.9132</v>
      </c>
      <c r="L128" s="46">
        <v>18.150500000000001</v>
      </c>
      <c r="M128" s="46">
        <v>15.755800000000001</v>
      </c>
      <c r="N128" s="46">
        <v>13.934900000000001</v>
      </c>
      <c r="O128" s="46">
        <v>12.765000000000001</v>
      </c>
    </row>
    <row r="129" spans="1:15" ht="15" customHeight="1" outlineLevel="1">
      <c r="A129" s="27" t="s">
        <v>125</v>
      </c>
      <c r="B129" s="41">
        <v>14.984</v>
      </c>
      <c r="C129" s="41">
        <v>14.6348</v>
      </c>
      <c r="D129" s="31" t="s">
        <v>53</v>
      </c>
      <c r="E129" s="41">
        <v>12.2721</v>
      </c>
      <c r="F129" s="41">
        <v>11.8758</v>
      </c>
      <c r="G129" s="41">
        <v>12.136900000000001</v>
      </c>
      <c r="H129" s="41">
        <v>9.3561499999999995</v>
      </c>
      <c r="I129" s="41">
        <v>10.821099999999999</v>
      </c>
      <c r="J129" s="41">
        <v>9.9190000000000005</v>
      </c>
      <c r="K129" s="41">
        <v>11.871700000000001</v>
      </c>
      <c r="L129" s="41">
        <v>17.438600000000001</v>
      </c>
      <c r="M129" s="41">
        <v>15.1975</v>
      </c>
      <c r="N129" s="41">
        <v>13.3476</v>
      </c>
      <c r="O129" s="41">
        <v>12.171799999999999</v>
      </c>
    </row>
    <row r="130" spans="1:15" ht="15" customHeight="1" outlineLevel="1">
      <c r="A130" s="30" t="s">
        <v>126</v>
      </c>
      <c r="B130" s="46">
        <v>59.087299999999999</v>
      </c>
      <c r="C130" s="46">
        <v>33.5197</v>
      </c>
      <c r="D130" s="46">
        <v>33.315399999999997</v>
      </c>
      <c r="E130" s="46">
        <v>25.773700000000002</v>
      </c>
      <c r="F130" s="46">
        <v>15.3551</v>
      </c>
      <c r="G130" s="46">
        <v>13.57</v>
      </c>
      <c r="H130" s="46">
        <v>12.6153</v>
      </c>
      <c r="I130" s="46">
        <v>12.605700000000001</v>
      </c>
      <c r="J130" s="46">
        <v>12.253500000000001</v>
      </c>
      <c r="K130" s="46">
        <v>15.0505</v>
      </c>
      <c r="L130" s="46">
        <v>24.214600000000001</v>
      </c>
      <c r="M130" s="46">
        <v>22.462399999999999</v>
      </c>
      <c r="N130" s="46">
        <v>19.809200000000001</v>
      </c>
      <c r="O130" s="46">
        <v>17.494800000000001</v>
      </c>
    </row>
    <row r="131" spans="1:15" ht="15" customHeight="1" outlineLevel="1">
      <c r="A131" s="27" t="s">
        <v>127</v>
      </c>
      <c r="B131" s="41">
        <v>2.84483</v>
      </c>
      <c r="C131" s="41">
        <v>3.5562499999999999</v>
      </c>
      <c r="D131" s="41">
        <v>3.4721199999999999</v>
      </c>
      <c r="E131" s="41">
        <v>4.7109399999999999</v>
      </c>
      <c r="F131" s="41">
        <v>3.55294</v>
      </c>
      <c r="G131" s="41">
        <v>3.9241700000000002</v>
      </c>
      <c r="H131" s="41">
        <v>4.51241</v>
      </c>
      <c r="I131" s="41">
        <v>5.2213900000000004</v>
      </c>
      <c r="J131" s="41">
        <v>4.2411399999999997</v>
      </c>
      <c r="K131" s="41">
        <v>3.54854</v>
      </c>
      <c r="L131" s="41">
        <v>2.18621</v>
      </c>
      <c r="M131" s="41">
        <v>2.4755600000000002</v>
      </c>
      <c r="N131" s="41">
        <v>2.7466400000000002</v>
      </c>
      <c r="O131" s="41">
        <v>3.0529799999999998</v>
      </c>
    </row>
    <row r="132" spans="1:15" ht="15" customHeight="1" outlineLevel="1">
      <c r="A132" s="30" t="s">
        <v>128</v>
      </c>
      <c r="B132" s="46">
        <v>23.367100000000001</v>
      </c>
      <c r="C132" s="46">
        <v>21.3231</v>
      </c>
      <c r="D132" s="46">
        <v>20.7089</v>
      </c>
      <c r="E132" s="46">
        <v>21.7685</v>
      </c>
      <c r="F132" s="46">
        <v>20.8687</v>
      </c>
      <c r="G132" s="46">
        <v>19.091100000000001</v>
      </c>
      <c r="H132" s="46">
        <v>22.136800000000001</v>
      </c>
      <c r="I132" s="46">
        <v>24.079599999999999</v>
      </c>
      <c r="J132" s="46">
        <v>23.697199999999999</v>
      </c>
      <c r="K132" s="46">
        <v>23.169</v>
      </c>
      <c r="L132" s="46">
        <v>27.738</v>
      </c>
      <c r="M132" s="46">
        <v>28.8399</v>
      </c>
      <c r="N132" s="46">
        <v>31.164400000000001</v>
      </c>
      <c r="O132" s="46">
        <v>32.858499999999999</v>
      </c>
    </row>
    <row r="133" spans="1:15" ht="15" customHeight="1" outlineLevel="1">
      <c r="A133" s="27" t="s">
        <v>129</v>
      </c>
      <c r="B133" s="32">
        <v>-2.1453500000000001</v>
      </c>
      <c r="C133" s="41">
        <v>2.4579399999999998</v>
      </c>
      <c r="D133" s="41">
        <v>2.2252200000000002</v>
      </c>
      <c r="E133" s="41">
        <v>2.6283599999999998</v>
      </c>
      <c r="F133" s="41">
        <v>3.55342</v>
      </c>
      <c r="G133" s="41">
        <v>3.9822600000000001</v>
      </c>
      <c r="H133" s="41">
        <v>5.1559499999999998</v>
      </c>
      <c r="I133" s="41">
        <v>4.2463100000000003</v>
      </c>
      <c r="J133" s="41">
        <v>6.0832100000000002</v>
      </c>
      <c r="K133" s="41">
        <v>5.9264099999999997</v>
      </c>
      <c r="L133" s="41">
        <v>1.15161</v>
      </c>
      <c r="M133" s="41">
        <v>5.68933</v>
      </c>
      <c r="N133" s="41">
        <v>6.33704</v>
      </c>
      <c r="O133" s="41">
        <v>6.7887000000000004</v>
      </c>
    </row>
    <row r="134" spans="1:15" ht="15" customHeight="1" outlineLevel="1">
      <c r="A134" s="30" t="s">
        <v>130</v>
      </c>
      <c r="B134" s="46">
        <v>3.23061</v>
      </c>
      <c r="C134" s="46">
        <v>5.4823899999999997</v>
      </c>
      <c r="D134" s="46">
        <v>5.0975999999999999</v>
      </c>
      <c r="E134" s="46">
        <v>5.8235700000000001</v>
      </c>
      <c r="F134" s="46">
        <v>7.28566</v>
      </c>
      <c r="G134" s="46">
        <v>7.2098399999999998</v>
      </c>
      <c r="H134" s="46">
        <v>8.8661399999999997</v>
      </c>
      <c r="I134" s="46">
        <v>11.441700000000001</v>
      </c>
      <c r="J134" s="46">
        <v>11.7316</v>
      </c>
      <c r="K134" s="46">
        <v>11.531499999999999</v>
      </c>
      <c r="L134" s="46">
        <v>2.5154899999999998</v>
      </c>
      <c r="M134" s="46">
        <v>11.026400000000001</v>
      </c>
      <c r="N134" s="46">
        <v>12.029400000000001</v>
      </c>
      <c r="O134" s="46">
        <v>12.553599999999999</v>
      </c>
    </row>
    <row r="135" spans="1:15" ht="15" customHeight="1" outlineLevel="1">
      <c r="A135" s="27" t="s">
        <v>131</v>
      </c>
      <c r="B135" s="41">
        <v>5.3609999999999998E-2</v>
      </c>
      <c r="C135" s="41">
        <v>4.8785000000000002E-2</v>
      </c>
      <c r="D135" s="32">
        <v>-5.2589999999999998E-3</v>
      </c>
      <c r="E135" s="41">
        <v>5.3690000000000002E-2</v>
      </c>
      <c r="F135" s="41">
        <v>6.4963000000000007E-2</v>
      </c>
      <c r="G135" s="41">
        <v>5.9137000000000002E-2</v>
      </c>
      <c r="H135" s="41">
        <v>7.9594999999999999E-2</v>
      </c>
      <c r="I135" s="41">
        <v>5.7266999999999998E-2</v>
      </c>
      <c r="J135" s="41">
        <v>8.3000000000000004E-2</v>
      </c>
      <c r="K135" s="41">
        <v>9.0553999999999996E-2</v>
      </c>
      <c r="L135" s="41">
        <v>6.1808000000000002E-2</v>
      </c>
      <c r="M135" s="41">
        <v>8.6674000000000001E-2</v>
      </c>
      <c r="N135" s="41">
        <v>9.5233999999999999E-2</v>
      </c>
      <c r="O135" s="41">
        <v>0.100595</v>
      </c>
    </row>
    <row r="136" spans="1:15" ht="15" customHeight="1" outlineLevel="1">
      <c r="A136" s="30" t="s">
        <v>132</v>
      </c>
      <c r="B136" s="46">
        <v>0.114662</v>
      </c>
      <c r="C136" s="46">
        <v>0.104827</v>
      </c>
      <c r="D136" s="44">
        <v>-1.1677999999999999E-2</v>
      </c>
      <c r="E136" s="46">
        <v>0.12107</v>
      </c>
      <c r="F136" s="46">
        <v>0.13814899999999999</v>
      </c>
      <c r="G136" s="46">
        <v>0.11679</v>
      </c>
      <c r="H136" s="46">
        <v>0.154838</v>
      </c>
      <c r="I136" s="46">
        <v>0.114303</v>
      </c>
      <c r="J136" s="46">
        <v>0.16506499999999999</v>
      </c>
      <c r="K136" s="46">
        <v>0.178397</v>
      </c>
      <c r="L136" s="46">
        <v>0.12667700000000001</v>
      </c>
      <c r="M136" s="46">
        <v>0.175374</v>
      </c>
      <c r="N136" s="46">
        <v>0.17727599999999999</v>
      </c>
      <c r="O136" s="46">
        <v>0.180008</v>
      </c>
    </row>
    <row r="137" spans="1:15" ht="15" customHeight="1" outlineLevel="1">
      <c r="A137" s="27" t="s">
        <v>133</v>
      </c>
      <c r="B137" s="32">
        <v>-2.78363</v>
      </c>
      <c r="C137" s="41">
        <v>2.3946100000000001</v>
      </c>
      <c r="D137" s="41">
        <v>2.1261100000000002</v>
      </c>
      <c r="E137" s="41">
        <v>2.5434899999999998</v>
      </c>
      <c r="F137" s="41">
        <v>3.51172</v>
      </c>
      <c r="G137" s="41">
        <v>3.8909899999999999</v>
      </c>
      <c r="H137" s="41">
        <v>5.1182400000000001</v>
      </c>
      <c r="I137" s="41">
        <v>4.3487900000000002</v>
      </c>
      <c r="J137" s="41">
        <v>5.8120000000000003</v>
      </c>
      <c r="K137" s="41">
        <v>5.9852400000000001</v>
      </c>
      <c r="L137" s="41">
        <v>0.88611600000000001</v>
      </c>
      <c r="M137" s="41">
        <v>5.80152</v>
      </c>
      <c r="N137" s="41">
        <v>6.4382000000000001</v>
      </c>
      <c r="O137" s="41">
        <v>6.9338199999999999</v>
      </c>
    </row>
    <row r="138" spans="1:15" ht="15" customHeight="1" outlineLevel="1">
      <c r="A138" s="30" t="s">
        <v>134</v>
      </c>
      <c r="B138" s="44">
        <v>-5.9535999999999999E-2</v>
      </c>
      <c r="C138" s="46">
        <v>5.1455000000000001E-2</v>
      </c>
      <c r="D138" s="46">
        <v>4.7211000000000003E-2</v>
      </c>
      <c r="E138" s="46">
        <v>5.7355000000000003E-2</v>
      </c>
      <c r="F138" s="46">
        <v>7.4678999999999995E-2</v>
      </c>
      <c r="G138" s="46">
        <v>7.6843999999999996E-2</v>
      </c>
      <c r="H138" s="46">
        <v>9.9566000000000002E-2</v>
      </c>
      <c r="I138" s="46">
        <v>8.6801000000000003E-2</v>
      </c>
      <c r="J138" s="46">
        <v>0.11558499999999999</v>
      </c>
      <c r="K138" s="46">
        <v>0.117913</v>
      </c>
      <c r="L138" s="46">
        <v>1.8161E-2</v>
      </c>
      <c r="M138" s="46">
        <v>0.117386</v>
      </c>
      <c r="N138" s="46">
        <v>0.11984599999999999</v>
      </c>
      <c r="O138" s="46">
        <v>0.12407600000000001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D27"/>
  <sheetViews>
    <sheetView zoomScale="77" workbookViewId="0"/>
  </sheetViews>
  <sheetFormatPr defaultRowHeight="15.6"/>
  <cols>
    <col min="1" max="1" width="147.109375" style="8" customWidth="1"/>
    <col min="2" max="2" width="16.33203125" style="8" customWidth="1"/>
    <col min="3" max="16384" width="8.88671875" style="8"/>
  </cols>
  <sheetData>
    <row r="1" spans="1:4">
      <c r="A1" s="7" t="s">
        <v>3</v>
      </c>
      <c r="B1" s="7" t="s">
        <v>0</v>
      </c>
      <c r="C1" s="7" t="s">
        <v>6</v>
      </c>
    </row>
    <row r="2" spans="1:4">
      <c r="A2" s="3" t="s">
        <v>140</v>
      </c>
      <c r="B2" s="9"/>
      <c r="C2" s="15" t="s">
        <v>135</v>
      </c>
    </row>
    <row r="3" spans="1:4">
      <c r="A3" s="3" t="s">
        <v>141</v>
      </c>
      <c r="B3" s="9"/>
      <c r="C3" s="15" t="s">
        <v>135</v>
      </c>
    </row>
    <row r="4" spans="1:4">
      <c r="A4" s="18" t="s">
        <v>142</v>
      </c>
      <c r="B4" s="9"/>
      <c r="C4" s="15" t="s">
        <v>135</v>
      </c>
    </row>
    <row r="5" spans="1:4">
      <c r="A5" s="3" t="s">
        <v>143</v>
      </c>
      <c r="B5" s="9"/>
      <c r="C5" s="15" t="s">
        <v>135</v>
      </c>
    </row>
    <row r="6" spans="1:4">
      <c r="A6" s="3" t="s">
        <v>144</v>
      </c>
      <c r="B6" s="9"/>
      <c r="C6" s="15" t="s">
        <v>135</v>
      </c>
    </row>
    <row r="7" spans="1:4">
      <c r="A7" s="3" t="s">
        <v>145</v>
      </c>
      <c r="B7" s="9"/>
      <c r="C7" s="15" t="s">
        <v>135</v>
      </c>
    </row>
    <row r="8" spans="1:4">
      <c r="A8" s="3" t="s">
        <v>146</v>
      </c>
      <c r="B8" s="9"/>
      <c r="C8" s="15" t="s">
        <v>135</v>
      </c>
    </row>
    <row r="9" spans="1:4">
      <c r="A9" s="3" t="s">
        <v>147</v>
      </c>
      <c r="B9" s="9"/>
      <c r="C9" s="15" t="s">
        <v>135</v>
      </c>
      <c r="D9" s="8" t="s">
        <v>9</v>
      </c>
    </row>
    <row r="10" spans="1:4">
      <c r="A10" s="3" t="s">
        <v>148</v>
      </c>
      <c r="B10" s="9"/>
      <c r="C10" s="15" t="s">
        <v>135</v>
      </c>
    </row>
    <row r="11" spans="1:4">
      <c r="A11" s="3" t="s">
        <v>149</v>
      </c>
      <c r="B11" s="9"/>
      <c r="C11" s="15" t="s">
        <v>135</v>
      </c>
    </row>
    <row r="12" spans="1:4">
      <c r="A12" s="3" t="s">
        <v>150</v>
      </c>
      <c r="B12" s="9"/>
      <c r="C12" s="15" t="s">
        <v>135</v>
      </c>
    </row>
    <row r="13" spans="1:4">
      <c r="A13" s="3" t="s">
        <v>151</v>
      </c>
      <c r="B13" s="9"/>
      <c r="C13" s="15" t="s">
        <v>135</v>
      </c>
    </row>
    <row r="14" spans="1:4">
      <c r="A14" s="3" t="s">
        <v>152</v>
      </c>
      <c r="B14" s="9"/>
      <c r="C14" s="15" t="s">
        <v>135</v>
      </c>
    </row>
    <row r="15" spans="1:4">
      <c r="A15" s="3" t="s">
        <v>153</v>
      </c>
      <c r="B15" s="9"/>
      <c r="C15" s="15" t="s">
        <v>135</v>
      </c>
    </row>
    <row r="16" spans="1:4">
      <c r="A16" s="3" t="s">
        <v>154</v>
      </c>
      <c r="B16" s="9"/>
      <c r="C16" s="15" t="s">
        <v>135</v>
      </c>
    </row>
    <row r="17" spans="1:3">
      <c r="A17" s="18" t="s">
        <v>155</v>
      </c>
      <c r="B17" s="9"/>
      <c r="C17" s="15" t="s">
        <v>135</v>
      </c>
    </row>
    <row r="18" spans="1:3">
      <c r="A18" s="3" t="s">
        <v>156</v>
      </c>
      <c r="B18" s="9"/>
      <c r="C18" s="15" t="s">
        <v>135</v>
      </c>
    </row>
    <row r="19" spans="1:3">
      <c r="A19" s="3" t="s">
        <v>157</v>
      </c>
      <c r="B19" s="9"/>
      <c r="C19" s="15" t="s">
        <v>135</v>
      </c>
    </row>
    <row r="20" spans="1:3">
      <c r="A20" s="3" t="s">
        <v>158</v>
      </c>
      <c r="B20" s="9"/>
      <c r="C20" s="15" t="s">
        <v>135</v>
      </c>
    </row>
    <row r="21" spans="1:3">
      <c r="A21" s="3" t="s">
        <v>159</v>
      </c>
      <c r="B21" s="9"/>
      <c r="C21" s="15" t="s">
        <v>135</v>
      </c>
    </row>
    <row r="22" spans="1:3">
      <c r="A22" s="3" t="s">
        <v>160</v>
      </c>
      <c r="B22" s="9"/>
      <c r="C22" s="15" t="s">
        <v>135</v>
      </c>
    </row>
    <row r="23" spans="1:3">
      <c r="A23" s="3" t="s">
        <v>161</v>
      </c>
      <c r="B23" s="9"/>
      <c r="C23" s="15" t="s">
        <v>135</v>
      </c>
    </row>
    <row r="24" spans="1:3">
      <c r="A24" s="3" t="s">
        <v>162</v>
      </c>
      <c r="B24" s="9"/>
      <c r="C24" s="15" t="s">
        <v>135</v>
      </c>
    </row>
    <row r="25" spans="1:3">
      <c r="A25" s="3" t="s">
        <v>163</v>
      </c>
      <c r="B25" s="9"/>
      <c r="C25" s="15" t="s">
        <v>135</v>
      </c>
    </row>
    <row r="26" spans="1:3">
      <c r="A26" s="3" t="s">
        <v>164</v>
      </c>
      <c r="B26" s="9"/>
      <c r="C26" s="15" t="s">
        <v>135</v>
      </c>
    </row>
    <row r="27" spans="1:3">
      <c r="A27" s="3" t="s">
        <v>165</v>
      </c>
      <c r="B27" s="9"/>
      <c r="C27" s="15" t="s">
        <v>135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Assumption</vt:lpstr>
      <vt:lpstr>Estimates</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2026-05-09T00:39:49Z</dcterms:modified>
</cp:coreProperties>
</file>