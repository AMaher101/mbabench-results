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3-Statement Model\FruitJuice_3-Statement-Model - v2\starting_files\"/>
    </mc:Choice>
  </mc:AlternateContent>
  <xr:revisionPtr revIDLastSave="0" documentId="13_ncr:1_{3EA5F95D-B82A-4927-8814-5F4D19EF0904}"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s" sheetId="9" r:id="rId2"/>
    <sheet name="Sales" sheetId="5" r:id="rId3"/>
    <sheet name="Recipes" sheetId="11" r:id="rId4"/>
    <sheet name="Ingridients" sheetId="14" r:id="rId5"/>
    <sheet name="Questions" sheetId="6" r:id="rId6"/>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<sst xmlns="http://schemas.openxmlformats.org/spreadsheetml/2006/main" count="1198" uniqueCount="385">
  <si>
    <t>Machines:</t>
  </si>
  <si>
    <t>Other production input:</t>
  </si>
  <si>
    <t>Energy:</t>
  </si>
  <si>
    <t>Production Staff:</t>
  </si>
  <si>
    <t>Machine hall and office building:</t>
  </si>
  <si>
    <t>Tax:</t>
  </si>
  <si>
    <t>Equity:</t>
  </si>
  <si>
    <t>Time:</t>
  </si>
  <si>
    <t>CCC:</t>
  </si>
  <si>
    <t>Assume complete equal distribution for everything not specifically determined.</t>
  </si>
  <si>
    <t>Inflation:</t>
  </si>
  <si>
    <t>Energy</t>
  </si>
  <si>
    <t>SG&amp;A</t>
  </si>
  <si>
    <t>Accounts Receivable</t>
  </si>
  <si>
    <t>Accounts Payable</t>
  </si>
  <si>
    <t>Tax Payable</t>
  </si>
  <si>
    <t>Equity Capital</t>
  </si>
  <si>
    <t>Retained Earnings</t>
  </si>
  <si>
    <t>Paid at the 10.th of the following month.</t>
  </si>
  <si>
    <t>Answers</t>
  </si>
  <si>
    <t>Financing:</t>
  </si>
  <si>
    <t>Non-current Financial Liabilities</t>
  </si>
  <si>
    <t>Interest</t>
  </si>
  <si>
    <t>Useful life</t>
  </si>
  <si>
    <t>The company is producing in 360/7/24 in 3 shifts.</t>
  </si>
  <si>
    <t>Packaging:</t>
  </si>
  <si>
    <t>Monthly model</t>
  </si>
  <si>
    <t>annually</t>
  </si>
  <si>
    <t>Price</t>
  </si>
  <si>
    <t>Prices</t>
  </si>
  <si>
    <t>Machines</t>
  </si>
  <si>
    <t>Inventory - Raw materials</t>
  </si>
  <si>
    <t>Tax payment</t>
  </si>
  <si>
    <t>Cash and Cash Equivalents</t>
  </si>
  <si>
    <t>3-Statement Model - FruitJuice</t>
  </si>
  <si>
    <t>Product</t>
  </si>
  <si>
    <t>Apple Juice</t>
  </si>
  <si>
    <t>Orange Juice</t>
  </si>
  <si>
    <t>Grape Juice</t>
  </si>
  <si>
    <t>Banana Pulp</t>
  </si>
  <si>
    <t>Strawberry</t>
  </si>
  <si>
    <t>Pineapple</t>
  </si>
  <si>
    <t>Mango</t>
  </si>
  <si>
    <t>Passion Fruit</t>
  </si>
  <si>
    <t>Peach</t>
  </si>
  <si>
    <t>Sour Cherry</t>
  </si>
  <si>
    <t>Blackcurrant</t>
  </si>
  <si>
    <t>Lemon</t>
  </si>
  <si>
    <t>Carrot</t>
  </si>
  <si>
    <t>Melon</t>
  </si>
  <si>
    <t>Guava</t>
  </si>
  <si>
    <t>Pear</t>
  </si>
  <si>
    <t>Rhubarb</t>
  </si>
  <si>
    <t>Water</t>
  </si>
  <si>
    <t>Sugar</t>
  </si>
  <si>
    <t>CO2</t>
  </si>
  <si>
    <t>Tea Extract</t>
  </si>
  <si>
    <t>Vitamins</t>
  </si>
  <si>
    <t>Electrolytes</t>
  </si>
  <si>
    <t>Yeast</t>
  </si>
  <si>
    <t>Apple Juice Clear</t>
  </si>
  <si>
    <t>Apple Juice Cloudy</t>
  </si>
  <si>
    <t>Banana Nectar</t>
  </si>
  <si>
    <t>Strawberry Nectar</t>
  </si>
  <si>
    <t>Mango Nectar</t>
  </si>
  <si>
    <t>Passion Fruit Nectar</t>
  </si>
  <si>
    <t>Peach Nectar</t>
  </si>
  <si>
    <t>Sour Cherry Nectar</t>
  </si>
  <si>
    <t>Blackcurrant Nectar</t>
  </si>
  <si>
    <t>4 Fruit Nectar</t>
  </si>
  <si>
    <t>ACE Juice</t>
  </si>
  <si>
    <t>Multivitamin Juice</t>
  </si>
  <si>
    <t>Blood Orange Apple</t>
  </si>
  <si>
    <t>Orange Melon</t>
  </si>
  <si>
    <t>Apple Mango</t>
  </si>
  <si>
    <t>Apple Passion Fruit</t>
  </si>
  <si>
    <t>Apple Orange</t>
  </si>
  <si>
    <t>Apple Lemon</t>
  </si>
  <si>
    <t>Apple Pear</t>
  </si>
  <si>
    <t>Apple Spritzer</t>
  </si>
  <si>
    <t>Apple Blackcurrant Spritzer</t>
  </si>
  <si>
    <t>Apple Cherry Spritzer</t>
  </si>
  <si>
    <t>Rhubarb Spritzer</t>
  </si>
  <si>
    <t>Isotonic Citrus Drink</t>
  </si>
  <si>
    <t>Orange Mango Wellness</t>
  </si>
  <si>
    <t>Apple Guava Wellness</t>
  </si>
  <si>
    <t>Iced Tea Peach</t>
  </si>
  <si>
    <t>Iced Tea Lemon</t>
  </si>
  <si>
    <t>Apple Cider</t>
  </si>
  <si>
    <t>Apple Pear Cider</t>
  </si>
  <si>
    <t>Machine name</t>
  </si>
  <si>
    <t>Capacity</t>
  </si>
  <si>
    <t>Capacity unit</t>
  </si>
  <si>
    <t>Mixing plant with tanks</t>
  </si>
  <si>
    <t>Filling plant</t>
  </si>
  <si>
    <t>Packaging plant</t>
  </si>
  <si>
    <t>Raw materials:</t>
  </si>
  <si>
    <t>Assume a density of 1 kg/l for all ingridients.</t>
  </si>
  <si>
    <t>The energy consumption is based on the runtime of a machine in given in the table above.</t>
  </si>
  <si>
    <t>Initially, the founder contributed $3m as equity capital.</t>
  </si>
  <si>
    <t>Assume a year with 12 months and 30 days per months.</t>
  </si>
  <si>
    <t>DSO: 16 days</t>
  </si>
  <si>
    <t>DPO (based on all payment obligations excl. energy and wages): 15 days</t>
  </si>
  <si>
    <t>Inflation is assumed to be 2% annually.</t>
  </si>
  <si>
    <t>Sales:</t>
  </si>
  <si>
    <t>Start Date is 1/1/2026.</t>
  </si>
  <si>
    <t>A company is producing fruit juices and related beverages.</t>
  </si>
  <si>
    <t>Month\Ingridients</t>
  </si>
  <si>
    <t>January</t>
  </si>
  <si>
    <t>February</t>
  </si>
  <si>
    <t>March</t>
  </si>
  <si>
    <t>April</t>
  </si>
  <si>
    <t>May</t>
  </si>
  <si>
    <t>June</t>
  </si>
  <si>
    <t>July</t>
  </si>
  <si>
    <t>August</t>
  </si>
  <si>
    <t>September</t>
  </si>
  <si>
    <t>October</t>
  </si>
  <si>
    <t>November</t>
  </si>
  <si>
    <t>December</t>
  </si>
  <si>
    <t>To produce the juices there are three types of machines used.</t>
  </si>
  <si>
    <t>[l/h]</t>
  </si>
  <si>
    <t>[bottles/h]</t>
  </si>
  <si>
    <r>
      <t xml:space="preserve">Energy consumption </t>
    </r>
    <r>
      <rPr>
        <sz val="11"/>
        <color rgb="FF0000FF"/>
        <rFont val="Roboto"/>
      </rPr>
      <t>[kWh per hour runtime]</t>
    </r>
  </si>
  <si>
    <r>
      <t xml:space="preserve">Price </t>
    </r>
    <r>
      <rPr>
        <sz val="11"/>
        <color rgb="FF0000FF"/>
        <rFont val="Roboto"/>
      </rPr>
      <t>[$ 2026]</t>
    </r>
  </si>
  <si>
    <r>
      <t xml:space="preserve">Useful life </t>
    </r>
    <r>
      <rPr>
        <sz val="11"/>
        <color rgb="FF0000FF"/>
        <rFont val="Roboto"/>
      </rPr>
      <t>[years]</t>
    </r>
  </si>
  <si>
    <t>The raw materials/ ingridients are dependent on the softdrink - see tab Recipes.</t>
  </si>
  <si>
    <t>The material price is fluctuating - see tab Ingridients.</t>
  </si>
  <si>
    <t>Ingridients prices on the tab Ingridients are given in $ per tonne.</t>
  </si>
  <si>
    <t>[$]</t>
  </si>
  <si>
    <t>2026 price</t>
  </si>
  <si>
    <t>Energy consumption</t>
  </si>
  <si>
    <t>[kWh per hour runtime]</t>
  </si>
  <si>
    <t>[years]</t>
  </si>
  <si>
    <t>Maximum Utilization</t>
  </si>
  <si>
    <t>[%]</t>
  </si>
  <si>
    <t>All machines</t>
  </si>
  <si>
    <t>Other production input</t>
  </si>
  <si>
    <t>[$/bottle]</t>
  </si>
  <si>
    <t>Energy costs</t>
  </si>
  <si>
    <t>[$/kWh]</t>
  </si>
  <si>
    <t>Payment</t>
  </si>
  <si>
    <t>[.th of the following month]</t>
  </si>
  <si>
    <t>The 80% are also accounting for product and container changeovers and cleaning.</t>
  </si>
  <si>
    <t>The company is producing several fruit juices and related beverages.</t>
  </si>
  <si>
    <t>It is calculated with 0.05$ per bottle as other production input - like maintainance of the machines or the water used to make juice from the purchased juice concentrate.</t>
  </si>
  <si>
    <t>The company does not press its own juices; instead, it purchases juice concentrate, mixes the juices, and bottles them.</t>
  </si>
  <si>
    <t>Energy is $0.32 per kWh.</t>
  </si>
  <si>
    <t>Production staff</t>
  </si>
  <si>
    <t>Each production employee is calculated with $70k costs per year for 42 hours of work a week.</t>
  </si>
  <si>
    <t>Work hours</t>
  </si>
  <si>
    <t>Production days</t>
  </si>
  <si>
    <t>Production hours</t>
  </si>
  <si>
    <t>[per week]</t>
  </si>
  <si>
    <t>[per day]</t>
  </si>
  <si>
    <t>Production Employee costs</t>
  </si>
  <si>
    <t>You are allowed to calculate with fractions - except for machines and production employees.</t>
  </si>
  <si>
    <t>Machine handling</t>
  </si>
  <si>
    <t>Machines are replaced or purchased only as needed.</t>
  </si>
  <si>
    <t xml:space="preserve">Once purchased, the machines remain with the company. </t>
  </si>
  <si>
    <t>You cannot purchase fractions of machines.</t>
  </si>
  <si>
    <t>Information regarding the ingridients and selling prices will follow below.</t>
  </si>
  <si>
    <t>G&amp;A is assumed to be 10% of net revenue.</t>
  </si>
  <si>
    <t>The building costs were $8m.</t>
  </si>
  <si>
    <t>There are existing machines given - see Assumptions tab.</t>
  </si>
  <si>
    <t>Buildings</t>
  </si>
  <si>
    <t>Initial costs</t>
  </si>
  <si>
    <t>The buildings were build in 2020 (ready to move in 01/01/2020).</t>
  </si>
  <si>
    <t>The useful life of buildings is 50 years.</t>
  </si>
  <si>
    <t>Move in date</t>
  </si>
  <si>
    <t>Main Building</t>
  </si>
  <si>
    <t>Additional building</t>
  </si>
  <si>
    <t>costs</t>
  </si>
  <si>
    <t>All buildings</t>
  </si>
  <si>
    <t>Of net revenue</t>
  </si>
  <si>
    <t>Marketing expenses</t>
  </si>
  <si>
    <t>of net revenue</t>
  </si>
  <si>
    <t>In 2026</t>
  </si>
  <si>
    <t>Marketing expenses increase</t>
  </si>
  <si>
    <t>per year</t>
  </si>
  <si>
    <t>(of net revenue)</t>
  </si>
  <si>
    <t>Tax</t>
  </si>
  <si>
    <t>Tax rate</t>
  </si>
  <si>
    <t>June following year</t>
  </si>
  <si>
    <t>Beverages:</t>
  </si>
  <si>
    <t>All beverages are packaged in glass bottles that are part of a multi-use system.</t>
  </si>
  <si>
    <t>Equity</t>
  </si>
  <si>
    <t>Closing Balance 2025 is given in the Assumptions tab.</t>
  </si>
  <si>
    <t>Model Information:</t>
  </si>
  <si>
    <t>Task:</t>
  </si>
  <si>
    <t>Profit distribution part</t>
  </si>
  <si>
    <t>Financing</t>
  </si>
  <si>
    <t>Amount</t>
  </si>
  <si>
    <t>Annuity Loan</t>
  </si>
  <si>
    <t>Term</t>
  </si>
  <si>
    <t>CCC (Cash Conversion Cycle):</t>
  </si>
  <si>
    <t>DSO</t>
  </si>
  <si>
    <t>[days]</t>
  </si>
  <si>
    <t>DIO</t>
  </si>
  <si>
    <t>DPO</t>
  </si>
  <si>
    <t>Selling prices are only increased by 1% per year.</t>
  </si>
  <si>
    <t>Selling Prices</t>
  </si>
  <si>
    <t>Sales prices:</t>
  </si>
  <si>
    <t>Sales price [2026]</t>
  </si>
  <si>
    <t>Apple Juice Clear - 0.5 l</t>
  </si>
  <si>
    <t>Apple Juice Clear - 1.0 l</t>
  </si>
  <si>
    <t>Apple Juice Cloudy - 0.5 l</t>
  </si>
  <si>
    <t>Apple Juice Cloudy - 0.75 l</t>
  </si>
  <si>
    <t>Apple Juice Cloudy - 1.0 l</t>
  </si>
  <si>
    <t>Orange Juice - 0.5 l</t>
  </si>
  <si>
    <t>Orange Juice - 1.0 l</t>
  </si>
  <si>
    <t>Grape Juice - 0.5 l</t>
  </si>
  <si>
    <t>Grape Juice - 1.0 l</t>
  </si>
  <si>
    <t>Banana Nectar - 0.75 l</t>
  </si>
  <si>
    <t>Banana Nectar - 1.0 l</t>
  </si>
  <si>
    <t>Strawberry Nectar - 0.75 l</t>
  </si>
  <si>
    <t>Strawberry Nectar - 1.0 l</t>
  </si>
  <si>
    <t>Mango Nectar - 0.75 l</t>
  </si>
  <si>
    <t>Mango Nectar - 1.0 l</t>
  </si>
  <si>
    <t>Passion Fruit Nectar - 0.75 l</t>
  </si>
  <si>
    <t>Passion Fruit Nectar - 1.0 l</t>
  </si>
  <si>
    <t>Peach Nectar - 0.75 l</t>
  </si>
  <si>
    <t>Peach Nectar - 1.0 l</t>
  </si>
  <si>
    <t>Sour Cherry Nectar - 0.75 l</t>
  </si>
  <si>
    <t>Sour Cherry Nectar - 1.0 l</t>
  </si>
  <si>
    <t>Blackcurrant Nectar - 0.75 l</t>
  </si>
  <si>
    <t>Blackcurrant Nectar - 1.0 l</t>
  </si>
  <si>
    <t>4 Fruit Nectar - 0.75 l</t>
  </si>
  <si>
    <t>4 Fruit Nectar - 1.0 l</t>
  </si>
  <si>
    <t>ACE Juice - 0.5 l</t>
  </si>
  <si>
    <t>ACE Juice - 1.0 l</t>
  </si>
  <si>
    <t>Multivitamin Juice - 0.5 l</t>
  </si>
  <si>
    <t>Multivitamin Juice - 1.0 l</t>
  </si>
  <si>
    <t>Blood Orange Apple - 0.5 l</t>
  </si>
  <si>
    <t>Blood Orange Apple - 1.0 l</t>
  </si>
  <si>
    <t>Orange Melon - 0.5 l</t>
  </si>
  <si>
    <t>Orange Melon - 1.0 l</t>
  </si>
  <si>
    <t>Apple Mango - 0.5 l</t>
  </si>
  <si>
    <t>Apple Mango - 1.0 l</t>
  </si>
  <si>
    <t>Apple Passion Fruit - 0.5 l</t>
  </si>
  <si>
    <t>Apple Passion Fruit - 1.0 l</t>
  </si>
  <si>
    <t>Apple Orange - 0.5 l</t>
  </si>
  <si>
    <t>Apple Orange - 1.0 l</t>
  </si>
  <si>
    <t>Apple Lemon - 0.5 l</t>
  </si>
  <si>
    <t>Apple Lemon - 1.0 l</t>
  </si>
  <si>
    <t>Apple Pear - 0.5 l</t>
  </si>
  <si>
    <t>Apple Pear - 1.0 l</t>
  </si>
  <si>
    <t>Apple Spritzer - 0.33 l</t>
  </si>
  <si>
    <t>Apple Spritzer - 0.5 l</t>
  </si>
  <si>
    <t>Apple Blackcurrant Spritzer - 0.33 l</t>
  </si>
  <si>
    <t>Apple Blackcurrant Spritzer - 0.5 l</t>
  </si>
  <si>
    <t>Apple Cherry Spritzer - 0.33 l</t>
  </si>
  <si>
    <t>Apple Cherry Spritzer - 0.5 l</t>
  </si>
  <si>
    <t>Rhubarb Spritzer - 0.33 l</t>
  </si>
  <si>
    <t>Rhubarb Spritzer - 0.5 l</t>
  </si>
  <si>
    <t>Isotonic Citrus Drink - 0.5 l</t>
  </si>
  <si>
    <t>Isotonic Citrus Drink - 0.75 l</t>
  </si>
  <si>
    <t>Orange Mango Wellness - 0.5 l</t>
  </si>
  <si>
    <t>Orange Mango Wellness - 0.75 l</t>
  </si>
  <si>
    <t>Apple Guava Wellness - 0.5 l</t>
  </si>
  <si>
    <t>Apple Guava Wellness - 0.75 l</t>
  </si>
  <si>
    <t>Iced Tea Peach - 0.33 l</t>
  </si>
  <si>
    <t>Iced Tea Peach - 0.5 l</t>
  </si>
  <si>
    <t>Iced Tea Peach - 1.0 l</t>
  </si>
  <si>
    <t>Iced Tea Lemon - 0.33 l</t>
  </si>
  <si>
    <t>Iced Tea Lemon - 0.5 l</t>
  </si>
  <si>
    <t>Iced Tea Lemon - 1.0 l</t>
  </si>
  <si>
    <t>Apple Cider - 0.33 l</t>
  </si>
  <si>
    <t>Apple Cider - 0.5 l</t>
  </si>
  <si>
    <t>Apple Cider - 0.75 l</t>
  </si>
  <si>
    <t>Apple Pear Cider - 0.33 l</t>
  </si>
  <si>
    <t>Apple Pear Cider - 0.5 l</t>
  </si>
  <si>
    <t>Apple Pear Cider - 0.75 l</t>
  </si>
  <si>
    <t>Products &amp; Sales prices:</t>
  </si>
  <si>
    <t>Package Size</t>
  </si>
  <si>
    <t>[l]</t>
  </si>
  <si>
    <t>Sales price</t>
  </si>
  <si>
    <t>Inventory - Multi-use packaging</t>
  </si>
  <si>
    <t>But in order to produce and sell the company has to stockpile two months' worth of the projected number of bottles.</t>
  </si>
  <si>
    <t>Each bottle stocked costs a $0.10 deposit.</t>
  </si>
  <si>
    <t>System fee</t>
  </si>
  <si>
    <t>[$ per bottle usage]</t>
  </si>
  <si>
    <t>Bottle deposit</t>
  </si>
  <si>
    <t>[$ per bottle stockpiled]</t>
  </si>
  <si>
    <t>Stockpile</t>
  </si>
  <si>
    <t>Finished goods are directly sold as filled/sold on order.</t>
  </si>
  <si>
    <t>[bottles]</t>
  </si>
  <si>
    <t>Sales growth factors:</t>
  </si>
  <si>
    <t>0.5 l</t>
  </si>
  <si>
    <t>0.75 l</t>
  </si>
  <si>
    <t>Beverage\Ingridients</t>
  </si>
  <si>
    <t>Model:</t>
  </si>
  <si>
    <t>Model Start</t>
  </si>
  <si>
    <t>Closing Balance 2025:</t>
  </si>
  <si>
    <t>End Sheet</t>
  </si>
  <si>
    <t>YoY growth</t>
  </si>
  <si>
    <t>For the following years, there is a growth factor for each beverage and each package size given - the general sales growth (%YoY) of the respective product is done by multiplying both factors.</t>
  </si>
  <si>
    <t>Number of 2025 bottles sold is given - tab Sales.</t>
  </si>
  <si>
    <t>Inflation is applying every January - no mid-year inflation.</t>
  </si>
  <si>
    <t>Beverage growth = (1+YoY growth)^(1/12) - 1</t>
  </si>
  <si>
    <t>Packaging Size growth = (1+YoY growth)^(1/12) - 1</t>
  </si>
  <si>
    <t>0.33 l</t>
  </si>
  <si>
    <t>SG&amp;A (Selling, General &amp; Administrative Expenses):</t>
  </si>
  <si>
    <t>FP&amp;A Task</t>
  </si>
  <si>
    <t>Days per Month</t>
  </si>
  <si>
    <t>Months per Year</t>
  </si>
  <si>
    <t>Wages, the machine purchase prices, amounts related to packaging and the other production input are assumed to be inflation dependent.</t>
  </si>
  <si>
    <t>1.0 l</t>
  </si>
  <si>
    <t>Month number</t>
  </si>
  <si>
    <t>Material prices are not subject to inflation.</t>
  </si>
  <si>
    <t>DIO (only based on the raw material forecast): 20 days</t>
  </si>
  <si>
    <t>Next 10 years</t>
  </si>
  <si>
    <t>Model Length</t>
  </si>
  <si>
    <t>New machines are purchased at the first of a month and are immediatelly ready to use.</t>
  </si>
  <si>
    <t>[per employee]</t>
  </si>
  <si>
    <t>Each employee can handle up to 5 machines simultaneously (independent of the machine type).</t>
  </si>
  <si>
    <t>Original Price</t>
  </si>
  <si>
    <t>Activation date</t>
  </si>
  <si>
    <t>Machinery</t>
  </si>
  <si>
    <t>Starting date</t>
  </si>
  <si>
    <t>for the previous year</t>
  </si>
  <si>
    <t>Payments</t>
  </si>
  <si>
    <t>monthly</t>
  </si>
  <si>
    <t>The loan has a term of 20 years and is an annuity loan paid monthly and started 01/01/2019.</t>
  </si>
  <si>
    <t>yearly, linear, nominal rate</t>
  </si>
  <si>
    <t>Profit distribution momth</t>
  </si>
  <si>
    <t>March following year</t>
  </si>
  <si>
    <t>Payouts of dividends are done in March (following year).</t>
  </si>
  <si>
    <t>Cash:</t>
  </si>
  <si>
    <t>Negative cash balances accrue interest at an effective annual rate of 25%, while positive cash balances exceeding $100,000 earn interest at an effective annual rate of 2.5%.</t>
  </si>
  <si>
    <t>Cash</t>
  </si>
  <si>
    <t>Negative Balance</t>
  </si>
  <si>
    <t>EAR</t>
  </si>
  <si>
    <t>Positive Balance</t>
  </si>
  <si>
    <t>EAR, only on the amount above treshold</t>
  </si>
  <si>
    <t>Treshold</t>
  </si>
  <si>
    <t>Assume that there is no payout for 2025.</t>
  </si>
  <si>
    <t>95% of profits are distributed.</t>
  </si>
  <si>
    <t>[months of projected bottle sales]</t>
  </si>
  <si>
    <t>Questions (please round your answers to two decimal places)</t>
  </si>
  <si>
    <t>Usage for production</t>
  </si>
  <si>
    <t>Usage for marketing</t>
  </si>
  <si>
    <t>Usage for administration</t>
  </si>
  <si>
    <t>The building is used 80% for production purposes, 15% for administration and 5% for marketing.</t>
  </si>
  <si>
    <t>What is the amount for/of G&amp;A in 7/2030?</t>
  </si>
  <si>
    <t>What is the amount for/of Production wages in 11/2030?</t>
  </si>
  <si>
    <t>What is the amount for/of Depreciation (production related) in 12/2028?</t>
  </si>
  <si>
    <t>What is the amount for/of Inventory - Raw materials in 7/2026?</t>
  </si>
  <si>
    <t>What is the amount for/of Buildings in 12/2034?</t>
  </si>
  <si>
    <t>What is the amount for/of Non-current Financial Liabilities in 10/2028?</t>
  </si>
  <si>
    <t>What is the amount for/of Energy in 5/2031?</t>
  </si>
  <si>
    <t>What is the amount for/of Energy in 10/2034?</t>
  </si>
  <si>
    <t>What is the amount for/of Accounts Receivable in 4/2034?</t>
  </si>
  <si>
    <t>What is the amount for/of Profit distributions in 7/2026?</t>
  </si>
  <si>
    <t>What is the amount for/of Net Cashflow in 7/2031?</t>
  </si>
  <si>
    <t>What is the amount for/of Accounts Payable in 11/2033?</t>
  </si>
  <si>
    <t>What is the amount for/of Inventory - Multi-use packaging in 2/2030?</t>
  </si>
  <si>
    <t>What is the amount for/of Accounts Receivable in 2/2029?</t>
  </si>
  <si>
    <t>What is the amount for/of Other production costs in 4/2031?</t>
  </si>
  <si>
    <t>What is the amount for/of Raw material in 2/2026?</t>
  </si>
  <si>
    <t>What is the amount for/of Non-current Financial Liabilities in 11/2033?</t>
  </si>
  <si>
    <t>What is the amount for/of Retained Earnings in 5/2026?</t>
  </si>
  <si>
    <t>What is the amount for/of Inventory - Raw materials in 1/2033?</t>
  </si>
  <si>
    <t>What is the amount for/of Opening Cash in 10/2032?</t>
  </si>
  <si>
    <t>What is the amount for/of Raw material in 11/2034?</t>
  </si>
  <si>
    <t>What is the amount for/of Production wages in 7/2034?</t>
  </si>
  <si>
    <t>What is the amount for/of Accounts Payable in 6/2026?</t>
  </si>
  <si>
    <t>What is the amount for/of G&amp;A in 10/2027?</t>
  </si>
  <si>
    <t>What is the amount for/of Taxes in 8/2035?</t>
  </si>
  <si>
    <t>Machine payments are not part of DPO calculation.</t>
  </si>
  <si>
    <t>The machines can be utilized up to 80% capacity - otherwise, new machines will need to be purchased (at the beginning of a month).</t>
  </si>
  <si>
    <t>In addition to that there is percentage of net revenue spend on marketing - it's 5% is 2026 and increasing by 0.5 percentage points every year.</t>
  </si>
  <si>
    <t>SG&amp;A is assumed to be only wage related expenses.</t>
  </si>
  <si>
    <t>Build an integrated 3-Statement Model and answer the questions with the calculations from your model.</t>
  </si>
  <si>
    <t>Use the Assumptions tab as the source of truth for all inputs. Where a value also appears in the Instructions text, the Assumptions tab governs.</t>
  </si>
  <si>
    <t>A 30% tax is applied to the pre-tax profit - no tax refunds.</t>
  </si>
  <si>
    <t>Unit</t>
  </si>
  <si>
    <t>In addition, the company has a credit of $18m (for the initial machinery and the building) and pays 8% interest (yearly, linear, nominal rate) on it.</t>
  </si>
  <si>
    <t>In 2031 there will be an addition build (turnkey and only used for production) for $2m - move in date 1/7/31.</t>
  </si>
  <si>
    <t>No DTA/DTL to model, since no tax accounting differences assumed.</t>
  </si>
  <si>
    <t>Each bottle use costs $0.01 as a system fee (expense).</t>
  </si>
  <si>
    <t>Jan 2026 = No. of 2025 bottles (/12) * (1+Beverage growth)*(1+Packaging Size growth)</t>
  </si>
  <si>
    <t>EBITDA = Gross Profit - SG&amp;A. Note: Gross Profit is calculated after deducting all COGS including production-related depreciation - use this EBITDA definition, even if it is contrary to the normal definition</t>
  </si>
  <si>
    <t>All cash flows occur on the last day of the month.</t>
  </si>
  <si>
    <t>Taxes are calculated on a monthly basis and paid at end of June of the following year. This means: the Tax Payable balance at end of May includes both the prior year's accumulated taxes and the current year's Jan–May taxes. In June, the prior year's taxes are paid out, so the June closing balance reflects only the current year's Jan–June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</si>
</sst>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0.0%\)"/>
  </numFmts>
  <fonts count="16">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1"/>
      <color theme="1"/>
      <name val="Roboto"/>
    </font>
    <font>
      <b/>
      <sz val="12"/>
      <color theme="1"/>
      <name val="Aptos Narrow"/>
      <family val="2"/>
      <scheme val="minor"/>
    </font>
    <font>
      <sz val="10"/>
      <color rgb="FF0000FF"/>
      <name val="Aptos Narrow"/>
      <family val="2"/>
      <scheme val="minor"/>
    </font>
    <font>
      <sz val="11"/>
      <color rgb="FF0000FF"/>
      <name val="Roboto"/>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s>
  <cellStyleXfs count="5">
    <xf numFmtId="0" fontId="0" fillId="0" borderId="0"/>
    <xf numFmtId="0" fontId="1" fillId="0" borderId="0"/>
    <xf numFmtId="0" fontId="5" fillId="0" borderId="0"/>
    <xf numFmtId="9" fontId="1" fillId="0" borderId="0" applyFont="0" applyFill="0" applyBorder="0" applyAlignment="0" applyProtection="0"/>
    <xf numFmtId="4" fontId="13" fillId="5" borderId="2">
      <alignment horizontal="left"/>
    </xf>
  </cellStyleXfs>
  <cellXfs count="73">
    <xf numFmtId="0" fontId="0" fillId="0" borderId="0" xfId="0"/>
    <xf numFmtId="4" fontId="0" fillId="0" borderId="0" xfId="0" applyNumberFormat="1"/>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3" fillId="0" borderId="11" xfId="1" applyFont="1" applyBorder="1" applyAlignment="1">
      <alignment horizontal="center"/>
    </xf>
    <xf numFmtId="0" fontId="3" fillId="0" borderId="6" xfId="1" applyFont="1" applyBorder="1" applyAlignment="1">
      <alignment horizontal="center"/>
    </xf>
    <xf numFmtId="0" fontId="3" fillId="0" borderId="5" xfId="1" applyFont="1" applyBorder="1" applyAlignment="1">
      <alignment horizontal="center"/>
    </xf>
    <xf numFmtId="0" fontId="8" fillId="0" borderId="0" xfId="1" applyFont="1" applyAlignment="1">
      <alignment horizontal="left"/>
    </xf>
    <xf numFmtId="0" fontId="2" fillId="0" borderId="0" xfId="0" applyFont="1"/>
    <xf numFmtId="0" fontId="0" fillId="0" borderId="7" xfId="0" applyBorder="1"/>
    <xf numFmtId="4" fontId="0" fillId="0" borderId="11" xfId="0" applyNumberFormat="1" applyBorder="1"/>
    <xf numFmtId="0" fontId="9" fillId="0" borderId="0" xfId="2" applyFont="1"/>
    <xf numFmtId="0" fontId="5" fillId="0" borderId="0" xfId="2"/>
    <xf numFmtId="4" fontId="3" fillId="3" borderId="12" xfId="1" applyNumberFormat="1" applyFont="1" applyFill="1" applyBorder="1" applyAlignment="1">
      <alignment horizontal="center"/>
    </xf>
    <xf numFmtId="0" fontId="3" fillId="0" borderId="5" xfId="1" applyFont="1" applyBorder="1" applyAlignment="1">
      <alignment horizontal="left"/>
    </xf>
    <xf numFmtId="0" fontId="3" fillId="0" borderId="11" xfId="1" applyFont="1" applyBorder="1" applyAlignment="1">
      <alignment horizontal="left"/>
    </xf>
    <xf numFmtId="0" fontId="3" fillId="0" borderId="7" xfId="1" applyFont="1" applyBorder="1" applyAlignment="1">
      <alignment horizontal="center"/>
    </xf>
    <xf numFmtId="3" fontId="0" fillId="0" borderId="0" xfId="0" applyNumberFormat="1"/>
    <xf numFmtId="10" fontId="0" fillId="0" borderId="0" xfId="3" applyNumberFormat="1" applyFont="1"/>
    <xf numFmtId="4" fontId="0" fillId="0" borderId="8" xfId="0" applyNumberFormat="1" applyBorder="1"/>
    <xf numFmtId="3" fontId="3" fillId="0" borderId="6" xfId="1" applyNumberFormat="1" applyFont="1" applyBorder="1" applyAlignment="1">
      <alignment horizontal="center"/>
    </xf>
    <xf numFmtId="3" fontId="3" fillId="0" borderId="7" xfId="1" applyNumberFormat="1" applyFont="1" applyBorder="1" applyAlignment="1">
      <alignment horizontal="center"/>
    </xf>
    <xf numFmtId="0" fontId="3" fillId="0" borderId="8" xfId="1" applyFont="1" applyBorder="1" applyAlignment="1">
      <alignment horizontal="center"/>
    </xf>
    <xf numFmtId="16" fontId="4" fillId="0" borderId="0" xfId="1" applyNumberFormat="1" applyFont="1"/>
    <xf numFmtId="17" fontId="4" fillId="0" borderId="0" xfId="1" applyNumberFormat="1" applyFont="1"/>
    <xf numFmtId="4" fontId="3" fillId="0" borderId="0" xfId="1" applyNumberFormat="1" applyFont="1" applyAlignment="1">
      <alignment horizontal="center"/>
    </xf>
    <xf numFmtId="164" fontId="0" fillId="0" borderId="0" xfId="0" applyNumberFormat="1"/>
    <xf numFmtId="4" fontId="0" fillId="0" borderId="5" xfId="0" applyNumberFormat="1" applyBorder="1"/>
    <xf numFmtId="3" fontId="0" fillId="0" borderId="6" xfId="0" applyNumberFormat="1" applyBorder="1"/>
    <xf numFmtId="3" fontId="0" fillId="0" borderId="7" xfId="0" applyNumberFormat="1" applyBorder="1"/>
    <xf numFmtId="164" fontId="10" fillId="4" borderId="12" xfId="0" applyNumberFormat="1" applyFont="1" applyFill="1" applyBorder="1"/>
    <xf numFmtId="164" fontId="10" fillId="4" borderId="13" xfId="0" applyNumberFormat="1" applyFont="1" applyFill="1" applyBorder="1"/>
    <xf numFmtId="164" fontId="10" fillId="4" borderId="9" xfId="0" applyNumberFormat="1" applyFont="1" applyFill="1" applyBorder="1"/>
    <xf numFmtId="164" fontId="10" fillId="4" borderId="10" xfId="0" applyNumberFormat="1" applyFont="1" applyFill="1" applyBorder="1"/>
    <xf numFmtId="4" fontId="10" fillId="4" borderId="12" xfId="0" applyNumberFormat="1" applyFont="1" applyFill="1" applyBorder="1"/>
    <xf numFmtId="4" fontId="10" fillId="4" borderId="13" xfId="0" applyNumberFormat="1" applyFont="1" applyFill="1" applyBorder="1"/>
    <xf numFmtId="4" fontId="10" fillId="4" borderId="9" xfId="0" applyNumberFormat="1" applyFont="1" applyFill="1" applyBorder="1"/>
    <xf numFmtId="4" fontId="10" fillId="4" borderId="10" xfId="0" applyNumberFormat="1" applyFont="1" applyFill="1" applyBorder="1"/>
    <xf numFmtId="4" fontId="11" fillId="4" borderId="12" xfId="0" applyNumberFormat="1" applyFont="1" applyFill="1" applyBorder="1"/>
    <xf numFmtId="3" fontId="3" fillId="0" borderId="14" xfId="1" applyNumberFormat="1" applyFont="1" applyBorder="1" applyAlignment="1">
      <alignment horizontal="left"/>
    </xf>
    <xf numFmtId="4" fontId="11" fillId="4" borderId="13" xfId="0" applyNumberFormat="1" applyFont="1" applyFill="1" applyBorder="1"/>
    <xf numFmtId="4" fontId="11" fillId="4" borderId="9" xfId="0" applyNumberFormat="1" applyFont="1" applyFill="1" applyBorder="1"/>
    <xf numFmtId="4" fontId="11" fillId="4" borderId="10" xfId="0" applyNumberFormat="1" applyFont="1" applyFill="1" applyBorder="1"/>
    <xf numFmtId="4" fontId="11" fillId="0" borderId="12" xfId="1" applyNumberFormat="1" applyFont="1" applyBorder="1" applyAlignment="1">
      <alignment horizontal="center"/>
    </xf>
    <xf numFmtId="4" fontId="11" fillId="0" borderId="9" xfId="1" applyNumberFormat="1" applyFont="1" applyBorder="1" applyAlignment="1">
      <alignment horizontal="center"/>
    </xf>
    <xf numFmtId="0" fontId="12" fillId="0" borderId="0" xfId="0" applyFont="1"/>
    <xf numFmtId="4" fontId="12" fillId="4" borderId="12" xfId="0" applyNumberFormat="1" applyFont="1" applyFill="1" applyBorder="1"/>
    <xf numFmtId="0" fontId="15" fillId="0" borderId="0" xfId="0" applyFont="1"/>
    <xf numFmtId="4" fontId="14" fillId="6" borderId="2" xfId="4" applyFont="1" applyFill="1">
      <alignment horizontal="left"/>
    </xf>
    <xf numFmtId="4" fontId="2" fillId="6" borderId="2" xfId="4" applyFont="1" applyFill="1">
      <alignment horizontal="left"/>
    </xf>
    <xf numFmtId="0" fontId="15" fillId="6" borderId="0" xfId="0" applyFont="1" applyFill="1"/>
    <xf numFmtId="10" fontId="12" fillId="4" borderId="12" xfId="3" applyNumberFormat="1" applyFont="1" applyFill="1" applyBorder="1"/>
    <xf numFmtId="4" fontId="12" fillId="4" borderId="12" xfId="3" applyNumberFormat="1" applyFont="1" applyFill="1" applyBorder="1"/>
    <xf numFmtId="3" fontId="12" fillId="4" borderId="12" xfId="3" applyNumberFormat="1" applyFont="1" applyFill="1" applyBorder="1"/>
    <xf numFmtId="14" fontId="12" fillId="4" borderId="12" xfId="3" applyNumberFormat="1" applyFont="1" applyFill="1" applyBorder="1"/>
    <xf numFmtId="0" fontId="12" fillId="0" borderId="5" xfId="0" applyFont="1" applyBorder="1"/>
    <xf numFmtId="3" fontId="12" fillId="4" borderId="13" xfId="3" applyNumberFormat="1" applyFont="1" applyFill="1" applyBorder="1"/>
    <xf numFmtId="3" fontId="12" fillId="4" borderId="10" xfId="3" applyNumberFormat="1" applyFont="1" applyFill="1" applyBorder="1"/>
    <xf numFmtId="0" fontId="3" fillId="0" borderId="15" xfId="1" applyFont="1" applyBorder="1" applyAlignment="1">
      <alignment horizontal="left"/>
    </xf>
    <xf numFmtId="0" fontId="3" fillId="0" borderId="11" xfId="1" applyFont="1" applyBorder="1" applyAlignment="1">
      <alignment horizontal="left" wrapText="1"/>
    </xf>
    <xf numFmtId="0" fontId="3" fillId="0" borderId="11" xfId="1" applyFont="1" applyBorder="1" applyAlignment="1">
      <alignment horizontal="left" vertical="center" wrapText="1"/>
    </xf>
    <xf numFmtId="0" fontId="3" fillId="0" borderId="8" xfId="1" applyFont="1" applyBorder="1" applyAlignment="1">
      <alignment horizontal="left" wrapText="1"/>
    </xf>
    <xf numFmtId="14" fontId="12" fillId="4" borderId="12" xfId="0" applyNumberFormat="1" applyFont="1" applyFill="1" applyBorder="1"/>
    <xf numFmtId="14" fontId="0" fillId="0" borderId="0" xfId="0" applyNumberFormat="1"/>
    <xf numFmtId="9" fontId="12" fillId="4" borderId="12" xfId="3" applyFont="1" applyFill="1" applyBorder="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5">
    <cellStyle name="M Section Header" xfId="4" xr:uid="{F944F0E6-F034-49F8-8B3F-D0C9E50BA2F6}"/>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351"/>
  <sheetViews>
    <sheetView showGridLines="0" tabSelected="1" zoomScale="79" zoomScaleNormal="80" zoomScaleSheetLayoutView="100" workbookViewId="0"/>
  </sheetViews>
  <sheetFormatPr defaultColWidth="5.21875" defaultRowHeight="14.4"/>
  <cols>
    <col min="1" max="1" width="1.88671875" style="2" customWidth="1"/>
    <col min="2" max="2" width="32.109375" style="5" customWidth="1"/>
    <col min="3" max="3" width="17.109375" style="5" bestFit="1" customWidth="1"/>
    <col min="4" max="4" width="20.88671875" style="5" bestFit="1" customWidth="1"/>
    <col min="5" max="5" width="24.109375" style="5" customWidth="1"/>
    <col min="6" max="6" width="21.5546875" style="5" customWidth="1"/>
    <col min="7" max="7" width="26.33203125" style="5" bestFit="1" customWidth="1"/>
    <col min="8" max="8" width="40.109375" style="5" customWidth="1"/>
    <col min="9" max="9" width="23.5546875" style="6" customWidth="1"/>
    <col min="10" max="10" width="23.5546875" style="3" customWidth="1"/>
    <col min="11" max="11" width="27.77734375" style="3" customWidth="1"/>
    <col min="12" max="12" width="20.5546875" style="3" customWidth="1"/>
    <col min="13" max="376" width="11.109375" style="3" bestFit="1" customWidth="1"/>
    <col min="377" max="377" width="5.21875" style="3"/>
    <col min="378" max="383" width="9.6640625" style="3" customWidth="1"/>
    <col min="384" max="384" width="5.21875" style="3"/>
    <col min="385" max="393" width="9.6640625" style="3" customWidth="1"/>
    <col min="394" max="16384" width="5.21875" style="3"/>
  </cols>
  <sheetData>
    <row r="1" spans="2:11" ht="15" customHeight="1">
      <c r="B1" s="2"/>
      <c r="C1" s="2"/>
      <c r="D1" s="2"/>
      <c r="E1" s="2"/>
      <c r="F1" s="2"/>
      <c r="G1" s="2"/>
      <c r="H1" s="2"/>
      <c r="I1" s="2"/>
      <c r="J1" s="2"/>
      <c r="K1" s="2"/>
    </row>
    <row r="2" spans="2:11" ht="60.75" customHeight="1">
      <c r="B2" s="68" t="s">
        <v>303</v>
      </c>
      <c r="C2" s="69"/>
      <c r="D2" s="69"/>
      <c r="E2" s="69"/>
      <c r="F2" s="69"/>
      <c r="G2" s="69"/>
      <c r="H2" s="69"/>
      <c r="I2" s="69"/>
      <c r="J2" s="69"/>
      <c r="K2" s="70"/>
    </row>
    <row r="3" spans="2:11" ht="15" customHeight="1">
      <c r="B3" s="2"/>
      <c r="C3" s="2"/>
      <c r="D3" s="2"/>
      <c r="E3" s="2"/>
      <c r="F3" s="2"/>
      <c r="G3" s="2"/>
      <c r="H3" s="2"/>
      <c r="I3" s="2"/>
      <c r="J3" s="2"/>
      <c r="K3" s="2"/>
    </row>
    <row r="4" spans="2:11" ht="33.75" customHeight="1">
      <c r="B4" s="71" t="s">
        <v>34</v>
      </c>
      <c r="C4" s="72"/>
      <c r="D4" s="72"/>
      <c r="E4" s="72"/>
      <c r="F4" s="72"/>
      <c r="G4" s="72"/>
      <c r="H4" s="72"/>
      <c r="I4" s="72"/>
      <c r="J4" s="2"/>
    </row>
    <row r="5" spans="2:11" ht="15" customHeight="1">
      <c r="B5" s="2"/>
      <c r="C5" s="2"/>
      <c r="D5" s="2"/>
      <c r="E5" s="2"/>
      <c r="F5" s="2"/>
      <c r="G5" s="2"/>
      <c r="H5" s="2"/>
      <c r="I5" s="2"/>
      <c r="J5" s="2"/>
      <c r="K5" s="2"/>
    </row>
    <row r="6" spans="2:11">
      <c r="B6" s="4" t="s">
        <v>106</v>
      </c>
    </row>
    <row r="7" spans="2:11">
      <c r="B7" s="4"/>
    </row>
    <row r="8" spans="2:11">
      <c r="B8" s="10" t="s">
        <v>184</v>
      </c>
    </row>
    <row r="9" spans="2:11">
      <c r="B9" s="4" t="s">
        <v>144</v>
      </c>
    </row>
    <row r="10" spans="2:11">
      <c r="B10" s="4" t="s">
        <v>161</v>
      </c>
    </row>
    <row r="11" spans="2:11">
      <c r="B11" s="4" t="s">
        <v>146</v>
      </c>
    </row>
    <row r="13" spans="2:11">
      <c r="B13" s="10" t="s">
        <v>0</v>
      </c>
    </row>
    <row r="14" spans="2:11" ht="15" thickBot="1">
      <c r="B14" s="4" t="s">
        <v>120</v>
      </c>
    </row>
    <row r="15" spans="2:11">
      <c r="B15" s="9" t="s">
        <v>90</v>
      </c>
      <c r="C15" s="8" t="s">
        <v>91</v>
      </c>
      <c r="D15" s="8" t="s">
        <v>92</v>
      </c>
      <c r="E15" s="23" t="s">
        <v>124</v>
      </c>
      <c r="F15" s="42" t="s">
        <v>123</v>
      </c>
      <c r="G15" s="24" t="s">
        <v>125</v>
      </c>
      <c r="I15" s="5"/>
      <c r="J15" s="5"/>
      <c r="K15" s="6"/>
    </row>
    <row r="16" spans="2:11">
      <c r="B16" s="7" t="s">
        <v>93</v>
      </c>
      <c r="C16" s="41">
        <v>3000</v>
      </c>
      <c r="D16" s="46" t="s">
        <v>121</v>
      </c>
      <c r="E16" s="41">
        <v>800000</v>
      </c>
      <c r="F16" s="41">
        <v>150</v>
      </c>
      <c r="G16" s="43">
        <v>15</v>
      </c>
      <c r="I16" s="5"/>
      <c r="J16" s="5"/>
      <c r="K16" s="6"/>
    </row>
    <row r="17" spans="2:11">
      <c r="B17" s="7" t="s">
        <v>94</v>
      </c>
      <c r="C17" s="41">
        <v>2400</v>
      </c>
      <c r="D17" s="46" t="s">
        <v>122</v>
      </c>
      <c r="E17" s="41">
        <v>2000000</v>
      </c>
      <c r="F17" s="41">
        <v>250</v>
      </c>
      <c r="G17" s="43">
        <v>12</v>
      </c>
      <c r="I17" s="5"/>
      <c r="J17" s="5"/>
      <c r="K17" s="6"/>
    </row>
    <row r="18" spans="2:11" ht="15" thickBot="1">
      <c r="B18" s="25" t="s">
        <v>95</v>
      </c>
      <c r="C18" s="44">
        <v>1000</v>
      </c>
      <c r="D18" s="47" t="s">
        <v>122</v>
      </c>
      <c r="E18" s="44">
        <v>1200000</v>
      </c>
      <c r="F18" s="44">
        <v>60</v>
      </c>
      <c r="G18" s="45">
        <v>12</v>
      </c>
      <c r="I18" s="5"/>
      <c r="J18" s="5"/>
      <c r="K18" s="6"/>
    </row>
    <row r="19" spans="2:11">
      <c r="B19" s="4" t="s">
        <v>370</v>
      </c>
    </row>
    <row r="20" spans="2:11">
      <c r="B20" s="4" t="s">
        <v>143</v>
      </c>
    </row>
    <row r="21" spans="2:11">
      <c r="B21" s="4" t="s">
        <v>158</v>
      </c>
    </row>
    <row r="22" spans="2:11">
      <c r="B22" s="4" t="s">
        <v>313</v>
      </c>
    </row>
    <row r="23" spans="2:11">
      <c r="B23" s="4" t="s">
        <v>369</v>
      </c>
    </row>
    <row r="24" spans="2:11">
      <c r="B24" s="4" t="s">
        <v>159</v>
      </c>
    </row>
    <row r="25" spans="2:11">
      <c r="B25" s="4" t="s">
        <v>160</v>
      </c>
    </row>
    <row r="26" spans="2:11">
      <c r="B26" s="4" t="s">
        <v>164</v>
      </c>
    </row>
    <row r="27" spans="2:11">
      <c r="B27" s="4"/>
    </row>
    <row r="28" spans="2:11">
      <c r="B28" s="10" t="s">
        <v>96</v>
      </c>
    </row>
    <row r="29" spans="2:11">
      <c r="B29" s="4" t="s">
        <v>126</v>
      </c>
    </row>
    <row r="30" spans="2:11">
      <c r="B30" s="4" t="s">
        <v>127</v>
      </c>
    </row>
    <row r="31" spans="2:11">
      <c r="B31" s="4" t="s">
        <v>128</v>
      </c>
    </row>
    <row r="32" spans="2:11">
      <c r="B32" s="4" t="s">
        <v>97</v>
      </c>
    </row>
    <row r="33" spans="2:2">
      <c r="B33" s="4"/>
    </row>
    <row r="34" spans="2:2">
      <c r="B34" s="10" t="s">
        <v>1</v>
      </c>
    </row>
    <row r="35" spans="2:2">
      <c r="B35" s="4" t="s">
        <v>145</v>
      </c>
    </row>
    <row r="36" spans="2:2">
      <c r="B36" s="4"/>
    </row>
    <row r="37" spans="2:2">
      <c r="B37" s="10" t="s">
        <v>2</v>
      </c>
    </row>
    <row r="38" spans="2:2">
      <c r="B38" s="4" t="s">
        <v>98</v>
      </c>
    </row>
    <row r="39" spans="2:2">
      <c r="B39" s="4" t="s">
        <v>147</v>
      </c>
    </row>
    <row r="40" spans="2:2">
      <c r="B40" s="4" t="s">
        <v>18</v>
      </c>
    </row>
    <row r="41" spans="2:2">
      <c r="B41" s="4"/>
    </row>
    <row r="42" spans="2:2">
      <c r="B42" s="10" t="s">
        <v>3</v>
      </c>
    </row>
    <row r="43" spans="2:2">
      <c r="B43" s="4" t="s">
        <v>24</v>
      </c>
    </row>
    <row r="44" spans="2:2">
      <c r="B44" s="4" t="s">
        <v>149</v>
      </c>
    </row>
    <row r="45" spans="2:2">
      <c r="B45" s="4" t="s">
        <v>315</v>
      </c>
    </row>
    <row r="46" spans="2:2">
      <c r="B46" s="4"/>
    </row>
    <row r="47" spans="2:2">
      <c r="B47" s="10" t="s">
        <v>4</v>
      </c>
    </row>
    <row r="48" spans="2:2">
      <c r="B48" s="4" t="s">
        <v>167</v>
      </c>
    </row>
    <row r="49" spans="2:2">
      <c r="B49" s="4" t="s">
        <v>163</v>
      </c>
    </row>
    <row r="50" spans="2:2">
      <c r="B50" s="4" t="s">
        <v>343</v>
      </c>
    </row>
    <row r="51" spans="2:2">
      <c r="B51" s="4" t="s">
        <v>378</v>
      </c>
    </row>
    <row r="52" spans="2:2">
      <c r="B52" s="4" t="s">
        <v>168</v>
      </c>
    </row>
    <row r="53" spans="2:2">
      <c r="B53" s="4"/>
    </row>
    <row r="54" spans="2:2">
      <c r="B54" s="10" t="s">
        <v>302</v>
      </c>
    </row>
    <row r="55" spans="2:2">
      <c r="B55" s="4" t="s">
        <v>162</v>
      </c>
    </row>
    <row r="56" spans="2:2">
      <c r="B56" s="4" t="s">
        <v>371</v>
      </c>
    </row>
    <row r="57" spans="2:2">
      <c r="B57" s="4" t="s">
        <v>372</v>
      </c>
    </row>
    <row r="58" spans="2:2">
      <c r="B58" s="4"/>
    </row>
    <row r="59" spans="2:2">
      <c r="B59" s="10" t="s">
        <v>5</v>
      </c>
    </row>
    <row r="60" spans="2:2">
      <c r="B60" s="4" t="s">
        <v>375</v>
      </c>
    </row>
    <row r="61" spans="2:2">
      <c r="B61" s="4" t="s">
        <v>384</v>
      </c>
    </row>
    <row r="62" spans="2:2">
      <c r="B62" s="4"/>
    </row>
    <row r="63" spans="2:2">
      <c r="B63" s="10" t="s">
        <v>6</v>
      </c>
    </row>
    <row r="64" spans="2:2">
      <c r="B64" s="4" t="s">
        <v>99</v>
      </c>
    </row>
    <row r="65" spans="2:2">
      <c r="B65" s="4" t="s">
        <v>337</v>
      </c>
    </row>
    <row r="66" spans="2:2">
      <c r="B66" s="4" t="s">
        <v>327</v>
      </c>
    </row>
    <row r="67" spans="2:2">
      <c r="B67" s="4" t="s">
        <v>336</v>
      </c>
    </row>
    <row r="68" spans="2:2">
      <c r="B68" s="4"/>
    </row>
    <row r="69" spans="2:2">
      <c r="B69" s="10" t="s">
        <v>20</v>
      </c>
    </row>
    <row r="70" spans="2:2">
      <c r="B70" s="4" t="s">
        <v>377</v>
      </c>
    </row>
    <row r="71" spans="2:2">
      <c r="B71" s="4" t="s">
        <v>323</v>
      </c>
    </row>
    <row r="72" spans="2:2">
      <c r="B72" s="4"/>
    </row>
    <row r="73" spans="2:2">
      <c r="B73" s="10" t="s">
        <v>328</v>
      </c>
    </row>
    <row r="74" spans="2:2">
      <c r="B74" s="4" t="s">
        <v>329</v>
      </c>
    </row>
    <row r="75" spans="2:2">
      <c r="B75" s="4"/>
    </row>
    <row r="76" spans="2:2">
      <c r="B76" s="10" t="s">
        <v>7</v>
      </c>
    </row>
    <row r="77" spans="2:2">
      <c r="B77" s="4" t="s">
        <v>100</v>
      </c>
    </row>
    <row r="78" spans="2:2">
      <c r="B78" s="4" t="s">
        <v>9</v>
      </c>
    </row>
    <row r="79" spans="2:2">
      <c r="B79" s="4"/>
    </row>
    <row r="80" spans="2:2">
      <c r="B80" s="10" t="s">
        <v>8</v>
      </c>
    </row>
    <row r="81" spans="2:10">
      <c r="B81" s="4" t="s">
        <v>101</v>
      </c>
    </row>
    <row r="82" spans="2:10">
      <c r="B82" s="4" t="s">
        <v>310</v>
      </c>
    </row>
    <row r="83" spans="2:10">
      <c r="B83" s="4" t="s">
        <v>102</v>
      </c>
    </row>
    <row r="84" spans="2:10">
      <c r="B84" s="4" t="s">
        <v>285</v>
      </c>
    </row>
    <row r="85" spans="2:10">
      <c r="B85" s="4"/>
    </row>
    <row r="86" spans="2:10">
      <c r="B86" s="10" t="s">
        <v>10</v>
      </c>
    </row>
    <row r="87" spans="2:10">
      <c r="B87" s="4" t="s">
        <v>306</v>
      </c>
    </row>
    <row r="88" spans="2:10">
      <c r="B88" s="4" t="s">
        <v>309</v>
      </c>
    </row>
    <row r="89" spans="2:10">
      <c r="B89" s="4" t="s">
        <v>103</v>
      </c>
    </row>
    <row r="90" spans="2:10">
      <c r="B90" s="4" t="s">
        <v>200</v>
      </c>
    </row>
    <row r="91" spans="2:10">
      <c r="B91" s="4" t="s">
        <v>298</v>
      </c>
    </row>
    <row r="92" spans="2:10">
      <c r="B92" s="4"/>
      <c r="J92" s="26"/>
    </row>
    <row r="93" spans="2:10" ht="15" thickBot="1">
      <c r="B93" s="10" t="s">
        <v>202</v>
      </c>
    </row>
    <row r="94" spans="2:10">
      <c r="B94" s="17" t="s">
        <v>35</v>
      </c>
      <c r="C94" s="19" t="s">
        <v>203</v>
      </c>
      <c r="J94" s="27"/>
    </row>
    <row r="95" spans="2:10">
      <c r="B95" s="61" t="s">
        <v>204</v>
      </c>
      <c r="C95" s="43">
        <v>1.29</v>
      </c>
      <c r="J95" s="27"/>
    </row>
    <row r="96" spans="2:10">
      <c r="B96" s="61" t="s">
        <v>205</v>
      </c>
      <c r="C96" s="43">
        <v>2.4900000000000002</v>
      </c>
      <c r="J96" s="27"/>
    </row>
    <row r="97" spans="2:10">
      <c r="B97" s="61" t="s">
        <v>206</v>
      </c>
      <c r="C97" s="43">
        <v>1.39</v>
      </c>
      <c r="J97" s="27"/>
    </row>
    <row r="98" spans="2:10">
      <c r="B98" s="61" t="s">
        <v>207</v>
      </c>
      <c r="C98" s="43">
        <v>1.99</v>
      </c>
      <c r="J98" s="27"/>
    </row>
    <row r="99" spans="2:10">
      <c r="B99" s="61" t="s">
        <v>208</v>
      </c>
      <c r="C99" s="43">
        <v>2.69</v>
      </c>
      <c r="J99" s="27"/>
    </row>
    <row r="100" spans="2:10">
      <c r="B100" s="61" t="s">
        <v>209</v>
      </c>
      <c r="C100" s="43">
        <v>1.49</v>
      </c>
      <c r="J100" s="27"/>
    </row>
    <row r="101" spans="2:10">
      <c r="B101" s="61" t="s">
        <v>210</v>
      </c>
      <c r="C101" s="43">
        <v>2.79</v>
      </c>
      <c r="J101" s="27"/>
    </row>
    <row r="102" spans="2:10">
      <c r="B102" s="61" t="s">
        <v>211</v>
      </c>
      <c r="C102" s="43">
        <v>1.49</v>
      </c>
      <c r="J102" s="27"/>
    </row>
    <row r="103" spans="2:10">
      <c r="B103" s="61" t="s">
        <v>212</v>
      </c>
      <c r="C103" s="43">
        <v>2.79</v>
      </c>
      <c r="J103" s="27"/>
    </row>
    <row r="104" spans="2:10">
      <c r="B104" s="61" t="s">
        <v>213</v>
      </c>
      <c r="C104" s="43">
        <v>1.89</v>
      </c>
      <c r="J104" s="27"/>
    </row>
    <row r="105" spans="2:10">
      <c r="B105" s="61" t="s">
        <v>214</v>
      </c>
      <c r="C105" s="43">
        <v>2.39</v>
      </c>
      <c r="J105" s="27"/>
    </row>
    <row r="106" spans="2:10">
      <c r="B106" s="61" t="s">
        <v>215</v>
      </c>
      <c r="C106" s="43">
        <v>1.89</v>
      </c>
      <c r="J106" s="27"/>
    </row>
    <row r="107" spans="2:10">
      <c r="B107" s="61" t="s">
        <v>216</v>
      </c>
      <c r="C107" s="43">
        <v>2.39</v>
      </c>
      <c r="J107" s="27"/>
    </row>
    <row r="108" spans="2:10">
      <c r="B108" s="61" t="s">
        <v>217</v>
      </c>
      <c r="C108" s="43">
        <v>1.99</v>
      </c>
      <c r="J108" s="27"/>
    </row>
    <row r="109" spans="2:10">
      <c r="B109" s="61" t="s">
        <v>218</v>
      </c>
      <c r="C109" s="43">
        <v>2.4900000000000002</v>
      </c>
      <c r="J109" s="27"/>
    </row>
    <row r="110" spans="2:10">
      <c r="B110" s="61" t="s">
        <v>219</v>
      </c>
      <c r="C110" s="43">
        <v>1.99</v>
      </c>
      <c r="J110" s="27"/>
    </row>
    <row r="111" spans="2:10">
      <c r="B111" s="61" t="s">
        <v>220</v>
      </c>
      <c r="C111" s="43">
        <v>2.4900000000000002</v>
      </c>
      <c r="J111" s="27"/>
    </row>
    <row r="112" spans="2:10">
      <c r="B112" s="61" t="s">
        <v>221</v>
      </c>
      <c r="C112" s="43">
        <v>1.89</v>
      </c>
      <c r="J112" s="27"/>
    </row>
    <row r="113" spans="2:10">
      <c r="B113" s="61" t="s">
        <v>222</v>
      </c>
      <c r="C113" s="43">
        <v>2.39</v>
      </c>
      <c r="J113" s="27"/>
    </row>
    <row r="114" spans="2:10">
      <c r="B114" s="61" t="s">
        <v>223</v>
      </c>
      <c r="C114" s="43">
        <v>1.99</v>
      </c>
      <c r="J114" s="27"/>
    </row>
    <row r="115" spans="2:10">
      <c r="B115" s="61" t="s">
        <v>224</v>
      </c>
      <c r="C115" s="43">
        <v>2.4900000000000002</v>
      </c>
      <c r="J115" s="27"/>
    </row>
    <row r="116" spans="2:10">
      <c r="B116" s="61" t="s">
        <v>225</v>
      </c>
      <c r="C116" s="43">
        <v>2.09</v>
      </c>
      <c r="J116" s="27"/>
    </row>
    <row r="117" spans="2:10">
      <c r="B117" s="61" t="s">
        <v>226</v>
      </c>
      <c r="C117" s="43">
        <v>2.59</v>
      </c>
      <c r="J117" s="27"/>
    </row>
    <row r="118" spans="2:10">
      <c r="B118" s="61" t="s">
        <v>227</v>
      </c>
      <c r="C118" s="43">
        <v>1.79</v>
      </c>
      <c r="J118" s="27"/>
    </row>
    <row r="119" spans="2:10">
      <c r="B119" s="61" t="s">
        <v>228</v>
      </c>
      <c r="C119" s="43">
        <v>2.29</v>
      </c>
      <c r="J119" s="27"/>
    </row>
    <row r="120" spans="2:10">
      <c r="B120" s="61" t="s">
        <v>229</v>
      </c>
      <c r="C120" s="43">
        <v>1.29</v>
      </c>
      <c r="J120" s="27"/>
    </row>
    <row r="121" spans="2:10">
      <c r="B121" s="61" t="s">
        <v>230</v>
      </c>
      <c r="C121" s="43">
        <v>2.4900000000000002</v>
      </c>
      <c r="J121" s="27"/>
    </row>
    <row r="122" spans="2:10">
      <c r="B122" s="61" t="s">
        <v>231</v>
      </c>
      <c r="C122" s="43">
        <v>1.29</v>
      </c>
      <c r="J122" s="27"/>
    </row>
    <row r="123" spans="2:10">
      <c r="B123" s="61" t="s">
        <v>232</v>
      </c>
      <c r="C123" s="43">
        <v>2.4900000000000002</v>
      </c>
      <c r="J123" s="27"/>
    </row>
    <row r="124" spans="2:10">
      <c r="B124" s="61" t="s">
        <v>233</v>
      </c>
      <c r="C124" s="43">
        <v>1.39</v>
      </c>
      <c r="J124" s="27"/>
    </row>
    <row r="125" spans="2:10">
      <c r="B125" s="61" t="s">
        <v>234</v>
      </c>
      <c r="C125" s="43">
        <v>2.59</v>
      </c>
      <c r="J125" s="27"/>
    </row>
    <row r="126" spans="2:10">
      <c r="B126" s="61" t="s">
        <v>235</v>
      </c>
      <c r="C126" s="43">
        <v>1.39</v>
      </c>
      <c r="J126" s="27"/>
    </row>
    <row r="127" spans="2:10">
      <c r="B127" s="61" t="s">
        <v>236</v>
      </c>
      <c r="C127" s="43">
        <v>2.59</v>
      </c>
      <c r="J127" s="27"/>
    </row>
    <row r="128" spans="2:10">
      <c r="B128" s="61" t="s">
        <v>237</v>
      </c>
      <c r="C128" s="43">
        <v>1.39</v>
      </c>
      <c r="J128" s="27"/>
    </row>
    <row r="129" spans="2:10">
      <c r="B129" s="61" t="s">
        <v>238</v>
      </c>
      <c r="C129" s="43">
        <v>2.59</v>
      </c>
      <c r="J129" s="27"/>
    </row>
    <row r="130" spans="2:10">
      <c r="B130" s="61" t="s">
        <v>239</v>
      </c>
      <c r="C130" s="43">
        <v>1.39</v>
      </c>
      <c r="J130" s="27"/>
    </row>
    <row r="131" spans="2:10">
      <c r="B131" s="61" t="s">
        <v>240</v>
      </c>
      <c r="C131" s="43">
        <v>2.59</v>
      </c>
      <c r="J131" s="27"/>
    </row>
    <row r="132" spans="2:10">
      <c r="B132" s="61" t="s">
        <v>241</v>
      </c>
      <c r="C132" s="43">
        <v>1.29</v>
      </c>
      <c r="J132" s="27"/>
    </row>
    <row r="133" spans="2:10">
      <c r="B133" s="18" t="s">
        <v>242</v>
      </c>
      <c r="C133" s="43">
        <v>2.4900000000000002</v>
      </c>
      <c r="D133" s="28"/>
      <c r="E133" s="28"/>
      <c r="J133" s="27"/>
    </row>
    <row r="134" spans="2:10">
      <c r="B134" s="18" t="s">
        <v>243</v>
      </c>
      <c r="C134" s="43">
        <v>1.29</v>
      </c>
      <c r="J134" s="27"/>
    </row>
    <row r="135" spans="2:10">
      <c r="B135" s="18" t="s">
        <v>244</v>
      </c>
      <c r="C135" s="43">
        <v>2.4900000000000002</v>
      </c>
      <c r="J135" s="27"/>
    </row>
    <row r="136" spans="2:10">
      <c r="B136" s="62" t="s">
        <v>245</v>
      </c>
      <c r="C136" s="43">
        <v>1.29</v>
      </c>
      <c r="J136" s="27"/>
    </row>
    <row r="137" spans="2:10">
      <c r="B137" s="63" t="s">
        <v>246</v>
      </c>
      <c r="C137" s="43">
        <v>2.4900000000000002</v>
      </c>
      <c r="J137" s="27"/>
    </row>
    <row r="138" spans="2:10">
      <c r="B138" s="62" t="s">
        <v>247</v>
      </c>
      <c r="C138" s="43">
        <v>0.89</v>
      </c>
      <c r="J138" s="27"/>
    </row>
    <row r="139" spans="2:10">
      <c r="B139" s="18" t="s">
        <v>248</v>
      </c>
      <c r="C139" s="43">
        <v>1.29</v>
      </c>
      <c r="J139" s="26"/>
    </row>
    <row r="140" spans="2:10">
      <c r="B140" s="18" t="s">
        <v>249</v>
      </c>
      <c r="C140" s="43">
        <v>0.99</v>
      </c>
      <c r="J140" s="27"/>
    </row>
    <row r="141" spans="2:10">
      <c r="B141" s="18" t="s">
        <v>250</v>
      </c>
      <c r="C141" s="43">
        <v>1.39</v>
      </c>
      <c r="J141" s="27"/>
    </row>
    <row r="142" spans="2:10">
      <c r="B142" s="18" t="s">
        <v>251</v>
      </c>
      <c r="C142" s="43">
        <v>0.99</v>
      </c>
      <c r="J142" s="27"/>
    </row>
    <row r="143" spans="2:10">
      <c r="B143" s="62" t="s">
        <v>252</v>
      </c>
      <c r="C143" s="43">
        <v>1.39</v>
      </c>
      <c r="J143" s="27"/>
    </row>
    <row r="144" spans="2:10">
      <c r="B144" s="63" t="s">
        <v>253</v>
      </c>
      <c r="C144" s="43">
        <v>0.99</v>
      </c>
    </row>
    <row r="145" spans="2:10">
      <c r="B145" s="62" t="s">
        <v>254</v>
      </c>
      <c r="C145" s="43">
        <v>1.39</v>
      </c>
      <c r="J145" s="27"/>
    </row>
    <row r="146" spans="2:10">
      <c r="B146" s="18" t="s">
        <v>255</v>
      </c>
      <c r="C146" s="43">
        <v>1.49</v>
      </c>
    </row>
    <row r="147" spans="2:10">
      <c r="B147" s="18" t="s">
        <v>256</v>
      </c>
      <c r="C147" s="43">
        <v>1.99</v>
      </c>
    </row>
    <row r="148" spans="2:10">
      <c r="B148" s="18" t="s">
        <v>257</v>
      </c>
      <c r="C148" s="43">
        <v>1.59</v>
      </c>
    </row>
    <row r="149" spans="2:10">
      <c r="B149" s="18" t="s">
        <v>258</v>
      </c>
      <c r="C149" s="43">
        <v>2.09</v>
      </c>
    </row>
    <row r="150" spans="2:10">
      <c r="B150" s="18" t="s">
        <v>259</v>
      </c>
      <c r="C150" s="43">
        <v>1.59</v>
      </c>
    </row>
    <row r="151" spans="2:10">
      <c r="B151" s="18" t="s">
        <v>260</v>
      </c>
      <c r="C151" s="43">
        <v>2.09</v>
      </c>
    </row>
    <row r="152" spans="2:10">
      <c r="B152" s="18" t="s">
        <v>261</v>
      </c>
      <c r="C152" s="43">
        <v>0.89</v>
      </c>
    </row>
    <row r="153" spans="2:10">
      <c r="B153" s="18" t="s">
        <v>262</v>
      </c>
      <c r="C153" s="43">
        <v>1.29</v>
      </c>
    </row>
    <row r="154" spans="2:10">
      <c r="B154" s="18" t="s">
        <v>263</v>
      </c>
      <c r="C154" s="43">
        <v>1.99</v>
      </c>
    </row>
    <row r="155" spans="2:10">
      <c r="B155" s="18" t="s">
        <v>264</v>
      </c>
      <c r="C155" s="43">
        <v>0.89</v>
      </c>
    </row>
    <row r="156" spans="2:10">
      <c r="B156" s="18" t="s">
        <v>265</v>
      </c>
      <c r="C156" s="43">
        <v>1.29</v>
      </c>
    </row>
    <row r="157" spans="2:10">
      <c r="B157" s="18" t="s">
        <v>266</v>
      </c>
      <c r="C157" s="43">
        <v>1.99</v>
      </c>
    </row>
    <row r="158" spans="2:10">
      <c r="B158" s="18" t="s">
        <v>267</v>
      </c>
      <c r="C158" s="43">
        <v>1.49</v>
      </c>
    </row>
    <row r="159" spans="2:10">
      <c r="B159" s="18" t="s">
        <v>268</v>
      </c>
      <c r="C159" s="43">
        <v>1.99</v>
      </c>
    </row>
    <row r="160" spans="2:10">
      <c r="B160" s="18" t="s">
        <v>269</v>
      </c>
      <c r="C160" s="43">
        <v>2.99</v>
      </c>
    </row>
    <row r="161" spans="2:3">
      <c r="B161" s="18" t="s">
        <v>270</v>
      </c>
      <c r="C161" s="43">
        <v>1.49</v>
      </c>
    </row>
    <row r="162" spans="2:3">
      <c r="B162" s="18" t="s">
        <v>271</v>
      </c>
      <c r="C162" s="43">
        <v>1.99</v>
      </c>
    </row>
    <row r="163" spans="2:3" ht="15" thickBot="1">
      <c r="B163" s="64" t="s">
        <v>272</v>
      </c>
      <c r="C163" s="45">
        <v>2.99</v>
      </c>
    </row>
    <row r="164" spans="2:3">
      <c r="B164" s="4"/>
    </row>
    <row r="165" spans="2:3">
      <c r="B165" s="10" t="s">
        <v>104</v>
      </c>
    </row>
    <row r="166" spans="2:3">
      <c r="B166" s="4" t="s">
        <v>297</v>
      </c>
    </row>
    <row r="167" spans="2:3">
      <c r="B167" s="4" t="s">
        <v>296</v>
      </c>
    </row>
    <row r="168" spans="2:3">
      <c r="B168" s="4" t="s">
        <v>381</v>
      </c>
    </row>
    <row r="169" spans="2:3">
      <c r="B169" s="4" t="s">
        <v>299</v>
      </c>
    </row>
    <row r="170" spans="2:3">
      <c r="B170" s="4" t="s">
        <v>300</v>
      </c>
    </row>
    <row r="171" spans="2:3">
      <c r="B171" s="4"/>
    </row>
    <row r="172" spans="2:3">
      <c r="B172" s="10" t="s">
        <v>25</v>
      </c>
    </row>
    <row r="173" spans="2:3">
      <c r="B173" s="4" t="s">
        <v>185</v>
      </c>
    </row>
    <row r="174" spans="2:3">
      <c r="B174" s="4" t="s">
        <v>380</v>
      </c>
    </row>
    <row r="175" spans="2:3">
      <c r="B175" s="4" t="s">
        <v>278</v>
      </c>
    </row>
    <row r="176" spans="2:3">
      <c r="B176" s="4" t="s">
        <v>279</v>
      </c>
    </row>
    <row r="177" spans="2:2">
      <c r="B177" s="4"/>
    </row>
    <row r="178" spans="2:2">
      <c r="B178" s="10" t="s">
        <v>188</v>
      </c>
    </row>
    <row r="179" spans="2:2">
      <c r="B179" s="4" t="s">
        <v>26</v>
      </c>
    </row>
    <row r="180" spans="2:2">
      <c r="B180" s="4" t="s">
        <v>311</v>
      </c>
    </row>
    <row r="181" spans="2:2">
      <c r="B181" s="4" t="s">
        <v>105</v>
      </c>
    </row>
    <row r="182" spans="2:2">
      <c r="B182" s="4" t="s">
        <v>187</v>
      </c>
    </row>
    <row r="183" spans="2:2">
      <c r="B183" s="4" t="s">
        <v>156</v>
      </c>
    </row>
    <row r="184" spans="2:2">
      <c r="B184" s="4" t="s">
        <v>383</v>
      </c>
    </row>
    <row r="185" spans="2:2">
      <c r="B185" s="4" t="s">
        <v>382</v>
      </c>
    </row>
    <row r="186" spans="2:2">
      <c r="B186" s="4" t="s">
        <v>379</v>
      </c>
    </row>
    <row r="187" spans="2:2">
      <c r="B187" s="4"/>
    </row>
    <row r="188" spans="2:2">
      <c r="B188" s="10" t="s">
        <v>189</v>
      </c>
    </row>
    <row r="189" spans="2:2">
      <c r="B189" s="4" t="s">
        <v>373</v>
      </c>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row r="236" spans="2:2">
      <c r="B236" s="4"/>
    </row>
    <row r="237" spans="2:2">
      <c r="B237" s="4"/>
    </row>
    <row r="238" spans="2:2">
      <c r="B238" s="4"/>
    </row>
    <row r="239" spans="2:2">
      <c r="B239" s="4"/>
    </row>
    <row r="240" spans="2:2">
      <c r="B240" s="4"/>
    </row>
    <row r="241" spans="2:2">
      <c r="B241" s="4"/>
    </row>
    <row r="242" spans="2:2">
      <c r="B242" s="4"/>
    </row>
    <row r="243" spans="2:2">
      <c r="B243" s="4"/>
    </row>
    <row r="244" spans="2:2">
      <c r="B244" s="4"/>
    </row>
    <row r="245" spans="2:2">
      <c r="B245" s="4"/>
    </row>
    <row r="246" spans="2:2">
      <c r="B246" s="4"/>
    </row>
    <row r="247" spans="2:2">
      <c r="B247" s="4"/>
    </row>
    <row r="248" spans="2:2">
      <c r="B248" s="4"/>
    </row>
    <row r="249" spans="2:2">
      <c r="B249" s="4"/>
    </row>
    <row r="250" spans="2:2">
      <c r="B250" s="4"/>
    </row>
    <row r="251" spans="2:2">
      <c r="B251" s="4"/>
    </row>
    <row r="252" spans="2:2">
      <c r="B252" s="4"/>
    </row>
    <row r="253" spans="2:2">
      <c r="B253" s="4"/>
    </row>
    <row r="254" spans="2:2">
      <c r="B254" s="4"/>
    </row>
    <row r="255" spans="2:2">
      <c r="B255" s="4"/>
    </row>
    <row r="256" spans="2:2">
      <c r="B256" s="4"/>
    </row>
    <row r="257" spans="2:2">
      <c r="B257" s="4"/>
    </row>
    <row r="258" spans="2:2">
      <c r="B258" s="4"/>
    </row>
    <row r="259" spans="2:2">
      <c r="B259" s="4"/>
    </row>
    <row r="260" spans="2:2">
      <c r="B260" s="4"/>
    </row>
    <row r="261" spans="2:2">
      <c r="B261" s="4"/>
    </row>
    <row r="262" spans="2:2">
      <c r="B262" s="4"/>
    </row>
    <row r="263" spans="2:2">
      <c r="B263" s="4"/>
    </row>
    <row r="264" spans="2:2">
      <c r="B264" s="4"/>
    </row>
    <row r="265" spans="2:2">
      <c r="B265" s="4"/>
    </row>
    <row r="266" spans="2:2">
      <c r="B266" s="4"/>
    </row>
    <row r="267" spans="2:2">
      <c r="B267" s="4"/>
    </row>
    <row r="268" spans="2:2">
      <c r="B268" s="4"/>
    </row>
    <row r="269" spans="2:2">
      <c r="B269" s="4"/>
    </row>
    <row r="270" spans="2:2">
      <c r="B270" s="4"/>
    </row>
    <row r="271" spans="2:2">
      <c r="B271" s="4"/>
    </row>
    <row r="272" spans="2:2">
      <c r="B272" s="4"/>
    </row>
    <row r="273" spans="2:2">
      <c r="B273" s="4"/>
    </row>
    <row r="274" spans="2:2">
      <c r="B274" s="4"/>
    </row>
    <row r="275" spans="2:2">
      <c r="B275" s="4"/>
    </row>
    <row r="276" spans="2:2">
      <c r="B276" s="4"/>
    </row>
    <row r="277" spans="2:2">
      <c r="B277" s="4"/>
    </row>
    <row r="278" spans="2:2">
      <c r="B278" s="4"/>
    </row>
    <row r="279" spans="2:2">
      <c r="B279" s="4"/>
    </row>
    <row r="280" spans="2:2">
      <c r="B280" s="4"/>
    </row>
    <row r="281" spans="2:2">
      <c r="B281" s="4"/>
    </row>
    <row r="282" spans="2:2">
      <c r="B282" s="4"/>
    </row>
    <row r="283" spans="2:2">
      <c r="B283" s="4"/>
    </row>
    <row r="284" spans="2:2">
      <c r="B284" s="4"/>
    </row>
    <row r="285" spans="2:2">
      <c r="B285" s="4"/>
    </row>
    <row r="286" spans="2:2">
      <c r="B286" s="4"/>
    </row>
    <row r="287" spans="2:2">
      <c r="B287" s="4"/>
    </row>
    <row r="288" spans="2:2">
      <c r="B288" s="4"/>
    </row>
    <row r="289" spans="2:2">
      <c r="B289" s="4"/>
    </row>
    <row r="290" spans="2:2">
      <c r="B290" s="4"/>
    </row>
    <row r="291" spans="2:2">
      <c r="B291" s="4"/>
    </row>
    <row r="292" spans="2:2">
      <c r="B292" s="4"/>
    </row>
    <row r="293" spans="2:2">
      <c r="B293" s="4"/>
    </row>
    <row r="294" spans="2:2">
      <c r="B294" s="4"/>
    </row>
    <row r="295" spans="2:2">
      <c r="B295" s="4"/>
    </row>
    <row r="296" spans="2:2">
      <c r="B296" s="4"/>
    </row>
    <row r="297" spans="2:2">
      <c r="B297" s="4"/>
    </row>
    <row r="298" spans="2:2">
      <c r="B298" s="4"/>
    </row>
    <row r="299" spans="2:2">
      <c r="B299" s="4"/>
    </row>
    <row r="300" spans="2:2">
      <c r="B300" s="4"/>
    </row>
    <row r="301" spans="2:2">
      <c r="B301" s="4"/>
    </row>
    <row r="302" spans="2:2">
      <c r="B302" s="4"/>
    </row>
    <row r="303" spans="2:2">
      <c r="B303" s="4"/>
    </row>
    <row r="304" spans="2:2">
      <c r="B304" s="4"/>
    </row>
    <row r="305" spans="2:2">
      <c r="B305" s="4"/>
    </row>
    <row r="306" spans="2:2">
      <c r="B306" s="4"/>
    </row>
    <row r="307" spans="2:2">
      <c r="B307" s="4"/>
    </row>
    <row r="308" spans="2:2">
      <c r="B308" s="4"/>
    </row>
    <row r="309" spans="2:2">
      <c r="B309" s="4"/>
    </row>
    <row r="310" spans="2:2">
      <c r="B310" s="4"/>
    </row>
    <row r="311" spans="2:2">
      <c r="B311" s="4"/>
    </row>
    <row r="312" spans="2:2">
      <c r="B312" s="4"/>
    </row>
    <row r="313" spans="2:2">
      <c r="B313" s="4"/>
    </row>
    <row r="314" spans="2:2">
      <c r="B314" s="4"/>
    </row>
    <row r="315" spans="2:2">
      <c r="B315" s="4"/>
    </row>
    <row r="316" spans="2:2">
      <c r="B316" s="4"/>
    </row>
    <row r="317" spans="2:2">
      <c r="B317" s="4"/>
    </row>
    <row r="318" spans="2:2">
      <c r="B318" s="4"/>
    </row>
    <row r="319" spans="2:2">
      <c r="B319" s="4"/>
    </row>
    <row r="320" spans="2:2">
      <c r="B320" s="4"/>
    </row>
    <row r="321" spans="2:2">
      <c r="B321" s="4"/>
    </row>
    <row r="322" spans="2:2">
      <c r="B322" s="4"/>
    </row>
    <row r="323" spans="2:2">
      <c r="B323" s="4"/>
    </row>
    <row r="324" spans="2:2">
      <c r="B324" s="4"/>
    </row>
    <row r="325" spans="2:2">
      <c r="B325" s="4"/>
    </row>
    <row r="326" spans="2:2">
      <c r="B326" s="4"/>
    </row>
    <row r="327" spans="2:2">
      <c r="B327" s="4"/>
    </row>
    <row r="328" spans="2:2">
      <c r="B328" s="4"/>
    </row>
    <row r="329" spans="2:2">
      <c r="B329" s="4"/>
    </row>
    <row r="330" spans="2:2">
      <c r="B330" s="4"/>
    </row>
    <row r="331" spans="2:2">
      <c r="B331" s="4"/>
    </row>
    <row r="332" spans="2:2">
      <c r="B332" s="4"/>
    </row>
    <row r="333" spans="2:2">
      <c r="B333" s="4"/>
    </row>
    <row r="334" spans="2:2">
      <c r="B334" s="4"/>
    </row>
    <row r="335" spans="2:2">
      <c r="B335" s="4"/>
    </row>
    <row r="336" spans="2:2">
      <c r="B336" s="4"/>
    </row>
    <row r="337" spans="2:2">
      <c r="B337" s="4"/>
    </row>
    <row r="338" spans="2:2">
      <c r="B338" s="4"/>
    </row>
    <row r="339" spans="2:2">
      <c r="B339" s="4"/>
    </row>
    <row r="340" spans="2:2">
      <c r="B340" s="4"/>
    </row>
    <row r="341" spans="2:2">
      <c r="B341" s="4"/>
    </row>
    <row r="342" spans="2:2">
      <c r="B342" s="4"/>
    </row>
    <row r="343" spans="2:2">
      <c r="B343" s="4"/>
    </row>
    <row r="344" spans="2:2">
      <c r="B344" s="4"/>
    </row>
    <row r="345" spans="2:2">
      <c r="B345" s="4"/>
    </row>
    <row r="346" spans="2:2">
      <c r="B346" s="4"/>
    </row>
    <row r="347" spans="2:2">
      <c r="B347" s="4"/>
    </row>
    <row r="348" spans="2:2">
      <c r="B348" s="4"/>
    </row>
    <row r="349" spans="2:2">
      <c r="B349" s="4"/>
    </row>
    <row r="350" spans="2:2">
      <c r="B350" s="4"/>
    </row>
    <row r="351" spans="2:2">
      <c r="B351" s="4"/>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DF346"/>
  <sheetViews>
    <sheetView showGridLines="0" zoomScale="84" workbookViewId="0"/>
  </sheetViews>
  <sheetFormatPr defaultRowHeight="14.4"/>
  <cols>
    <col min="1" max="1" width="4.77734375" style="11" customWidth="1"/>
    <col min="2" max="2" width="5.33203125" style="11" customWidth="1"/>
    <col min="3" max="3" width="17.33203125" bestFit="1" customWidth="1"/>
    <col min="5" max="5" width="13.6640625" customWidth="1"/>
    <col min="6" max="6" width="18.109375" bestFit="1" customWidth="1"/>
    <col min="7" max="7" width="19.5546875" bestFit="1" customWidth="1"/>
    <col min="11" max="110" width="10.109375" bestFit="1" customWidth="1"/>
  </cols>
  <sheetData>
    <row r="1" spans="1:40">
      <c r="A1" s="11" t="str">
        <f>Instructions!B2&amp;": "&amp;Instructions!B4</f>
        <v>FP&amp;A Task: 3-Statement Model - FruitJuice</v>
      </c>
    </row>
    <row r="2" spans="1:40">
      <c r="A2" s="11" t="s">
        <v>374</v>
      </c>
    </row>
    <row r="4" spans="1:40" s="53" customFormat="1" ht="14.4" customHeight="1">
      <c r="A4" s="51"/>
      <c r="B4" s="52" t="s">
        <v>30</v>
      </c>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row>
    <row r="6" spans="1:40">
      <c r="C6" t="s">
        <v>91</v>
      </c>
      <c r="D6" t="s">
        <v>93</v>
      </c>
      <c r="F6" s="49">
        <v>3000</v>
      </c>
      <c r="G6" s="48" t="s">
        <v>121</v>
      </c>
    </row>
    <row r="7" spans="1:40">
      <c r="C7" t="s">
        <v>91</v>
      </c>
      <c r="D7" t="s">
        <v>94</v>
      </c>
      <c r="F7" s="49">
        <v>2400</v>
      </c>
      <c r="G7" s="48" t="s">
        <v>122</v>
      </c>
    </row>
    <row r="8" spans="1:40">
      <c r="C8" t="s">
        <v>91</v>
      </c>
      <c r="D8" t="s">
        <v>95</v>
      </c>
      <c r="F8" s="49">
        <v>1000</v>
      </c>
      <c r="G8" s="48" t="s">
        <v>122</v>
      </c>
    </row>
    <row r="9" spans="1:40">
      <c r="C9" t="s">
        <v>28</v>
      </c>
      <c r="D9" t="s">
        <v>93</v>
      </c>
      <c r="F9" s="49">
        <v>800000</v>
      </c>
      <c r="G9" s="48" t="s">
        <v>129</v>
      </c>
      <c r="H9" t="s">
        <v>130</v>
      </c>
    </row>
    <row r="10" spans="1:40">
      <c r="C10" t="s">
        <v>28</v>
      </c>
      <c r="D10" t="s">
        <v>94</v>
      </c>
      <c r="F10" s="49">
        <v>2000000</v>
      </c>
      <c r="G10" s="48" t="s">
        <v>129</v>
      </c>
      <c r="H10" t="s">
        <v>130</v>
      </c>
    </row>
    <row r="11" spans="1:40">
      <c r="C11" t="s">
        <v>28</v>
      </c>
      <c r="D11" t="s">
        <v>95</v>
      </c>
      <c r="F11" s="49">
        <v>1200000</v>
      </c>
      <c r="G11" s="48" t="s">
        <v>129</v>
      </c>
      <c r="H11" t="s">
        <v>130</v>
      </c>
    </row>
    <row r="12" spans="1:40">
      <c r="C12" t="s">
        <v>131</v>
      </c>
      <c r="D12" t="s">
        <v>93</v>
      </c>
      <c r="F12" s="49">
        <v>150</v>
      </c>
      <c r="G12" s="48" t="s">
        <v>132</v>
      </c>
    </row>
    <row r="13" spans="1:40">
      <c r="C13" t="s">
        <v>131</v>
      </c>
      <c r="D13" t="s">
        <v>94</v>
      </c>
      <c r="F13" s="49">
        <v>250</v>
      </c>
      <c r="G13" s="48" t="s">
        <v>132</v>
      </c>
    </row>
    <row r="14" spans="1:40">
      <c r="C14" t="s">
        <v>131</v>
      </c>
      <c r="D14" t="s">
        <v>95</v>
      </c>
      <c r="F14" s="49">
        <v>60</v>
      </c>
      <c r="G14" s="48" t="s">
        <v>132</v>
      </c>
    </row>
    <row r="15" spans="1:40">
      <c r="C15" t="s">
        <v>23</v>
      </c>
      <c r="D15" t="s">
        <v>93</v>
      </c>
      <c r="F15" s="49">
        <v>15</v>
      </c>
      <c r="G15" s="48" t="s">
        <v>133</v>
      </c>
    </row>
    <row r="16" spans="1:40">
      <c r="C16" t="s">
        <v>23</v>
      </c>
      <c r="D16" t="s">
        <v>94</v>
      </c>
      <c r="F16" s="49">
        <v>12</v>
      </c>
      <c r="G16" s="48" t="s">
        <v>133</v>
      </c>
    </row>
    <row r="17" spans="3:8">
      <c r="C17" t="s">
        <v>23</v>
      </c>
      <c r="D17" t="s">
        <v>95</v>
      </c>
      <c r="F17" s="49">
        <v>12</v>
      </c>
      <c r="G17" s="48" t="s">
        <v>133</v>
      </c>
    </row>
    <row r="19" spans="3:8">
      <c r="C19" t="s">
        <v>134</v>
      </c>
      <c r="F19" s="54">
        <v>0.8</v>
      </c>
      <c r="G19" s="48" t="s">
        <v>135</v>
      </c>
      <c r="H19" t="s">
        <v>136</v>
      </c>
    </row>
    <row r="21" spans="3:8">
      <c r="C21" t="s">
        <v>316</v>
      </c>
      <c r="D21" s="50" t="s">
        <v>93</v>
      </c>
      <c r="F21" s="49">
        <v>704000</v>
      </c>
      <c r="G21" s="48" t="s">
        <v>129</v>
      </c>
    </row>
    <row r="22" spans="3:8">
      <c r="C22" t="s">
        <v>316</v>
      </c>
      <c r="D22" s="50" t="s">
        <v>93</v>
      </c>
      <c r="F22" s="49">
        <v>704000</v>
      </c>
      <c r="G22" s="48" t="s">
        <v>129</v>
      </c>
    </row>
    <row r="23" spans="3:8">
      <c r="C23" t="s">
        <v>316</v>
      </c>
      <c r="D23" s="50" t="s">
        <v>94</v>
      </c>
      <c r="F23" s="49">
        <v>1760000</v>
      </c>
      <c r="G23" s="48" t="s">
        <v>129</v>
      </c>
    </row>
    <row r="24" spans="3:8">
      <c r="C24" t="s">
        <v>316</v>
      </c>
      <c r="D24" s="50" t="s">
        <v>94</v>
      </c>
      <c r="F24" s="49">
        <v>1800000</v>
      </c>
      <c r="G24" s="48" t="s">
        <v>129</v>
      </c>
    </row>
    <row r="25" spans="3:8">
      <c r="C25" t="s">
        <v>316</v>
      </c>
      <c r="D25" s="50" t="s">
        <v>94</v>
      </c>
      <c r="F25" s="49">
        <v>1840000</v>
      </c>
      <c r="G25" s="48" t="s">
        <v>129</v>
      </c>
    </row>
    <row r="26" spans="3:8">
      <c r="C26" t="s">
        <v>316</v>
      </c>
      <c r="D26" s="50" t="s">
        <v>94</v>
      </c>
      <c r="F26" s="49">
        <v>1920000</v>
      </c>
      <c r="G26" s="48" t="s">
        <v>129</v>
      </c>
    </row>
    <row r="27" spans="3:8">
      <c r="C27" t="s">
        <v>316</v>
      </c>
      <c r="D27" s="50" t="s">
        <v>95</v>
      </c>
      <c r="F27" s="49">
        <v>1080000</v>
      </c>
      <c r="G27" s="48" t="s">
        <v>129</v>
      </c>
    </row>
    <row r="28" spans="3:8">
      <c r="C28" t="s">
        <v>316</v>
      </c>
      <c r="D28" s="50" t="s">
        <v>95</v>
      </c>
      <c r="F28" s="49">
        <v>1104000</v>
      </c>
      <c r="G28" s="48" t="s">
        <v>129</v>
      </c>
    </row>
    <row r="29" spans="3:8">
      <c r="C29" t="s">
        <v>316</v>
      </c>
      <c r="D29" s="50" t="s">
        <v>95</v>
      </c>
      <c r="F29" s="49">
        <v>1104000</v>
      </c>
      <c r="G29" s="48" t="s">
        <v>129</v>
      </c>
    </row>
    <row r="30" spans="3:8">
      <c r="C30" t="s">
        <v>316</v>
      </c>
      <c r="D30" s="50" t="s">
        <v>95</v>
      </c>
      <c r="F30" s="49">
        <v>1128000</v>
      </c>
      <c r="G30" s="48" t="s">
        <v>129</v>
      </c>
    </row>
    <row r="31" spans="3:8">
      <c r="C31" t="s">
        <v>316</v>
      </c>
      <c r="D31" s="50" t="s">
        <v>95</v>
      </c>
      <c r="F31" s="49">
        <v>1152000</v>
      </c>
      <c r="G31" s="48" t="s">
        <v>129</v>
      </c>
    </row>
    <row r="32" spans="3:8">
      <c r="C32" t="s">
        <v>316</v>
      </c>
      <c r="D32" s="50" t="s">
        <v>95</v>
      </c>
      <c r="F32" s="49">
        <v>1152000</v>
      </c>
      <c r="G32" s="48" t="s">
        <v>129</v>
      </c>
    </row>
    <row r="33" spans="3:7">
      <c r="C33" t="s">
        <v>316</v>
      </c>
      <c r="D33" s="50" t="s">
        <v>95</v>
      </c>
      <c r="F33" s="49">
        <v>1176000</v>
      </c>
      <c r="G33" s="48" t="s">
        <v>129</v>
      </c>
    </row>
    <row r="34" spans="3:7">
      <c r="C34" t="s">
        <v>316</v>
      </c>
      <c r="D34" s="50" t="s">
        <v>95</v>
      </c>
      <c r="F34" s="49">
        <v>1176000</v>
      </c>
      <c r="G34" s="48" t="s">
        <v>129</v>
      </c>
    </row>
    <row r="35" spans="3:7">
      <c r="C35" t="s">
        <v>316</v>
      </c>
      <c r="D35" s="50" t="s">
        <v>95</v>
      </c>
      <c r="F35" s="49">
        <v>1176000</v>
      </c>
      <c r="G35" s="48" t="s">
        <v>129</v>
      </c>
    </row>
    <row r="36" spans="3:7">
      <c r="D36" s="50"/>
    </row>
    <row r="37" spans="3:7">
      <c r="C37" t="s">
        <v>317</v>
      </c>
      <c r="D37" s="50" t="s">
        <v>93</v>
      </c>
      <c r="F37" s="65">
        <v>43891</v>
      </c>
      <c r="G37" s="1"/>
    </row>
    <row r="38" spans="3:7">
      <c r="C38" t="s">
        <v>317</v>
      </c>
      <c r="D38" s="50" t="s">
        <v>93</v>
      </c>
      <c r="F38" s="65">
        <v>44136</v>
      </c>
      <c r="G38" s="1"/>
    </row>
    <row r="39" spans="3:7">
      <c r="C39" t="s">
        <v>317</v>
      </c>
      <c r="D39" s="50" t="s">
        <v>94</v>
      </c>
      <c r="F39" s="65">
        <v>43891</v>
      </c>
      <c r="G39" s="1"/>
    </row>
    <row r="40" spans="3:7">
      <c r="C40" t="s">
        <v>317</v>
      </c>
      <c r="D40" s="50" t="s">
        <v>94</v>
      </c>
      <c r="F40" s="65">
        <v>44287</v>
      </c>
      <c r="G40" s="1"/>
    </row>
    <row r="41" spans="3:7">
      <c r="C41" t="s">
        <v>317</v>
      </c>
      <c r="D41" s="50" t="s">
        <v>94</v>
      </c>
      <c r="F41" s="65">
        <v>44713</v>
      </c>
      <c r="G41" s="1"/>
    </row>
    <row r="42" spans="3:7">
      <c r="C42" t="s">
        <v>317</v>
      </c>
      <c r="D42" s="50" t="s">
        <v>94</v>
      </c>
      <c r="F42" s="65">
        <v>45323</v>
      </c>
      <c r="G42" s="1"/>
    </row>
    <row r="43" spans="3:7">
      <c r="C43" t="s">
        <v>317</v>
      </c>
      <c r="D43" s="50" t="s">
        <v>95</v>
      </c>
      <c r="F43" s="65">
        <v>44287</v>
      </c>
      <c r="G43" s="1"/>
    </row>
    <row r="44" spans="3:7">
      <c r="C44" t="s">
        <v>317</v>
      </c>
      <c r="D44" s="50" t="s">
        <v>95</v>
      </c>
      <c r="F44" s="65">
        <v>44713</v>
      </c>
      <c r="G44" s="1"/>
    </row>
    <row r="45" spans="3:7">
      <c r="C45" t="s">
        <v>317</v>
      </c>
      <c r="D45" s="50" t="s">
        <v>95</v>
      </c>
      <c r="F45" s="65">
        <v>44835</v>
      </c>
      <c r="G45" s="1"/>
    </row>
    <row r="46" spans="3:7">
      <c r="C46" t="s">
        <v>317</v>
      </c>
      <c r="D46" s="50" t="s">
        <v>95</v>
      </c>
      <c r="F46" s="65">
        <v>45047</v>
      </c>
      <c r="G46" s="1"/>
    </row>
    <row r="47" spans="3:7">
      <c r="C47" t="s">
        <v>317</v>
      </c>
      <c r="D47" s="50" t="s">
        <v>95</v>
      </c>
      <c r="F47" s="65">
        <v>45323</v>
      </c>
      <c r="G47" s="1"/>
    </row>
    <row r="48" spans="3:7">
      <c r="C48" t="s">
        <v>317</v>
      </c>
      <c r="D48" s="50" t="s">
        <v>95</v>
      </c>
      <c r="F48" s="65">
        <v>45627</v>
      </c>
      <c r="G48" s="1"/>
    </row>
    <row r="49" spans="1:40">
      <c r="C49" t="s">
        <v>317</v>
      </c>
      <c r="D49" s="50" t="s">
        <v>95</v>
      </c>
      <c r="F49" s="65">
        <v>45658</v>
      </c>
      <c r="G49" s="1"/>
    </row>
    <row r="50" spans="1:40">
      <c r="C50" t="s">
        <v>317</v>
      </c>
      <c r="D50" s="50" t="s">
        <v>95</v>
      </c>
      <c r="F50" s="65">
        <v>45870</v>
      </c>
      <c r="G50" s="1"/>
    </row>
    <row r="51" spans="1:40">
      <c r="C51" t="s">
        <v>317</v>
      </c>
      <c r="D51" s="50" t="s">
        <v>95</v>
      </c>
      <c r="F51" s="65">
        <v>45870</v>
      </c>
      <c r="G51" s="1"/>
    </row>
    <row r="53" spans="1:40" s="53" customFormat="1" ht="14.4" customHeight="1">
      <c r="A53" s="51"/>
      <c r="B53" s="52" t="s">
        <v>137</v>
      </c>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row>
    <row r="55" spans="1:40">
      <c r="C55" t="s">
        <v>137</v>
      </c>
      <c r="F55" s="55">
        <v>0.05</v>
      </c>
      <c r="G55" s="48" t="s">
        <v>138</v>
      </c>
    </row>
    <row r="57" spans="1:40" s="53" customFormat="1" ht="14.4" customHeight="1">
      <c r="A57" s="51"/>
      <c r="B57" s="52" t="s">
        <v>11</v>
      </c>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row>
    <row r="59" spans="1:40">
      <c r="C59" t="s">
        <v>139</v>
      </c>
      <c r="F59" s="55">
        <v>0.32</v>
      </c>
      <c r="G59" s="48" t="s">
        <v>140</v>
      </c>
    </row>
    <row r="60" spans="1:40">
      <c r="C60" t="s">
        <v>141</v>
      </c>
      <c r="F60" s="56">
        <v>10</v>
      </c>
      <c r="G60" s="48" t="s">
        <v>142</v>
      </c>
    </row>
    <row r="62" spans="1:40" s="53" customFormat="1" ht="14.4" customHeight="1">
      <c r="A62" s="51"/>
      <c r="B62" s="52" t="s">
        <v>148</v>
      </c>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row>
    <row r="64" spans="1:40">
      <c r="C64" t="s">
        <v>151</v>
      </c>
      <c r="F64" s="56">
        <v>7</v>
      </c>
      <c r="G64" s="48" t="s">
        <v>153</v>
      </c>
    </row>
    <row r="65" spans="1:40">
      <c r="C65" t="s">
        <v>152</v>
      </c>
      <c r="F65" s="56">
        <v>24</v>
      </c>
      <c r="G65" s="48" t="s">
        <v>154</v>
      </c>
    </row>
    <row r="66" spans="1:40">
      <c r="C66" t="s">
        <v>150</v>
      </c>
      <c r="F66" s="56">
        <v>42</v>
      </c>
      <c r="G66" s="48" t="s">
        <v>153</v>
      </c>
    </row>
    <row r="67" spans="1:40">
      <c r="C67" t="s">
        <v>155</v>
      </c>
      <c r="F67" s="55">
        <v>70000</v>
      </c>
      <c r="G67" s="48" t="s">
        <v>129</v>
      </c>
    </row>
    <row r="68" spans="1:40">
      <c r="C68" t="s">
        <v>157</v>
      </c>
      <c r="F68" s="56">
        <v>5</v>
      </c>
      <c r="G68" s="48" t="s">
        <v>314</v>
      </c>
    </row>
    <row r="70" spans="1:40" s="53" customFormat="1" ht="14.4" customHeight="1">
      <c r="A70" s="51"/>
      <c r="B70" s="52" t="s">
        <v>165</v>
      </c>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row>
    <row r="72" spans="1:40">
      <c r="C72" t="s">
        <v>166</v>
      </c>
      <c r="F72" s="55">
        <v>8000000</v>
      </c>
      <c r="G72" s="48" t="s">
        <v>129</v>
      </c>
    </row>
    <row r="73" spans="1:40">
      <c r="C73" t="s">
        <v>169</v>
      </c>
      <c r="F73" s="57">
        <v>43831</v>
      </c>
      <c r="G73" s="48"/>
      <c r="H73" t="s">
        <v>170</v>
      </c>
    </row>
    <row r="74" spans="1:40">
      <c r="C74" t="s">
        <v>340</v>
      </c>
      <c r="F74" s="67">
        <v>0.8</v>
      </c>
      <c r="G74" s="48"/>
    </row>
    <row r="75" spans="1:40">
      <c r="C75" t="s">
        <v>342</v>
      </c>
      <c r="F75" s="67">
        <v>0.15</v>
      </c>
      <c r="G75" s="48"/>
    </row>
    <row r="76" spans="1:40">
      <c r="C76" t="s">
        <v>341</v>
      </c>
      <c r="F76" s="67">
        <v>0.05</v>
      </c>
      <c r="G76" s="48"/>
    </row>
    <row r="77" spans="1:40">
      <c r="C77" t="s">
        <v>171</v>
      </c>
      <c r="D77" t="s">
        <v>172</v>
      </c>
      <c r="F77" s="55">
        <v>2000000</v>
      </c>
      <c r="G77" s="48" t="s">
        <v>129</v>
      </c>
    </row>
    <row r="78" spans="1:40">
      <c r="C78" t="s">
        <v>171</v>
      </c>
      <c r="D78" t="s">
        <v>340</v>
      </c>
      <c r="F78" s="67">
        <v>1</v>
      </c>
      <c r="G78" s="48"/>
    </row>
    <row r="79" spans="1:40">
      <c r="C79" t="s">
        <v>169</v>
      </c>
      <c r="F79" s="57">
        <v>48030</v>
      </c>
      <c r="G79" s="48"/>
    </row>
    <row r="80" spans="1:40">
      <c r="C80" t="s">
        <v>23</v>
      </c>
      <c r="F80" s="49">
        <v>50</v>
      </c>
      <c r="G80" s="48" t="s">
        <v>133</v>
      </c>
      <c r="H80" t="s">
        <v>173</v>
      </c>
    </row>
    <row r="82" spans="1:40" s="53" customFormat="1" ht="14.4" customHeight="1">
      <c r="A82" s="51"/>
      <c r="B82" s="52" t="s">
        <v>12</v>
      </c>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row>
    <row r="84" spans="1:40">
      <c r="C84" t="s">
        <v>174</v>
      </c>
      <c r="F84" s="54">
        <v>0.1</v>
      </c>
      <c r="G84" s="48" t="s">
        <v>135</v>
      </c>
    </row>
    <row r="85" spans="1:40">
      <c r="C85" t="s">
        <v>175</v>
      </c>
      <c r="D85" t="s">
        <v>176</v>
      </c>
      <c r="F85" s="54">
        <v>0.05</v>
      </c>
      <c r="G85" s="48" t="s">
        <v>135</v>
      </c>
      <c r="H85" t="s">
        <v>177</v>
      </c>
    </row>
    <row r="86" spans="1:40">
      <c r="C86" t="s">
        <v>178</v>
      </c>
      <c r="F86" s="54">
        <v>5.0000000000000001E-3</v>
      </c>
      <c r="G86" s="48" t="s">
        <v>135</v>
      </c>
      <c r="H86" t="s">
        <v>179</v>
      </c>
      <c r="I86" t="s">
        <v>180</v>
      </c>
    </row>
    <row r="88" spans="1:40" s="53" customFormat="1" ht="14.4" customHeight="1">
      <c r="A88" s="51"/>
      <c r="B88" s="52" t="s">
        <v>181</v>
      </c>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row>
    <row r="90" spans="1:40">
      <c r="C90" t="s">
        <v>182</v>
      </c>
      <c r="F90" s="54">
        <v>0.3</v>
      </c>
      <c r="G90" s="48" t="s">
        <v>135</v>
      </c>
    </row>
    <row r="91" spans="1:40">
      <c r="C91" t="s">
        <v>32</v>
      </c>
      <c r="F91" s="54" t="s">
        <v>183</v>
      </c>
      <c r="H91" t="s">
        <v>320</v>
      </c>
    </row>
    <row r="93" spans="1:40" s="53" customFormat="1" ht="14.4" customHeight="1">
      <c r="A93" s="51"/>
      <c r="B93" s="52" t="s">
        <v>186</v>
      </c>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row>
    <row r="95" spans="1:40">
      <c r="C95" t="s">
        <v>16</v>
      </c>
      <c r="F95" s="55">
        <v>3000000</v>
      </c>
      <c r="G95" s="48" t="s">
        <v>129</v>
      </c>
    </row>
    <row r="96" spans="1:40">
      <c r="C96" t="s">
        <v>190</v>
      </c>
      <c r="F96" s="54">
        <v>0.95</v>
      </c>
      <c r="G96" s="48" t="s">
        <v>135</v>
      </c>
    </row>
    <row r="97" spans="1:110">
      <c r="C97" t="s">
        <v>325</v>
      </c>
      <c r="F97" s="54" t="s">
        <v>326</v>
      </c>
      <c r="G97" s="48"/>
    </row>
    <row r="99" spans="1:110" s="53" customFormat="1" ht="14.4" customHeight="1">
      <c r="A99" s="51"/>
      <c r="B99" s="52" t="s">
        <v>191</v>
      </c>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row>
    <row r="101" spans="1:110">
      <c r="C101" t="s">
        <v>192</v>
      </c>
      <c r="D101" t="s">
        <v>193</v>
      </c>
      <c r="F101" s="55">
        <v>18000000</v>
      </c>
      <c r="G101" s="48" t="s">
        <v>129</v>
      </c>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row>
    <row r="102" spans="1:110">
      <c r="C102" t="s">
        <v>22</v>
      </c>
      <c r="D102" t="s">
        <v>193</v>
      </c>
      <c r="F102" s="54">
        <v>0.08</v>
      </c>
      <c r="G102" s="48" t="s">
        <v>135</v>
      </c>
      <c r="H102" t="s">
        <v>324</v>
      </c>
    </row>
    <row r="103" spans="1:110">
      <c r="C103" t="s">
        <v>194</v>
      </c>
      <c r="D103" t="s">
        <v>193</v>
      </c>
      <c r="F103" s="55">
        <v>20</v>
      </c>
      <c r="G103" s="48" t="s">
        <v>133</v>
      </c>
    </row>
    <row r="104" spans="1:110">
      <c r="C104" t="s">
        <v>319</v>
      </c>
      <c r="D104" t="s">
        <v>193</v>
      </c>
      <c r="F104" s="57">
        <v>43466</v>
      </c>
      <c r="G104" s="48"/>
    </row>
    <row r="105" spans="1:110">
      <c r="C105" t="s">
        <v>321</v>
      </c>
      <c r="D105" t="s">
        <v>193</v>
      </c>
      <c r="F105" s="55" t="s">
        <v>322</v>
      </c>
      <c r="G105" s="48"/>
    </row>
    <row r="107" spans="1:110" s="53" customFormat="1" ht="14.4" customHeight="1">
      <c r="A107" s="51"/>
      <c r="B107" s="52" t="s">
        <v>330</v>
      </c>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row>
    <row r="109" spans="1:110">
      <c r="C109" t="s">
        <v>22</v>
      </c>
      <c r="D109" t="s">
        <v>331</v>
      </c>
      <c r="F109" s="54">
        <v>0.25</v>
      </c>
      <c r="G109" s="48" t="s">
        <v>135</v>
      </c>
      <c r="H109" t="s">
        <v>332</v>
      </c>
    </row>
    <row r="110" spans="1:110">
      <c r="C110" t="s">
        <v>22</v>
      </c>
      <c r="D110" t="s">
        <v>333</v>
      </c>
      <c r="F110" s="54">
        <v>2.5000000000000001E-2</v>
      </c>
      <c r="G110" s="48" t="s">
        <v>135</v>
      </c>
      <c r="H110" t="s">
        <v>334</v>
      </c>
    </row>
    <row r="111" spans="1:110">
      <c r="C111" t="s">
        <v>335</v>
      </c>
      <c r="D111" t="s">
        <v>333</v>
      </c>
      <c r="F111" s="55">
        <v>100000</v>
      </c>
      <c r="G111" s="48" t="s">
        <v>129</v>
      </c>
    </row>
    <row r="113" spans="1:40" s="53" customFormat="1" ht="14.4" customHeight="1">
      <c r="A113" s="51"/>
      <c r="B113" s="52" t="s">
        <v>195</v>
      </c>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row>
    <row r="115" spans="1:40">
      <c r="C115" t="s">
        <v>196</v>
      </c>
      <c r="F115" s="56">
        <v>16</v>
      </c>
      <c r="G115" s="48" t="s">
        <v>197</v>
      </c>
    </row>
    <row r="116" spans="1:40">
      <c r="C116" t="s">
        <v>198</v>
      </c>
      <c r="F116" s="56">
        <v>20</v>
      </c>
      <c r="G116" s="48" t="s">
        <v>197</v>
      </c>
    </row>
    <row r="117" spans="1:40">
      <c r="C117" t="s">
        <v>199</v>
      </c>
      <c r="F117" s="56">
        <v>15</v>
      </c>
      <c r="G117" s="48" t="s">
        <v>197</v>
      </c>
    </row>
    <row r="119" spans="1:40" s="53" customFormat="1" ht="14.4" customHeight="1">
      <c r="A119" s="51"/>
      <c r="B119" s="52" t="s">
        <v>10</v>
      </c>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row>
    <row r="121" spans="1:40">
      <c r="C121" t="s">
        <v>29</v>
      </c>
      <c r="F121" s="54">
        <v>0.02</v>
      </c>
      <c r="G121" s="48" t="s">
        <v>135</v>
      </c>
      <c r="H121" t="s">
        <v>27</v>
      </c>
    </row>
    <row r="122" spans="1:40">
      <c r="C122" t="s">
        <v>201</v>
      </c>
      <c r="F122" s="54">
        <v>0.01</v>
      </c>
      <c r="G122" s="48" t="s">
        <v>135</v>
      </c>
      <c r="H122" t="s">
        <v>27</v>
      </c>
    </row>
    <row r="124" spans="1:40" s="53" customFormat="1" ht="14.4" customHeight="1">
      <c r="A124" s="51"/>
      <c r="B124" s="52" t="s">
        <v>273</v>
      </c>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row>
    <row r="126" spans="1:40">
      <c r="C126" t="s">
        <v>204</v>
      </c>
      <c r="D126" t="s">
        <v>274</v>
      </c>
      <c r="F126" s="55">
        <v>0.5</v>
      </c>
      <c r="G126" s="48" t="s">
        <v>275</v>
      </c>
    </row>
    <row r="127" spans="1:40">
      <c r="C127" t="s">
        <v>205</v>
      </c>
      <c r="D127" t="s">
        <v>274</v>
      </c>
      <c r="F127" s="55">
        <v>1</v>
      </c>
      <c r="G127" s="48" t="s">
        <v>275</v>
      </c>
    </row>
    <row r="128" spans="1:40">
      <c r="C128" t="s">
        <v>206</v>
      </c>
      <c r="D128" t="s">
        <v>274</v>
      </c>
      <c r="F128" s="55">
        <v>0.5</v>
      </c>
      <c r="G128" s="48" t="s">
        <v>275</v>
      </c>
    </row>
    <row r="129" spans="3:7">
      <c r="C129" t="s">
        <v>207</v>
      </c>
      <c r="D129" t="s">
        <v>274</v>
      </c>
      <c r="F129" s="55">
        <v>0.75</v>
      </c>
      <c r="G129" s="48" t="s">
        <v>275</v>
      </c>
    </row>
    <row r="130" spans="3:7">
      <c r="C130" t="s">
        <v>208</v>
      </c>
      <c r="D130" t="s">
        <v>274</v>
      </c>
      <c r="F130" s="55">
        <v>1</v>
      </c>
      <c r="G130" s="48" t="s">
        <v>275</v>
      </c>
    </row>
    <row r="131" spans="3:7">
      <c r="C131" t="s">
        <v>209</v>
      </c>
      <c r="D131" t="s">
        <v>274</v>
      </c>
      <c r="F131" s="55">
        <v>0.5</v>
      </c>
      <c r="G131" s="48" t="s">
        <v>275</v>
      </c>
    </row>
    <row r="132" spans="3:7">
      <c r="C132" t="s">
        <v>210</v>
      </c>
      <c r="D132" t="s">
        <v>274</v>
      </c>
      <c r="F132" s="55">
        <v>1</v>
      </c>
      <c r="G132" s="48" t="s">
        <v>275</v>
      </c>
    </row>
    <row r="133" spans="3:7">
      <c r="C133" t="s">
        <v>211</v>
      </c>
      <c r="D133" t="s">
        <v>274</v>
      </c>
      <c r="F133" s="55">
        <v>0.5</v>
      </c>
      <c r="G133" s="48" t="s">
        <v>275</v>
      </c>
    </row>
    <row r="134" spans="3:7">
      <c r="C134" t="s">
        <v>212</v>
      </c>
      <c r="D134" t="s">
        <v>274</v>
      </c>
      <c r="F134" s="55">
        <v>1</v>
      </c>
      <c r="G134" s="48" t="s">
        <v>275</v>
      </c>
    </row>
    <row r="135" spans="3:7">
      <c r="C135" t="s">
        <v>213</v>
      </c>
      <c r="D135" t="s">
        <v>274</v>
      </c>
      <c r="F135" s="55">
        <v>0.75</v>
      </c>
      <c r="G135" s="48" t="s">
        <v>275</v>
      </c>
    </row>
    <row r="136" spans="3:7">
      <c r="C136" t="s">
        <v>214</v>
      </c>
      <c r="D136" t="s">
        <v>274</v>
      </c>
      <c r="F136" s="55">
        <v>1</v>
      </c>
      <c r="G136" s="48" t="s">
        <v>275</v>
      </c>
    </row>
    <row r="137" spans="3:7">
      <c r="C137" t="s">
        <v>215</v>
      </c>
      <c r="D137" t="s">
        <v>274</v>
      </c>
      <c r="F137" s="55">
        <v>0.75</v>
      </c>
      <c r="G137" s="48" t="s">
        <v>275</v>
      </c>
    </row>
    <row r="138" spans="3:7">
      <c r="C138" t="s">
        <v>216</v>
      </c>
      <c r="D138" t="s">
        <v>274</v>
      </c>
      <c r="F138" s="55">
        <v>1</v>
      </c>
      <c r="G138" s="48" t="s">
        <v>275</v>
      </c>
    </row>
    <row r="139" spans="3:7">
      <c r="C139" t="s">
        <v>217</v>
      </c>
      <c r="D139" t="s">
        <v>274</v>
      </c>
      <c r="F139" s="55">
        <v>0.75</v>
      </c>
      <c r="G139" s="48" t="s">
        <v>275</v>
      </c>
    </row>
    <row r="140" spans="3:7">
      <c r="C140" t="s">
        <v>218</v>
      </c>
      <c r="D140" t="s">
        <v>274</v>
      </c>
      <c r="F140" s="55">
        <v>1</v>
      </c>
      <c r="G140" s="48" t="s">
        <v>275</v>
      </c>
    </row>
    <row r="141" spans="3:7">
      <c r="C141" t="s">
        <v>219</v>
      </c>
      <c r="D141" t="s">
        <v>274</v>
      </c>
      <c r="F141" s="55">
        <v>0.75</v>
      </c>
      <c r="G141" s="48" t="s">
        <v>275</v>
      </c>
    </row>
    <row r="142" spans="3:7">
      <c r="C142" t="s">
        <v>220</v>
      </c>
      <c r="D142" t="s">
        <v>274</v>
      </c>
      <c r="F142" s="55">
        <v>1</v>
      </c>
      <c r="G142" s="48" t="s">
        <v>275</v>
      </c>
    </row>
    <row r="143" spans="3:7">
      <c r="C143" t="s">
        <v>221</v>
      </c>
      <c r="D143" t="s">
        <v>274</v>
      </c>
      <c r="F143" s="55">
        <v>0.75</v>
      </c>
      <c r="G143" s="48" t="s">
        <v>275</v>
      </c>
    </row>
    <row r="144" spans="3:7">
      <c r="C144" t="s">
        <v>222</v>
      </c>
      <c r="D144" t="s">
        <v>274</v>
      </c>
      <c r="F144" s="55">
        <v>1</v>
      </c>
      <c r="G144" s="48" t="s">
        <v>275</v>
      </c>
    </row>
    <row r="145" spans="3:7">
      <c r="C145" t="s">
        <v>223</v>
      </c>
      <c r="D145" t="s">
        <v>274</v>
      </c>
      <c r="F145" s="55">
        <v>0.75</v>
      </c>
      <c r="G145" s="48" t="s">
        <v>275</v>
      </c>
    </row>
    <row r="146" spans="3:7">
      <c r="C146" t="s">
        <v>224</v>
      </c>
      <c r="D146" t="s">
        <v>274</v>
      </c>
      <c r="F146" s="55">
        <v>1</v>
      </c>
      <c r="G146" s="48" t="s">
        <v>275</v>
      </c>
    </row>
    <row r="147" spans="3:7">
      <c r="C147" t="s">
        <v>225</v>
      </c>
      <c r="D147" t="s">
        <v>274</v>
      </c>
      <c r="F147" s="55">
        <v>0.75</v>
      </c>
      <c r="G147" s="48" t="s">
        <v>275</v>
      </c>
    </row>
    <row r="148" spans="3:7">
      <c r="C148" t="s">
        <v>226</v>
      </c>
      <c r="D148" t="s">
        <v>274</v>
      </c>
      <c r="F148" s="55">
        <v>1</v>
      </c>
      <c r="G148" s="48" t="s">
        <v>275</v>
      </c>
    </row>
    <row r="149" spans="3:7">
      <c r="C149" t="s">
        <v>227</v>
      </c>
      <c r="D149" t="s">
        <v>274</v>
      </c>
      <c r="F149" s="55">
        <v>0.75</v>
      </c>
      <c r="G149" s="48" t="s">
        <v>275</v>
      </c>
    </row>
    <row r="150" spans="3:7">
      <c r="C150" t="s">
        <v>228</v>
      </c>
      <c r="D150" t="s">
        <v>274</v>
      </c>
      <c r="F150" s="55">
        <v>1</v>
      </c>
      <c r="G150" s="48" t="s">
        <v>275</v>
      </c>
    </row>
    <row r="151" spans="3:7">
      <c r="C151" t="s">
        <v>229</v>
      </c>
      <c r="D151" t="s">
        <v>274</v>
      </c>
      <c r="F151" s="55">
        <v>0.5</v>
      </c>
      <c r="G151" s="48" t="s">
        <v>275</v>
      </c>
    </row>
    <row r="152" spans="3:7">
      <c r="C152" t="s">
        <v>230</v>
      </c>
      <c r="D152" t="s">
        <v>274</v>
      </c>
      <c r="F152" s="55">
        <v>1</v>
      </c>
      <c r="G152" s="48" t="s">
        <v>275</v>
      </c>
    </row>
    <row r="153" spans="3:7">
      <c r="C153" t="s">
        <v>231</v>
      </c>
      <c r="D153" t="s">
        <v>274</v>
      </c>
      <c r="F153" s="55">
        <v>0.5</v>
      </c>
      <c r="G153" s="48" t="s">
        <v>275</v>
      </c>
    </row>
    <row r="154" spans="3:7">
      <c r="C154" t="s">
        <v>232</v>
      </c>
      <c r="D154" t="s">
        <v>274</v>
      </c>
      <c r="F154" s="55">
        <v>1</v>
      </c>
      <c r="G154" s="48" t="s">
        <v>275</v>
      </c>
    </row>
    <row r="155" spans="3:7">
      <c r="C155" t="s">
        <v>233</v>
      </c>
      <c r="D155" t="s">
        <v>274</v>
      </c>
      <c r="F155" s="55">
        <v>0.5</v>
      </c>
      <c r="G155" s="48" t="s">
        <v>275</v>
      </c>
    </row>
    <row r="156" spans="3:7">
      <c r="C156" t="s">
        <v>234</v>
      </c>
      <c r="D156" t="s">
        <v>274</v>
      </c>
      <c r="F156" s="55">
        <v>1</v>
      </c>
      <c r="G156" s="48" t="s">
        <v>275</v>
      </c>
    </row>
    <row r="157" spans="3:7">
      <c r="C157" t="s">
        <v>235</v>
      </c>
      <c r="D157" t="s">
        <v>274</v>
      </c>
      <c r="F157" s="55">
        <v>0.5</v>
      </c>
      <c r="G157" s="48" t="s">
        <v>275</v>
      </c>
    </row>
    <row r="158" spans="3:7">
      <c r="C158" t="s">
        <v>236</v>
      </c>
      <c r="D158" t="s">
        <v>274</v>
      </c>
      <c r="F158" s="55">
        <v>1</v>
      </c>
      <c r="G158" s="48" t="s">
        <v>275</v>
      </c>
    </row>
    <row r="159" spans="3:7">
      <c r="C159" t="s">
        <v>237</v>
      </c>
      <c r="D159" t="s">
        <v>274</v>
      </c>
      <c r="F159" s="55">
        <v>0.5</v>
      </c>
      <c r="G159" s="48" t="s">
        <v>275</v>
      </c>
    </row>
    <row r="160" spans="3:7">
      <c r="C160" t="s">
        <v>238</v>
      </c>
      <c r="D160" t="s">
        <v>274</v>
      </c>
      <c r="F160" s="55">
        <v>1</v>
      </c>
      <c r="G160" s="48" t="s">
        <v>275</v>
      </c>
    </row>
    <row r="161" spans="3:7">
      <c r="C161" t="s">
        <v>239</v>
      </c>
      <c r="D161" t="s">
        <v>274</v>
      </c>
      <c r="F161" s="55">
        <v>0.5</v>
      </c>
      <c r="G161" s="48" t="s">
        <v>275</v>
      </c>
    </row>
    <row r="162" spans="3:7">
      <c r="C162" t="s">
        <v>240</v>
      </c>
      <c r="D162" t="s">
        <v>274</v>
      </c>
      <c r="F162" s="55">
        <v>1</v>
      </c>
      <c r="G162" s="48" t="s">
        <v>275</v>
      </c>
    </row>
    <row r="163" spans="3:7">
      <c r="C163" t="s">
        <v>241</v>
      </c>
      <c r="D163" t="s">
        <v>274</v>
      </c>
      <c r="F163" s="55">
        <v>0.5</v>
      </c>
      <c r="G163" s="48" t="s">
        <v>275</v>
      </c>
    </row>
    <row r="164" spans="3:7">
      <c r="C164" t="s">
        <v>242</v>
      </c>
      <c r="D164" t="s">
        <v>274</v>
      </c>
      <c r="F164" s="55">
        <v>1</v>
      </c>
      <c r="G164" s="48" t="s">
        <v>275</v>
      </c>
    </row>
    <row r="165" spans="3:7">
      <c r="C165" t="s">
        <v>243</v>
      </c>
      <c r="D165" t="s">
        <v>274</v>
      </c>
      <c r="F165" s="55">
        <v>0.5</v>
      </c>
      <c r="G165" s="48" t="s">
        <v>275</v>
      </c>
    </row>
    <row r="166" spans="3:7">
      <c r="C166" t="s">
        <v>244</v>
      </c>
      <c r="D166" t="s">
        <v>274</v>
      </c>
      <c r="F166" s="55">
        <v>1</v>
      </c>
      <c r="G166" s="48" t="s">
        <v>275</v>
      </c>
    </row>
    <row r="167" spans="3:7">
      <c r="C167" t="s">
        <v>245</v>
      </c>
      <c r="D167" t="s">
        <v>274</v>
      </c>
      <c r="F167" s="55">
        <v>0.5</v>
      </c>
      <c r="G167" s="48" t="s">
        <v>275</v>
      </c>
    </row>
    <row r="168" spans="3:7">
      <c r="C168" t="s">
        <v>246</v>
      </c>
      <c r="D168" t="s">
        <v>274</v>
      </c>
      <c r="F168" s="55">
        <v>1</v>
      </c>
      <c r="G168" s="48" t="s">
        <v>275</v>
      </c>
    </row>
    <row r="169" spans="3:7">
      <c r="C169" t="s">
        <v>247</v>
      </c>
      <c r="D169" t="s">
        <v>274</v>
      </c>
      <c r="F169" s="55">
        <v>0.33</v>
      </c>
      <c r="G169" s="48" t="s">
        <v>275</v>
      </c>
    </row>
    <row r="170" spans="3:7">
      <c r="C170" t="s">
        <v>248</v>
      </c>
      <c r="D170" t="s">
        <v>274</v>
      </c>
      <c r="F170" s="55">
        <v>0.5</v>
      </c>
      <c r="G170" s="48" t="s">
        <v>275</v>
      </c>
    </row>
    <row r="171" spans="3:7">
      <c r="C171" t="s">
        <v>249</v>
      </c>
      <c r="D171" t="s">
        <v>274</v>
      </c>
      <c r="F171" s="55">
        <v>0.33</v>
      </c>
      <c r="G171" s="48" t="s">
        <v>275</v>
      </c>
    </row>
    <row r="172" spans="3:7">
      <c r="C172" t="s">
        <v>250</v>
      </c>
      <c r="D172" t="s">
        <v>274</v>
      </c>
      <c r="F172" s="55">
        <v>0.5</v>
      </c>
      <c r="G172" s="48" t="s">
        <v>275</v>
      </c>
    </row>
    <row r="173" spans="3:7">
      <c r="C173" t="s">
        <v>251</v>
      </c>
      <c r="D173" t="s">
        <v>274</v>
      </c>
      <c r="F173" s="55">
        <v>0.33</v>
      </c>
      <c r="G173" s="48" t="s">
        <v>275</v>
      </c>
    </row>
    <row r="174" spans="3:7">
      <c r="C174" t="s">
        <v>252</v>
      </c>
      <c r="D174" t="s">
        <v>274</v>
      </c>
      <c r="F174" s="55">
        <v>0.5</v>
      </c>
      <c r="G174" s="48" t="s">
        <v>275</v>
      </c>
    </row>
    <row r="175" spans="3:7">
      <c r="C175" t="s">
        <v>253</v>
      </c>
      <c r="D175" t="s">
        <v>274</v>
      </c>
      <c r="F175" s="55">
        <v>0.33</v>
      </c>
      <c r="G175" s="48" t="s">
        <v>275</v>
      </c>
    </row>
    <row r="176" spans="3:7">
      <c r="C176" t="s">
        <v>254</v>
      </c>
      <c r="D176" t="s">
        <v>274</v>
      </c>
      <c r="F176" s="55">
        <v>0.5</v>
      </c>
      <c r="G176" s="48" t="s">
        <v>275</v>
      </c>
    </row>
    <row r="177" spans="3:7">
      <c r="C177" t="s">
        <v>255</v>
      </c>
      <c r="D177" t="s">
        <v>274</v>
      </c>
      <c r="F177" s="55">
        <v>0.5</v>
      </c>
      <c r="G177" s="48" t="s">
        <v>275</v>
      </c>
    </row>
    <row r="178" spans="3:7">
      <c r="C178" t="s">
        <v>256</v>
      </c>
      <c r="D178" t="s">
        <v>274</v>
      </c>
      <c r="F178" s="55">
        <v>0.75</v>
      </c>
      <c r="G178" s="48" t="s">
        <v>275</v>
      </c>
    </row>
    <row r="179" spans="3:7">
      <c r="C179" t="s">
        <v>257</v>
      </c>
      <c r="D179" t="s">
        <v>274</v>
      </c>
      <c r="F179" s="55">
        <v>0.5</v>
      </c>
      <c r="G179" s="48" t="s">
        <v>275</v>
      </c>
    </row>
    <row r="180" spans="3:7">
      <c r="C180" t="s">
        <v>258</v>
      </c>
      <c r="D180" t="s">
        <v>274</v>
      </c>
      <c r="F180" s="55">
        <v>0.75</v>
      </c>
      <c r="G180" s="48" t="s">
        <v>275</v>
      </c>
    </row>
    <row r="181" spans="3:7">
      <c r="C181" t="s">
        <v>259</v>
      </c>
      <c r="D181" t="s">
        <v>274</v>
      </c>
      <c r="F181" s="55">
        <v>0.5</v>
      </c>
      <c r="G181" s="48" t="s">
        <v>275</v>
      </c>
    </row>
    <row r="182" spans="3:7">
      <c r="C182" t="s">
        <v>260</v>
      </c>
      <c r="D182" t="s">
        <v>274</v>
      </c>
      <c r="F182" s="55">
        <v>0.75</v>
      </c>
      <c r="G182" s="48" t="s">
        <v>275</v>
      </c>
    </row>
    <row r="183" spans="3:7">
      <c r="C183" t="s">
        <v>261</v>
      </c>
      <c r="D183" t="s">
        <v>274</v>
      </c>
      <c r="F183" s="55">
        <v>0.33</v>
      </c>
      <c r="G183" s="48" t="s">
        <v>275</v>
      </c>
    </row>
    <row r="184" spans="3:7">
      <c r="C184" t="s">
        <v>262</v>
      </c>
      <c r="D184" t="s">
        <v>274</v>
      </c>
      <c r="F184" s="55">
        <v>0.5</v>
      </c>
      <c r="G184" s="48" t="s">
        <v>275</v>
      </c>
    </row>
    <row r="185" spans="3:7">
      <c r="C185" t="s">
        <v>263</v>
      </c>
      <c r="D185" t="s">
        <v>274</v>
      </c>
      <c r="F185" s="55">
        <v>1</v>
      </c>
      <c r="G185" s="48" t="s">
        <v>275</v>
      </c>
    </row>
    <row r="186" spans="3:7">
      <c r="C186" t="s">
        <v>264</v>
      </c>
      <c r="D186" t="s">
        <v>274</v>
      </c>
      <c r="F186" s="55">
        <v>0.33</v>
      </c>
      <c r="G186" s="48" t="s">
        <v>275</v>
      </c>
    </row>
    <row r="187" spans="3:7">
      <c r="C187" t="s">
        <v>265</v>
      </c>
      <c r="D187" t="s">
        <v>274</v>
      </c>
      <c r="F187" s="55">
        <v>0.5</v>
      </c>
      <c r="G187" s="48" t="s">
        <v>275</v>
      </c>
    </row>
    <row r="188" spans="3:7">
      <c r="C188" t="s">
        <v>266</v>
      </c>
      <c r="D188" t="s">
        <v>274</v>
      </c>
      <c r="F188" s="55">
        <v>1</v>
      </c>
      <c r="G188" s="48" t="s">
        <v>275</v>
      </c>
    </row>
    <row r="189" spans="3:7">
      <c r="C189" t="s">
        <v>267</v>
      </c>
      <c r="D189" t="s">
        <v>274</v>
      </c>
      <c r="F189" s="55">
        <v>0.33</v>
      </c>
      <c r="G189" s="48" t="s">
        <v>275</v>
      </c>
    </row>
    <row r="190" spans="3:7">
      <c r="C190" t="s">
        <v>268</v>
      </c>
      <c r="D190" t="s">
        <v>274</v>
      </c>
      <c r="F190" s="55">
        <v>0.5</v>
      </c>
      <c r="G190" s="48" t="s">
        <v>275</v>
      </c>
    </row>
    <row r="191" spans="3:7">
      <c r="C191" t="s">
        <v>269</v>
      </c>
      <c r="D191" t="s">
        <v>274</v>
      </c>
      <c r="F191" s="55">
        <v>0.75</v>
      </c>
      <c r="G191" s="48" t="s">
        <v>275</v>
      </c>
    </row>
    <row r="192" spans="3:7">
      <c r="C192" t="s">
        <v>270</v>
      </c>
      <c r="D192" t="s">
        <v>274</v>
      </c>
      <c r="F192" s="55">
        <v>0.33</v>
      </c>
      <c r="G192" s="48" t="s">
        <v>275</v>
      </c>
    </row>
    <row r="193" spans="3:9">
      <c r="C193" t="s">
        <v>271</v>
      </c>
      <c r="D193" t="s">
        <v>274</v>
      </c>
      <c r="F193" s="55">
        <v>0.5</v>
      </c>
      <c r="G193" s="48" t="s">
        <v>275</v>
      </c>
    </row>
    <row r="194" spans="3:9">
      <c r="C194" t="s">
        <v>272</v>
      </c>
      <c r="D194" t="s">
        <v>274</v>
      </c>
      <c r="F194" s="55">
        <v>0.75</v>
      </c>
      <c r="G194" s="48" t="s">
        <v>275</v>
      </c>
    </row>
    <row r="195" spans="3:9">
      <c r="G195" s="48"/>
    </row>
    <row r="196" spans="3:9">
      <c r="C196" t="s">
        <v>204</v>
      </c>
      <c r="D196" t="s">
        <v>276</v>
      </c>
      <c r="F196" s="55">
        <v>1.29</v>
      </c>
      <c r="G196" s="48" t="s">
        <v>129</v>
      </c>
      <c r="H196">
        <v>2026</v>
      </c>
      <c r="I196" s="1"/>
    </row>
    <row r="197" spans="3:9">
      <c r="C197" t="s">
        <v>205</v>
      </c>
      <c r="D197" t="s">
        <v>276</v>
      </c>
      <c r="F197" s="55">
        <v>2.4900000000000002</v>
      </c>
      <c r="G197" s="48" t="s">
        <v>129</v>
      </c>
      <c r="H197">
        <v>2026</v>
      </c>
    </row>
    <row r="198" spans="3:9">
      <c r="C198" t="s">
        <v>206</v>
      </c>
      <c r="D198" t="s">
        <v>276</v>
      </c>
      <c r="F198" s="55">
        <v>1.39</v>
      </c>
      <c r="G198" s="48" t="s">
        <v>129</v>
      </c>
      <c r="H198">
        <v>2026</v>
      </c>
    </row>
    <row r="199" spans="3:9">
      <c r="C199" t="s">
        <v>207</v>
      </c>
      <c r="D199" t="s">
        <v>276</v>
      </c>
      <c r="F199" s="55">
        <v>1.99</v>
      </c>
      <c r="G199" s="48" t="s">
        <v>129</v>
      </c>
      <c r="H199">
        <v>2026</v>
      </c>
    </row>
    <row r="200" spans="3:9">
      <c r="C200" t="s">
        <v>208</v>
      </c>
      <c r="D200" t="s">
        <v>276</v>
      </c>
      <c r="F200" s="55">
        <v>2.69</v>
      </c>
      <c r="G200" s="48" t="s">
        <v>129</v>
      </c>
      <c r="H200">
        <v>2026</v>
      </c>
    </row>
    <row r="201" spans="3:9">
      <c r="C201" t="s">
        <v>209</v>
      </c>
      <c r="D201" t="s">
        <v>276</v>
      </c>
      <c r="F201" s="55">
        <v>1.49</v>
      </c>
      <c r="G201" s="48" t="s">
        <v>129</v>
      </c>
      <c r="H201">
        <v>2026</v>
      </c>
    </row>
    <row r="202" spans="3:9">
      <c r="C202" t="s">
        <v>210</v>
      </c>
      <c r="D202" t="s">
        <v>276</v>
      </c>
      <c r="F202" s="55">
        <v>2.79</v>
      </c>
      <c r="G202" s="48" t="s">
        <v>129</v>
      </c>
      <c r="H202">
        <v>2026</v>
      </c>
    </row>
    <row r="203" spans="3:9">
      <c r="C203" t="s">
        <v>211</v>
      </c>
      <c r="D203" t="s">
        <v>276</v>
      </c>
      <c r="F203" s="55">
        <v>1.49</v>
      </c>
      <c r="G203" s="48" t="s">
        <v>129</v>
      </c>
      <c r="H203">
        <v>2026</v>
      </c>
    </row>
    <row r="204" spans="3:9">
      <c r="C204" t="s">
        <v>212</v>
      </c>
      <c r="D204" t="s">
        <v>276</v>
      </c>
      <c r="F204" s="55">
        <v>2.79</v>
      </c>
      <c r="G204" s="48" t="s">
        <v>129</v>
      </c>
      <c r="H204">
        <v>2026</v>
      </c>
    </row>
    <row r="205" spans="3:9">
      <c r="C205" t="s">
        <v>213</v>
      </c>
      <c r="D205" t="s">
        <v>276</v>
      </c>
      <c r="F205" s="55">
        <v>1.89</v>
      </c>
      <c r="G205" s="48" t="s">
        <v>129</v>
      </c>
      <c r="H205">
        <v>2026</v>
      </c>
    </row>
    <row r="206" spans="3:9">
      <c r="C206" t="s">
        <v>214</v>
      </c>
      <c r="D206" t="s">
        <v>276</v>
      </c>
      <c r="F206" s="55">
        <v>2.39</v>
      </c>
      <c r="G206" s="48" t="s">
        <v>129</v>
      </c>
      <c r="H206">
        <v>2026</v>
      </c>
    </row>
    <row r="207" spans="3:9">
      <c r="C207" t="s">
        <v>215</v>
      </c>
      <c r="D207" t="s">
        <v>276</v>
      </c>
      <c r="F207" s="55">
        <v>1.89</v>
      </c>
      <c r="G207" s="48" t="s">
        <v>129</v>
      </c>
      <c r="H207">
        <v>2026</v>
      </c>
    </row>
    <row r="208" spans="3:9">
      <c r="C208" t="s">
        <v>216</v>
      </c>
      <c r="D208" t="s">
        <v>276</v>
      </c>
      <c r="F208" s="55">
        <v>2.39</v>
      </c>
      <c r="G208" s="48" t="s">
        <v>129</v>
      </c>
      <c r="H208">
        <v>2026</v>
      </c>
    </row>
    <row r="209" spans="3:8">
      <c r="C209" t="s">
        <v>217</v>
      </c>
      <c r="D209" t="s">
        <v>276</v>
      </c>
      <c r="F209" s="55">
        <v>1.99</v>
      </c>
      <c r="G209" s="48" t="s">
        <v>129</v>
      </c>
      <c r="H209">
        <v>2026</v>
      </c>
    </row>
    <row r="210" spans="3:8">
      <c r="C210" t="s">
        <v>218</v>
      </c>
      <c r="D210" t="s">
        <v>276</v>
      </c>
      <c r="F210" s="55">
        <v>2.4900000000000002</v>
      </c>
      <c r="G210" s="48" t="s">
        <v>129</v>
      </c>
      <c r="H210">
        <v>2026</v>
      </c>
    </row>
    <row r="211" spans="3:8">
      <c r="C211" t="s">
        <v>219</v>
      </c>
      <c r="D211" t="s">
        <v>276</v>
      </c>
      <c r="F211" s="55">
        <v>1.99</v>
      </c>
      <c r="G211" s="48" t="s">
        <v>129</v>
      </c>
      <c r="H211">
        <v>2026</v>
      </c>
    </row>
    <row r="212" spans="3:8">
      <c r="C212" t="s">
        <v>220</v>
      </c>
      <c r="D212" t="s">
        <v>276</v>
      </c>
      <c r="F212" s="55">
        <v>2.4900000000000002</v>
      </c>
      <c r="G212" s="48" t="s">
        <v>129</v>
      </c>
      <c r="H212">
        <v>2026</v>
      </c>
    </row>
    <row r="213" spans="3:8">
      <c r="C213" t="s">
        <v>221</v>
      </c>
      <c r="D213" t="s">
        <v>276</v>
      </c>
      <c r="F213" s="55">
        <v>1.89</v>
      </c>
      <c r="G213" s="48" t="s">
        <v>129</v>
      </c>
      <c r="H213">
        <v>2026</v>
      </c>
    </row>
    <row r="214" spans="3:8">
      <c r="C214" t="s">
        <v>222</v>
      </c>
      <c r="D214" t="s">
        <v>276</v>
      </c>
      <c r="F214" s="55">
        <v>2.39</v>
      </c>
      <c r="G214" s="48" t="s">
        <v>129</v>
      </c>
      <c r="H214">
        <v>2026</v>
      </c>
    </row>
    <row r="215" spans="3:8">
      <c r="C215" t="s">
        <v>223</v>
      </c>
      <c r="D215" t="s">
        <v>276</v>
      </c>
      <c r="F215" s="55">
        <v>1.99</v>
      </c>
      <c r="G215" s="48" t="s">
        <v>129</v>
      </c>
      <c r="H215">
        <v>2026</v>
      </c>
    </row>
    <row r="216" spans="3:8">
      <c r="C216" t="s">
        <v>224</v>
      </c>
      <c r="D216" t="s">
        <v>276</v>
      </c>
      <c r="F216" s="55">
        <v>2.4900000000000002</v>
      </c>
      <c r="G216" s="48" t="s">
        <v>129</v>
      </c>
      <c r="H216">
        <v>2026</v>
      </c>
    </row>
    <row r="217" spans="3:8">
      <c r="C217" t="s">
        <v>225</v>
      </c>
      <c r="D217" t="s">
        <v>276</v>
      </c>
      <c r="F217" s="55">
        <v>2.09</v>
      </c>
      <c r="G217" s="48" t="s">
        <v>129</v>
      </c>
      <c r="H217">
        <v>2026</v>
      </c>
    </row>
    <row r="218" spans="3:8">
      <c r="C218" t="s">
        <v>226</v>
      </c>
      <c r="D218" t="s">
        <v>276</v>
      </c>
      <c r="F218" s="55">
        <v>2.59</v>
      </c>
      <c r="G218" s="48" t="s">
        <v>129</v>
      </c>
      <c r="H218">
        <v>2026</v>
      </c>
    </row>
    <row r="219" spans="3:8">
      <c r="C219" t="s">
        <v>227</v>
      </c>
      <c r="D219" t="s">
        <v>276</v>
      </c>
      <c r="F219" s="55">
        <v>1.79</v>
      </c>
      <c r="G219" s="48" t="s">
        <v>129</v>
      </c>
      <c r="H219">
        <v>2026</v>
      </c>
    </row>
    <row r="220" spans="3:8">
      <c r="C220" t="s">
        <v>228</v>
      </c>
      <c r="D220" t="s">
        <v>276</v>
      </c>
      <c r="F220" s="55">
        <v>2.29</v>
      </c>
      <c r="G220" s="48" t="s">
        <v>129</v>
      </c>
      <c r="H220">
        <v>2026</v>
      </c>
    </row>
    <row r="221" spans="3:8">
      <c r="C221" t="s">
        <v>229</v>
      </c>
      <c r="D221" t="s">
        <v>276</v>
      </c>
      <c r="F221" s="55">
        <v>1.29</v>
      </c>
      <c r="G221" s="48" t="s">
        <v>129</v>
      </c>
      <c r="H221">
        <v>2026</v>
      </c>
    </row>
    <row r="222" spans="3:8">
      <c r="C222" t="s">
        <v>230</v>
      </c>
      <c r="D222" t="s">
        <v>276</v>
      </c>
      <c r="F222" s="55">
        <v>2.4900000000000002</v>
      </c>
      <c r="G222" s="48" t="s">
        <v>129</v>
      </c>
      <c r="H222">
        <v>2026</v>
      </c>
    </row>
    <row r="223" spans="3:8">
      <c r="C223" t="s">
        <v>231</v>
      </c>
      <c r="D223" t="s">
        <v>276</v>
      </c>
      <c r="F223" s="55">
        <v>1.29</v>
      </c>
      <c r="G223" s="48" t="s">
        <v>129</v>
      </c>
      <c r="H223">
        <v>2026</v>
      </c>
    </row>
    <row r="224" spans="3:8">
      <c r="C224" t="s">
        <v>232</v>
      </c>
      <c r="D224" t="s">
        <v>276</v>
      </c>
      <c r="F224" s="55">
        <v>2.4900000000000002</v>
      </c>
      <c r="G224" s="48" t="s">
        <v>129</v>
      </c>
      <c r="H224">
        <v>2026</v>
      </c>
    </row>
    <row r="225" spans="3:8">
      <c r="C225" t="s">
        <v>233</v>
      </c>
      <c r="D225" t="s">
        <v>276</v>
      </c>
      <c r="F225" s="55">
        <v>1.39</v>
      </c>
      <c r="G225" s="48" t="s">
        <v>129</v>
      </c>
      <c r="H225">
        <v>2026</v>
      </c>
    </row>
    <row r="226" spans="3:8">
      <c r="C226" t="s">
        <v>234</v>
      </c>
      <c r="D226" t="s">
        <v>276</v>
      </c>
      <c r="F226" s="55">
        <v>2.59</v>
      </c>
      <c r="G226" s="48" t="s">
        <v>129</v>
      </c>
      <c r="H226">
        <v>2026</v>
      </c>
    </row>
    <row r="227" spans="3:8">
      <c r="C227" t="s">
        <v>235</v>
      </c>
      <c r="D227" t="s">
        <v>276</v>
      </c>
      <c r="F227" s="55">
        <v>1.39</v>
      </c>
      <c r="G227" s="48" t="s">
        <v>129</v>
      </c>
      <c r="H227">
        <v>2026</v>
      </c>
    </row>
    <row r="228" spans="3:8">
      <c r="C228" t="s">
        <v>236</v>
      </c>
      <c r="D228" t="s">
        <v>276</v>
      </c>
      <c r="F228" s="55">
        <v>2.59</v>
      </c>
      <c r="G228" s="48" t="s">
        <v>129</v>
      </c>
      <c r="H228">
        <v>2026</v>
      </c>
    </row>
    <row r="229" spans="3:8">
      <c r="C229" t="s">
        <v>237</v>
      </c>
      <c r="D229" t="s">
        <v>276</v>
      </c>
      <c r="F229" s="55">
        <v>1.39</v>
      </c>
      <c r="G229" s="48" t="s">
        <v>129</v>
      </c>
      <c r="H229">
        <v>2026</v>
      </c>
    </row>
    <row r="230" spans="3:8">
      <c r="C230" t="s">
        <v>238</v>
      </c>
      <c r="D230" t="s">
        <v>276</v>
      </c>
      <c r="F230" s="55">
        <v>2.59</v>
      </c>
      <c r="G230" s="48" t="s">
        <v>129</v>
      </c>
      <c r="H230">
        <v>2026</v>
      </c>
    </row>
    <row r="231" spans="3:8">
      <c r="C231" t="s">
        <v>239</v>
      </c>
      <c r="D231" t="s">
        <v>276</v>
      </c>
      <c r="F231" s="55">
        <v>1.39</v>
      </c>
      <c r="G231" s="48" t="s">
        <v>129</v>
      </c>
      <c r="H231">
        <v>2026</v>
      </c>
    </row>
    <row r="232" spans="3:8">
      <c r="C232" t="s">
        <v>240</v>
      </c>
      <c r="D232" t="s">
        <v>276</v>
      </c>
      <c r="F232" s="55">
        <v>2.59</v>
      </c>
      <c r="G232" s="48" t="s">
        <v>129</v>
      </c>
      <c r="H232">
        <v>2026</v>
      </c>
    </row>
    <row r="233" spans="3:8">
      <c r="C233" t="s">
        <v>241</v>
      </c>
      <c r="D233" t="s">
        <v>276</v>
      </c>
      <c r="F233" s="55">
        <v>1.29</v>
      </c>
      <c r="G233" s="48" t="s">
        <v>129</v>
      </c>
      <c r="H233">
        <v>2026</v>
      </c>
    </row>
    <row r="234" spans="3:8">
      <c r="C234" t="s">
        <v>242</v>
      </c>
      <c r="D234" t="s">
        <v>276</v>
      </c>
      <c r="F234" s="55">
        <v>2.4900000000000002</v>
      </c>
      <c r="G234" s="48" t="s">
        <v>129</v>
      </c>
      <c r="H234">
        <v>2026</v>
      </c>
    </row>
    <row r="235" spans="3:8">
      <c r="C235" t="s">
        <v>243</v>
      </c>
      <c r="D235" t="s">
        <v>276</v>
      </c>
      <c r="F235" s="55">
        <v>1.29</v>
      </c>
      <c r="G235" s="48" t="s">
        <v>129</v>
      </c>
      <c r="H235">
        <v>2026</v>
      </c>
    </row>
    <row r="236" spans="3:8">
      <c r="C236" t="s">
        <v>244</v>
      </c>
      <c r="D236" t="s">
        <v>276</v>
      </c>
      <c r="F236" s="55">
        <v>2.4900000000000002</v>
      </c>
      <c r="G236" s="48" t="s">
        <v>129</v>
      </c>
      <c r="H236">
        <v>2026</v>
      </c>
    </row>
    <row r="237" spans="3:8">
      <c r="C237" t="s">
        <v>245</v>
      </c>
      <c r="D237" t="s">
        <v>276</v>
      </c>
      <c r="F237" s="55">
        <v>1.29</v>
      </c>
      <c r="G237" s="48" t="s">
        <v>129</v>
      </c>
      <c r="H237">
        <v>2026</v>
      </c>
    </row>
    <row r="238" spans="3:8">
      <c r="C238" t="s">
        <v>246</v>
      </c>
      <c r="D238" t="s">
        <v>276</v>
      </c>
      <c r="F238" s="55">
        <v>2.4900000000000002</v>
      </c>
      <c r="G238" s="48" t="s">
        <v>129</v>
      </c>
      <c r="H238">
        <v>2026</v>
      </c>
    </row>
    <row r="239" spans="3:8">
      <c r="C239" t="s">
        <v>247</v>
      </c>
      <c r="D239" t="s">
        <v>276</v>
      </c>
      <c r="F239" s="55">
        <v>0.89</v>
      </c>
      <c r="G239" s="48" t="s">
        <v>129</v>
      </c>
      <c r="H239">
        <v>2026</v>
      </c>
    </row>
    <row r="240" spans="3:8">
      <c r="C240" t="s">
        <v>248</v>
      </c>
      <c r="D240" t="s">
        <v>276</v>
      </c>
      <c r="F240" s="55">
        <v>1.29</v>
      </c>
      <c r="G240" s="48" t="s">
        <v>129</v>
      </c>
      <c r="H240">
        <v>2026</v>
      </c>
    </row>
    <row r="241" spans="3:8">
      <c r="C241" t="s">
        <v>249</v>
      </c>
      <c r="D241" t="s">
        <v>276</v>
      </c>
      <c r="F241" s="55">
        <v>0.99</v>
      </c>
      <c r="G241" s="48" t="s">
        <v>129</v>
      </c>
      <c r="H241">
        <v>2026</v>
      </c>
    </row>
    <row r="242" spans="3:8">
      <c r="C242" t="s">
        <v>250</v>
      </c>
      <c r="D242" t="s">
        <v>276</v>
      </c>
      <c r="F242" s="55">
        <v>1.39</v>
      </c>
      <c r="G242" s="48" t="s">
        <v>129</v>
      </c>
      <c r="H242">
        <v>2026</v>
      </c>
    </row>
    <row r="243" spans="3:8">
      <c r="C243" t="s">
        <v>251</v>
      </c>
      <c r="D243" t="s">
        <v>276</v>
      </c>
      <c r="F243" s="55">
        <v>0.99</v>
      </c>
      <c r="G243" s="48" t="s">
        <v>129</v>
      </c>
      <c r="H243">
        <v>2026</v>
      </c>
    </row>
    <row r="244" spans="3:8">
      <c r="C244" t="s">
        <v>252</v>
      </c>
      <c r="D244" t="s">
        <v>276</v>
      </c>
      <c r="F244" s="55">
        <v>1.39</v>
      </c>
      <c r="G244" s="48" t="s">
        <v>129</v>
      </c>
      <c r="H244">
        <v>2026</v>
      </c>
    </row>
    <row r="245" spans="3:8">
      <c r="C245" t="s">
        <v>253</v>
      </c>
      <c r="D245" t="s">
        <v>276</v>
      </c>
      <c r="F245" s="55">
        <v>0.99</v>
      </c>
      <c r="G245" s="48" t="s">
        <v>129</v>
      </c>
      <c r="H245">
        <v>2026</v>
      </c>
    </row>
    <row r="246" spans="3:8">
      <c r="C246" t="s">
        <v>254</v>
      </c>
      <c r="D246" t="s">
        <v>276</v>
      </c>
      <c r="F246" s="55">
        <v>1.39</v>
      </c>
      <c r="G246" s="48" t="s">
        <v>129</v>
      </c>
      <c r="H246">
        <v>2026</v>
      </c>
    </row>
    <row r="247" spans="3:8">
      <c r="C247" t="s">
        <v>255</v>
      </c>
      <c r="D247" t="s">
        <v>276</v>
      </c>
      <c r="F247" s="55">
        <v>1.49</v>
      </c>
      <c r="G247" s="48" t="s">
        <v>129</v>
      </c>
      <c r="H247">
        <v>2026</v>
      </c>
    </row>
    <row r="248" spans="3:8">
      <c r="C248" t="s">
        <v>256</v>
      </c>
      <c r="D248" t="s">
        <v>276</v>
      </c>
      <c r="F248" s="55">
        <v>1.99</v>
      </c>
      <c r="G248" s="48" t="s">
        <v>129</v>
      </c>
      <c r="H248">
        <v>2026</v>
      </c>
    </row>
    <row r="249" spans="3:8">
      <c r="C249" t="s">
        <v>257</v>
      </c>
      <c r="D249" t="s">
        <v>276</v>
      </c>
      <c r="F249" s="55">
        <v>1.59</v>
      </c>
      <c r="G249" s="48" t="s">
        <v>129</v>
      </c>
      <c r="H249">
        <v>2026</v>
      </c>
    </row>
    <row r="250" spans="3:8">
      <c r="C250" t="s">
        <v>258</v>
      </c>
      <c r="D250" t="s">
        <v>276</v>
      </c>
      <c r="F250" s="55">
        <v>2.09</v>
      </c>
      <c r="G250" s="48" t="s">
        <v>129</v>
      </c>
      <c r="H250">
        <v>2026</v>
      </c>
    </row>
    <row r="251" spans="3:8">
      <c r="C251" t="s">
        <v>259</v>
      </c>
      <c r="D251" t="s">
        <v>276</v>
      </c>
      <c r="F251" s="55">
        <v>1.59</v>
      </c>
      <c r="G251" s="48" t="s">
        <v>129</v>
      </c>
      <c r="H251">
        <v>2026</v>
      </c>
    </row>
    <row r="252" spans="3:8">
      <c r="C252" t="s">
        <v>260</v>
      </c>
      <c r="D252" t="s">
        <v>276</v>
      </c>
      <c r="F252" s="55">
        <v>2.09</v>
      </c>
      <c r="G252" s="48" t="s">
        <v>129</v>
      </c>
      <c r="H252">
        <v>2026</v>
      </c>
    </row>
    <row r="253" spans="3:8">
      <c r="C253" t="s">
        <v>261</v>
      </c>
      <c r="D253" t="s">
        <v>276</v>
      </c>
      <c r="F253" s="55">
        <v>0.89</v>
      </c>
      <c r="G253" s="48" t="s">
        <v>129</v>
      </c>
      <c r="H253">
        <v>2026</v>
      </c>
    </row>
    <row r="254" spans="3:8">
      <c r="C254" t="s">
        <v>262</v>
      </c>
      <c r="D254" t="s">
        <v>276</v>
      </c>
      <c r="F254" s="55">
        <v>1.29</v>
      </c>
      <c r="G254" s="48" t="s">
        <v>129</v>
      </c>
      <c r="H254">
        <v>2026</v>
      </c>
    </row>
    <row r="255" spans="3:8">
      <c r="C255" t="s">
        <v>263</v>
      </c>
      <c r="D255" t="s">
        <v>276</v>
      </c>
      <c r="F255" s="55">
        <v>1.99</v>
      </c>
      <c r="G255" s="48" t="s">
        <v>129</v>
      </c>
      <c r="H255">
        <v>2026</v>
      </c>
    </row>
    <row r="256" spans="3:8">
      <c r="C256" t="s">
        <v>264</v>
      </c>
      <c r="D256" t="s">
        <v>276</v>
      </c>
      <c r="F256" s="55">
        <v>0.89</v>
      </c>
      <c r="G256" s="48" t="s">
        <v>129</v>
      </c>
      <c r="H256">
        <v>2026</v>
      </c>
    </row>
    <row r="257" spans="1:40">
      <c r="C257" t="s">
        <v>265</v>
      </c>
      <c r="D257" t="s">
        <v>276</v>
      </c>
      <c r="F257" s="55">
        <v>1.29</v>
      </c>
      <c r="G257" s="48" t="s">
        <v>129</v>
      </c>
      <c r="H257">
        <v>2026</v>
      </c>
    </row>
    <row r="258" spans="1:40">
      <c r="C258" t="s">
        <v>266</v>
      </c>
      <c r="D258" t="s">
        <v>276</v>
      </c>
      <c r="F258" s="55">
        <v>1.99</v>
      </c>
      <c r="G258" s="48" t="s">
        <v>129</v>
      </c>
      <c r="H258">
        <v>2026</v>
      </c>
    </row>
    <row r="259" spans="1:40">
      <c r="C259" t="s">
        <v>267</v>
      </c>
      <c r="D259" t="s">
        <v>276</v>
      </c>
      <c r="F259" s="55">
        <v>1.49</v>
      </c>
      <c r="G259" s="48" t="s">
        <v>129</v>
      </c>
      <c r="H259">
        <v>2026</v>
      </c>
    </row>
    <row r="260" spans="1:40">
      <c r="C260" t="s">
        <v>268</v>
      </c>
      <c r="D260" t="s">
        <v>276</v>
      </c>
      <c r="F260" s="55">
        <v>1.99</v>
      </c>
      <c r="G260" s="48" t="s">
        <v>129</v>
      </c>
      <c r="H260">
        <v>2026</v>
      </c>
    </row>
    <row r="261" spans="1:40">
      <c r="C261" t="s">
        <v>269</v>
      </c>
      <c r="D261" t="s">
        <v>276</v>
      </c>
      <c r="F261" s="55">
        <v>2.99</v>
      </c>
      <c r="G261" s="48" t="s">
        <v>129</v>
      </c>
      <c r="H261">
        <v>2026</v>
      </c>
    </row>
    <row r="262" spans="1:40">
      <c r="C262" t="s">
        <v>270</v>
      </c>
      <c r="D262" t="s">
        <v>276</v>
      </c>
      <c r="F262" s="55">
        <v>1.49</v>
      </c>
      <c r="G262" s="48" t="s">
        <v>129</v>
      </c>
      <c r="H262">
        <v>2026</v>
      </c>
    </row>
    <row r="263" spans="1:40">
      <c r="C263" t="s">
        <v>271</v>
      </c>
      <c r="D263" t="s">
        <v>276</v>
      </c>
      <c r="F263" s="55">
        <v>1.99</v>
      </c>
      <c r="G263" s="48" t="s">
        <v>129</v>
      </c>
      <c r="H263">
        <v>2026</v>
      </c>
    </row>
    <row r="264" spans="1:40">
      <c r="C264" t="s">
        <v>272</v>
      </c>
      <c r="D264" t="s">
        <v>276</v>
      </c>
      <c r="F264" s="55">
        <v>2.99</v>
      </c>
      <c r="G264" s="48" t="s">
        <v>129</v>
      </c>
      <c r="H264">
        <v>2026</v>
      </c>
    </row>
    <row r="266" spans="1:40" s="53" customFormat="1" ht="14.4" customHeight="1">
      <c r="A266" s="51"/>
      <c r="B266" s="52" t="s">
        <v>287</v>
      </c>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row>
    <row r="268" spans="1:40">
      <c r="C268" t="s">
        <v>60</v>
      </c>
      <c r="D268" t="s">
        <v>295</v>
      </c>
      <c r="F268" s="54">
        <v>-4.4000000000000003E-3</v>
      </c>
      <c r="G268" s="48" t="s">
        <v>135</v>
      </c>
    </row>
    <row r="269" spans="1:40">
      <c r="C269" t="s">
        <v>61</v>
      </c>
      <c r="D269" t="s">
        <v>295</v>
      </c>
      <c r="F269" s="54">
        <v>0.1096</v>
      </c>
      <c r="G269" s="48" t="s">
        <v>135</v>
      </c>
    </row>
    <row r="270" spans="1:40">
      <c r="C270" t="s">
        <v>37</v>
      </c>
      <c r="D270" t="s">
        <v>295</v>
      </c>
      <c r="F270" s="54">
        <v>3.4799999999999998E-2</v>
      </c>
      <c r="G270" s="48" t="s">
        <v>135</v>
      </c>
    </row>
    <row r="271" spans="1:40">
      <c r="C271" t="s">
        <v>38</v>
      </c>
      <c r="D271" t="s">
        <v>295</v>
      </c>
      <c r="F271" s="54">
        <v>-1.52E-2</v>
      </c>
      <c r="G271" s="48" t="s">
        <v>135</v>
      </c>
    </row>
    <row r="272" spans="1:40">
      <c r="C272" t="s">
        <v>62</v>
      </c>
      <c r="D272" t="s">
        <v>295</v>
      </c>
      <c r="F272" s="54">
        <v>-1.66E-2</v>
      </c>
      <c r="G272" s="48" t="s">
        <v>135</v>
      </c>
    </row>
    <row r="273" spans="3:7">
      <c r="C273" t="s">
        <v>63</v>
      </c>
      <c r="D273" t="s">
        <v>295</v>
      </c>
      <c r="F273" s="54">
        <v>-1.4200000000000001E-2</v>
      </c>
      <c r="G273" s="48" t="s">
        <v>135</v>
      </c>
    </row>
    <row r="274" spans="3:7">
      <c r="C274" t="s">
        <v>64</v>
      </c>
      <c r="D274" t="s">
        <v>295</v>
      </c>
      <c r="F274" s="54">
        <v>-1.04E-2</v>
      </c>
      <c r="G274" s="48" t="s">
        <v>135</v>
      </c>
    </row>
    <row r="275" spans="3:7">
      <c r="C275" t="s">
        <v>65</v>
      </c>
      <c r="D275" t="s">
        <v>295</v>
      </c>
      <c r="F275" s="54">
        <v>-1.4E-2</v>
      </c>
      <c r="G275" s="48" t="s">
        <v>135</v>
      </c>
    </row>
    <row r="276" spans="3:7">
      <c r="C276" t="s">
        <v>66</v>
      </c>
      <c r="D276" t="s">
        <v>295</v>
      </c>
      <c r="F276" s="54">
        <v>0.158</v>
      </c>
      <c r="G276" s="48" t="s">
        <v>135</v>
      </c>
    </row>
    <row r="277" spans="3:7">
      <c r="C277" t="s">
        <v>67</v>
      </c>
      <c r="D277" t="s">
        <v>295</v>
      </c>
      <c r="F277" s="54">
        <v>9.1999999999999998E-3</v>
      </c>
      <c r="G277" s="48" t="s">
        <v>135</v>
      </c>
    </row>
    <row r="278" spans="3:7">
      <c r="C278" t="s">
        <v>68</v>
      </c>
      <c r="D278" t="s">
        <v>295</v>
      </c>
      <c r="F278" s="54">
        <v>0.10879999999999999</v>
      </c>
      <c r="G278" s="48" t="s">
        <v>135</v>
      </c>
    </row>
    <row r="279" spans="3:7">
      <c r="C279" t="s">
        <v>69</v>
      </c>
      <c r="D279" t="s">
        <v>295</v>
      </c>
      <c r="F279" s="54">
        <v>-1.2200000000000001E-2</v>
      </c>
      <c r="G279" s="48" t="s">
        <v>135</v>
      </c>
    </row>
    <row r="280" spans="3:7">
      <c r="C280" t="s">
        <v>70</v>
      </c>
      <c r="D280" t="s">
        <v>295</v>
      </c>
      <c r="F280" s="54">
        <v>1.6000000000000001E-3</v>
      </c>
      <c r="G280" s="48" t="s">
        <v>135</v>
      </c>
    </row>
    <row r="281" spans="3:7">
      <c r="C281" t="s">
        <v>71</v>
      </c>
      <c r="D281" t="s">
        <v>295</v>
      </c>
      <c r="F281" s="54">
        <v>0.152</v>
      </c>
      <c r="G281" s="48" t="s">
        <v>135</v>
      </c>
    </row>
    <row r="282" spans="3:7">
      <c r="C282" t="s">
        <v>72</v>
      </c>
      <c r="D282" t="s">
        <v>295</v>
      </c>
      <c r="F282" s="54">
        <v>0.15720000000000001</v>
      </c>
      <c r="G282" s="48" t="s">
        <v>135</v>
      </c>
    </row>
    <row r="283" spans="3:7">
      <c r="C283" t="s">
        <v>73</v>
      </c>
      <c r="D283" t="s">
        <v>295</v>
      </c>
      <c r="F283" s="54">
        <v>4.9200000000000001E-2</v>
      </c>
      <c r="G283" s="48" t="s">
        <v>135</v>
      </c>
    </row>
    <row r="284" spans="3:7">
      <c r="C284" t="s">
        <v>74</v>
      </c>
      <c r="D284" t="s">
        <v>295</v>
      </c>
      <c r="F284" s="54">
        <v>5.6800000000000003E-2</v>
      </c>
      <c r="G284" s="48" t="s">
        <v>135</v>
      </c>
    </row>
    <row r="285" spans="3:7">
      <c r="C285" t="s">
        <v>75</v>
      </c>
      <c r="D285" t="s">
        <v>295</v>
      </c>
      <c r="F285" s="54">
        <v>0.14560000000000001</v>
      </c>
      <c r="G285" s="48" t="s">
        <v>135</v>
      </c>
    </row>
    <row r="286" spans="3:7">
      <c r="C286" t="s">
        <v>76</v>
      </c>
      <c r="D286" t="s">
        <v>295</v>
      </c>
      <c r="F286" s="54">
        <v>3.2000000000000001E-2</v>
      </c>
      <c r="G286" s="48" t="s">
        <v>135</v>
      </c>
    </row>
    <row r="287" spans="3:7">
      <c r="C287" t="s">
        <v>77</v>
      </c>
      <c r="D287" t="s">
        <v>295</v>
      </c>
      <c r="F287" s="54">
        <v>6.4399999999999999E-2</v>
      </c>
      <c r="G287" s="48" t="s">
        <v>135</v>
      </c>
    </row>
    <row r="288" spans="3:7">
      <c r="C288" t="s">
        <v>78</v>
      </c>
      <c r="D288" t="s">
        <v>295</v>
      </c>
      <c r="F288" s="54">
        <v>1.04E-2</v>
      </c>
      <c r="G288" s="48" t="s">
        <v>135</v>
      </c>
    </row>
    <row r="289" spans="3:7">
      <c r="C289" t="s">
        <v>79</v>
      </c>
      <c r="D289" t="s">
        <v>295</v>
      </c>
      <c r="F289" s="54">
        <v>5.96E-2</v>
      </c>
      <c r="G289" s="48" t="s">
        <v>135</v>
      </c>
    </row>
    <row r="290" spans="3:7">
      <c r="C290" t="s">
        <v>80</v>
      </c>
      <c r="D290" t="s">
        <v>295</v>
      </c>
      <c r="F290" s="54">
        <v>-1.4200000000000001E-2</v>
      </c>
      <c r="G290" s="48" t="s">
        <v>135</v>
      </c>
    </row>
    <row r="291" spans="3:7">
      <c r="C291" t="s">
        <v>81</v>
      </c>
      <c r="D291" t="s">
        <v>295</v>
      </c>
      <c r="F291" s="54">
        <v>-1.66E-2</v>
      </c>
      <c r="G291" s="48" t="s">
        <v>135</v>
      </c>
    </row>
    <row r="292" spans="3:7">
      <c r="C292" t="s">
        <v>82</v>
      </c>
      <c r="D292" t="s">
        <v>295</v>
      </c>
      <c r="F292" s="54">
        <v>2.1999999999999999E-2</v>
      </c>
      <c r="G292" s="48" t="s">
        <v>135</v>
      </c>
    </row>
    <row r="293" spans="3:7">
      <c r="C293" t="s">
        <v>83</v>
      </c>
      <c r="D293" t="s">
        <v>295</v>
      </c>
      <c r="F293" s="54">
        <v>2.8E-3</v>
      </c>
      <c r="G293" s="48" t="s">
        <v>135</v>
      </c>
    </row>
    <row r="294" spans="3:7">
      <c r="C294" t="s">
        <v>84</v>
      </c>
      <c r="D294" t="s">
        <v>295</v>
      </c>
      <c r="F294" s="54">
        <v>6.88E-2</v>
      </c>
      <c r="G294" s="48" t="s">
        <v>135</v>
      </c>
    </row>
    <row r="295" spans="3:7">
      <c r="C295" t="s">
        <v>85</v>
      </c>
      <c r="D295" t="s">
        <v>295</v>
      </c>
      <c r="F295" s="54">
        <v>6.5199999999999994E-2</v>
      </c>
      <c r="G295" s="48" t="s">
        <v>135</v>
      </c>
    </row>
    <row r="296" spans="3:7">
      <c r="C296" t="s">
        <v>86</v>
      </c>
      <c r="D296" t="s">
        <v>295</v>
      </c>
      <c r="F296" s="54">
        <v>0.1376</v>
      </c>
      <c r="G296" s="48" t="s">
        <v>135</v>
      </c>
    </row>
    <row r="297" spans="3:7">
      <c r="C297" t="s">
        <v>87</v>
      </c>
      <c r="D297" t="s">
        <v>295</v>
      </c>
      <c r="F297" s="54">
        <v>0.1308</v>
      </c>
      <c r="G297" s="48" t="s">
        <v>135</v>
      </c>
    </row>
    <row r="298" spans="3:7">
      <c r="C298" t="s">
        <v>88</v>
      </c>
      <c r="D298" t="s">
        <v>295</v>
      </c>
      <c r="F298" s="54">
        <v>5.6000000000000001E-2</v>
      </c>
      <c r="G298" s="48" t="s">
        <v>135</v>
      </c>
    </row>
    <row r="299" spans="3:7">
      <c r="C299" t="s">
        <v>89</v>
      </c>
      <c r="D299" t="s">
        <v>295</v>
      </c>
      <c r="F299" s="54">
        <v>-1.12E-2</v>
      </c>
      <c r="G299" s="48" t="s">
        <v>135</v>
      </c>
    </row>
    <row r="300" spans="3:7">
      <c r="F300" s="21"/>
    </row>
    <row r="301" spans="3:7">
      <c r="C301" t="s">
        <v>301</v>
      </c>
      <c r="D301" t="s">
        <v>295</v>
      </c>
      <c r="F301" s="54">
        <v>1.2999999999999999E-2</v>
      </c>
      <c r="G301" s="48" t="s">
        <v>135</v>
      </c>
    </row>
    <row r="302" spans="3:7">
      <c r="C302" t="s">
        <v>288</v>
      </c>
      <c r="D302" t="s">
        <v>295</v>
      </c>
      <c r="F302" s="54">
        <v>7.4000000000000003E-3</v>
      </c>
      <c r="G302" s="48" t="s">
        <v>135</v>
      </c>
    </row>
    <row r="303" spans="3:7">
      <c r="C303" t="s">
        <v>289</v>
      </c>
      <c r="D303" t="s">
        <v>295</v>
      </c>
      <c r="F303" s="54">
        <v>1.6799999999999999E-2</v>
      </c>
      <c r="G303" s="48" t="s">
        <v>135</v>
      </c>
    </row>
    <row r="304" spans="3:7">
      <c r="C304" t="s">
        <v>307</v>
      </c>
      <c r="D304" t="s">
        <v>295</v>
      </c>
      <c r="F304" s="54">
        <v>0.02</v>
      </c>
      <c r="G304" s="48" t="s">
        <v>135</v>
      </c>
    </row>
    <row r="306" spans="1:40" s="53" customFormat="1" ht="14.4" customHeight="1">
      <c r="A306" s="51"/>
      <c r="B306" s="52" t="s">
        <v>25</v>
      </c>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row>
    <row r="308" spans="1:40">
      <c r="C308" t="s">
        <v>280</v>
      </c>
      <c r="F308" s="55">
        <v>0.01</v>
      </c>
      <c r="G308" s="48" t="s">
        <v>281</v>
      </c>
    </row>
    <row r="309" spans="1:40">
      <c r="C309" t="s">
        <v>282</v>
      </c>
      <c r="F309" s="55">
        <v>0.1</v>
      </c>
      <c r="G309" s="48" t="s">
        <v>283</v>
      </c>
    </row>
    <row r="310" spans="1:40">
      <c r="C310" t="s">
        <v>284</v>
      </c>
      <c r="F310" s="55">
        <v>2</v>
      </c>
      <c r="G310" s="48" t="s">
        <v>338</v>
      </c>
    </row>
    <row r="312" spans="1:40" s="53" customFormat="1" ht="14.4" customHeight="1">
      <c r="A312" s="51"/>
      <c r="B312" s="52" t="s">
        <v>291</v>
      </c>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row>
    <row r="314" spans="1:40">
      <c r="C314" t="s">
        <v>292</v>
      </c>
      <c r="F314" s="57">
        <v>46023</v>
      </c>
      <c r="G314" s="48"/>
    </row>
    <row r="315" spans="1:40">
      <c r="C315" t="s">
        <v>312</v>
      </c>
      <c r="F315" s="56">
        <v>10</v>
      </c>
      <c r="G315" s="48" t="s">
        <v>133</v>
      </c>
    </row>
    <row r="316" spans="1:40">
      <c r="C316" t="s">
        <v>304</v>
      </c>
      <c r="F316" s="56">
        <v>30</v>
      </c>
      <c r="G316" s="48"/>
    </row>
    <row r="317" spans="1:40">
      <c r="C317" t="s">
        <v>305</v>
      </c>
      <c r="F317" s="56">
        <v>12</v>
      </c>
      <c r="G317" s="48"/>
    </row>
    <row r="318" spans="1:40">
      <c r="F318" s="48"/>
      <c r="G318" s="48"/>
    </row>
    <row r="319" spans="1:40">
      <c r="C319" t="s">
        <v>308</v>
      </c>
      <c r="D319" t="s">
        <v>108</v>
      </c>
      <c r="F319" s="56">
        <v>1</v>
      </c>
      <c r="G319" s="48"/>
    </row>
    <row r="320" spans="1:40">
      <c r="C320" t="s">
        <v>308</v>
      </c>
      <c r="D320" t="s">
        <v>109</v>
      </c>
      <c r="F320" s="56">
        <v>2</v>
      </c>
      <c r="G320" s="48"/>
    </row>
    <row r="321" spans="1:40">
      <c r="C321" t="s">
        <v>308</v>
      </c>
      <c r="D321" t="s">
        <v>110</v>
      </c>
      <c r="F321" s="56">
        <v>3</v>
      </c>
      <c r="G321" s="48"/>
    </row>
    <row r="322" spans="1:40">
      <c r="C322" t="s">
        <v>308</v>
      </c>
      <c r="D322" t="s">
        <v>111</v>
      </c>
      <c r="F322" s="56">
        <v>4</v>
      </c>
      <c r="G322" s="48"/>
    </row>
    <row r="323" spans="1:40">
      <c r="C323" t="s">
        <v>308</v>
      </c>
      <c r="D323" t="s">
        <v>112</v>
      </c>
      <c r="F323" s="56">
        <v>5</v>
      </c>
      <c r="G323" s="48"/>
    </row>
    <row r="324" spans="1:40">
      <c r="C324" t="s">
        <v>308</v>
      </c>
      <c r="D324" t="s">
        <v>113</v>
      </c>
      <c r="F324" s="56">
        <v>6</v>
      </c>
      <c r="G324" s="48"/>
    </row>
    <row r="325" spans="1:40">
      <c r="C325" t="s">
        <v>308</v>
      </c>
      <c r="D325" t="s">
        <v>114</v>
      </c>
      <c r="F325" s="56">
        <v>7</v>
      </c>
      <c r="G325" s="48"/>
    </row>
    <row r="326" spans="1:40">
      <c r="C326" t="s">
        <v>308</v>
      </c>
      <c r="D326" t="s">
        <v>115</v>
      </c>
      <c r="F326" s="56">
        <v>8</v>
      </c>
      <c r="G326" s="48"/>
    </row>
    <row r="327" spans="1:40">
      <c r="C327" t="s">
        <v>308</v>
      </c>
      <c r="D327" t="s">
        <v>116</v>
      </c>
      <c r="F327" s="56">
        <v>9</v>
      </c>
      <c r="G327" s="48"/>
    </row>
    <row r="328" spans="1:40">
      <c r="C328" t="s">
        <v>308</v>
      </c>
      <c r="D328" t="s">
        <v>117</v>
      </c>
      <c r="F328" s="56">
        <v>10</v>
      </c>
      <c r="G328" s="48"/>
    </row>
    <row r="329" spans="1:40">
      <c r="C329" t="s">
        <v>308</v>
      </c>
      <c r="D329" t="s">
        <v>118</v>
      </c>
      <c r="F329" s="56">
        <v>11</v>
      </c>
      <c r="G329" s="48"/>
    </row>
    <row r="330" spans="1:40">
      <c r="C330" t="s">
        <v>308</v>
      </c>
      <c r="D330" t="s">
        <v>119</v>
      </c>
      <c r="F330" s="56">
        <v>12</v>
      </c>
      <c r="G330" s="48"/>
    </row>
    <row r="332" spans="1:40" s="53" customFormat="1" ht="14.4" customHeight="1">
      <c r="A332" s="51"/>
      <c r="B332" s="52" t="s">
        <v>293</v>
      </c>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row>
    <row r="334" spans="1:40">
      <c r="C334" t="s">
        <v>33</v>
      </c>
      <c r="F334" s="55">
        <v>-206512.66208882257</v>
      </c>
      <c r="G334" s="48" t="s">
        <v>129</v>
      </c>
    </row>
    <row r="335" spans="1:40">
      <c r="C335" t="s">
        <v>13</v>
      </c>
      <c r="F335" s="55">
        <v>4685131.24</v>
      </c>
      <c r="G335" s="48" t="s">
        <v>129</v>
      </c>
    </row>
    <row r="336" spans="1:40">
      <c r="C336" t="s">
        <v>31</v>
      </c>
      <c r="F336" s="55">
        <v>2999999.99</v>
      </c>
      <c r="G336" s="48" t="s">
        <v>129</v>
      </c>
    </row>
    <row r="337" spans="1:40">
      <c r="C337" t="s">
        <v>277</v>
      </c>
      <c r="F337" s="55">
        <v>928123.45</v>
      </c>
      <c r="G337" s="48" t="s">
        <v>129</v>
      </c>
    </row>
    <row r="338" spans="1:40">
      <c r="C338" t="s">
        <v>318</v>
      </c>
      <c r="F338" s="55">
        <v>14261066.666666666</v>
      </c>
      <c r="G338" s="48" t="s">
        <v>129</v>
      </c>
    </row>
    <row r="339" spans="1:40">
      <c r="C339" t="s">
        <v>165</v>
      </c>
      <c r="F339" s="55">
        <v>7040000</v>
      </c>
      <c r="G339" s="48" t="s">
        <v>129</v>
      </c>
    </row>
    <row r="340" spans="1:40">
      <c r="C340" t="s">
        <v>14</v>
      </c>
      <c r="F340" s="55">
        <v>2700012.76</v>
      </c>
      <c r="G340" s="48" t="s">
        <v>129</v>
      </c>
    </row>
    <row r="341" spans="1:40">
      <c r="C341" t="s">
        <v>15</v>
      </c>
      <c r="F341" s="55">
        <v>4754980.2</v>
      </c>
      <c r="G341" s="48" t="s">
        <v>129</v>
      </c>
    </row>
    <row r="342" spans="1:40">
      <c r="C342" t="s">
        <v>21</v>
      </c>
      <c r="F342" s="55">
        <v>14573905.614577841</v>
      </c>
      <c r="G342" s="48" t="s">
        <v>129</v>
      </c>
    </row>
    <row r="343" spans="1:40">
      <c r="C343" t="s">
        <v>16</v>
      </c>
      <c r="F343" s="55">
        <v>3000000</v>
      </c>
      <c r="G343" s="48" t="s">
        <v>129</v>
      </c>
    </row>
    <row r="344" spans="1:40">
      <c r="C344" t="s">
        <v>17</v>
      </c>
      <c r="F344" s="55">
        <v>4678910.1100000003</v>
      </c>
      <c r="G344" s="48" t="s">
        <v>129</v>
      </c>
    </row>
    <row r="346" spans="1:40" s="53" customFormat="1" ht="14.4" customHeight="1">
      <c r="A346" s="51"/>
      <c r="B346" s="52" t="s">
        <v>294</v>
      </c>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6FE5-4330-4787-A575-136FF6E5C227}">
  <sheetPr>
    <tabColor theme="8" tint="0.59999389629810485"/>
  </sheetPr>
  <dimension ref="A1:H70"/>
  <sheetViews>
    <sheetView showGridLines="0" zoomScale="80" zoomScaleNormal="80" workbookViewId="0"/>
  </sheetViews>
  <sheetFormatPr defaultRowHeight="14.4"/>
  <cols>
    <col min="1" max="1" width="33.33203125" customWidth="1"/>
    <col min="2" max="2" width="12.6640625" bestFit="1" customWidth="1"/>
  </cols>
  <sheetData>
    <row r="1" spans="1:8">
      <c r="A1" s="58" t="s">
        <v>286</v>
      </c>
      <c r="B1" s="12">
        <v>2025</v>
      </c>
    </row>
    <row r="2" spans="1:8">
      <c r="A2" s="13" t="s">
        <v>204</v>
      </c>
      <c r="B2" s="59">
        <v>628880</v>
      </c>
      <c r="H2" s="20"/>
    </row>
    <row r="3" spans="1:8">
      <c r="A3" s="13" t="s">
        <v>205</v>
      </c>
      <c r="B3" s="59">
        <v>860800</v>
      </c>
      <c r="H3" s="20"/>
    </row>
    <row r="4" spans="1:8">
      <c r="A4" s="13" t="s">
        <v>206</v>
      </c>
      <c r="B4" s="59">
        <v>440360</v>
      </c>
      <c r="H4" s="20"/>
    </row>
    <row r="5" spans="1:8">
      <c r="A5" s="13" t="s">
        <v>207</v>
      </c>
      <c r="B5" s="59">
        <v>264360</v>
      </c>
      <c r="H5" s="20"/>
    </row>
    <row r="6" spans="1:8">
      <c r="A6" s="13" t="s">
        <v>208</v>
      </c>
      <c r="B6" s="59">
        <v>884960</v>
      </c>
      <c r="H6" s="20"/>
    </row>
    <row r="7" spans="1:8">
      <c r="A7" s="13" t="s">
        <v>209</v>
      </c>
      <c r="B7" s="59">
        <v>436960</v>
      </c>
      <c r="H7" s="20"/>
    </row>
    <row r="8" spans="1:8">
      <c r="A8" s="13" t="s">
        <v>210</v>
      </c>
      <c r="B8" s="59">
        <v>1994240</v>
      </c>
      <c r="H8" s="20"/>
    </row>
    <row r="9" spans="1:8">
      <c r="A9" s="13" t="s">
        <v>211</v>
      </c>
      <c r="B9" s="59">
        <v>1018680</v>
      </c>
      <c r="H9" s="20"/>
    </row>
    <row r="10" spans="1:8">
      <c r="A10" s="13" t="s">
        <v>212</v>
      </c>
      <c r="B10" s="59">
        <v>445640</v>
      </c>
      <c r="H10" s="20"/>
    </row>
    <row r="11" spans="1:8">
      <c r="A11" s="13" t="s">
        <v>213</v>
      </c>
      <c r="B11" s="59">
        <v>190000</v>
      </c>
      <c r="H11" s="20"/>
    </row>
    <row r="12" spans="1:8">
      <c r="A12" s="13" t="s">
        <v>214</v>
      </c>
      <c r="B12" s="59">
        <v>602000</v>
      </c>
      <c r="H12" s="20"/>
    </row>
    <row r="13" spans="1:8">
      <c r="A13" s="13" t="s">
        <v>215</v>
      </c>
      <c r="B13" s="59">
        <v>384720</v>
      </c>
      <c r="H13" s="20"/>
    </row>
    <row r="14" spans="1:8">
      <c r="A14" s="13" t="s">
        <v>216</v>
      </c>
      <c r="B14" s="59">
        <v>698280</v>
      </c>
      <c r="H14" s="20"/>
    </row>
    <row r="15" spans="1:8">
      <c r="A15" s="13" t="s">
        <v>217</v>
      </c>
      <c r="B15" s="59">
        <v>483800</v>
      </c>
      <c r="H15" s="20"/>
    </row>
    <row r="16" spans="1:8">
      <c r="A16" s="13" t="s">
        <v>218</v>
      </c>
      <c r="B16" s="59">
        <v>809360</v>
      </c>
      <c r="H16" s="20"/>
    </row>
    <row r="17" spans="1:8">
      <c r="A17" s="13" t="s">
        <v>219</v>
      </c>
      <c r="B17" s="59">
        <v>698480</v>
      </c>
      <c r="H17" s="20"/>
    </row>
    <row r="18" spans="1:8">
      <c r="A18" s="13" t="s">
        <v>220</v>
      </c>
      <c r="B18" s="59">
        <v>1404560</v>
      </c>
      <c r="H18" s="20"/>
    </row>
    <row r="19" spans="1:8">
      <c r="A19" s="13" t="s">
        <v>221</v>
      </c>
      <c r="B19" s="59">
        <v>220000</v>
      </c>
      <c r="H19" s="20"/>
    </row>
    <row r="20" spans="1:8">
      <c r="A20" s="13" t="s">
        <v>222</v>
      </c>
      <c r="B20" s="59">
        <v>1798560</v>
      </c>
      <c r="H20" s="20"/>
    </row>
    <row r="21" spans="1:8">
      <c r="A21" s="13" t="s">
        <v>223</v>
      </c>
      <c r="B21" s="59">
        <v>1077680</v>
      </c>
      <c r="H21" s="20"/>
    </row>
    <row r="22" spans="1:8">
      <c r="A22" s="13" t="s">
        <v>224</v>
      </c>
      <c r="B22" s="59">
        <v>1522240</v>
      </c>
      <c r="H22" s="20"/>
    </row>
    <row r="23" spans="1:8">
      <c r="A23" s="13" t="s">
        <v>225</v>
      </c>
      <c r="B23" s="59">
        <v>434960</v>
      </c>
      <c r="H23" s="20"/>
    </row>
    <row r="24" spans="1:8">
      <c r="A24" s="13" t="s">
        <v>226</v>
      </c>
      <c r="B24" s="59">
        <v>283280</v>
      </c>
      <c r="H24" s="20"/>
    </row>
    <row r="25" spans="1:8">
      <c r="A25" s="13" t="s">
        <v>227</v>
      </c>
      <c r="B25" s="59">
        <v>440920</v>
      </c>
      <c r="H25" s="20"/>
    </row>
    <row r="26" spans="1:8">
      <c r="A26" s="13" t="s">
        <v>228</v>
      </c>
      <c r="B26" s="59">
        <v>1136680</v>
      </c>
      <c r="H26" s="20"/>
    </row>
    <row r="27" spans="1:8">
      <c r="A27" s="13" t="s">
        <v>229</v>
      </c>
      <c r="B27" s="59">
        <v>738680</v>
      </c>
      <c r="H27" s="20"/>
    </row>
    <row r="28" spans="1:8">
      <c r="A28" s="13" t="s">
        <v>230</v>
      </c>
      <c r="B28" s="59">
        <v>821560</v>
      </c>
      <c r="H28" s="20"/>
    </row>
    <row r="29" spans="1:8">
      <c r="A29" s="13" t="s">
        <v>231</v>
      </c>
      <c r="B29" s="59">
        <v>304840</v>
      </c>
      <c r="H29" s="20"/>
    </row>
    <row r="30" spans="1:8">
      <c r="A30" s="13" t="s">
        <v>232</v>
      </c>
      <c r="B30" s="59">
        <v>1721440</v>
      </c>
      <c r="H30" s="20"/>
    </row>
    <row r="31" spans="1:8">
      <c r="A31" s="13" t="s">
        <v>233</v>
      </c>
      <c r="B31" s="59">
        <v>855760</v>
      </c>
      <c r="H31" s="20"/>
    </row>
    <row r="32" spans="1:8">
      <c r="A32" s="13" t="s">
        <v>234</v>
      </c>
      <c r="B32" s="59">
        <v>1622680</v>
      </c>
      <c r="H32" s="20"/>
    </row>
    <row r="33" spans="1:8">
      <c r="A33" s="13" t="s">
        <v>235</v>
      </c>
      <c r="B33" s="59">
        <v>591440</v>
      </c>
      <c r="H33" s="20"/>
    </row>
    <row r="34" spans="1:8">
      <c r="A34" s="13" t="s">
        <v>236</v>
      </c>
      <c r="B34" s="59">
        <v>1979800</v>
      </c>
      <c r="H34" s="20"/>
    </row>
    <row r="35" spans="1:8">
      <c r="A35" s="13" t="s">
        <v>237</v>
      </c>
      <c r="B35" s="59">
        <v>365000</v>
      </c>
      <c r="H35" s="20"/>
    </row>
    <row r="36" spans="1:8">
      <c r="A36" s="13" t="s">
        <v>238</v>
      </c>
      <c r="B36" s="59">
        <v>1722040</v>
      </c>
      <c r="H36" s="20"/>
    </row>
    <row r="37" spans="1:8">
      <c r="A37" s="13" t="s">
        <v>239</v>
      </c>
      <c r="B37" s="59">
        <v>954160</v>
      </c>
      <c r="H37" s="20"/>
    </row>
    <row r="38" spans="1:8">
      <c r="A38" s="13" t="s">
        <v>240</v>
      </c>
      <c r="B38" s="59">
        <v>375160</v>
      </c>
      <c r="H38" s="20"/>
    </row>
    <row r="39" spans="1:8">
      <c r="A39" s="13" t="s">
        <v>241</v>
      </c>
      <c r="B39" s="59">
        <v>827400</v>
      </c>
      <c r="H39" s="20"/>
    </row>
    <row r="40" spans="1:8">
      <c r="A40" s="13" t="s">
        <v>242</v>
      </c>
      <c r="B40" s="59">
        <v>263400</v>
      </c>
      <c r="H40" s="20"/>
    </row>
    <row r="41" spans="1:8">
      <c r="A41" s="13" t="s">
        <v>243</v>
      </c>
      <c r="B41" s="59">
        <v>476000</v>
      </c>
      <c r="H41" s="20"/>
    </row>
    <row r="42" spans="1:8">
      <c r="A42" s="13" t="s">
        <v>244</v>
      </c>
      <c r="B42" s="59">
        <v>397720</v>
      </c>
      <c r="H42" s="20"/>
    </row>
    <row r="43" spans="1:8">
      <c r="A43" s="13" t="s">
        <v>245</v>
      </c>
      <c r="B43" s="59">
        <v>684920</v>
      </c>
      <c r="H43" s="20"/>
    </row>
    <row r="44" spans="1:8">
      <c r="A44" s="13" t="s">
        <v>246</v>
      </c>
      <c r="B44" s="59">
        <v>894120</v>
      </c>
      <c r="H44" s="20"/>
    </row>
    <row r="45" spans="1:8">
      <c r="A45" s="13" t="s">
        <v>247</v>
      </c>
      <c r="B45" s="59">
        <v>866000</v>
      </c>
      <c r="H45" s="20"/>
    </row>
    <row r="46" spans="1:8">
      <c r="A46" s="13" t="s">
        <v>248</v>
      </c>
      <c r="B46" s="59">
        <v>306160</v>
      </c>
      <c r="H46" s="20"/>
    </row>
    <row r="47" spans="1:8">
      <c r="A47" s="13" t="s">
        <v>249</v>
      </c>
      <c r="B47" s="59">
        <v>876880</v>
      </c>
      <c r="H47" s="20"/>
    </row>
    <row r="48" spans="1:8">
      <c r="A48" s="13" t="s">
        <v>250</v>
      </c>
      <c r="B48" s="59">
        <v>1385640</v>
      </c>
      <c r="H48" s="20"/>
    </row>
    <row r="49" spans="1:8">
      <c r="A49" s="13" t="s">
        <v>251</v>
      </c>
      <c r="B49" s="59">
        <v>1078440</v>
      </c>
      <c r="H49" s="20"/>
    </row>
    <row r="50" spans="1:8">
      <c r="A50" s="13" t="s">
        <v>252</v>
      </c>
      <c r="B50" s="59">
        <v>1105960</v>
      </c>
      <c r="H50" s="20"/>
    </row>
    <row r="51" spans="1:8">
      <c r="A51" s="13" t="s">
        <v>253</v>
      </c>
      <c r="B51" s="59">
        <v>1509360</v>
      </c>
      <c r="H51" s="20"/>
    </row>
    <row r="52" spans="1:8">
      <c r="A52" s="13" t="s">
        <v>254</v>
      </c>
      <c r="B52" s="59">
        <v>595120</v>
      </c>
      <c r="H52" s="20"/>
    </row>
    <row r="53" spans="1:8">
      <c r="A53" s="13" t="s">
        <v>255</v>
      </c>
      <c r="B53" s="59">
        <v>744160</v>
      </c>
      <c r="H53" s="20"/>
    </row>
    <row r="54" spans="1:8">
      <c r="A54" s="13" t="s">
        <v>256</v>
      </c>
      <c r="B54" s="59">
        <v>931320</v>
      </c>
      <c r="H54" s="20"/>
    </row>
    <row r="55" spans="1:8">
      <c r="A55" s="13" t="s">
        <v>257</v>
      </c>
      <c r="B55" s="59">
        <v>1579400</v>
      </c>
      <c r="H55" s="20"/>
    </row>
    <row r="56" spans="1:8">
      <c r="A56" s="13" t="s">
        <v>258</v>
      </c>
      <c r="B56" s="59">
        <v>1130080</v>
      </c>
      <c r="H56" s="20"/>
    </row>
    <row r="57" spans="1:8">
      <c r="A57" s="13" t="s">
        <v>259</v>
      </c>
      <c r="B57" s="59">
        <v>1332760</v>
      </c>
      <c r="H57" s="20"/>
    </row>
    <row r="58" spans="1:8">
      <c r="A58" s="13" t="s">
        <v>260</v>
      </c>
      <c r="B58" s="59">
        <v>182040</v>
      </c>
      <c r="H58" s="20"/>
    </row>
    <row r="59" spans="1:8">
      <c r="A59" s="13" t="s">
        <v>261</v>
      </c>
      <c r="B59" s="59">
        <v>734520</v>
      </c>
      <c r="H59" s="20"/>
    </row>
    <row r="60" spans="1:8">
      <c r="A60" s="13" t="s">
        <v>262</v>
      </c>
      <c r="B60" s="59">
        <v>739200</v>
      </c>
      <c r="H60" s="20"/>
    </row>
    <row r="61" spans="1:8">
      <c r="A61" s="13" t="s">
        <v>263</v>
      </c>
      <c r="B61" s="59">
        <v>686120</v>
      </c>
      <c r="H61" s="20"/>
    </row>
    <row r="62" spans="1:8">
      <c r="A62" s="13" t="s">
        <v>264</v>
      </c>
      <c r="B62" s="59">
        <v>472400</v>
      </c>
      <c r="H62" s="20"/>
    </row>
    <row r="63" spans="1:8">
      <c r="A63" s="13" t="s">
        <v>265</v>
      </c>
      <c r="B63" s="59">
        <v>987400</v>
      </c>
      <c r="H63" s="20"/>
    </row>
    <row r="64" spans="1:8">
      <c r="A64" s="13" t="s">
        <v>266</v>
      </c>
      <c r="B64" s="59">
        <v>466760</v>
      </c>
      <c r="H64" s="20"/>
    </row>
    <row r="65" spans="1:8">
      <c r="A65" s="13" t="s">
        <v>267</v>
      </c>
      <c r="B65" s="59">
        <v>221200</v>
      </c>
      <c r="H65" s="20"/>
    </row>
    <row r="66" spans="1:8">
      <c r="A66" s="13" t="s">
        <v>268</v>
      </c>
      <c r="B66" s="59">
        <v>994680</v>
      </c>
      <c r="H66" s="20"/>
    </row>
    <row r="67" spans="1:8">
      <c r="A67" s="13" t="s">
        <v>269</v>
      </c>
      <c r="B67" s="59">
        <v>287080</v>
      </c>
      <c r="H67" s="20"/>
    </row>
    <row r="68" spans="1:8">
      <c r="A68" s="13" t="s">
        <v>270</v>
      </c>
      <c r="B68" s="59">
        <v>963080</v>
      </c>
      <c r="H68" s="20"/>
    </row>
    <row r="69" spans="1:8">
      <c r="A69" s="13" t="s">
        <v>271</v>
      </c>
      <c r="B69" s="59">
        <v>137320</v>
      </c>
      <c r="H69" s="20"/>
    </row>
    <row r="70" spans="1:8" ht="15" thickBot="1">
      <c r="A70" s="22" t="s">
        <v>272</v>
      </c>
      <c r="B70" s="60">
        <v>108360</v>
      </c>
      <c r="H70"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A261-6B8B-4876-86EC-1E8DEC2701A1}">
  <sheetPr>
    <tabColor theme="8" tint="0.59999389629810485"/>
  </sheetPr>
  <dimension ref="A1:AA33"/>
  <sheetViews>
    <sheetView showGridLines="0" zoomScale="80" zoomScaleNormal="80" workbookViewId="0"/>
  </sheetViews>
  <sheetFormatPr defaultRowHeight="14.4"/>
  <cols>
    <col min="1" max="1" width="33.33203125" customWidth="1"/>
    <col min="2" max="25" width="12.6640625" bestFit="1" customWidth="1"/>
  </cols>
  <sheetData>
    <row r="1" spans="1:27">
      <c r="A1" s="30" t="s">
        <v>290</v>
      </c>
      <c r="B1" s="31" t="s">
        <v>36</v>
      </c>
      <c r="C1" s="31" t="s">
        <v>37</v>
      </c>
      <c r="D1" s="31" t="s">
        <v>38</v>
      </c>
      <c r="E1" s="31" t="s">
        <v>39</v>
      </c>
      <c r="F1" s="31" t="s">
        <v>40</v>
      </c>
      <c r="G1" s="31" t="s">
        <v>41</v>
      </c>
      <c r="H1" s="31" t="s">
        <v>42</v>
      </c>
      <c r="I1" s="31" t="s">
        <v>43</v>
      </c>
      <c r="J1" s="31" t="s">
        <v>44</v>
      </c>
      <c r="K1" s="31" t="s">
        <v>45</v>
      </c>
      <c r="L1" s="31" t="s">
        <v>46</v>
      </c>
      <c r="M1" s="31" t="s">
        <v>47</v>
      </c>
      <c r="N1" s="31" t="s">
        <v>48</v>
      </c>
      <c r="O1" s="31" t="s">
        <v>49</v>
      </c>
      <c r="P1" s="31" t="s">
        <v>50</v>
      </c>
      <c r="Q1" s="31" t="s">
        <v>51</v>
      </c>
      <c r="R1" s="31" t="s">
        <v>52</v>
      </c>
      <c r="S1" s="31" t="s">
        <v>53</v>
      </c>
      <c r="T1" s="31" t="s">
        <v>54</v>
      </c>
      <c r="U1" s="31" t="s">
        <v>55</v>
      </c>
      <c r="V1" s="31" t="s">
        <v>56</v>
      </c>
      <c r="W1" s="31" t="s">
        <v>57</v>
      </c>
      <c r="X1" s="31" t="s">
        <v>58</v>
      </c>
      <c r="Y1" s="32" t="s">
        <v>59</v>
      </c>
    </row>
    <row r="2" spans="1:27">
      <c r="A2" s="13" t="s">
        <v>60</v>
      </c>
      <c r="B2" s="33">
        <v>1</v>
      </c>
      <c r="C2" s="33">
        <v>0</v>
      </c>
      <c r="D2" s="33">
        <v>0</v>
      </c>
      <c r="E2" s="33">
        <v>0</v>
      </c>
      <c r="F2" s="33">
        <v>0</v>
      </c>
      <c r="G2" s="33">
        <v>0</v>
      </c>
      <c r="H2" s="33">
        <v>0</v>
      </c>
      <c r="I2" s="33">
        <v>0</v>
      </c>
      <c r="J2" s="33">
        <v>0</v>
      </c>
      <c r="K2" s="33">
        <v>0</v>
      </c>
      <c r="L2" s="33">
        <v>0</v>
      </c>
      <c r="M2" s="33">
        <v>0</v>
      </c>
      <c r="N2" s="33">
        <v>0</v>
      </c>
      <c r="O2" s="33">
        <v>0</v>
      </c>
      <c r="P2" s="33">
        <v>0</v>
      </c>
      <c r="Q2" s="33">
        <v>0</v>
      </c>
      <c r="R2" s="33">
        <v>0</v>
      </c>
      <c r="S2" s="33">
        <v>0</v>
      </c>
      <c r="T2" s="33">
        <v>0</v>
      </c>
      <c r="U2" s="33">
        <v>0</v>
      </c>
      <c r="V2" s="33">
        <v>0</v>
      </c>
      <c r="W2" s="33">
        <v>0</v>
      </c>
      <c r="X2" s="33">
        <v>0</v>
      </c>
      <c r="Y2" s="34">
        <v>0</v>
      </c>
      <c r="AA2" s="29"/>
    </row>
    <row r="3" spans="1:27">
      <c r="A3" s="13" t="s">
        <v>61</v>
      </c>
      <c r="B3" s="33">
        <v>1</v>
      </c>
      <c r="C3" s="33">
        <v>0</v>
      </c>
      <c r="D3" s="33">
        <v>0</v>
      </c>
      <c r="E3" s="33">
        <v>0</v>
      </c>
      <c r="F3" s="33">
        <v>0</v>
      </c>
      <c r="G3" s="33">
        <v>0</v>
      </c>
      <c r="H3" s="33">
        <v>0</v>
      </c>
      <c r="I3" s="33">
        <v>0</v>
      </c>
      <c r="J3" s="33">
        <v>0</v>
      </c>
      <c r="K3" s="33">
        <v>0</v>
      </c>
      <c r="L3" s="33">
        <v>0</v>
      </c>
      <c r="M3" s="33">
        <v>0</v>
      </c>
      <c r="N3" s="33">
        <v>0</v>
      </c>
      <c r="O3" s="33">
        <v>0</v>
      </c>
      <c r="P3" s="33">
        <v>0</v>
      </c>
      <c r="Q3" s="33">
        <v>0</v>
      </c>
      <c r="R3" s="33">
        <v>0</v>
      </c>
      <c r="S3" s="33">
        <v>0</v>
      </c>
      <c r="T3" s="33">
        <v>0</v>
      </c>
      <c r="U3" s="33">
        <v>0</v>
      </c>
      <c r="V3" s="33">
        <v>0</v>
      </c>
      <c r="W3" s="33">
        <v>0</v>
      </c>
      <c r="X3" s="33">
        <v>0</v>
      </c>
      <c r="Y3" s="34">
        <v>0</v>
      </c>
      <c r="AA3" s="29"/>
    </row>
    <row r="4" spans="1:27">
      <c r="A4" s="13" t="s">
        <v>37</v>
      </c>
      <c r="B4" s="33">
        <v>0</v>
      </c>
      <c r="C4" s="33">
        <v>1</v>
      </c>
      <c r="D4" s="33">
        <v>0</v>
      </c>
      <c r="E4" s="33">
        <v>0</v>
      </c>
      <c r="F4" s="33">
        <v>0</v>
      </c>
      <c r="G4" s="33">
        <v>0</v>
      </c>
      <c r="H4" s="33">
        <v>0</v>
      </c>
      <c r="I4" s="33">
        <v>0</v>
      </c>
      <c r="J4" s="33">
        <v>0</v>
      </c>
      <c r="K4" s="33">
        <v>0</v>
      </c>
      <c r="L4" s="33">
        <v>0</v>
      </c>
      <c r="M4" s="33">
        <v>0</v>
      </c>
      <c r="N4" s="33">
        <v>0</v>
      </c>
      <c r="O4" s="33">
        <v>0</v>
      </c>
      <c r="P4" s="33">
        <v>0</v>
      </c>
      <c r="Q4" s="33">
        <v>0</v>
      </c>
      <c r="R4" s="33">
        <v>0</v>
      </c>
      <c r="S4" s="33">
        <v>0</v>
      </c>
      <c r="T4" s="33">
        <v>0</v>
      </c>
      <c r="U4" s="33">
        <v>0</v>
      </c>
      <c r="V4" s="33">
        <v>0</v>
      </c>
      <c r="W4" s="33">
        <v>0</v>
      </c>
      <c r="X4" s="33">
        <v>0</v>
      </c>
      <c r="Y4" s="34">
        <v>0</v>
      </c>
      <c r="AA4" s="29"/>
    </row>
    <row r="5" spans="1:27">
      <c r="A5" s="13" t="s">
        <v>38</v>
      </c>
      <c r="B5" s="33">
        <v>0</v>
      </c>
      <c r="C5" s="33">
        <v>0</v>
      </c>
      <c r="D5" s="33">
        <v>1</v>
      </c>
      <c r="E5" s="33">
        <v>0</v>
      </c>
      <c r="F5" s="33">
        <v>0</v>
      </c>
      <c r="G5" s="33">
        <v>0</v>
      </c>
      <c r="H5" s="33">
        <v>0</v>
      </c>
      <c r="I5" s="33">
        <v>0</v>
      </c>
      <c r="J5" s="33">
        <v>0</v>
      </c>
      <c r="K5" s="33">
        <v>0</v>
      </c>
      <c r="L5" s="33">
        <v>0</v>
      </c>
      <c r="M5" s="33">
        <v>0</v>
      </c>
      <c r="N5" s="33">
        <v>0</v>
      </c>
      <c r="O5" s="33">
        <v>0</v>
      </c>
      <c r="P5" s="33">
        <v>0</v>
      </c>
      <c r="Q5" s="33">
        <v>0</v>
      </c>
      <c r="R5" s="33">
        <v>0</v>
      </c>
      <c r="S5" s="33">
        <v>0</v>
      </c>
      <c r="T5" s="33">
        <v>0</v>
      </c>
      <c r="U5" s="33">
        <v>0</v>
      </c>
      <c r="V5" s="33">
        <v>0</v>
      </c>
      <c r="W5" s="33">
        <v>0</v>
      </c>
      <c r="X5" s="33">
        <v>0</v>
      </c>
      <c r="Y5" s="34">
        <v>0</v>
      </c>
      <c r="AA5" s="29"/>
    </row>
    <row r="6" spans="1:27">
      <c r="A6" s="13" t="s">
        <v>62</v>
      </c>
      <c r="B6" s="33">
        <v>0</v>
      </c>
      <c r="C6" s="33">
        <v>0</v>
      </c>
      <c r="D6" s="33">
        <v>0</v>
      </c>
      <c r="E6" s="33">
        <v>0.25</v>
      </c>
      <c r="F6" s="33">
        <v>0</v>
      </c>
      <c r="G6" s="33">
        <v>0</v>
      </c>
      <c r="H6" s="33">
        <v>0</v>
      </c>
      <c r="I6" s="33">
        <v>0</v>
      </c>
      <c r="J6" s="33">
        <v>0</v>
      </c>
      <c r="K6" s="33">
        <v>0</v>
      </c>
      <c r="L6" s="33">
        <v>0</v>
      </c>
      <c r="M6" s="33">
        <v>0</v>
      </c>
      <c r="N6" s="33">
        <v>0</v>
      </c>
      <c r="O6" s="33">
        <v>0</v>
      </c>
      <c r="P6" s="33">
        <v>0</v>
      </c>
      <c r="Q6" s="33">
        <v>0</v>
      </c>
      <c r="R6" s="33">
        <v>0</v>
      </c>
      <c r="S6" s="33">
        <v>0.65</v>
      </c>
      <c r="T6" s="33">
        <v>9.9000000000000005E-2</v>
      </c>
      <c r="U6" s="33">
        <v>0</v>
      </c>
      <c r="V6" s="33">
        <v>0</v>
      </c>
      <c r="W6" s="33">
        <v>1E-3</v>
      </c>
      <c r="X6" s="33">
        <v>0</v>
      </c>
      <c r="Y6" s="34">
        <v>0</v>
      </c>
      <c r="AA6" s="29"/>
    </row>
    <row r="7" spans="1:27">
      <c r="A7" s="13" t="s">
        <v>63</v>
      </c>
      <c r="B7" s="33">
        <v>0</v>
      </c>
      <c r="C7" s="33">
        <v>0</v>
      </c>
      <c r="D7" s="33">
        <v>0</v>
      </c>
      <c r="E7" s="33">
        <v>0</v>
      </c>
      <c r="F7" s="33">
        <v>0.3</v>
      </c>
      <c r="G7" s="33">
        <v>0</v>
      </c>
      <c r="H7" s="33">
        <v>0</v>
      </c>
      <c r="I7" s="33">
        <v>0</v>
      </c>
      <c r="J7" s="33">
        <v>0</v>
      </c>
      <c r="K7" s="33">
        <v>0</v>
      </c>
      <c r="L7" s="33">
        <v>0</v>
      </c>
      <c r="M7" s="33">
        <v>0</v>
      </c>
      <c r="N7" s="33">
        <v>0</v>
      </c>
      <c r="O7" s="33">
        <v>0</v>
      </c>
      <c r="P7" s="33">
        <v>0</v>
      </c>
      <c r="Q7" s="33">
        <v>0</v>
      </c>
      <c r="R7" s="33">
        <v>0</v>
      </c>
      <c r="S7" s="33">
        <v>0.6</v>
      </c>
      <c r="T7" s="33">
        <v>9.9000000000000005E-2</v>
      </c>
      <c r="U7" s="33">
        <v>0</v>
      </c>
      <c r="V7" s="33">
        <v>0</v>
      </c>
      <c r="W7" s="33">
        <v>1E-3</v>
      </c>
      <c r="X7" s="33">
        <v>0</v>
      </c>
      <c r="Y7" s="34">
        <v>0</v>
      </c>
      <c r="AA7" s="29"/>
    </row>
    <row r="8" spans="1:27">
      <c r="A8" s="13" t="s">
        <v>64</v>
      </c>
      <c r="B8" s="33">
        <v>0</v>
      </c>
      <c r="C8" s="33">
        <v>0</v>
      </c>
      <c r="D8" s="33">
        <v>0</v>
      </c>
      <c r="E8" s="33">
        <v>0</v>
      </c>
      <c r="F8" s="33">
        <v>0</v>
      </c>
      <c r="G8" s="33">
        <v>0</v>
      </c>
      <c r="H8" s="33">
        <v>0.35</v>
      </c>
      <c r="I8" s="33">
        <v>0</v>
      </c>
      <c r="J8" s="33">
        <v>0</v>
      </c>
      <c r="K8" s="33">
        <v>0</v>
      </c>
      <c r="L8" s="33">
        <v>0</v>
      </c>
      <c r="M8" s="33">
        <v>0</v>
      </c>
      <c r="N8" s="33">
        <v>0</v>
      </c>
      <c r="O8" s="33">
        <v>0</v>
      </c>
      <c r="P8" s="33">
        <v>0</v>
      </c>
      <c r="Q8" s="33">
        <v>0</v>
      </c>
      <c r="R8" s="33">
        <v>0</v>
      </c>
      <c r="S8" s="33">
        <v>0.55000000000000004</v>
      </c>
      <c r="T8" s="33">
        <v>9.9000000000000005E-2</v>
      </c>
      <c r="U8" s="33">
        <v>0</v>
      </c>
      <c r="V8" s="33">
        <v>0</v>
      </c>
      <c r="W8" s="33">
        <v>1E-3</v>
      </c>
      <c r="X8" s="33">
        <v>0</v>
      </c>
      <c r="Y8" s="34">
        <v>0</v>
      </c>
      <c r="AA8" s="29"/>
    </row>
    <row r="9" spans="1:27">
      <c r="A9" s="13" t="s">
        <v>65</v>
      </c>
      <c r="B9" s="33">
        <v>0</v>
      </c>
      <c r="C9" s="33">
        <v>0</v>
      </c>
      <c r="D9" s="33">
        <v>0</v>
      </c>
      <c r="E9" s="33">
        <v>0</v>
      </c>
      <c r="F9" s="33">
        <v>0</v>
      </c>
      <c r="G9" s="33">
        <v>0</v>
      </c>
      <c r="H9" s="33">
        <v>0</v>
      </c>
      <c r="I9" s="33">
        <v>0.25</v>
      </c>
      <c r="J9" s="33">
        <v>0</v>
      </c>
      <c r="K9" s="33">
        <v>0</v>
      </c>
      <c r="L9" s="33">
        <v>0</v>
      </c>
      <c r="M9" s="33">
        <v>0</v>
      </c>
      <c r="N9" s="33">
        <v>0</v>
      </c>
      <c r="O9" s="33">
        <v>0</v>
      </c>
      <c r="P9" s="33">
        <v>0</v>
      </c>
      <c r="Q9" s="33">
        <v>0</v>
      </c>
      <c r="R9" s="33">
        <v>0</v>
      </c>
      <c r="S9" s="33">
        <v>0.65</v>
      </c>
      <c r="T9" s="33">
        <v>9.9000000000000005E-2</v>
      </c>
      <c r="U9" s="33">
        <v>0</v>
      </c>
      <c r="V9" s="33">
        <v>0</v>
      </c>
      <c r="W9" s="33">
        <v>1E-3</v>
      </c>
      <c r="X9" s="33">
        <v>0</v>
      </c>
      <c r="Y9" s="34">
        <v>0</v>
      </c>
      <c r="AA9" s="29"/>
    </row>
    <row r="10" spans="1:27">
      <c r="A10" s="13" t="s">
        <v>66</v>
      </c>
      <c r="B10" s="33">
        <v>0</v>
      </c>
      <c r="C10" s="33">
        <v>0</v>
      </c>
      <c r="D10" s="33">
        <v>0</v>
      </c>
      <c r="E10" s="33">
        <v>0</v>
      </c>
      <c r="F10" s="33">
        <v>0</v>
      </c>
      <c r="G10" s="33">
        <v>0</v>
      </c>
      <c r="H10" s="33">
        <v>0</v>
      </c>
      <c r="I10" s="33">
        <v>0</v>
      </c>
      <c r="J10" s="33">
        <v>0.4</v>
      </c>
      <c r="K10" s="33">
        <v>0</v>
      </c>
      <c r="L10" s="33">
        <v>0</v>
      </c>
      <c r="M10" s="33">
        <v>0</v>
      </c>
      <c r="N10" s="33">
        <v>0</v>
      </c>
      <c r="O10" s="33">
        <v>0</v>
      </c>
      <c r="P10" s="33">
        <v>0</v>
      </c>
      <c r="Q10" s="33">
        <v>0</v>
      </c>
      <c r="R10" s="33">
        <v>0</v>
      </c>
      <c r="S10" s="33">
        <v>0.5</v>
      </c>
      <c r="T10" s="33">
        <v>9.9000000000000005E-2</v>
      </c>
      <c r="U10" s="33">
        <v>0</v>
      </c>
      <c r="V10" s="33">
        <v>0</v>
      </c>
      <c r="W10" s="33">
        <v>1E-3</v>
      </c>
      <c r="X10" s="33">
        <v>0</v>
      </c>
      <c r="Y10" s="34">
        <v>0</v>
      </c>
      <c r="AA10" s="29"/>
    </row>
    <row r="11" spans="1:27">
      <c r="A11" s="13" t="s">
        <v>67</v>
      </c>
      <c r="B11" s="33">
        <v>0</v>
      </c>
      <c r="C11" s="33">
        <v>0</v>
      </c>
      <c r="D11" s="33">
        <v>0</v>
      </c>
      <c r="E11" s="33">
        <v>0</v>
      </c>
      <c r="F11" s="33">
        <v>0</v>
      </c>
      <c r="G11" s="33">
        <v>0</v>
      </c>
      <c r="H11" s="33">
        <v>0</v>
      </c>
      <c r="I11" s="33">
        <v>0</v>
      </c>
      <c r="J11" s="33">
        <v>0</v>
      </c>
      <c r="K11" s="33">
        <v>0.35</v>
      </c>
      <c r="L11" s="33">
        <v>0</v>
      </c>
      <c r="M11" s="33">
        <v>0</v>
      </c>
      <c r="N11" s="33">
        <v>0</v>
      </c>
      <c r="O11" s="33">
        <v>0</v>
      </c>
      <c r="P11" s="33">
        <v>0</v>
      </c>
      <c r="Q11" s="33">
        <v>0</v>
      </c>
      <c r="R11" s="33">
        <v>0</v>
      </c>
      <c r="S11" s="33">
        <v>0.55000000000000004</v>
      </c>
      <c r="T11" s="33">
        <v>9.9000000000000005E-2</v>
      </c>
      <c r="U11" s="33">
        <v>0</v>
      </c>
      <c r="V11" s="33">
        <v>0</v>
      </c>
      <c r="W11" s="33">
        <v>1E-3</v>
      </c>
      <c r="X11" s="33">
        <v>0</v>
      </c>
      <c r="Y11" s="34">
        <v>0</v>
      </c>
      <c r="AA11" s="29"/>
    </row>
    <row r="12" spans="1:27">
      <c r="A12" s="13" t="s">
        <v>68</v>
      </c>
      <c r="B12" s="33">
        <v>0</v>
      </c>
      <c r="C12" s="33">
        <v>0</v>
      </c>
      <c r="D12" s="33">
        <v>0</v>
      </c>
      <c r="E12" s="33">
        <v>0</v>
      </c>
      <c r="F12" s="33">
        <v>0</v>
      </c>
      <c r="G12" s="33">
        <v>0</v>
      </c>
      <c r="H12" s="33">
        <v>0</v>
      </c>
      <c r="I12" s="33">
        <v>0</v>
      </c>
      <c r="J12" s="33">
        <v>0</v>
      </c>
      <c r="K12" s="33">
        <v>0</v>
      </c>
      <c r="L12" s="33">
        <v>0.25</v>
      </c>
      <c r="M12" s="33">
        <v>0</v>
      </c>
      <c r="N12" s="33">
        <v>0</v>
      </c>
      <c r="O12" s="33">
        <v>0</v>
      </c>
      <c r="P12" s="33">
        <v>0</v>
      </c>
      <c r="Q12" s="33">
        <v>0</v>
      </c>
      <c r="R12" s="33">
        <v>0</v>
      </c>
      <c r="S12" s="33">
        <v>0.65</v>
      </c>
      <c r="T12" s="33">
        <v>9.9000000000000005E-2</v>
      </c>
      <c r="U12" s="33">
        <v>0</v>
      </c>
      <c r="V12" s="33">
        <v>0</v>
      </c>
      <c r="W12" s="33">
        <v>1E-3</v>
      </c>
      <c r="X12" s="33">
        <v>0</v>
      </c>
      <c r="Y12" s="34">
        <v>0</v>
      </c>
      <c r="AA12" s="29"/>
    </row>
    <row r="13" spans="1:27">
      <c r="A13" s="13" t="s">
        <v>69</v>
      </c>
      <c r="B13" s="33">
        <v>0</v>
      </c>
      <c r="C13" s="33">
        <v>0.3</v>
      </c>
      <c r="D13" s="33">
        <v>0</v>
      </c>
      <c r="E13" s="33">
        <v>0</v>
      </c>
      <c r="F13" s="33">
        <v>0</v>
      </c>
      <c r="G13" s="33">
        <v>0.25</v>
      </c>
      <c r="H13" s="33">
        <v>0</v>
      </c>
      <c r="I13" s="33">
        <v>0.15</v>
      </c>
      <c r="J13" s="33">
        <v>0.2</v>
      </c>
      <c r="K13" s="33">
        <v>0</v>
      </c>
      <c r="L13" s="33">
        <v>0</v>
      </c>
      <c r="M13" s="33">
        <v>0</v>
      </c>
      <c r="N13" s="33">
        <v>0</v>
      </c>
      <c r="O13" s="33">
        <v>0</v>
      </c>
      <c r="P13" s="33">
        <v>0</v>
      </c>
      <c r="Q13" s="33">
        <v>0</v>
      </c>
      <c r="R13" s="33">
        <v>0</v>
      </c>
      <c r="S13" s="33">
        <v>0.08</v>
      </c>
      <c r="T13" s="33">
        <v>1.9E-2</v>
      </c>
      <c r="U13" s="33">
        <v>0</v>
      </c>
      <c r="V13" s="33">
        <v>0</v>
      </c>
      <c r="W13" s="33">
        <v>1E-3</v>
      </c>
      <c r="X13" s="33">
        <v>0</v>
      </c>
      <c r="Y13" s="34">
        <v>0</v>
      </c>
      <c r="AA13" s="29"/>
    </row>
    <row r="14" spans="1:27">
      <c r="A14" s="13" t="s">
        <v>70</v>
      </c>
      <c r="B14" s="33">
        <v>0.49</v>
      </c>
      <c r="C14" s="33">
        <v>0.3</v>
      </c>
      <c r="D14" s="33">
        <v>0</v>
      </c>
      <c r="E14" s="33">
        <v>0</v>
      </c>
      <c r="F14" s="33">
        <v>0</v>
      </c>
      <c r="G14" s="33">
        <v>0</v>
      </c>
      <c r="H14" s="33">
        <v>0</v>
      </c>
      <c r="I14" s="33">
        <v>0</v>
      </c>
      <c r="J14" s="33">
        <v>0</v>
      </c>
      <c r="K14" s="33">
        <v>0</v>
      </c>
      <c r="L14" s="33">
        <v>0</v>
      </c>
      <c r="M14" s="33">
        <v>0.05</v>
      </c>
      <c r="N14" s="33">
        <v>0.15</v>
      </c>
      <c r="O14" s="33">
        <v>0</v>
      </c>
      <c r="P14" s="33">
        <v>0</v>
      </c>
      <c r="Q14" s="33">
        <v>0</v>
      </c>
      <c r="R14" s="33">
        <v>0</v>
      </c>
      <c r="S14" s="33">
        <v>0</v>
      </c>
      <c r="T14" s="33">
        <v>0</v>
      </c>
      <c r="U14" s="33">
        <v>0</v>
      </c>
      <c r="V14" s="33">
        <v>0</v>
      </c>
      <c r="W14" s="33">
        <v>8.0000000000000002E-3</v>
      </c>
      <c r="X14" s="33">
        <v>2E-3</v>
      </c>
      <c r="Y14" s="34">
        <v>0</v>
      </c>
      <c r="AA14" s="29"/>
    </row>
    <row r="15" spans="1:27">
      <c r="A15" s="13" t="s">
        <v>71</v>
      </c>
      <c r="B15" s="33">
        <v>0.60499999999999998</v>
      </c>
      <c r="C15" s="33">
        <v>0.11</v>
      </c>
      <c r="D15" s="33">
        <v>0.02</v>
      </c>
      <c r="E15" s="33">
        <v>0</v>
      </c>
      <c r="F15" s="33">
        <v>0.05</v>
      </c>
      <c r="G15" s="33">
        <v>0.05</v>
      </c>
      <c r="H15" s="33">
        <v>0.05</v>
      </c>
      <c r="I15" s="33">
        <v>0.05</v>
      </c>
      <c r="J15" s="33">
        <v>0</v>
      </c>
      <c r="K15" s="33">
        <v>0</v>
      </c>
      <c r="L15" s="33">
        <v>0.05</v>
      </c>
      <c r="M15" s="33">
        <v>5.0000000000000001E-3</v>
      </c>
      <c r="N15" s="33">
        <v>0</v>
      </c>
      <c r="O15" s="33">
        <v>0</v>
      </c>
      <c r="P15" s="33">
        <v>0</v>
      </c>
      <c r="Q15" s="33">
        <v>0</v>
      </c>
      <c r="R15" s="33">
        <v>0</v>
      </c>
      <c r="S15" s="33">
        <v>0</v>
      </c>
      <c r="T15" s="33">
        <v>0</v>
      </c>
      <c r="U15" s="33">
        <v>0</v>
      </c>
      <c r="V15" s="33">
        <v>0</v>
      </c>
      <c r="W15" s="33">
        <v>8.0000000000000002E-3</v>
      </c>
      <c r="X15" s="33">
        <v>2E-3</v>
      </c>
      <c r="Y15" s="34">
        <v>0</v>
      </c>
      <c r="AA15" s="29"/>
    </row>
    <row r="16" spans="1:27">
      <c r="A16" s="13" t="s">
        <v>72</v>
      </c>
      <c r="B16" s="33">
        <v>0.54</v>
      </c>
      <c r="C16" s="33">
        <v>0.4</v>
      </c>
      <c r="D16" s="33">
        <v>0</v>
      </c>
      <c r="E16" s="33">
        <v>0</v>
      </c>
      <c r="F16" s="33">
        <v>0</v>
      </c>
      <c r="G16" s="33">
        <v>0</v>
      </c>
      <c r="H16" s="33">
        <v>0</v>
      </c>
      <c r="I16" s="33">
        <v>0</v>
      </c>
      <c r="J16" s="33">
        <v>0</v>
      </c>
      <c r="K16" s="33">
        <v>0</v>
      </c>
      <c r="L16" s="33">
        <v>0</v>
      </c>
      <c r="M16" s="33">
        <v>0.05</v>
      </c>
      <c r="N16" s="33">
        <v>0</v>
      </c>
      <c r="O16" s="33">
        <v>0</v>
      </c>
      <c r="P16" s="33">
        <v>0</v>
      </c>
      <c r="Q16" s="33">
        <v>0</v>
      </c>
      <c r="R16" s="33">
        <v>0</v>
      </c>
      <c r="S16" s="33">
        <v>0</v>
      </c>
      <c r="T16" s="33">
        <v>0</v>
      </c>
      <c r="U16" s="33">
        <v>0</v>
      </c>
      <c r="V16" s="33">
        <v>0</v>
      </c>
      <c r="W16" s="33">
        <v>8.0000000000000002E-3</v>
      </c>
      <c r="X16" s="33">
        <v>2E-3</v>
      </c>
      <c r="Y16" s="34">
        <v>0</v>
      </c>
      <c r="AA16" s="29"/>
    </row>
    <row r="17" spans="1:27">
      <c r="A17" s="13" t="s">
        <v>73</v>
      </c>
      <c r="B17" s="33">
        <v>0</v>
      </c>
      <c r="C17" s="33">
        <v>0.6</v>
      </c>
      <c r="D17" s="33">
        <v>0</v>
      </c>
      <c r="E17" s="33">
        <v>0</v>
      </c>
      <c r="F17" s="33">
        <v>0</v>
      </c>
      <c r="G17" s="33">
        <v>0</v>
      </c>
      <c r="H17" s="33">
        <v>0</v>
      </c>
      <c r="I17" s="33">
        <v>0</v>
      </c>
      <c r="J17" s="33">
        <v>0</v>
      </c>
      <c r="K17" s="33">
        <v>0</v>
      </c>
      <c r="L17" s="33">
        <v>0</v>
      </c>
      <c r="M17" s="33">
        <v>0</v>
      </c>
      <c r="N17" s="33">
        <v>0</v>
      </c>
      <c r="O17" s="33">
        <v>0.35</v>
      </c>
      <c r="P17" s="33">
        <v>0</v>
      </c>
      <c r="Q17" s="33">
        <v>0</v>
      </c>
      <c r="R17" s="33">
        <v>0</v>
      </c>
      <c r="S17" s="33">
        <v>0</v>
      </c>
      <c r="T17" s="33">
        <v>4.8000000000000001E-2</v>
      </c>
      <c r="U17" s="33">
        <v>0</v>
      </c>
      <c r="V17" s="33">
        <v>0</v>
      </c>
      <c r="W17" s="33">
        <v>2E-3</v>
      </c>
      <c r="X17" s="33">
        <v>0</v>
      </c>
      <c r="Y17" s="34">
        <v>0</v>
      </c>
      <c r="AA17" s="29"/>
    </row>
    <row r="18" spans="1:27">
      <c r="A18" s="13" t="s">
        <v>74</v>
      </c>
      <c r="B18" s="33">
        <v>0.7</v>
      </c>
      <c r="C18" s="33">
        <v>0</v>
      </c>
      <c r="D18" s="33">
        <v>0</v>
      </c>
      <c r="E18" s="33">
        <v>0</v>
      </c>
      <c r="F18" s="33">
        <v>0</v>
      </c>
      <c r="G18" s="33">
        <v>0</v>
      </c>
      <c r="H18" s="33">
        <v>0.25</v>
      </c>
      <c r="I18" s="33">
        <v>0</v>
      </c>
      <c r="J18" s="33">
        <v>0</v>
      </c>
      <c r="K18" s="33">
        <v>0</v>
      </c>
      <c r="L18" s="33">
        <v>0</v>
      </c>
      <c r="M18" s="33">
        <v>0</v>
      </c>
      <c r="N18" s="33">
        <v>0</v>
      </c>
      <c r="O18" s="33">
        <v>0</v>
      </c>
      <c r="P18" s="33">
        <v>0</v>
      </c>
      <c r="Q18" s="33">
        <v>0</v>
      </c>
      <c r="R18" s="33">
        <v>0</v>
      </c>
      <c r="S18" s="33">
        <v>0</v>
      </c>
      <c r="T18" s="33">
        <v>4.8000000000000001E-2</v>
      </c>
      <c r="U18" s="33">
        <v>0</v>
      </c>
      <c r="V18" s="33">
        <v>0</v>
      </c>
      <c r="W18" s="33">
        <v>2E-3</v>
      </c>
      <c r="X18" s="33">
        <v>0</v>
      </c>
      <c r="Y18" s="34">
        <v>0</v>
      </c>
      <c r="AA18" s="29"/>
    </row>
    <row r="19" spans="1:27">
      <c r="A19" s="13" t="s">
        <v>75</v>
      </c>
      <c r="B19" s="33">
        <v>0.75</v>
      </c>
      <c r="C19" s="33">
        <v>0</v>
      </c>
      <c r="D19" s="33">
        <v>0</v>
      </c>
      <c r="E19" s="33">
        <v>0</v>
      </c>
      <c r="F19" s="33">
        <v>0</v>
      </c>
      <c r="G19" s="33">
        <v>0</v>
      </c>
      <c r="H19" s="33">
        <v>0</v>
      </c>
      <c r="I19" s="33">
        <v>0.2</v>
      </c>
      <c r="J19" s="33">
        <v>0</v>
      </c>
      <c r="K19" s="33">
        <v>0</v>
      </c>
      <c r="L19" s="33">
        <v>0</v>
      </c>
      <c r="M19" s="33">
        <v>0</v>
      </c>
      <c r="N19" s="33">
        <v>0</v>
      </c>
      <c r="O19" s="33">
        <v>0</v>
      </c>
      <c r="P19" s="33">
        <v>0</v>
      </c>
      <c r="Q19" s="33">
        <v>0</v>
      </c>
      <c r="R19" s="33">
        <v>0</v>
      </c>
      <c r="S19" s="33">
        <v>0</v>
      </c>
      <c r="T19" s="33">
        <v>4.8000000000000001E-2</v>
      </c>
      <c r="U19" s="33">
        <v>0</v>
      </c>
      <c r="V19" s="33">
        <v>0</v>
      </c>
      <c r="W19" s="33">
        <v>2E-3</v>
      </c>
      <c r="X19" s="33">
        <v>0</v>
      </c>
      <c r="Y19" s="34">
        <v>0</v>
      </c>
      <c r="AA19" s="29"/>
    </row>
    <row r="20" spans="1:27">
      <c r="A20" s="13" t="s">
        <v>76</v>
      </c>
      <c r="B20" s="33">
        <v>0.8</v>
      </c>
      <c r="C20" s="33">
        <v>0.2</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4">
        <v>0</v>
      </c>
      <c r="AA20" s="29"/>
    </row>
    <row r="21" spans="1:27">
      <c r="A21" s="13" t="s">
        <v>77</v>
      </c>
      <c r="B21" s="33">
        <v>0.85</v>
      </c>
      <c r="C21" s="33">
        <v>0</v>
      </c>
      <c r="D21" s="33">
        <v>0</v>
      </c>
      <c r="E21" s="33">
        <v>0</v>
      </c>
      <c r="F21" s="33">
        <v>0</v>
      </c>
      <c r="G21" s="33">
        <v>0</v>
      </c>
      <c r="H21" s="33">
        <v>0</v>
      </c>
      <c r="I21" s="33">
        <v>0</v>
      </c>
      <c r="J21" s="33">
        <v>0</v>
      </c>
      <c r="K21" s="33">
        <v>0</v>
      </c>
      <c r="L21" s="33">
        <v>0</v>
      </c>
      <c r="M21" s="33">
        <v>0.1</v>
      </c>
      <c r="N21" s="33">
        <v>0</v>
      </c>
      <c r="O21" s="33">
        <v>0</v>
      </c>
      <c r="P21" s="33">
        <v>0</v>
      </c>
      <c r="Q21" s="33">
        <v>0</v>
      </c>
      <c r="R21" s="33">
        <v>0</v>
      </c>
      <c r="S21" s="33">
        <v>0</v>
      </c>
      <c r="T21" s="33">
        <v>4.8000000000000001E-2</v>
      </c>
      <c r="U21" s="33">
        <v>0</v>
      </c>
      <c r="V21" s="33">
        <v>0</v>
      </c>
      <c r="W21" s="33">
        <v>2E-3</v>
      </c>
      <c r="X21" s="33">
        <v>0</v>
      </c>
      <c r="Y21" s="34">
        <v>0</v>
      </c>
      <c r="AA21" s="29"/>
    </row>
    <row r="22" spans="1:27">
      <c r="A22" s="13" t="s">
        <v>78</v>
      </c>
      <c r="B22" s="33">
        <v>0.7</v>
      </c>
      <c r="C22" s="33">
        <v>0</v>
      </c>
      <c r="D22" s="33">
        <v>0</v>
      </c>
      <c r="E22" s="33">
        <v>0</v>
      </c>
      <c r="F22" s="33">
        <v>0</v>
      </c>
      <c r="G22" s="33">
        <v>0</v>
      </c>
      <c r="H22" s="33">
        <v>0</v>
      </c>
      <c r="I22" s="33">
        <v>0</v>
      </c>
      <c r="J22" s="33">
        <v>0</v>
      </c>
      <c r="K22" s="33">
        <v>0</v>
      </c>
      <c r="L22" s="33">
        <v>0</v>
      </c>
      <c r="M22" s="33">
        <v>0</v>
      </c>
      <c r="N22" s="33">
        <v>0</v>
      </c>
      <c r="O22" s="33">
        <v>0</v>
      </c>
      <c r="P22" s="33">
        <v>0</v>
      </c>
      <c r="Q22" s="33">
        <v>0.3</v>
      </c>
      <c r="R22" s="33">
        <v>0</v>
      </c>
      <c r="S22" s="33">
        <v>0</v>
      </c>
      <c r="T22" s="33">
        <v>0</v>
      </c>
      <c r="U22" s="33">
        <v>0</v>
      </c>
      <c r="V22" s="33">
        <v>0</v>
      </c>
      <c r="W22" s="33">
        <v>0</v>
      </c>
      <c r="X22" s="33">
        <v>0</v>
      </c>
      <c r="Y22" s="34">
        <v>0</v>
      </c>
      <c r="AA22" s="29"/>
    </row>
    <row r="23" spans="1:27">
      <c r="A23" s="13" t="s">
        <v>79</v>
      </c>
      <c r="B23" s="33">
        <v>0.55000000000000004</v>
      </c>
      <c r="C23" s="33">
        <v>0</v>
      </c>
      <c r="D23" s="33">
        <v>0</v>
      </c>
      <c r="E23" s="33">
        <v>0</v>
      </c>
      <c r="F23" s="33">
        <v>0</v>
      </c>
      <c r="G23" s="33">
        <v>0</v>
      </c>
      <c r="H23" s="33">
        <v>0</v>
      </c>
      <c r="I23" s="33">
        <v>0</v>
      </c>
      <c r="J23" s="33">
        <v>0</v>
      </c>
      <c r="K23" s="33">
        <v>0</v>
      </c>
      <c r="L23" s="33">
        <v>0</v>
      </c>
      <c r="M23" s="33">
        <v>0</v>
      </c>
      <c r="N23" s="33">
        <v>0</v>
      </c>
      <c r="O23" s="33">
        <v>0</v>
      </c>
      <c r="P23" s="33">
        <v>0</v>
      </c>
      <c r="Q23" s="33">
        <v>0</v>
      </c>
      <c r="R23" s="33">
        <v>0</v>
      </c>
      <c r="S23" s="33">
        <v>0.439</v>
      </c>
      <c r="T23" s="33">
        <v>0</v>
      </c>
      <c r="U23" s="33">
        <v>0.01</v>
      </c>
      <c r="V23" s="33">
        <v>0</v>
      </c>
      <c r="W23" s="33">
        <v>1E-3</v>
      </c>
      <c r="X23" s="33">
        <v>0</v>
      </c>
      <c r="Y23" s="34">
        <v>0</v>
      </c>
      <c r="AA23" s="29"/>
    </row>
    <row r="24" spans="1:27">
      <c r="A24" s="13" t="s">
        <v>80</v>
      </c>
      <c r="B24" s="33">
        <v>0.5</v>
      </c>
      <c r="C24" s="33">
        <v>0</v>
      </c>
      <c r="D24" s="33">
        <v>0</v>
      </c>
      <c r="E24" s="33">
        <v>0</v>
      </c>
      <c r="F24" s="33">
        <v>0</v>
      </c>
      <c r="G24" s="33">
        <v>0</v>
      </c>
      <c r="H24" s="33">
        <v>0</v>
      </c>
      <c r="I24" s="33">
        <v>0</v>
      </c>
      <c r="J24" s="33">
        <v>0</v>
      </c>
      <c r="K24" s="33">
        <v>0</v>
      </c>
      <c r="L24" s="33">
        <v>0.1</v>
      </c>
      <c r="M24" s="33">
        <v>0</v>
      </c>
      <c r="N24" s="33">
        <v>0</v>
      </c>
      <c r="O24" s="33">
        <v>0</v>
      </c>
      <c r="P24" s="33">
        <v>0</v>
      </c>
      <c r="Q24" s="33">
        <v>0</v>
      </c>
      <c r="R24" s="33">
        <v>0</v>
      </c>
      <c r="S24" s="33">
        <v>0.38900000000000001</v>
      </c>
      <c r="T24" s="33">
        <v>0</v>
      </c>
      <c r="U24" s="33">
        <v>0.01</v>
      </c>
      <c r="V24" s="33">
        <v>0</v>
      </c>
      <c r="W24" s="33">
        <v>1E-3</v>
      </c>
      <c r="X24" s="33">
        <v>0</v>
      </c>
      <c r="Y24" s="34">
        <v>0</v>
      </c>
      <c r="AA24" s="29"/>
    </row>
    <row r="25" spans="1:27">
      <c r="A25" s="13" t="s">
        <v>81</v>
      </c>
      <c r="B25" s="33">
        <v>0.5</v>
      </c>
      <c r="C25" s="33">
        <v>0</v>
      </c>
      <c r="D25" s="33">
        <v>0</v>
      </c>
      <c r="E25" s="33">
        <v>0</v>
      </c>
      <c r="F25" s="33">
        <v>0</v>
      </c>
      <c r="G25" s="33">
        <v>0</v>
      </c>
      <c r="H25" s="33">
        <v>0</v>
      </c>
      <c r="I25" s="33">
        <v>0</v>
      </c>
      <c r="J25" s="33">
        <v>0</v>
      </c>
      <c r="K25" s="33">
        <v>0.1</v>
      </c>
      <c r="L25" s="33">
        <v>0</v>
      </c>
      <c r="M25" s="33">
        <v>0</v>
      </c>
      <c r="N25" s="33">
        <v>0</v>
      </c>
      <c r="O25" s="33">
        <v>0</v>
      </c>
      <c r="P25" s="33">
        <v>0</v>
      </c>
      <c r="Q25" s="33">
        <v>0</v>
      </c>
      <c r="R25" s="33">
        <v>0</v>
      </c>
      <c r="S25" s="33">
        <v>0.38900000000000001</v>
      </c>
      <c r="T25" s="33">
        <v>0</v>
      </c>
      <c r="U25" s="33">
        <v>0.01</v>
      </c>
      <c r="V25" s="33">
        <v>0</v>
      </c>
      <c r="W25" s="33">
        <v>1E-3</v>
      </c>
      <c r="X25" s="33">
        <v>0</v>
      </c>
      <c r="Y25" s="34">
        <v>0</v>
      </c>
      <c r="AA25" s="29"/>
    </row>
    <row r="26" spans="1:27">
      <c r="A26" s="13" t="s">
        <v>82</v>
      </c>
      <c r="B26" s="33">
        <v>0</v>
      </c>
      <c r="C26" s="33">
        <v>0</v>
      </c>
      <c r="D26" s="33">
        <v>0</v>
      </c>
      <c r="E26" s="33">
        <v>0</v>
      </c>
      <c r="F26" s="33">
        <v>0</v>
      </c>
      <c r="G26" s="33">
        <v>0</v>
      </c>
      <c r="H26" s="33">
        <v>0</v>
      </c>
      <c r="I26" s="33">
        <v>0</v>
      </c>
      <c r="J26" s="33">
        <v>0</v>
      </c>
      <c r="K26" s="33">
        <v>0</v>
      </c>
      <c r="L26" s="33">
        <v>0</v>
      </c>
      <c r="M26" s="33">
        <v>0</v>
      </c>
      <c r="N26" s="33">
        <v>0</v>
      </c>
      <c r="O26" s="33">
        <v>0</v>
      </c>
      <c r="P26" s="33">
        <v>0</v>
      </c>
      <c r="Q26" s="33">
        <v>0</v>
      </c>
      <c r="R26" s="33">
        <v>0.3</v>
      </c>
      <c r="S26" s="33">
        <v>0.68900000000000006</v>
      </c>
      <c r="T26" s="33">
        <v>0</v>
      </c>
      <c r="U26" s="33">
        <v>0.01</v>
      </c>
      <c r="V26" s="33">
        <v>0</v>
      </c>
      <c r="W26" s="33">
        <v>1E-3</v>
      </c>
      <c r="X26" s="33">
        <v>0</v>
      </c>
      <c r="Y26" s="34">
        <v>0</v>
      </c>
      <c r="AA26" s="29"/>
    </row>
    <row r="27" spans="1:27">
      <c r="A27" s="13" t="s">
        <v>83</v>
      </c>
      <c r="B27" s="33">
        <v>0</v>
      </c>
      <c r="C27" s="33">
        <v>0</v>
      </c>
      <c r="D27" s="33">
        <v>0</v>
      </c>
      <c r="E27" s="33">
        <v>0</v>
      </c>
      <c r="F27" s="33">
        <v>0</v>
      </c>
      <c r="G27" s="33">
        <v>0</v>
      </c>
      <c r="H27" s="33">
        <v>0</v>
      </c>
      <c r="I27" s="33">
        <v>0</v>
      </c>
      <c r="J27" s="33">
        <v>0</v>
      </c>
      <c r="K27" s="33">
        <v>0</v>
      </c>
      <c r="L27" s="33">
        <v>0</v>
      </c>
      <c r="M27" s="33">
        <v>0.1</v>
      </c>
      <c r="N27" s="33">
        <v>0</v>
      </c>
      <c r="O27" s="33">
        <v>0</v>
      </c>
      <c r="P27" s="33">
        <v>0</v>
      </c>
      <c r="Q27" s="33">
        <v>0</v>
      </c>
      <c r="R27" s="33">
        <v>0</v>
      </c>
      <c r="S27" s="33">
        <v>0.84</v>
      </c>
      <c r="T27" s="33">
        <v>0.04</v>
      </c>
      <c r="U27" s="33">
        <v>0</v>
      </c>
      <c r="V27" s="33">
        <v>0</v>
      </c>
      <c r="W27" s="33">
        <v>5.0000000000000001E-3</v>
      </c>
      <c r="X27" s="33">
        <v>1.4999999999999999E-2</v>
      </c>
      <c r="Y27" s="34">
        <v>0</v>
      </c>
      <c r="AA27" s="29"/>
    </row>
    <row r="28" spans="1:27">
      <c r="A28" s="13" t="s">
        <v>84</v>
      </c>
      <c r="B28" s="33">
        <v>0</v>
      </c>
      <c r="C28" s="33">
        <v>0.5</v>
      </c>
      <c r="D28" s="33">
        <v>0</v>
      </c>
      <c r="E28" s="33">
        <v>0</v>
      </c>
      <c r="F28" s="33">
        <v>0</v>
      </c>
      <c r="G28" s="33">
        <v>0</v>
      </c>
      <c r="H28" s="33">
        <v>0.4</v>
      </c>
      <c r="I28" s="33">
        <v>0</v>
      </c>
      <c r="J28" s="33">
        <v>0</v>
      </c>
      <c r="K28" s="33">
        <v>0</v>
      </c>
      <c r="L28" s="33">
        <v>0</v>
      </c>
      <c r="M28" s="33">
        <v>0</v>
      </c>
      <c r="N28" s="33">
        <v>0</v>
      </c>
      <c r="O28" s="33">
        <v>0</v>
      </c>
      <c r="P28" s="33">
        <v>0</v>
      </c>
      <c r="Q28" s="33">
        <v>0</v>
      </c>
      <c r="R28" s="33">
        <v>0</v>
      </c>
      <c r="S28" s="33">
        <v>0</v>
      </c>
      <c r="T28" s="33">
        <v>8.5000000000000006E-2</v>
      </c>
      <c r="U28" s="33">
        <v>0</v>
      </c>
      <c r="V28" s="33">
        <v>0</v>
      </c>
      <c r="W28" s="33">
        <v>0.01</v>
      </c>
      <c r="X28" s="33">
        <v>5.0000000000000001E-3</v>
      </c>
      <c r="Y28" s="34">
        <v>0</v>
      </c>
      <c r="AA28" s="29"/>
    </row>
    <row r="29" spans="1:27">
      <c r="A29" s="13" t="s">
        <v>85</v>
      </c>
      <c r="B29" s="33">
        <v>0.6</v>
      </c>
      <c r="C29" s="33">
        <v>0</v>
      </c>
      <c r="D29" s="33">
        <v>0</v>
      </c>
      <c r="E29" s="33">
        <v>0</v>
      </c>
      <c r="F29" s="33">
        <v>0</v>
      </c>
      <c r="G29" s="33">
        <v>0</v>
      </c>
      <c r="H29" s="33">
        <v>0</v>
      </c>
      <c r="I29" s="33">
        <v>0</v>
      </c>
      <c r="J29" s="33">
        <v>0</v>
      </c>
      <c r="K29" s="33">
        <v>0</v>
      </c>
      <c r="L29" s="33">
        <v>0</v>
      </c>
      <c r="M29" s="33">
        <v>0</v>
      </c>
      <c r="N29" s="33">
        <v>0</v>
      </c>
      <c r="O29" s="33">
        <v>0</v>
      </c>
      <c r="P29" s="33">
        <v>0.3</v>
      </c>
      <c r="Q29" s="33">
        <v>0</v>
      </c>
      <c r="R29" s="33">
        <v>0</v>
      </c>
      <c r="S29" s="33">
        <v>0</v>
      </c>
      <c r="T29" s="33">
        <v>8.5000000000000006E-2</v>
      </c>
      <c r="U29" s="33">
        <v>0</v>
      </c>
      <c r="V29" s="33">
        <v>0</v>
      </c>
      <c r="W29" s="33">
        <v>0.01</v>
      </c>
      <c r="X29" s="33">
        <v>5.0000000000000001E-3</v>
      </c>
      <c r="Y29" s="34">
        <v>0</v>
      </c>
      <c r="AA29" s="29"/>
    </row>
    <row r="30" spans="1:27">
      <c r="A30" s="13" t="s">
        <v>86</v>
      </c>
      <c r="B30" s="33">
        <v>0</v>
      </c>
      <c r="C30" s="33">
        <v>0</v>
      </c>
      <c r="D30" s="33">
        <v>0</v>
      </c>
      <c r="E30" s="33">
        <v>0</v>
      </c>
      <c r="F30" s="33">
        <v>0</v>
      </c>
      <c r="G30" s="33">
        <v>0</v>
      </c>
      <c r="H30" s="33">
        <v>0</v>
      </c>
      <c r="I30" s="33">
        <v>0</v>
      </c>
      <c r="J30" s="33">
        <v>0.05</v>
      </c>
      <c r="K30" s="33">
        <v>0</v>
      </c>
      <c r="L30" s="33">
        <v>0</v>
      </c>
      <c r="M30" s="33">
        <v>0</v>
      </c>
      <c r="N30" s="33">
        <v>0</v>
      </c>
      <c r="O30" s="33">
        <v>0</v>
      </c>
      <c r="P30" s="33">
        <v>0</v>
      </c>
      <c r="Q30" s="33">
        <v>0</v>
      </c>
      <c r="R30" s="33">
        <v>0</v>
      </c>
      <c r="S30" s="33">
        <v>0.84</v>
      </c>
      <c r="T30" s="33">
        <v>0.05</v>
      </c>
      <c r="U30" s="33">
        <v>0</v>
      </c>
      <c r="V30" s="33">
        <v>0.05</v>
      </c>
      <c r="W30" s="33">
        <v>5.0000000000000001E-3</v>
      </c>
      <c r="X30" s="33">
        <v>5.0000000000000001E-3</v>
      </c>
      <c r="Y30" s="34">
        <v>0</v>
      </c>
      <c r="AA30" s="29"/>
    </row>
    <row r="31" spans="1:27">
      <c r="A31" s="13" t="s">
        <v>87</v>
      </c>
      <c r="B31" s="33">
        <v>0</v>
      </c>
      <c r="C31" s="33">
        <v>0</v>
      </c>
      <c r="D31" s="33">
        <v>0</v>
      </c>
      <c r="E31" s="33">
        <v>0</v>
      </c>
      <c r="F31" s="33">
        <v>0</v>
      </c>
      <c r="G31" s="33">
        <v>0</v>
      </c>
      <c r="H31" s="33">
        <v>0</v>
      </c>
      <c r="I31" s="33">
        <v>0</v>
      </c>
      <c r="J31" s="33">
        <v>0</v>
      </c>
      <c r="K31" s="33">
        <v>0</v>
      </c>
      <c r="L31" s="33">
        <v>0</v>
      </c>
      <c r="M31" s="33">
        <v>0.05</v>
      </c>
      <c r="N31" s="33">
        <v>0</v>
      </c>
      <c r="O31" s="33">
        <v>0</v>
      </c>
      <c r="P31" s="33">
        <v>0</v>
      </c>
      <c r="Q31" s="33">
        <v>0</v>
      </c>
      <c r="R31" s="33">
        <v>0</v>
      </c>
      <c r="S31" s="33">
        <v>0.84</v>
      </c>
      <c r="T31" s="33">
        <v>0.05</v>
      </c>
      <c r="U31" s="33">
        <v>0</v>
      </c>
      <c r="V31" s="33">
        <v>0.05</v>
      </c>
      <c r="W31" s="33">
        <v>5.0000000000000001E-3</v>
      </c>
      <c r="X31" s="33">
        <v>5.0000000000000001E-3</v>
      </c>
      <c r="Y31" s="34">
        <v>0</v>
      </c>
      <c r="AA31" s="29"/>
    </row>
    <row r="32" spans="1:27">
      <c r="A32" s="13" t="s">
        <v>88</v>
      </c>
      <c r="B32" s="33">
        <v>0.99</v>
      </c>
      <c r="C32" s="33">
        <v>0</v>
      </c>
      <c r="D32" s="33">
        <v>0</v>
      </c>
      <c r="E32" s="33">
        <v>0</v>
      </c>
      <c r="F32" s="33">
        <v>0</v>
      </c>
      <c r="G32" s="33">
        <v>0</v>
      </c>
      <c r="H32" s="33">
        <v>0</v>
      </c>
      <c r="I32" s="33">
        <v>0</v>
      </c>
      <c r="J32" s="33">
        <v>0</v>
      </c>
      <c r="K32" s="33">
        <v>0</v>
      </c>
      <c r="L32" s="33">
        <v>0</v>
      </c>
      <c r="M32" s="33">
        <v>0</v>
      </c>
      <c r="N32" s="33">
        <v>0</v>
      </c>
      <c r="O32" s="33">
        <v>0</v>
      </c>
      <c r="P32" s="33">
        <v>0</v>
      </c>
      <c r="Q32" s="33">
        <v>0</v>
      </c>
      <c r="R32" s="33">
        <v>0</v>
      </c>
      <c r="S32" s="33">
        <v>0</v>
      </c>
      <c r="T32" s="33">
        <v>0</v>
      </c>
      <c r="U32" s="33">
        <v>3.0000000000000001E-3</v>
      </c>
      <c r="V32" s="33">
        <v>0</v>
      </c>
      <c r="W32" s="33">
        <v>2E-3</v>
      </c>
      <c r="X32" s="33">
        <v>0</v>
      </c>
      <c r="Y32" s="34">
        <v>5.0000000000000001E-3</v>
      </c>
      <c r="AA32" s="29"/>
    </row>
    <row r="33" spans="1:27" ht="15" thickBot="1">
      <c r="A33" s="22" t="s">
        <v>89</v>
      </c>
      <c r="B33" s="35">
        <v>0.69499999999999995</v>
      </c>
      <c r="C33" s="35">
        <v>0</v>
      </c>
      <c r="D33" s="35">
        <v>0</v>
      </c>
      <c r="E33" s="35">
        <v>0</v>
      </c>
      <c r="F33" s="35">
        <v>0</v>
      </c>
      <c r="G33" s="35">
        <v>0</v>
      </c>
      <c r="H33" s="35">
        <v>0</v>
      </c>
      <c r="I33" s="35">
        <v>0</v>
      </c>
      <c r="J33" s="35">
        <v>0</v>
      </c>
      <c r="K33" s="35">
        <v>0</v>
      </c>
      <c r="L33" s="35">
        <v>0</v>
      </c>
      <c r="M33" s="35">
        <v>0</v>
      </c>
      <c r="N33" s="35">
        <v>0</v>
      </c>
      <c r="O33" s="35">
        <v>0</v>
      </c>
      <c r="P33" s="35">
        <v>0</v>
      </c>
      <c r="Q33" s="35">
        <v>0.29499999999999998</v>
      </c>
      <c r="R33" s="35">
        <v>0</v>
      </c>
      <c r="S33" s="35">
        <v>0</v>
      </c>
      <c r="T33" s="35">
        <v>0</v>
      </c>
      <c r="U33" s="35">
        <v>3.0000000000000001E-3</v>
      </c>
      <c r="V33" s="35">
        <v>0</v>
      </c>
      <c r="W33" s="35">
        <v>2E-3</v>
      </c>
      <c r="X33" s="35">
        <v>0</v>
      </c>
      <c r="Y33" s="36">
        <v>5.0000000000000001E-3</v>
      </c>
      <c r="AA33"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3284-8402-410A-B7F8-F19A48494AC5}">
  <sheetPr>
    <tabColor theme="8" tint="0.59999389629810485"/>
  </sheetPr>
  <dimension ref="A1:AA13"/>
  <sheetViews>
    <sheetView showGridLines="0" zoomScale="80" zoomScaleNormal="80" workbookViewId="0"/>
  </sheetViews>
  <sheetFormatPr defaultRowHeight="14.4"/>
  <cols>
    <col min="1" max="1" width="33.33203125" customWidth="1"/>
    <col min="2" max="25" width="12.6640625" bestFit="1" customWidth="1"/>
  </cols>
  <sheetData>
    <row r="1" spans="1:27">
      <c r="A1" s="30" t="s">
        <v>107</v>
      </c>
      <c r="B1" s="31" t="s">
        <v>36</v>
      </c>
      <c r="C1" s="31" t="s">
        <v>37</v>
      </c>
      <c r="D1" s="31" t="s">
        <v>38</v>
      </c>
      <c r="E1" s="31" t="s">
        <v>39</v>
      </c>
      <c r="F1" s="31" t="s">
        <v>40</v>
      </c>
      <c r="G1" s="31" t="s">
        <v>41</v>
      </c>
      <c r="H1" s="31" t="s">
        <v>42</v>
      </c>
      <c r="I1" s="31" t="s">
        <v>43</v>
      </c>
      <c r="J1" s="31" t="s">
        <v>44</v>
      </c>
      <c r="K1" s="31" t="s">
        <v>45</v>
      </c>
      <c r="L1" s="31" t="s">
        <v>46</v>
      </c>
      <c r="M1" s="31" t="s">
        <v>47</v>
      </c>
      <c r="N1" s="31" t="s">
        <v>48</v>
      </c>
      <c r="O1" s="31" t="s">
        <v>49</v>
      </c>
      <c r="P1" s="31" t="s">
        <v>50</v>
      </c>
      <c r="Q1" s="31" t="s">
        <v>51</v>
      </c>
      <c r="R1" s="31" t="s">
        <v>52</v>
      </c>
      <c r="S1" s="31" t="s">
        <v>53</v>
      </c>
      <c r="T1" s="31" t="s">
        <v>54</v>
      </c>
      <c r="U1" s="31" t="s">
        <v>55</v>
      </c>
      <c r="V1" s="31" t="s">
        <v>56</v>
      </c>
      <c r="W1" s="31" t="s">
        <v>57</v>
      </c>
      <c r="X1" s="31" t="s">
        <v>58</v>
      </c>
      <c r="Y1" s="32" t="s">
        <v>59</v>
      </c>
    </row>
    <row r="2" spans="1:27">
      <c r="A2" s="13" t="s">
        <v>108</v>
      </c>
      <c r="B2" s="37">
        <v>1600</v>
      </c>
      <c r="C2" s="37">
        <v>1800</v>
      </c>
      <c r="D2" s="37">
        <v>1500</v>
      </c>
      <c r="E2" s="37">
        <v>1400</v>
      </c>
      <c r="F2" s="37">
        <v>3500</v>
      </c>
      <c r="G2" s="37">
        <v>1200</v>
      </c>
      <c r="H2" s="37">
        <v>3000</v>
      </c>
      <c r="I2" s="37">
        <v>4000</v>
      </c>
      <c r="J2" s="37">
        <v>2800</v>
      </c>
      <c r="K2" s="37">
        <v>2200</v>
      </c>
      <c r="L2" s="37">
        <v>2800</v>
      </c>
      <c r="M2" s="37">
        <v>2400</v>
      </c>
      <c r="N2" s="37">
        <v>1200</v>
      </c>
      <c r="O2" s="37">
        <v>1500</v>
      </c>
      <c r="P2" s="37">
        <v>3800</v>
      </c>
      <c r="Q2" s="37">
        <v>2100</v>
      </c>
      <c r="R2" s="37">
        <v>2000</v>
      </c>
      <c r="S2" s="37">
        <v>0</v>
      </c>
      <c r="T2" s="37">
        <v>400</v>
      </c>
      <c r="U2" s="37">
        <v>350</v>
      </c>
      <c r="V2" s="37">
        <v>1200</v>
      </c>
      <c r="W2" s="37">
        <v>5000</v>
      </c>
      <c r="X2" s="37">
        <v>2000</v>
      </c>
      <c r="Y2" s="38">
        <v>1000</v>
      </c>
      <c r="AA2" s="29"/>
    </row>
    <row r="3" spans="1:27">
      <c r="A3" s="13" t="s">
        <v>109</v>
      </c>
      <c r="B3" s="37">
        <v>1550</v>
      </c>
      <c r="C3" s="37">
        <v>1750</v>
      </c>
      <c r="D3" s="37">
        <v>1480</v>
      </c>
      <c r="E3" s="37">
        <v>1380</v>
      </c>
      <c r="F3" s="37">
        <v>3400</v>
      </c>
      <c r="G3" s="37">
        <v>1180</v>
      </c>
      <c r="H3" s="37">
        <v>2950</v>
      </c>
      <c r="I3" s="37">
        <v>3950</v>
      </c>
      <c r="J3" s="37">
        <v>2700</v>
      </c>
      <c r="K3" s="37">
        <v>2150</v>
      </c>
      <c r="L3" s="37">
        <v>2750</v>
      </c>
      <c r="M3" s="37">
        <v>2350</v>
      </c>
      <c r="N3" s="37">
        <v>1180</v>
      </c>
      <c r="O3" s="37">
        <v>1480</v>
      </c>
      <c r="P3" s="37">
        <v>3750</v>
      </c>
      <c r="Q3" s="37">
        <v>2050</v>
      </c>
      <c r="R3" s="37">
        <v>1980</v>
      </c>
      <c r="S3" s="37">
        <v>0</v>
      </c>
      <c r="T3" s="37">
        <v>400</v>
      </c>
      <c r="U3" s="37">
        <v>350</v>
      </c>
      <c r="V3" s="37">
        <v>1180</v>
      </c>
      <c r="W3" s="37">
        <v>4950</v>
      </c>
      <c r="X3" s="37">
        <v>2000</v>
      </c>
      <c r="Y3" s="38">
        <v>1000</v>
      </c>
      <c r="AA3" s="29"/>
    </row>
    <row r="4" spans="1:27">
      <c r="A4" s="13" t="s">
        <v>110</v>
      </c>
      <c r="B4" s="37">
        <v>1500</v>
      </c>
      <c r="C4" s="37">
        <v>1700</v>
      </c>
      <c r="D4" s="37">
        <v>1450</v>
      </c>
      <c r="E4" s="37">
        <v>1350</v>
      </c>
      <c r="F4" s="37">
        <v>3000</v>
      </c>
      <c r="G4" s="37">
        <v>1150</v>
      </c>
      <c r="H4" s="37">
        <v>2900</v>
      </c>
      <c r="I4" s="37">
        <v>3900</v>
      </c>
      <c r="J4" s="37">
        <v>2600</v>
      </c>
      <c r="K4" s="37">
        <v>2100</v>
      </c>
      <c r="L4" s="37">
        <v>2700</v>
      </c>
      <c r="M4" s="37">
        <v>2300</v>
      </c>
      <c r="N4" s="37">
        <v>1150</v>
      </c>
      <c r="O4" s="37">
        <v>1450</v>
      </c>
      <c r="P4" s="37">
        <v>3700</v>
      </c>
      <c r="Q4" s="37">
        <v>2000</v>
      </c>
      <c r="R4" s="37">
        <v>1950</v>
      </c>
      <c r="S4" s="37">
        <v>0</v>
      </c>
      <c r="T4" s="37">
        <v>400</v>
      </c>
      <c r="U4" s="37">
        <v>350</v>
      </c>
      <c r="V4" s="37">
        <v>1150</v>
      </c>
      <c r="W4" s="37">
        <v>4900</v>
      </c>
      <c r="X4" s="37">
        <v>2000</v>
      </c>
      <c r="Y4" s="38">
        <v>1000</v>
      </c>
      <c r="AA4" s="29"/>
    </row>
    <row r="5" spans="1:27">
      <c r="A5" s="13" t="s">
        <v>111</v>
      </c>
      <c r="B5" s="37">
        <v>1450</v>
      </c>
      <c r="C5" s="37">
        <v>1600</v>
      </c>
      <c r="D5" s="37">
        <v>1400</v>
      </c>
      <c r="E5" s="37">
        <v>1300</v>
      </c>
      <c r="F5" s="37">
        <v>2500</v>
      </c>
      <c r="G5" s="37">
        <v>1100</v>
      </c>
      <c r="H5" s="37">
        <v>2850</v>
      </c>
      <c r="I5" s="37">
        <v>3800</v>
      </c>
      <c r="J5" s="37">
        <v>2500</v>
      </c>
      <c r="K5" s="37">
        <v>2000</v>
      </c>
      <c r="L5" s="37">
        <v>2600</v>
      </c>
      <c r="M5" s="37">
        <v>2250</v>
      </c>
      <c r="N5" s="37">
        <v>1100</v>
      </c>
      <c r="O5" s="37">
        <v>1400</v>
      </c>
      <c r="P5" s="37">
        <v>3650</v>
      </c>
      <c r="Q5" s="37">
        <v>1950</v>
      </c>
      <c r="R5" s="37">
        <v>1900</v>
      </c>
      <c r="S5" s="37">
        <v>0</v>
      </c>
      <c r="T5" s="37">
        <v>400</v>
      </c>
      <c r="U5" s="37">
        <v>350</v>
      </c>
      <c r="V5" s="37">
        <v>1120</v>
      </c>
      <c r="W5" s="37">
        <v>4850</v>
      </c>
      <c r="X5" s="37">
        <v>2000</v>
      </c>
      <c r="Y5" s="38">
        <v>1000</v>
      </c>
      <c r="AA5" s="29"/>
    </row>
    <row r="6" spans="1:27">
      <c r="A6" s="13" t="s">
        <v>112</v>
      </c>
      <c r="B6" s="37">
        <v>1400</v>
      </c>
      <c r="C6" s="37">
        <v>1500</v>
      </c>
      <c r="D6" s="37">
        <v>1350</v>
      </c>
      <c r="E6" s="37">
        <v>1280</v>
      </c>
      <c r="F6" s="37">
        <v>2000</v>
      </c>
      <c r="G6" s="37">
        <v>1080</v>
      </c>
      <c r="H6" s="37">
        <v>2800</v>
      </c>
      <c r="I6" s="37">
        <v>3700</v>
      </c>
      <c r="J6" s="37">
        <v>2400</v>
      </c>
      <c r="K6" s="37">
        <v>1900</v>
      </c>
      <c r="L6" s="37">
        <v>2500</v>
      </c>
      <c r="M6" s="37">
        <v>2200</v>
      </c>
      <c r="N6" s="37">
        <v>1080</v>
      </c>
      <c r="O6" s="37">
        <v>1380</v>
      </c>
      <c r="P6" s="37">
        <v>3600</v>
      </c>
      <c r="Q6" s="37">
        <v>1900</v>
      </c>
      <c r="R6" s="37">
        <v>1850</v>
      </c>
      <c r="S6" s="37">
        <v>0</v>
      </c>
      <c r="T6" s="37">
        <v>400</v>
      </c>
      <c r="U6" s="37">
        <v>350</v>
      </c>
      <c r="V6" s="37">
        <v>1100</v>
      </c>
      <c r="W6" s="37">
        <v>4800</v>
      </c>
      <c r="X6" s="37">
        <v>2000</v>
      </c>
      <c r="Y6" s="38">
        <v>1000</v>
      </c>
      <c r="AA6" s="29"/>
    </row>
    <row r="7" spans="1:27">
      <c r="A7" s="13" t="s">
        <v>113</v>
      </c>
      <c r="B7" s="37">
        <v>1450</v>
      </c>
      <c r="C7" s="37">
        <v>1550</v>
      </c>
      <c r="D7" s="37">
        <v>1380</v>
      </c>
      <c r="E7" s="37">
        <v>1300</v>
      </c>
      <c r="F7" s="37">
        <v>2200</v>
      </c>
      <c r="G7" s="37">
        <v>1100</v>
      </c>
      <c r="H7" s="37">
        <v>2850</v>
      </c>
      <c r="I7" s="37">
        <v>3750</v>
      </c>
      <c r="J7" s="37">
        <v>2450</v>
      </c>
      <c r="K7" s="37">
        <v>1950</v>
      </c>
      <c r="L7" s="37">
        <v>2550</v>
      </c>
      <c r="M7" s="37">
        <v>2230</v>
      </c>
      <c r="N7" s="37">
        <v>1100</v>
      </c>
      <c r="O7" s="37">
        <v>1400</v>
      </c>
      <c r="P7" s="37">
        <v>3650</v>
      </c>
      <c r="Q7" s="37">
        <v>1920</v>
      </c>
      <c r="R7" s="37">
        <v>1870</v>
      </c>
      <c r="S7" s="37">
        <v>0</v>
      </c>
      <c r="T7" s="37">
        <v>400</v>
      </c>
      <c r="U7" s="37">
        <v>350</v>
      </c>
      <c r="V7" s="37">
        <v>1120</v>
      </c>
      <c r="W7" s="37">
        <v>4850</v>
      </c>
      <c r="X7" s="37">
        <v>2000</v>
      </c>
      <c r="Y7" s="38">
        <v>1000</v>
      </c>
      <c r="AA7" s="29"/>
    </row>
    <row r="8" spans="1:27">
      <c r="A8" s="13" t="s">
        <v>114</v>
      </c>
      <c r="B8" s="37">
        <v>1500</v>
      </c>
      <c r="C8" s="37">
        <v>1600</v>
      </c>
      <c r="D8" s="37">
        <v>1400</v>
      </c>
      <c r="E8" s="37">
        <v>1320</v>
      </c>
      <c r="F8" s="37">
        <v>2500</v>
      </c>
      <c r="G8" s="37">
        <v>1120</v>
      </c>
      <c r="H8" s="37">
        <v>2900</v>
      </c>
      <c r="I8" s="37">
        <v>3800</v>
      </c>
      <c r="J8" s="37">
        <v>2500</v>
      </c>
      <c r="K8" s="37">
        <v>2000</v>
      </c>
      <c r="L8" s="37">
        <v>2600</v>
      </c>
      <c r="M8" s="37">
        <v>2250</v>
      </c>
      <c r="N8" s="37">
        <v>1120</v>
      </c>
      <c r="O8" s="37">
        <v>1420</v>
      </c>
      <c r="P8" s="37">
        <v>3700</v>
      </c>
      <c r="Q8" s="37">
        <v>1950</v>
      </c>
      <c r="R8" s="37">
        <v>1900</v>
      </c>
      <c r="S8" s="37">
        <v>0</v>
      </c>
      <c r="T8" s="37">
        <v>400</v>
      </c>
      <c r="U8" s="37">
        <v>350</v>
      </c>
      <c r="V8" s="37">
        <v>1150</v>
      </c>
      <c r="W8" s="37">
        <v>4900</v>
      </c>
      <c r="X8" s="37">
        <v>2000</v>
      </c>
      <c r="Y8" s="38">
        <v>1000</v>
      </c>
      <c r="AA8" s="29"/>
    </row>
    <row r="9" spans="1:27">
      <c r="A9" s="13" t="s">
        <v>115</v>
      </c>
      <c r="B9" s="37">
        <v>1550</v>
      </c>
      <c r="C9" s="37">
        <v>1650</v>
      </c>
      <c r="D9" s="37">
        <v>1420</v>
      </c>
      <c r="E9" s="37">
        <v>1340</v>
      </c>
      <c r="F9" s="37">
        <v>2800</v>
      </c>
      <c r="G9" s="37">
        <v>1150</v>
      </c>
      <c r="H9" s="37">
        <v>2950</v>
      </c>
      <c r="I9" s="37">
        <v>3850</v>
      </c>
      <c r="J9" s="37">
        <v>2550</v>
      </c>
      <c r="K9" s="37">
        <v>2050</v>
      </c>
      <c r="L9" s="37">
        <v>2650</v>
      </c>
      <c r="M9" s="37">
        <v>2300</v>
      </c>
      <c r="N9" s="37">
        <v>1150</v>
      </c>
      <c r="O9" s="37">
        <v>1450</v>
      </c>
      <c r="P9" s="37">
        <v>3750</v>
      </c>
      <c r="Q9" s="37">
        <v>1980</v>
      </c>
      <c r="R9" s="37">
        <v>1920</v>
      </c>
      <c r="S9" s="37">
        <v>0</v>
      </c>
      <c r="T9" s="37">
        <v>400</v>
      </c>
      <c r="U9" s="37">
        <v>350</v>
      </c>
      <c r="V9" s="37">
        <v>1170</v>
      </c>
      <c r="W9" s="37">
        <v>4950</v>
      </c>
      <c r="X9" s="37">
        <v>2000</v>
      </c>
      <c r="Y9" s="38">
        <v>1000</v>
      </c>
      <c r="AA9" s="29"/>
    </row>
    <row r="10" spans="1:27">
      <c r="A10" s="13" t="s">
        <v>116</v>
      </c>
      <c r="B10" s="37">
        <v>1600</v>
      </c>
      <c r="C10" s="37">
        <v>1700</v>
      </c>
      <c r="D10" s="37">
        <v>1450</v>
      </c>
      <c r="E10" s="37">
        <v>1360</v>
      </c>
      <c r="F10" s="37">
        <v>3000</v>
      </c>
      <c r="G10" s="37">
        <v>1180</v>
      </c>
      <c r="H10" s="37">
        <v>3000</v>
      </c>
      <c r="I10" s="37">
        <v>3900</v>
      </c>
      <c r="J10" s="37">
        <v>2600</v>
      </c>
      <c r="K10" s="37">
        <v>2100</v>
      </c>
      <c r="L10" s="37">
        <v>2700</v>
      </c>
      <c r="M10" s="37">
        <v>2350</v>
      </c>
      <c r="N10" s="37">
        <v>1180</v>
      </c>
      <c r="O10" s="37">
        <v>1480</v>
      </c>
      <c r="P10" s="37">
        <v>3800</v>
      </c>
      <c r="Q10" s="37">
        <v>2000</v>
      </c>
      <c r="R10" s="37">
        <v>1950</v>
      </c>
      <c r="S10" s="37">
        <v>0</v>
      </c>
      <c r="T10" s="37">
        <v>400</v>
      </c>
      <c r="U10" s="37">
        <v>350</v>
      </c>
      <c r="V10" s="37">
        <v>1200</v>
      </c>
      <c r="W10" s="37">
        <v>5000</v>
      </c>
      <c r="X10" s="37">
        <v>2000</v>
      </c>
      <c r="Y10" s="38">
        <v>1000</v>
      </c>
      <c r="AA10" s="29"/>
    </row>
    <row r="11" spans="1:27">
      <c r="A11" s="13" t="s">
        <v>117</v>
      </c>
      <c r="B11" s="37">
        <v>1650</v>
      </c>
      <c r="C11" s="37">
        <v>1750</v>
      </c>
      <c r="D11" s="37">
        <v>1480</v>
      </c>
      <c r="E11" s="37">
        <v>1380</v>
      </c>
      <c r="F11" s="37">
        <v>3200</v>
      </c>
      <c r="G11" s="37">
        <v>1200</v>
      </c>
      <c r="H11" s="37">
        <v>3050</v>
      </c>
      <c r="I11" s="37">
        <v>3950</v>
      </c>
      <c r="J11" s="37">
        <v>2650</v>
      </c>
      <c r="K11" s="37">
        <v>2150</v>
      </c>
      <c r="L11" s="37">
        <v>2750</v>
      </c>
      <c r="M11" s="37">
        <v>2400</v>
      </c>
      <c r="N11" s="37">
        <v>1200</v>
      </c>
      <c r="O11" s="37">
        <v>1500</v>
      </c>
      <c r="P11" s="37">
        <v>3850</v>
      </c>
      <c r="Q11" s="37">
        <v>2050</v>
      </c>
      <c r="R11" s="37">
        <v>1980</v>
      </c>
      <c r="S11" s="37">
        <v>0</v>
      </c>
      <c r="T11" s="37">
        <v>400</v>
      </c>
      <c r="U11" s="37">
        <v>350</v>
      </c>
      <c r="V11" s="37">
        <v>1220</v>
      </c>
      <c r="W11" s="37">
        <v>5050</v>
      </c>
      <c r="X11" s="37">
        <v>2000</v>
      </c>
      <c r="Y11" s="38">
        <v>1000</v>
      </c>
      <c r="AA11" s="29"/>
    </row>
    <row r="12" spans="1:27">
      <c r="A12" s="13" t="s">
        <v>118</v>
      </c>
      <c r="B12" s="37">
        <v>1700</v>
      </c>
      <c r="C12" s="37">
        <v>1800</v>
      </c>
      <c r="D12" s="37">
        <v>1500</v>
      </c>
      <c r="E12" s="37">
        <v>1400</v>
      </c>
      <c r="F12" s="37">
        <v>3400</v>
      </c>
      <c r="G12" s="37">
        <v>1220</v>
      </c>
      <c r="H12" s="37">
        <v>3100</v>
      </c>
      <c r="I12" s="37">
        <v>4000</v>
      </c>
      <c r="J12" s="37">
        <v>2700</v>
      </c>
      <c r="K12" s="37">
        <v>2200</v>
      </c>
      <c r="L12" s="37">
        <v>2800</v>
      </c>
      <c r="M12" s="37">
        <v>2450</v>
      </c>
      <c r="N12" s="37">
        <v>1220</v>
      </c>
      <c r="O12" s="37">
        <v>1520</v>
      </c>
      <c r="P12" s="37">
        <v>3900</v>
      </c>
      <c r="Q12" s="37">
        <v>2100</v>
      </c>
      <c r="R12" s="37">
        <v>2000</v>
      </c>
      <c r="S12" s="37">
        <v>0</v>
      </c>
      <c r="T12" s="37">
        <v>400</v>
      </c>
      <c r="U12" s="37">
        <v>350</v>
      </c>
      <c r="V12" s="37">
        <v>1250</v>
      </c>
      <c r="W12" s="37">
        <v>5100</v>
      </c>
      <c r="X12" s="37">
        <v>2000</v>
      </c>
      <c r="Y12" s="38">
        <v>1000</v>
      </c>
      <c r="AA12" s="29"/>
    </row>
    <row r="13" spans="1:27" ht="15" thickBot="1">
      <c r="A13" s="22" t="s">
        <v>119</v>
      </c>
      <c r="B13" s="39">
        <v>1750</v>
      </c>
      <c r="C13" s="39">
        <v>1850</v>
      </c>
      <c r="D13" s="39">
        <v>1550</v>
      </c>
      <c r="E13" s="39">
        <v>1450</v>
      </c>
      <c r="F13" s="39">
        <v>3600</v>
      </c>
      <c r="G13" s="39">
        <v>1250</v>
      </c>
      <c r="H13" s="39">
        <v>3200</v>
      </c>
      <c r="I13" s="39">
        <v>4100</v>
      </c>
      <c r="J13" s="39">
        <v>2800</v>
      </c>
      <c r="K13" s="39">
        <v>2250</v>
      </c>
      <c r="L13" s="39">
        <v>2900</v>
      </c>
      <c r="M13" s="39">
        <v>2500</v>
      </c>
      <c r="N13" s="39">
        <v>1250</v>
      </c>
      <c r="O13" s="39">
        <v>1550</v>
      </c>
      <c r="P13" s="39">
        <v>4000</v>
      </c>
      <c r="Q13" s="39">
        <v>2150</v>
      </c>
      <c r="R13" s="39">
        <v>2050</v>
      </c>
      <c r="S13" s="39">
        <v>0</v>
      </c>
      <c r="T13" s="39">
        <v>400</v>
      </c>
      <c r="U13" s="39">
        <v>350</v>
      </c>
      <c r="V13" s="39">
        <v>1300</v>
      </c>
      <c r="W13" s="39">
        <v>5200</v>
      </c>
      <c r="X13" s="39">
        <v>2000</v>
      </c>
      <c r="Y13" s="40">
        <v>1000</v>
      </c>
      <c r="AA13"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C26"/>
  <sheetViews>
    <sheetView zoomScale="77" workbookViewId="0"/>
  </sheetViews>
  <sheetFormatPr defaultRowHeight="15.6"/>
  <cols>
    <col min="1" max="1" width="65.44140625" style="15" bestFit="1" customWidth="1"/>
    <col min="2" max="2" width="16.33203125" style="15" customWidth="1"/>
    <col min="3" max="16384" width="8.88671875" style="15"/>
  </cols>
  <sheetData>
    <row r="1" spans="1:3">
      <c r="A1" s="14" t="s">
        <v>339</v>
      </c>
      <c r="B1" s="14" t="s">
        <v>19</v>
      </c>
      <c r="C1" s="14" t="s">
        <v>376</v>
      </c>
    </row>
    <row r="2" spans="1:3">
      <c r="A2" s="4" t="s">
        <v>344</v>
      </c>
      <c r="B2" s="16"/>
      <c r="C2" s="48" t="s">
        <v>129</v>
      </c>
    </row>
    <row r="3" spans="1:3">
      <c r="A3" s="4" t="s">
        <v>345</v>
      </c>
      <c r="B3" s="16"/>
      <c r="C3" s="48" t="s">
        <v>129</v>
      </c>
    </row>
    <row r="4" spans="1:3">
      <c r="A4" s="4" t="s">
        <v>346</v>
      </c>
      <c r="B4" s="16"/>
      <c r="C4" s="48" t="s">
        <v>129</v>
      </c>
    </row>
    <row r="5" spans="1:3">
      <c r="A5" s="4" t="s">
        <v>347</v>
      </c>
      <c r="B5" s="16"/>
      <c r="C5" s="48" t="s">
        <v>129</v>
      </c>
    </row>
    <row r="6" spans="1:3">
      <c r="A6" s="4" t="s">
        <v>348</v>
      </c>
      <c r="B6" s="16"/>
      <c r="C6" s="48" t="s">
        <v>129</v>
      </c>
    </row>
    <row r="7" spans="1:3">
      <c r="A7" s="4" t="s">
        <v>349</v>
      </c>
      <c r="B7" s="16"/>
      <c r="C7" s="48" t="s">
        <v>129</v>
      </c>
    </row>
    <row r="8" spans="1:3">
      <c r="A8" s="4" t="s">
        <v>350</v>
      </c>
      <c r="B8" s="16"/>
      <c r="C8" s="48" t="s">
        <v>129</v>
      </c>
    </row>
    <row r="9" spans="1:3">
      <c r="A9" s="4" t="s">
        <v>351</v>
      </c>
      <c r="B9" s="16"/>
      <c r="C9" s="48" t="s">
        <v>129</v>
      </c>
    </row>
    <row r="10" spans="1:3">
      <c r="A10" s="4" t="s">
        <v>352</v>
      </c>
      <c r="B10" s="16"/>
      <c r="C10" s="48" t="s">
        <v>129</v>
      </c>
    </row>
    <row r="11" spans="1:3">
      <c r="A11" s="4" t="s">
        <v>353</v>
      </c>
      <c r="B11" s="16"/>
      <c r="C11" s="48" t="s">
        <v>129</v>
      </c>
    </row>
    <row r="12" spans="1:3">
      <c r="A12" s="4" t="s">
        <v>354</v>
      </c>
      <c r="B12" s="16"/>
      <c r="C12" s="48" t="s">
        <v>129</v>
      </c>
    </row>
    <row r="13" spans="1:3">
      <c r="A13" s="4" t="s">
        <v>355</v>
      </c>
      <c r="B13" s="16"/>
      <c r="C13" s="48" t="s">
        <v>129</v>
      </c>
    </row>
    <row r="14" spans="1:3">
      <c r="A14" s="4" t="s">
        <v>356</v>
      </c>
      <c r="B14" s="16"/>
      <c r="C14" s="48" t="s">
        <v>129</v>
      </c>
    </row>
    <row r="15" spans="1:3">
      <c r="A15" s="4" t="s">
        <v>357</v>
      </c>
      <c r="B15" s="16"/>
      <c r="C15" s="48" t="s">
        <v>129</v>
      </c>
    </row>
    <row r="16" spans="1:3">
      <c r="A16" s="4" t="s">
        <v>358</v>
      </c>
      <c r="B16" s="16"/>
      <c r="C16" s="48" t="s">
        <v>129</v>
      </c>
    </row>
    <row r="17" spans="1:3">
      <c r="A17" s="4" t="s">
        <v>359</v>
      </c>
      <c r="B17" s="16"/>
      <c r="C17" s="48" t="s">
        <v>129</v>
      </c>
    </row>
    <row r="18" spans="1:3">
      <c r="A18" s="4" t="s">
        <v>360</v>
      </c>
      <c r="B18" s="16"/>
      <c r="C18" s="48" t="s">
        <v>129</v>
      </c>
    </row>
    <row r="19" spans="1:3">
      <c r="A19" s="4" t="s">
        <v>361</v>
      </c>
      <c r="B19" s="16"/>
      <c r="C19" s="48" t="s">
        <v>129</v>
      </c>
    </row>
    <row r="20" spans="1:3">
      <c r="A20" s="4" t="s">
        <v>362</v>
      </c>
      <c r="B20" s="16"/>
      <c r="C20" s="48" t="s">
        <v>129</v>
      </c>
    </row>
    <row r="21" spans="1:3">
      <c r="A21" s="4" t="s">
        <v>363</v>
      </c>
      <c r="B21" s="16"/>
      <c r="C21" s="48" t="s">
        <v>129</v>
      </c>
    </row>
    <row r="22" spans="1:3">
      <c r="A22" s="4" t="s">
        <v>364</v>
      </c>
      <c r="B22" s="16"/>
      <c r="C22" s="48" t="s">
        <v>129</v>
      </c>
    </row>
    <row r="23" spans="1:3">
      <c r="A23" s="4" t="s">
        <v>365</v>
      </c>
      <c r="B23" s="16"/>
      <c r="C23" s="48" t="s">
        <v>129</v>
      </c>
    </row>
    <row r="24" spans="1:3">
      <c r="A24" s="4" t="s">
        <v>366</v>
      </c>
      <c r="B24" s="16"/>
      <c r="C24" s="48" t="s">
        <v>129</v>
      </c>
    </row>
    <row r="25" spans="1:3">
      <c r="A25" s="4" t="s">
        <v>367</v>
      </c>
      <c r="B25" s="16"/>
      <c r="C25" s="48" t="s">
        <v>129</v>
      </c>
    </row>
    <row r="26" spans="1:3">
      <c r="A26" s="4" t="s">
        <v>368</v>
      </c>
      <c r="B26" s="16"/>
      <c r="C26" s="48" t="s">
        <v>129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Assumptions</vt:lpstr>
      <vt:lpstr>Sales</vt:lpstr>
      <vt:lpstr>Recipes</vt:lpstr>
      <vt:lpstr>Ingridients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2026-04-25T19:35:02Z</dcterms:modified>
</cp:coreProperties>
</file>