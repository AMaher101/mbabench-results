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ulia\Downloads\BizBench New Models\Financing Waterfall\ConstantFlow\starting_files\"/>
    </mc:Choice>
  </mc:AlternateContent>
  <xr:revisionPtr revIDLastSave="0" documentId="13_ncr:1_{C24D0D39-883B-4EA3-8E3C-B6DA208ECECE}" xr6:coauthVersionLast="47" xr6:coauthVersionMax="47" xr10:uidLastSave="{00000000-0000-0000-0000-000000000000}"/>
  <bookViews>
    <workbookView xWindow="-108" yWindow="-108" windowWidth="23256" windowHeight="12456" xr2:uid="{9D050BFD-007E-4C38-9D7B-ED1AFA0D54D5}"/>
  </bookViews>
  <sheets>
    <sheet name="Instructions" sheetId="10" r:id="rId1"/>
    <sheet name="Assumptions" sheetId="9" r:id="rId2"/>
    <sheet name="Questions" sheetId="11" r:id="rId3"/>
  </sheets>
  <definedNames>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2</definedName>
    <definedName name="_AtRisk_SimSetting_MultipleCPUManualCount" hidden="1">2</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001" hidden="1">"Scen 1(Base=123.42, S0=126.12, V=31.97%)"</definedName>
    <definedName name="_AtRisk_SimSetting_SimName002" hidden="1">"Scen 2(Base=123.42, S0=130, V=31.97%)"</definedName>
    <definedName name="_AtRisk_SimSetting_SimName003" hidden="1">"Scen 3(Base=123.42, S0=132, V=31.97%)"</definedName>
    <definedName name="_AtRisk_SimSetting_SimName004" hidden="1">"Scen 4(Base=1, S0=1, V=31.97%)"</definedName>
    <definedName name="_AtRisk_SimSetting_SimNameCount" hidden="1">4</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44091.7196296296</definedName>
    <definedName name="IQ_QTD" hidden="1">750000</definedName>
    <definedName name="IQ_TODAY" hidden="1">0</definedName>
    <definedName name="IQ_YTDMONTH" hidden="1">130000</definedName>
    <definedName name="IQB_BOOKMARK_COUNT" hidden="1">0</definedName>
    <definedName name="Pal_Workbook_GUID" hidden="1">"KHB4MCAJCJC3RUEFU5N2FB3U"</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FALSE</definedName>
    <definedName name="solver_eng" localSheetId="0" hidden="1">1</definedName>
    <definedName name="solver_neg" localSheetId="0" hidden="1">1</definedName>
    <definedName name="solver_num" localSheetId="0" hidden="1">0</definedName>
    <definedName name="solver_opt" localSheetId="0" hidden="1">Instructions!#REF!</definedName>
    <definedName name="solver_typ" localSheetId="0" hidden="1">1</definedName>
    <definedName name="solver_val" localSheetId="0" hidden="1">0</definedName>
    <definedName name="solver_ver" localSheetId="0" hidden="1">3</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9" l="1"/>
</calcChain>
</file>

<file path=xl/sharedStrings.xml><?xml version="1.0" encoding="utf-8"?>
<sst xmlns="http://schemas.openxmlformats.org/spreadsheetml/2006/main" count="243" uniqueCount="138">
  <si>
    <t>[$]</t>
  </si>
  <si>
    <t>[years]</t>
  </si>
  <si>
    <t>[%]</t>
  </si>
  <si>
    <t>End Sheet</t>
  </si>
  <si>
    <t>Cash</t>
  </si>
  <si>
    <t>Available FCF</t>
  </si>
  <si>
    <t>Year Number</t>
  </si>
  <si>
    <t>Senior debt - Tranche 1 - scheduled repayment</t>
  </si>
  <si>
    <t>Senior debt - Tranche 2 - scheduled repayment</t>
  </si>
  <si>
    <t>Yearly Inputs</t>
  </si>
  <si>
    <t>Model Start date</t>
  </si>
  <si>
    <t>Revolver limit</t>
  </si>
  <si>
    <t>Class A shares (existing) - vesting year</t>
  </si>
  <si>
    <t>Class B shares (existing) - vesting year</t>
  </si>
  <si>
    <t>Class C shares (existing) - vesting year</t>
  </si>
  <si>
    <t>Class C shares (new) - vesting period</t>
  </si>
  <si>
    <t>Class A shares - # issued</t>
  </si>
  <si>
    <t>Class B shares - # issued</t>
  </si>
  <si>
    <t>Class C shares - # issued</t>
  </si>
  <si>
    <t>Class A shares - price as issue</t>
  </si>
  <si>
    <t>Class B shares - price at issue</t>
  </si>
  <si>
    <t>Class C shares - price at issue</t>
  </si>
  <si>
    <t>Interest rates</t>
  </si>
  <si>
    <t>Shares</t>
  </si>
  <si>
    <t>Opening Balances</t>
  </si>
  <si>
    <t>Shares issued</t>
  </si>
  <si>
    <t>Senior debt - Tranche 3 - scheduled repayment</t>
  </si>
  <si>
    <t>Class D shares (existing) - vesting year</t>
  </si>
  <si>
    <t>Class D shares - price at issue</t>
  </si>
  <si>
    <t>Cash float (min.)</t>
  </si>
  <si>
    <t>Model length</t>
  </si>
  <si>
    <t>Revolver facility</t>
  </si>
  <si>
    <t>Senior debt (Tranche 1)</t>
  </si>
  <si>
    <t>Senior debt (Tranche 2)</t>
  </si>
  <si>
    <t>Senior debt (Tranche 3)</t>
  </si>
  <si>
    <t>Class D shares - # issued</t>
  </si>
  <si>
    <t>Assumptions sheet may be also in the text on the Instructions tab - please use the assumptions on this sheet for your model</t>
  </si>
  <si>
    <t>Finance Task</t>
  </si>
  <si>
    <t>There is a hierarchy, which payments are made in which order. Payments may be delayed or not made, if there are insufficient funds available.</t>
  </si>
  <si>
    <t>All necessary information regarding amounts, scheduled repayment, interest rates and equity/shares are given in the tab Assumptions.</t>
  </si>
  <si>
    <t>Opening Inputs</t>
  </si>
  <si>
    <t>[$k]</t>
  </si>
  <si>
    <t>Convertible debt (regular)</t>
  </si>
  <si>
    <t>Questions (please round your answers to two decimal places)</t>
  </si>
  <si>
    <t>Answers</t>
  </si>
  <si>
    <t>What is the total dividend paid (over the entire model period) for Class A shares?</t>
  </si>
  <si>
    <t>What is the total dividend paid (over the entire model period) for Class B shares?</t>
  </si>
  <si>
    <t>What is the total dividend paid (over the entire model period) for Class C shares?</t>
  </si>
  <si>
    <t>What is the total dividend paid (over the entire model period) for Class D shares?</t>
  </si>
  <si>
    <t>What is the total dividend paid (over the entire model period) for Class E shares?</t>
  </si>
  <si>
    <t>Unit</t>
  </si>
  <si>
    <t>The whole model should be a monthly model in the end – assume that all payments are made at the end of the month (interest is therefore calculated based on the opening balances).</t>
  </si>
  <si>
    <t>Cash - positive balances</t>
  </si>
  <si>
    <t>Cash - negative balances</t>
  </si>
  <si>
    <t>Revolver</t>
  </si>
  <si>
    <t>Senior debt - Tranche 1</t>
  </si>
  <si>
    <t>Senior debt - Tranche 2</t>
  </si>
  <si>
    <t>Senior debt - Tranche 3</t>
  </si>
  <si>
    <t>Convertible interest debt (regular)</t>
  </si>
  <si>
    <t>[Act/360]</t>
  </si>
  <si>
    <t>[30/360 US]</t>
  </si>
  <si>
    <t>[Act/Act]</t>
  </si>
  <si>
    <t>Interest rates convention - Day Count Conventions</t>
  </si>
  <si>
    <t>Interest rates convention - Quoting Conventions</t>
  </si>
  <si>
    <t>All interest rates are given p.a., but might have different interest rate conventions (both for day count and quoting).</t>
  </si>
  <si>
    <t>Nominal</t>
  </si>
  <si>
    <t>EAR</t>
  </si>
  <si>
    <t>Months per year</t>
  </si>
  <si>
    <t>$k to $m</t>
  </si>
  <si>
    <t>The repayment schedule is shown on an annual basis - break it down into monthly repayments by assuming equal monthly repayments.</t>
  </si>
  <si>
    <t>Monthly Inputs</t>
  </si>
  <si>
    <t>Month Number</t>
  </si>
  <si>
    <t>(please note that new Class C shares resulting from the convertible bond must also observe a four-year holding period starting from the conversion date before they become eligible for dividends - with the regular vesting period for Class C shares serving as the minimum requirement; therefore, the later of the regular vesting period for Class C shares and the conversion date plus the four-year waiting period is used)</t>
  </si>
  <si>
    <t>[million]</t>
  </si>
  <si>
    <t>[$m]</t>
  </si>
  <si>
    <t>Create a Debt Waterfall (monthly and dynamic model that also takes into account possible convention changes, using a meaningful unit of currency) on a new sheet and answer the questions with the results from your model.</t>
  </si>
  <si>
    <t>1. Interest on cash balances (assume that this is not part of available FCF), interest on all tranches of Senior debt and on the revolver are always made, even if this would mean, that the cash balance would become negative.</t>
  </si>
  <si>
    <t>A company has a complicated financing structure, consisting of cash, a revolver facility, five tranches of senior debt, two tranches of convertible debt and six classes of equity.</t>
  </si>
  <si>
    <t>Debt Waterfall Modeling - ConstantFlow</t>
  </si>
  <si>
    <t>8. Repay or Draw revolver facility (up to limit given)</t>
  </si>
  <si>
    <t>7. Ensuring minimum cash float (by drawing the revolver (8.) up to the limit given)</t>
  </si>
  <si>
    <t>Senior debt - Tranche 4 - scheduled repayment</t>
  </si>
  <si>
    <t>Senior debt - Tranche 5 - scheduled repayment</t>
  </si>
  <si>
    <t>Senior debt - Tranche 4</t>
  </si>
  <si>
    <t>Senior debt - Tranche 5</t>
  </si>
  <si>
    <r>
      <t>5.</t>
    </r>
    <r>
      <rPr>
        <sz val="7"/>
        <color theme="1"/>
        <rFont val="Times New Roman"/>
        <family val="1"/>
      </rPr>
      <t xml:space="preserve"> </t>
    </r>
    <r>
      <rPr>
        <sz val="12"/>
        <color theme="1"/>
        <rFont val="Aptos"/>
        <family val="2"/>
      </rPr>
      <t>Interest on the Convertible interest debt (regular) (no repayments, if the full interest amount cannot be paid, the unpaid interest is converted into Class C equity at $103.2 per share)</t>
    </r>
  </si>
  <si>
    <t>Class E shares - # issued</t>
  </si>
  <si>
    <t>Class F shares - # issued</t>
  </si>
  <si>
    <t>Class E shares - price at issue</t>
  </si>
  <si>
    <t>Class F shares - price at issue</t>
  </si>
  <si>
    <t>Senior debt (Tranche 5)</t>
  </si>
  <si>
    <t>Senior debt (Tranche 4)</t>
  </si>
  <si>
    <t>Class E shares (existing) - vesting year</t>
  </si>
  <si>
    <t>Class F shares (existing) - vesting year</t>
  </si>
  <si>
    <t>(please note that new Class F shares resulting from the convertible bond must also observe the regular vesting period for Class F shares)</t>
  </si>
  <si>
    <t>One A share is worth 1 B share</t>
  </si>
  <si>
    <t>9. Profit distributions (monthly): Any excess liquidity is distributed to the shareholders (as long as all above payments are made and the cash balance is above min. float as well as the revolver facility repaid fully). Distributions are made in proportion to the number and weighting of shares held eligible for dividends (factoring in the different rights (given in relation to Share Class B) and vesting periods) - distributions are made monthly as well.</t>
  </si>
  <si>
    <t>What is the total dividend paid (over the entire model period) for Class F shares?</t>
  </si>
  <si>
    <t>What is the account balance for Senior debt (Tranche 4) in 3/2038?</t>
  </si>
  <si>
    <t>What is the account balance for Senior debt (Tranche 2) in 3/2030?</t>
  </si>
  <si>
    <t>What is the account balance for Senior debt (Tranche 4) in 6/2031?</t>
  </si>
  <si>
    <t>What is the account balance for Senior debt (Tranche 3) in 5/2050?</t>
  </si>
  <si>
    <t>What is the account balance for Senior debt (Tranche 1) in 9/2031?</t>
  </si>
  <si>
    <t>What is the account balance for Cash in 10/2050?</t>
  </si>
  <si>
    <t>What is the account balance for Class E shares in 9/2032?</t>
  </si>
  <si>
    <t>What is the account balance for Cash in 8/2030?</t>
  </si>
  <si>
    <t>What is the account balance for Senior debt (Tranche 4) in 12/2028?</t>
  </si>
  <si>
    <t>What is the account balance for Convertible debt (regular) in 6/2033?</t>
  </si>
  <si>
    <t>What is the account balance for Senior debt (Tranche 4) in 5/2028?</t>
  </si>
  <si>
    <t>What is the account balance for Revolver facility in 7/2044?</t>
  </si>
  <si>
    <t>What is the account balance for Class D shares in 3/2031?</t>
  </si>
  <si>
    <t>What is the account balance for Senior debt (Tranche 2) in 2/2050?</t>
  </si>
  <si>
    <t>What is the account balance for Cash in 2/2030?</t>
  </si>
  <si>
    <t>What is the account balance for Class B shares in 8/2037?</t>
  </si>
  <si>
    <t>What is the account balance for Convertible debt (regular) in 5/2032?</t>
  </si>
  <si>
    <t>What is the account balance for Senior debt (Tranche 4) in 7/2042?</t>
  </si>
  <si>
    <t>What is the account balance for Class C shares in 7/2043?</t>
  </si>
  <si>
    <t>What is the account balance for Cash in 8/2048?</t>
  </si>
  <si>
    <t>What is the account balance for Class E shares in 1/2049?</t>
  </si>
  <si>
    <t>What is the account balance for Cash in 2/2039?</t>
  </si>
  <si>
    <t>What is the account balance for Revolver facility in 9/2050?</t>
  </si>
  <si>
    <t>What is the account balance for Senior debt (Tranche 2) in 6/2030?</t>
  </si>
  <si>
    <t>What is the account balance for Cash in 12/2037?</t>
  </si>
  <si>
    <t>What is the account balance for Senior debt (Tranche 5) in 10/2051?</t>
  </si>
  <si>
    <t>6. Interest on the Subordinated Convertible interest debt (no repayments, if the full interest amount cannot be paid, the unpaid interest is converted into Class F equity at $12.0 per share)</t>
  </si>
  <si>
    <t>Subordinated Convertible debt</t>
  </si>
  <si>
    <t>Subordinated Convertible interest debt</t>
  </si>
  <si>
    <t>What is the account balance for Subordinated convertible debt in 2/2047?</t>
  </si>
  <si>
    <t>What is the account balance for Subordinated convertible debt in 12/2051?</t>
  </si>
  <si>
    <t>What is the account balance for Subordinated convertible debt in 7/2051?</t>
  </si>
  <si>
    <t>One C share is worth 0.5 B shares</t>
  </si>
  <si>
    <t>One D share is worth 0.3 B shares</t>
  </si>
  <si>
    <t>One E share is worth 0.2 B shares</t>
  </si>
  <si>
    <t>One F share is worth 0.1 B shares</t>
  </si>
  <si>
    <t>3. Repayment of Senior debt Tranche 3 (if funds are not sufficient to repay in total, partial repayment for that month  – if the full scheduled repayment is not possible, the unpaid portion accumulates as arrears. In each subsequent month, the model attempts to repay the greater of that month's scheduled installment and the total accumulated arrears, subject to available funds. Arrears are considered cleared once the actual outstanding balance returns to the scheduled balance)</t>
  </si>
  <si>
    <t>2. Repayment of Senior debt Tranches 1 &amp; 2 (if funds are not sufficient to repay in total, available funds are split between the tranches in proportion to each tranche's required payment for that month (i.e., the greater of the original scheduled monthly installment and the tranche's accumulated arrears – if the full scheduled repayment is not possible, the unpaid portion accumulates as arrears. In each subsequent month, the model attempts to repay the greater of that month's scheduled installment and the total accumulated arrears, subject to available funds. Arrears are considered cleared once the actual outstanding balance returns to the scheduled balance)</t>
  </si>
  <si>
    <t>4. Repayment of Senior debt Tranches 4 &amp; 5 (if funds are not sufficient to repay in total, available funds are split between the tranches in proportion to each tranche's required payment for that month (i.e., the greater of the original scheduled monthly installment and the tranche's accumulated arrears – if the full scheduled repayment is not possible, the unpaid portion accumulates as arrears. In each subsequent month, the model attempts to repay the greater of that month's scheduled installment and the total accumulated arrears, subject to available funds. Arrears are considered cleared once the actual outstanding balance returns to the scheduled balance)</t>
  </si>
  <si>
    <t>Shares become eligible for dividends starting from January of their vesting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</si>
</sst>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0\);\-"/>
    <numFmt numFmtId="165" formatCode="#,##0.00_);\(#,##0.00\);\-"/>
  </numFmts>
  <fonts count="18">
    <font>
      <sz val="11"/>
      <color theme="1"/>
      <name val="Aptos Narrow"/>
      <family val="2"/>
      <scheme val="minor"/>
    </font>
    <font>
      <sz val="11"/>
      <color theme="1"/>
      <name val="Aptos Narrow"/>
      <family val="2"/>
      <scheme val="minor"/>
    </font>
    <font>
      <b/>
      <sz val="11"/>
      <color theme="1"/>
      <name val="Aptos Narrow"/>
      <family val="2"/>
      <scheme val="minor"/>
    </font>
    <font>
      <sz val="12"/>
      <color theme="1"/>
      <name val="Aptos Narrow"/>
      <family val="2"/>
      <scheme val="minor"/>
    </font>
    <font>
      <sz val="10"/>
      <color rgb="FF0000FF"/>
      <name val="Aptos Narrow"/>
      <family val="2"/>
      <scheme val="minor"/>
    </font>
    <font>
      <sz val="11"/>
      <color rgb="FF0000FF"/>
      <name val="Aptos Narrow"/>
      <family val="2"/>
      <scheme val="minor"/>
    </font>
    <font>
      <b/>
      <sz val="10"/>
      <color theme="1"/>
      <name val="Arial"/>
      <family val="2"/>
    </font>
    <font>
      <b/>
      <sz val="10"/>
      <color theme="1"/>
      <name val="Aptos Narrow"/>
      <family val="2"/>
      <scheme val="minor"/>
    </font>
    <font>
      <sz val="10"/>
      <color theme="1"/>
      <name val="Arial"/>
      <family val="2"/>
    </font>
    <font>
      <sz val="10"/>
      <color rgb="FF0000FF"/>
      <name val="Arial"/>
      <family val="2"/>
    </font>
    <font>
      <sz val="8"/>
      <name val="Aptos Narrow"/>
      <family val="2"/>
      <scheme val="minor"/>
    </font>
    <font>
      <sz val="11"/>
      <color theme="1"/>
      <name val="Roboto"/>
    </font>
    <font>
      <sz val="11"/>
      <name val="Roboto"/>
    </font>
    <font>
      <b/>
      <sz val="48"/>
      <color theme="0"/>
      <name val="ROBOTECH GP"/>
      <family val="2"/>
    </font>
    <font>
      <b/>
      <sz val="24"/>
      <color theme="0"/>
      <name val="ROBOTECH GP"/>
      <family val="2"/>
    </font>
    <font>
      <sz val="12"/>
      <color theme="1"/>
      <name val="Aptos"/>
      <family val="2"/>
    </font>
    <font>
      <sz val="7"/>
      <color theme="1"/>
      <name val="Times New Roman"/>
      <family val="1"/>
    </font>
    <font>
      <b/>
      <sz val="12"/>
      <color theme="1"/>
      <name val="Aptos Narrow"/>
      <family val="2"/>
      <scheme val="minor"/>
    </font>
  </fonts>
  <fills count="7">
    <fill>
      <patternFill patternType="none"/>
    </fill>
    <fill>
      <patternFill patternType="gray125"/>
    </fill>
    <fill>
      <patternFill patternType="solid">
        <fgColor rgb="FFFFFFCC"/>
        <bgColor indexed="64"/>
      </patternFill>
    </fill>
    <fill>
      <patternFill patternType="solid">
        <fgColor theme="3" tint="0.79998168889431442"/>
        <bgColor indexed="64"/>
      </patternFill>
    </fill>
    <fill>
      <patternFill patternType="solid">
        <fgColor theme="8" tint="0.79998168889431442"/>
        <bgColor indexed="64"/>
      </patternFill>
    </fill>
    <fill>
      <gradientFill>
        <stop position="0">
          <color rgb="FF007B00"/>
        </stop>
        <stop position="1">
          <color rgb="FF020024"/>
        </stop>
      </gradientFill>
    </fill>
    <fill>
      <patternFill patternType="solid">
        <fgColor theme="7" tint="0.79998168889431442"/>
        <bgColor indexed="64"/>
      </patternFill>
    </fill>
  </fills>
  <borders count="6">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8">
    <xf numFmtId="0" fontId="0" fillId="0" borderId="0"/>
    <xf numFmtId="0" fontId="1" fillId="0" borderId="0"/>
    <xf numFmtId="0" fontId="3" fillId="0" borderId="0"/>
    <xf numFmtId="9" fontId="1" fillId="0" borderId="0" applyFont="0" applyFill="0" applyBorder="0" applyAlignment="0" applyProtection="0"/>
    <xf numFmtId="4" fontId="6" fillId="3" borderId="1">
      <alignment horizontal="left"/>
    </xf>
    <xf numFmtId="164" fontId="8" fillId="0" borderId="0" applyBorder="0"/>
    <xf numFmtId="164" fontId="9" fillId="2" borderId="2">
      <protection locked="0"/>
    </xf>
    <xf numFmtId="0" fontId="9" fillId="0" borderId="0" applyNumberFormat="0" applyFill="0" applyBorder="0">
      <alignment horizontal="right"/>
    </xf>
  </cellStyleXfs>
  <cellXfs count="29">
    <xf numFmtId="0" fontId="0" fillId="0" borderId="0" xfId="0"/>
    <xf numFmtId="4" fontId="0" fillId="0" borderId="0" xfId="0" applyNumberFormat="1"/>
    <xf numFmtId="0" fontId="2" fillId="0" borderId="0" xfId="0" applyFont="1"/>
    <xf numFmtId="0" fontId="5" fillId="0" borderId="0" xfId="0" applyFont="1"/>
    <xf numFmtId="4" fontId="5" fillId="2" borderId="2" xfId="0" applyNumberFormat="1" applyFont="1" applyFill="1" applyBorder="1"/>
    <xf numFmtId="4" fontId="7" fillId="4" borderId="1" xfId="4" applyFont="1" applyFill="1">
      <alignment horizontal="left"/>
    </xf>
    <xf numFmtId="4" fontId="2" fillId="4" borderId="1" xfId="4" applyFont="1" applyFill="1">
      <alignment horizontal="left"/>
    </xf>
    <xf numFmtId="10" fontId="5" fillId="2" borderId="2" xfId="3" applyNumberFormat="1" applyFont="1" applyFill="1" applyBorder="1"/>
    <xf numFmtId="0" fontId="4" fillId="0" borderId="0" xfId="0" applyFont="1"/>
    <xf numFmtId="14" fontId="5" fillId="2" borderId="2" xfId="0" applyNumberFormat="1" applyFont="1" applyFill="1" applyBorder="1"/>
    <xf numFmtId="3" fontId="5" fillId="2" borderId="2" xfId="0" applyNumberFormat="1" applyFont="1" applyFill="1" applyBorder="1"/>
    <xf numFmtId="1" fontId="5" fillId="2" borderId="2" xfId="0" applyNumberFormat="1" applyFont="1" applyFill="1" applyBorder="1"/>
    <xf numFmtId="165" fontId="9" fillId="0" borderId="0" xfId="7" applyNumberFormat="1">
      <alignment horizontal="right"/>
    </xf>
    <xf numFmtId="0" fontId="11" fillId="0" borderId="0" xfId="1" applyFont="1"/>
    <xf numFmtId="0" fontId="12" fillId="0" borderId="0" xfId="1" applyFont="1"/>
    <xf numFmtId="0" fontId="11" fillId="0" borderId="0" xfId="1" applyFont="1" applyAlignment="1">
      <alignment horizontal="center"/>
    </xf>
    <xf numFmtId="0" fontId="12" fillId="0" borderId="0" xfId="1" applyFont="1" applyAlignment="1">
      <alignment horizontal="center"/>
    </xf>
    <xf numFmtId="0" fontId="15" fillId="0" borderId="0" xfId="0" applyFont="1" applyAlignment="1">
      <alignment vertical="center"/>
    </xf>
    <xf numFmtId="0" fontId="15" fillId="0" borderId="0" xfId="0" applyFont="1" applyAlignment="1">
      <alignment horizontal="left" vertical="center" indent="6"/>
    </xf>
    <xf numFmtId="10" fontId="0" fillId="0" borderId="0" xfId="0" applyNumberFormat="1"/>
    <xf numFmtId="0" fontId="17" fillId="0" borderId="0" xfId="2" applyFont="1"/>
    <xf numFmtId="0" fontId="3" fillId="0" borderId="0" xfId="2"/>
    <xf numFmtId="0" fontId="11" fillId="0" borderId="0" xfId="1" applyFont="1" applyAlignment="1">
      <alignment horizontal="left"/>
    </xf>
    <xf numFmtId="4" fontId="11" fillId="6" borderId="2" xfId="1" applyNumberFormat="1" applyFont="1" applyFill="1" applyBorder="1" applyAlignment="1">
      <alignment horizontal="center"/>
    </xf>
    <xf numFmtId="0" fontId="13" fillId="5" borderId="3" xfId="2" applyFont="1" applyFill="1" applyBorder="1" applyAlignment="1">
      <alignment horizontal="center" vertical="center"/>
    </xf>
    <xf numFmtId="0" fontId="13" fillId="5" borderId="1" xfId="2" applyFont="1" applyFill="1" applyBorder="1" applyAlignment="1">
      <alignment horizontal="center" vertical="center"/>
    </xf>
    <xf numFmtId="0" fontId="13" fillId="5" borderId="4" xfId="2" applyFont="1" applyFill="1" applyBorder="1" applyAlignment="1">
      <alignment horizontal="center" vertical="center"/>
    </xf>
    <xf numFmtId="0" fontId="14" fillId="5" borderId="5" xfId="2" applyFont="1" applyFill="1" applyBorder="1" applyAlignment="1">
      <alignment horizontal="center" vertical="center"/>
    </xf>
    <xf numFmtId="0" fontId="14" fillId="5" borderId="0" xfId="2" applyFont="1" applyFill="1" applyAlignment="1">
      <alignment horizontal="center" vertical="center"/>
    </xf>
  </cellXfs>
  <cellStyles count="8">
    <cellStyle name="M Section Header" xfId="4" xr:uid="{F944F0E6-F034-49F8-8B3F-D0C9E50BA2F6}"/>
    <cellStyle name="M Units" xfId="7" xr:uid="{B591442F-CADB-4FD5-9324-DD1119747805}"/>
    <cellStyle name="M-A 0dp" xfId="6" xr:uid="{80AB76FC-3C43-4EFF-B2A6-1E81FFBC781B}"/>
    <cellStyle name="M-C 0dp Num" xfId="5" xr:uid="{C7EF620F-9501-4FBB-93FF-813E47ED464B}"/>
    <cellStyle name="Normal" xfId="0" builtinId="0"/>
    <cellStyle name="Normal 2" xfId="2" xr:uid="{037B3D13-DA10-4240-9E6B-55FD128391C9}"/>
    <cellStyle name="Normal 3" xfId="1" xr:uid="{1C87C372-71EA-4FEE-904D-475CC6E05479}"/>
    <cellStyle name="Percent" xfId="3"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05585-2C4B-4272-9AD0-C24F524B71E1}">
  <sheetPr>
    <tabColor theme="8" tint="-0.249977111117893"/>
  </sheetPr>
  <dimension ref="A1:K26"/>
  <sheetViews>
    <sheetView showGridLines="0" tabSelected="1" zoomScale="79" zoomScaleNormal="80" zoomScaleSheetLayoutView="100" workbookViewId="0"/>
  </sheetViews>
  <sheetFormatPr defaultColWidth="5.21875" defaultRowHeight="14.4"/>
  <cols>
    <col min="1" max="1" width="1.88671875" style="13" customWidth="1"/>
    <col min="2" max="2" width="32.109375" style="15" customWidth="1"/>
    <col min="3" max="3" width="17.109375" style="15" bestFit="1" customWidth="1"/>
    <col min="4" max="4" width="20.88671875" style="15" bestFit="1" customWidth="1"/>
    <col min="5" max="5" width="24.109375" style="15" customWidth="1"/>
    <col min="6" max="6" width="21.5546875" style="15" customWidth="1"/>
    <col min="7" max="7" width="26.33203125" style="15" bestFit="1" customWidth="1"/>
    <col min="8" max="8" width="40.109375" style="15" customWidth="1"/>
    <col min="9" max="9" width="23.5546875" style="16" customWidth="1"/>
    <col min="10" max="10" width="23.5546875" style="14" customWidth="1"/>
    <col min="11" max="11" width="27.77734375" style="14" customWidth="1"/>
    <col min="12" max="12" width="20.5546875" style="14" customWidth="1"/>
    <col min="13" max="376" width="11.109375" style="14" bestFit="1" customWidth="1"/>
    <col min="377" max="377" width="5.21875" style="14"/>
    <col min="378" max="383" width="9.6640625" style="14" customWidth="1"/>
    <col min="384" max="384" width="5.21875" style="14"/>
    <col min="385" max="393" width="9.6640625" style="14" customWidth="1"/>
    <col min="394" max="16384" width="5.21875" style="14"/>
  </cols>
  <sheetData>
    <row r="1" spans="2:11" ht="15" customHeight="1">
      <c r="B1" s="13"/>
      <c r="C1" s="13"/>
      <c r="D1" s="13"/>
      <c r="E1" s="13"/>
      <c r="F1" s="13"/>
      <c r="G1" s="13"/>
      <c r="H1" s="13"/>
      <c r="I1" s="13"/>
      <c r="J1" s="13"/>
      <c r="K1" s="13"/>
    </row>
    <row r="2" spans="2:11" ht="60.75" customHeight="1">
      <c r="B2" s="24" t="s">
        <v>37</v>
      </c>
      <c r="C2" s="25"/>
      <c r="D2" s="25"/>
      <c r="E2" s="25"/>
      <c r="F2" s="25"/>
      <c r="G2" s="25"/>
      <c r="H2" s="25"/>
      <c r="I2" s="25"/>
      <c r="J2" s="25"/>
      <c r="K2" s="26"/>
    </row>
    <row r="3" spans="2:11" ht="15" customHeight="1">
      <c r="B3" s="13"/>
      <c r="C3" s="13"/>
      <c r="D3" s="13"/>
      <c r="E3" s="13"/>
      <c r="F3" s="13"/>
      <c r="G3" s="13"/>
      <c r="H3" s="13"/>
      <c r="I3" s="13"/>
      <c r="J3" s="13"/>
      <c r="K3" s="13"/>
    </row>
    <row r="4" spans="2:11" ht="33.75" customHeight="1">
      <c r="B4" s="27" t="s">
        <v>78</v>
      </c>
      <c r="C4" s="28"/>
      <c r="D4" s="28"/>
      <c r="E4" s="28"/>
      <c r="F4" s="28"/>
      <c r="G4" s="28"/>
      <c r="H4" s="28"/>
      <c r="I4" s="28"/>
      <c r="J4" s="13"/>
    </row>
    <row r="5" spans="2:11" ht="15" customHeight="1">
      <c r="B5" s="13"/>
      <c r="C5" s="13"/>
      <c r="D5" s="13"/>
      <c r="E5" s="13"/>
      <c r="F5" s="13"/>
      <c r="G5" s="13"/>
      <c r="H5" s="13"/>
      <c r="I5" s="13"/>
      <c r="J5" s="13"/>
      <c r="K5" s="13"/>
    </row>
    <row r="7" spans="2:11" ht="15.6">
      <c r="B7" s="17" t="s">
        <v>77</v>
      </c>
    </row>
    <row r="8" spans="2:11" ht="15.6">
      <c r="B8" s="17" t="s">
        <v>39</v>
      </c>
    </row>
    <row r="9" spans="2:11" ht="15.6">
      <c r="B9" s="17" t="s">
        <v>64</v>
      </c>
    </row>
    <row r="10" spans="2:11" ht="15.6">
      <c r="B10" s="17" t="s">
        <v>51</v>
      </c>
    </row>
    <row r="11" spans="2:11" ht="15.6">
      <c r="B11" s="17" t="s">
        <v>69</v>
      </c>
    </row>
    <row r="12" spans="2:11" ht="15.6">
      <c r="B12" s="17" t="s">
        <v>38</v>
      </c>
    </row>
    <row r="13" spans="2:11" ht="15.6">
      <c r="B13" s="18" t="s">
        <v>76</v>
      </c>
    </row>
    <row r="14" spans="2:11" ht="15.6">
      <c r="B14" s="18" t="s">
        <v>135</v>
      </c>
    </row>
    <row r="15" spans="2:11" ht="15.6">
      <c r="B15" s="18" t="s">
        <v>134</v>
      </c>
    </row>
    <row r="16" spans="2:11" ht="15.6">
      <c r="B16" s="18" t="s">
        <v>136</v>
      </c>
    </row>
    <row r="17" spans="2:2" ht="15.6">
      <c r="B17" s="18" t="s">
        <v>85</v>
      </c>
    </row>
    <row r="18" spans="2:2" ht="15.6">
      <c r="B18" s="18" t="s">
        <v>124</v>
      </c>
    </row>
    <row r="19" spans="2:2" ht="15.6">
      <c r="B19" s="18" t="s">
        <v>80</v>
      </c>
    </row>
    <row r="20" spans="2:2" ht="15.6">
      <c r="B20" s="18" t="s">
        <v>79</v>
      </c>
    </row>
    <row r="21" spans="2:2" ht="15.6">
      <c r="B21" s="18" t="s">
        <v>96</v>
      </c>
    </row>
    <row r="22" spans="2:2" ht="15.6">
      <c r="B22" s="18" t="s">
        <v>72</v>
      </c>
    </row>
    <row r="23" spans="2:2" ht="15.6">
      <c r="B23" s="18" t="s">
        <v>94</v>
      </c>
    </row>
    <row r="24" spans="2:2" ht="15.6">
      <c r="B24" s="18"/>
    </row>
    <row r="25" spans="2:2" ht="15.6">
      <c r="B25" s="17" t="s">
        <v>137</v>
      </c>
    </row>
    <row r="26" spans="2:2" ht="15.6">
      <c r="B26" s="17" t="s">
        <v>75</v>
      </c>
    </row>
  </sheetData>
  <mergeCells count="2">
    <mergeCell ref="B2:K2"/>
    <mergeCell ref="B4:I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6E261-F997-467D-9A31-CC6BD1702C23}">
  <sheetPr>
    <tabColor theme="8" tint="0.39997558519241921"/>
  </sheetPr>
  <dimension ref="A1:KR96"/>
  <sheetViews>
    <sheetView showGridLines="0" zoomScale="84" workbookViewId="0"/>
  </sheetViews>
  <sheetFormatPr defaultRowHeight="14.4"/>
  <cols>
    <col min="1" max="1" width="4.77734375" style="2" customWidth="1"/>
    <col min="2" max="2" width="5.33203125" style="2" customWidth="1"/>
    <col min="3" max="3" width="47.21875" bestFit="1" customWidth="1"/>
    <col min="4" max="4" width="10.109375" bestFit="1" customWidth="1"/>
    <col min="5" max="5" width="9.88671875" bestFit="1" customWidth="1"/>
    <col min="6" max="7" width="9" customWidth="1"/>
    <col min="8" max="8" width="9.109375" bestFit="1" customWidth="1"/>
    <col min="9" max="9" width="9.21875" bestFit="1" customWidth="1"/>
    <col min="10" max="10" width="9.109375" bestFit="1" customWidth="1"/>
    <col min="11" max="24" width="10.21875" bestFit="1" customWidth="1"/>
    <col min="25" max="27" width="9.109375" bestFit="1" customWidth="1"/>
    <col min="28" max="28" width="9.77734375" bestFit="1" customWidth="1"/>
    <col min="29" max="29" width="9.109375" bestFit="1" customWidth="1"/>
    <col min="30" max="30" width="9" bestFit="1" customWidth="1"/>
    <col min="31" max="32" width="9.109375" bestFit="1" customWidth="1"/>
    <col min="33" max="35" width="9" bestFit="1" customWidth="1"/>
    <col min="36" max="36" width="9.77734375" bestFit="1" customWidth="1"/>
    <col min="37" max="40" width="9.109375" bestFit="1" customWidth="1"/>
    <col min="41" max="42" width="9" bestFit="1" customWidth="1"/>
    <col min="43" max="45" width="9.109375" bestFit="1" customWidth="1"/>
    <col min="46" max="46" width="9" bestFit="1" customWidth="1"/>
    <col min="47" max="55" width="9.109375" bestFit="1" customWidth="1"/>
    <col min="56" max="56" width="9.77734375" bestFit="1" customWidth="1"/>
    <col min="57" max="58" width="9.109375" bestFit="1" customWidth="1"/>
    <col min="59" max="60" width="9" bestFit="1" customWidth="1"/>
    <col min="61" max="63" width="9.109375" bestFit="1" customWidth="1"/>
    <col min="64" max="64" width="9.77734375" bestFit="1" customWidth="1"/>
    <col min="65" max="65" width="9.109375" bestFit="1" customWidth="1"/>
    <col min="66" max="66" width="9" bestFit="1" customWidth="1"/>
    <col min="67" max="67" width="9.109375" bestFit="1" customWidth="1"/>
    <col min="68" max="69" width="9" bestFit="1" customWidth="1"/>
    <col min="70" max="70" width="9.109375" bestFit="1" customWidth="1"/>
    <col min="71" max="71" width="9.77734375" bestFit="1" customWidth="1"/>
    <col min="72" max="72" width="9.109375" bestFit="1" customWidth="1"/>
    <col min="73" max="73" width="9" bestFit="1" customWidth="1"/>
    <col min="74" max="74" width="9.109375" bestFit="1" customWidth="1"/>
    <col min="75" max="75" width="9" bestFit="1" customWidth="1"/>
    <col min="76" max="79" width="9.109375" bestFit="1" customWidth="1"/>
    <col min="80" max="80" width="9.77734375" bestFit="1" customWidth="1"/>
    <col min="81" max="81" width="9" bestFit="1" customWidth="1"/>
    <col min="82" max="84" width="9.109375" bestFit="1" customWidth="1"/>
    <col min="85" max="85" width="9" bestFit="1" customWidth="1"/>
    <col min="86" max="87" width="9.109375" bestFit="1" customWidth="1"/>
    <col min="88" max="90" width="9" bestFit="1" customWidth="1"/>
    <col min="91" max="94" width="9.109375" bestFit="1" customWidth="1"/>
    <col min="95" max="95" width="9.77734375" bestFit="1" customWidth="1"/>
    <col min="96" max="96" width="9.109375" bestFit="1" customWidth="1"/>
    <col min="97" max="99" width="9" bestFit="1" customWidth="1"/>
    <col min="100" max="100" width="9.109375" bestFit="1" customWidth="1"/>
    <col min="101" max="101" width="9.77734375" bestFit="1" customWidth="1"/>
    <col min="102" max="106" width="9.109375" bestFit="1" customWidth="1"/>
    <col min="107" max="107" width="9" bestFit="1" customWidth="1"/>
    <col min="108" max="110" width="9.109375" bestFit="1" customWidth="1"/>
    <col min="111" max="111" width="10.109375" bestFit="1" customWidth="1"/>
    <col min="112" max="113" width="9.109375" bestFit="1" customWidth="1"/>
    <col min="114" max="114" width="9" bestFit="1" customWidth="1"/>
    <col min="115" max="116" width="9.109375" bestFit="1" customWidth="1"/>
    <col min="117" max="117" width="9" bestFit="1" customWidth="1"/>
    <col min="118" max="118" width="9.109375" bestFit="1" customWidth="1"/>
    <col min="119" max="119" width="9.77734375" bestFit="1" customWidth="1"/>
    <col min="120" max="123" width="9.109375" bestFit="1" customWidth="1"/>
    <col min="124" max="124" width="9.77734375" bestFit="1" customWidth="1"/>
    <col min="125" max="126" width="9.109375" bestFit="1" customWidth="1"/>
    <col min="127" max="128" width="9.77734375" bestFit="1" customWidth="1"/>
    <col min="129" max="129" width="9.109375" bestFit="1" customWidth="1"/>
    <col min="130" max="133" width="9.77734375" bestFit="1" customWidth="1"/>
    <col min="134" max="140" width="9.109375" bestFit="1" customWidth="1"/>
    <col min="141" max="141" width="9" bestFit="1" customWidth="1"/>
    <col min="142" max="142" width="9.109375" bestFit="1" customWidth="1"/>
    <col min="143" max="143" width="9" bestFit="1" customWidth="1"/>
    <col min="144" max="145" width="9.109375" bestFit="1" customWidth="1"/>
    <col min="146" max="146" width="9.77734375" bestFit="1" customWidth="1"/>
    <col min="147" max="148" width="9.109375" bestFit="1" customWidth="1"/>
    <col min="149" max="149" width="9" bestFit="1" customWidth="1"/>
    <col min="150" max="151" width="9.109375" bestFit="1" customWidth="1"/>
    <col min="152" max="153" width="9.77734375" bestFit="1" customWidth="1"/>
    <col min="154" max="156" width="9.109375" bestFit="1" customWidth="1"/>
    <col min="157" max="158" width="9" bestFit="1" customWidth="1"/>
    <col min="159" max="161" width="9.109375" bestFit="1" customWidth="1"/>
    <col min="162" max="162" width="9" bestFit="1" customWidth="1"/>
    <col min="163" max="164" width="9.77734375" bestFit="1" customWidth="1"/>
    <col min="165" max="165" width="9.109375" bestFit="1" customWidth="1"/>
    <col min="166" max="166" width="9" bestFit="1" customWidth="1"/>
    <col min="167" max="172" width="9.109375" bestFit="1" customWidth="1"/>
    <col min="173" max="173" width="9" bestFit="1" customWidth="1"/>
    <col min="174" max="178" width="9.109375" bestFit="1" customWidth="1"/>
    <col min="179" max="179" width="9" bestFit="1" customWidth="1"/>
    <col min="180" max="180" width="9.109375" bestFit="1" customWidth="1"/>
    <col min="181" max="181" width="9.77734375" bestFit="1" customWidth="1"/>
    <col min="182" max="185" width="9.109375" bestFit="1" customWidth="1"/>
    <col min="186" max="186" width="9" bestFit="1" customWidth="1"/>
    <col min="187" max="194" width="9.109375" bestFit="1" customWidth="1"/>
    <col min="195" max="195" width="9.77734375" bestFit="1" customWidth="1"/>
    <col min="196" max="200" width="9.109375" bestFit="1" customWidth="1"/>
    <col min="201" max="201" width="10.109375" bestFit="1" customWidth="1"/>
    <col min="202" max="202" width="9" bestFit="1" customWidth="1"/>
    <col min="203" max="203" width="9.77734375" bestFit="1" customWidth="1"/>
    <col min="204" max="205" width="9.109375" bestFit="1" customWidth="1"/>
    <col min="206" max="206" width="10.109375" bestFit="1" customWidth="1"/>
    <col min="207" max="208" width="9.109375" bestFit="1" customWidth="1"/>
    <col min="209" max="209" width="9.77734375" bestFit="1" customWidth="1"/>
    <col min="210" max="210" width="9.109375" bestFit="1" customWidth="1"/>
    <col min="211" max="211" width="9" bestFit="1" customWidth="1"/>
    <col min="212" max="213" width="10.109375" bestFit="1" customWidth="1"/>
    <col min="214" max="214" width="9" bestFit="1" customWidth="1"/>
    <col min="215" max="217" width="9.109375" bestFit="1" customWidth="1"/>
    <col min="218" max="218" width="10.77734375" bestFit="1" customWidth="1"/>
    <col min="219" max="219" width="9.109375" bestFit="1" customWidth="1"/>
    <col min="220" max="220" width="9" bestFit="1" customWidth="1"/>
    <col min="221" max="221" width="10.109375" bestFit="1" customWidth="1"/>
    <col min="222" max="222" width="9" bestFit="1" customWidth="1"/>
    <col min="223" max="225" width="9.109375" bestFit="1" customWidth="1"/>
    <col min="226" max="226" width="9" bestFit="1" customWidth="1"/>
    <col min="227" max="227" width="9.109375" bestFit="1" customWidth="1"/>
    <col min="228" max="228" width="9.77734375" bestFit="1" customWidth="1"/>
    <col min="229" max="230" width="9.109375" bestFit="1" customWidth="1"/>
    <col min="231" max="231" width="10.109375" bestFit="1" customWidth="1"/>
    <col min="232" max="232" width="9.109375" bestFit="1" customWidth="1"/>
    <col min="233" max="233" width="10.109375" bestFit="1" customWidth="1"/>
    <col min="234" max="235" width="9.109375" bestFit="1" customWidth="1"/>
    <col min="236" max="236" width="9.77734375" bestFit="1" customWidth="1"/>
    <col min="237" max="237" width="9.109375" bestFit="1" customWidth="1"/>
    <col min="238" max="238" width="9.77734375" bestFit="1" customWidth="1"/>
    <col min="239" max="239" width="9" bestFit="1" customWidth="1"/>
    <col min="240" max="240" width="9.77734375" bestFit="1" customWidth="1"/>
    <col min="241" max="243" width="9.109375" bestFit="1" customWidth="1"/>
    <col min="244" max="244" width="9" bestFit="1" customWidth="1"/>
    <col min="299" max="299" width="10.109375" bestFit="1" customWidth="1"/>
  </cols>
  <sheetData>
    <row r="1" spans="1:304">
      <c r="A1" s="2" t="str">
        <f>Instructions!B2&amp;": "&amp;Instructions!B4</f>
        <v>Finance Task: Debt Waterfall Modeling - ConstantFlow</v>
      </c>
    </row>
    <row r="2" spans="1:304">
      <c r="A2" s="2" t="s">
        <v>36</v>
      </c>
    </row>
    <row r="4" spans="1:304" s="5" customFormat="1" ht="14.4" customHeight="1">
      <c r="B4" s="6" t="s">
        <v>9</v>
      </c>
    </row>
    <row r="6" spans="1:304">
      <c r="C6" t="s">
        <v>6</v>
      </c>
      <c r="E6" s="10">
        <v>1</v>
      </c>
      <c r="F6" s="10">
        <v>2</v>
      </c>
      <c r="G6" s="10">
        <v>3</v>
      </c>
      <c r="H6" s="10">
        <v>4</v>
      </c>
      <c r="I6" s="10">
        <v>5</v>
      </c>
      <c r="J6" s="10">
        <v>6</v>
      </c>
      <c r="K6" s="10">
        <v>7</v>
      </c>
      <c r="L6" s="10">
        <v>8</v>
      </c>
      <c r="M6" s="10">
        <v>9</v>
      </c>
      <c r="N6" s="10">
        <v>10</v>
      </c>
      <c r="O6" s="10">
        <v>11</v>
      </c>
      <c r="P6" s="10">
        <v>12</v>
      </c>
      <c r="Q6" s="10">
        <v>13</v>
      </c>
      <c r="R6" s="10">
        <v>14</v>
      </c>
      <c r="S6" s="10">
        <v>15</v>
      </c>
      <c r="T6" s="10">
        <v>16</v>
      </c>
      <c r="U6" s="10">
        <v>17</v>
      </c>
      <c r="V6" s="10">
        <v>18</v>
      </c>
      <c r="W6" s="10">
        <v>19</v>
      </c>
      <c r="X6" s="10">
        <v>20</v>
      </c>
      <c r="Y6" s="10">
        <v>21</v>
      </c>
      <c r="Z6" s="10">
        <v>22</v>
      </c>
      <c r="AA6" s="10">
        <v>23</v>
      </c>
      <c r="AB6" s="10">
        <v>24</v>
      </c>
      <c r="AC6" s="10">
        <v>25</v>
      </c>
    </row>
    <row r="7" spans="1:304">
      <c r="C7" t="s">
        <v>29</v>
      </c>
      <c r="D7" s="3" t="s">
        <v>74</v>
      </c>
      <c r="E7" s="4">
        <v>12</v>
      </c>
      <c r="F7" s="4">
        <v>12</v>
      </c>
      <c r="G7" s="4">
        <v>12</v>
      </c>
      <c r="H7" s="4">
        <v>12</v>
      </c>
      <c r="I7" s="4">
        <v>12</v>
      </c>
      <c r="J7" s="4">
        <v>12</v>
      </c>
      <c r="K7" s="4">
        <v>12</v>
      </c>
      <c r="L7" s="4">
        <v>12</v>
      </c>
      <c r="M7" s="4">
        <v>16</v>
      </c>
      <c r="N7" s="4">
        <v>16</v>
      </c>
      <c r="O7" s="4">
        <v>16</v>
      </c>
      <c r="P7" s="4">
        <v>16</v>
      </c>
      <c r="Q7" s="4">
        <v>16</v>
      </c>
      <c r="R7" s="4">
        <v>16</v>
      </c>
      <c r="S7" s="4">
        <v>16</v>
      </c>
      <c r="T7" s="4">
        <v>20</v>
      </c>
      <c r="U7" s="4">
        <v>20</v>
      </c>
      <c r="V7" s="4">
        <v>20</v>
      </c>
      <c r="W7" s="4">
        <v>24</v>
      </c>
      <c r="X7" s="4">
        <v>24</v>
      </c>
      <c r="Y7" s="4">
        <v>24</v>
      </c>
      <c r="Z7" s="4">
        <v>24</v>
      </c>
      <c r="AA7" s="4">
        <v>24</v>
      </c>
      <c r="AB7" s="4">
        <v>24</v>
      </c>
      <c r="AC7" s="4">
        <v>24</v>
      </c>
    </row>
    <row r="8" spans="1:304">
      <c r="C8" t="s">
        <v>7</v>
      </c>
      <c r="D8" s="3" t="s">
        <v>74</v>
      </c>
      <c r="E8" s="4">
        <v>16.600000000000001</v>
      </c>
      <c r="F8" s="4">
        <v>16.600000000000001</v>
      </c>
      <c r="G8" s="4">
        <v>16.600000000000001</v>
      </c>
      <c r="H8" s="4">
        <v>16.600000000000001</v>
      </c>
      <c r="I8" s="4">
        <v>16.600000000000001</v>
      </c>
      <c r="J8" s="4">
        <v>16.600000000000001</v>
      </c>
      <c r="K8" s="4">
        <v>16.600000000000001</v>
      </c>
      <c r="L8" s="4">
        <v>16.600000000000001</v>
      </c>
      <c r="M8" s="4">
        <v>16.600000000000001</v>
      </c>
      <c r="N8" s="4">
        <v>16.600000000000001</v>
      </c>
      <c r="O8" s="4">
        <v>16.600000000000001</v>
      </c>
      <c r="P8" s="4">
        <v>16.600000000000001</v>
      </c>
      <c r="Q8" s="4">
        <v>16.600000000000001</v>
      </c>
      <c r="R8" s="4">
        <v>16.600000000000001</v>
      </c>
      <c r="S8" s="4">
        <v>16.600000000000001</v>
      </c>
      <c r="T8" s="4">
        <v>33.200000000000003</v>
      </c>
      <c r="U8" s="4">
        <v>33.200000000000003</v>
      </c>
      <c r="V8" s="4">
        <v>33.200000000000003</v>
      </c>
      <c r="W8" s="4">
        <v>33.200000000000003</v>
      </c>
      <c r="X8" s="4">
        <v>33.200000000000003</v>
      </c>
      <c r="Y8" s="4">
        <v>33.200000000000003</v>
      </c>
      <c r="Z8" s="4">
        <v>33.200000000000003</v>
      </c>
      <c r="AA8" s="4">
        <v>33.200000000000003</v>
      </c>
      <c r="AB8" s="4">
        <v>33.200000000000003</v>
      </c>
      <c r="AC8" s="4">
        <v>33.200000000000003</v>
      </c>
    </row>
    <row r="9" spans="1:304">
      <c r="C9" t="s">
        <v>8</v>
      </c>
      <c r="D9" s="3" t="s">
        <v>74</v>
      </c>
      <c r="E9" s="4">
        <v>20.666666666666664</v>
      </c>
      <c r="F9" s="4">
        <v>20.666666666666664</v>
      </c>
      <c r="G9" s="4">
        <v>20.666666666666664</v>
      </c>
      <c r="H9" s="4">
        <v>20.666666666666664</v>
      </c>
      <c r="I9" s="4">
        <v>20.666666666666664</v>
      </c>
      <c r="J9" s="4">
        <v>20.666666666666664</v>
      </c>
      <c r="K9" s="4">
        <v>20.666666666666664</v>
      </c>
      <c r="L9" s="4">
        <v>20.666666666666664</v>
      </c>
      <c r="M9" s="4">
        <v>20.666666666666664</v>
      </c>
      <c r="N9" s="4">
        <v>20.666666666666664</v>
      </c>
      <c r="O9" s="4">
        <v>20.666666666666664</v>
      </c>
      <c r="P9" s="4">
        <v>20.666666666666664</v>
      </c>
      <c r="Q9" s="4">
        <v>20.666666666666664</v>
      </c>
      <c r="R9" s="4">
        <v>20.666666666666664</v>
      </c>
      <c r="S9" s="4">
        <v>20.666666666666664</v>
      </c>
      <c r="T9" s="4">
        <v>41.333333333333329</v>
      </c>
      <c r="U9" s="4">
        <v>41.333333333333329</v>
      </c>
      <c r="V9" s="4">
        <v>41.333333333333329</v>
      </c>
      <c r="W9" s="4">
        <v>41.333333333333329</v>
      </c>
      <c r="X9" s="4">
        <v>41.333333333333329</v>
      </c>
      <c r="Y9" s="4">
        <v>41.333333333333329</v>
      </c>
      <c r="Z9" s="4">
        <v>41.333333333333329</v>
      </c>
      <c r="AA9" s="4">
        <v>41.333333333333329</v>
      </c>
      <c r="AB9" s="4">
        <v>41.333333333333329</v>
      </c>
      <c r="AC9" s="4">
        <v>41.3333333333334</v>
      </c>
    </row>
    <row r="10" spans="1:304">
      <c r="C10" t="s">
        <v>26</v>
      </c>
      <c r="D10" s="3" t="s">
        <v>74</v>
      </c>
      <c r="E10" s="4">
        <v>6.2</v>
      </c>
      <c r="F10" s="4">
        <v>6.2</v>
      </c>
      <c r="G10" s="4">
        <v>6.2</v>
      </c>
      <c r="H10" s="4">
        <v>6.2</v>
      </c>
      <c r="I10" s="4">
        <v>6.2</v>
      </c>
      <c r="J10" s="4">
        <v>6.2</v>
      </c>
      <c r="K10" s="4">
        <v>6.2</v>
      </c>
      <c r="L10" s="4">
        <v>6.2</v>
      </c>
      <c r="M10" s="4">
        <v>6.2</v>
      </c>
      <c r="N10" s="4">
        <v>6.2</v>
      </c>
      <c r="O10" s="4">
        <v>6.2</v>
      </c>
      <c r="P10" s="4">
        <v>6.2</v>
      </c>
      <c r="Q10" s="4">
        <v>6.2</v>
      </c>
      <c r="R10" s="4">
        <v>6.2</v>
      </c>
      <c r="S10" s="4">
        <v>6.2</v>
      </c>
      <c r="T10" s="4">
        <v>12.4</v>
      </c>
      <c r="U10" s="4">
        <v>12.4</v>
      </c>
      <c r="V10" s="4">
        <v>12.4</v>
      </c>
      <c r="W10" s="4">
        <v>12.4</v>
      </c>
      <c r="X10" s="4">
        <v>12.4</v>
      </c>
      <c r="Y10" s="4">
        <v>12.4</v>
      </c>
      <c r="Z10" s="4">
        <v>12.4</v>
      </c>
      <c r="AA10" s="4">
        <v>12.4</v>
      </c>
      <c r="AB10" s="4">
        <v>12.4</v>
      </c>
      <c r="AC10" s="4">
        <v>12.4</v>
      </c>
    </row>
    <row r="11" spans="1:304">
      <c r="C11" t="s">
        <v>81</v>
      </c>
      <c r="D11" s="3" t="s">
        <v>74</v>
      </c>
      <c r="E11" s="4">
        <v>47</v>
      </c>
      <c r="F11" s="4">
        <v>47</v>
      </c>
      <c r="G11" s="4">
        <v>47</v>
      </c>
      <c r="H11" s="4">
        <v>47</v>
      </c>
      <c r="I11" s="4">
        <v>47</v>
      </c>
      <c r="J11" s="4">
        <v>47</v>
      </c>
      <c r="K11" s="4">
        <v>47</v>
      </c>
      <c r="L11" s="4">
        <v>47</v>
      </c>
      <c r="M11" s="4">
        <v>47</v>
      </c>
      <c r="N11" s="4">
        <v>47</v>
      </c>
      <c r="O11" s="4">
        <v>47</v>
      </c>
      <c r="P11" s="4">
        <v>47</v>
      </c>
      <c r="Q11" s="4">
        <v>47</v>
      </c>
      <c r="R11" s="4">
        <v>47</v>
      </c>
      <c r="S11" s="4">
        <v>47</v>
      </c>
      <c r="T11" s="4">
        <v>93.98</v>
      </c>
      <c r="U11" s="4">
        <v>93.98</v>
      </c>
      <c r="V11" s="4">
        <v>93.98</v>
      </c>
      <c r="W11" s="4">
        <v>93.98</v>
      </c>
      <c r="X11" s="4">
        <v>93.98</v>
      </c>
      <c r="Y11" s="4">
        <v>93.98</v>
      </c>
      <c r="Z11" s="4">
        <v>93.98</v>
      </c>
      <c r="AA11" s="4">
        <v>93.98</v>
      </c>
      <c r="AB11" s="4">
        <v>93.98</v>
      </c>
      <c r="AC11" s="4">
        <v>93.98</v>
      </c>
    </row>
    <row r="12" spans="1:304">
      <c r="C12" t="s">
        <v>82</v>
      </c>
      <c r="D12" s="3" t="s">
        <v>74</v>
      </c>
      <c r="E12" s="4">
        <v>60.86</v>
      </c>
      <c r="F12" s="4">
        <v>60.86</v>
      </c>
      <c r="G12" s="4">
        <v>60.86</v>
      </c>
      <c r="H12" s="4">
        <v>60.86</v>
      </c>
      <c r="I12" s="4">
        <v>60.86</v>
      </c>
      <c r="J12" s="4">
        <v>60.86</v>
      </c>
      <c r="K12" s="4">
        <v>60.86</v>
      </c>
      <c r="L12" s="4">
        <v>60.86</v>
      </c>
      <c r="M12" s="4">
        <v>60.86</v>
      </c>
      <c r="N12" s="4">
        <v>60.86</v>
      </c>
      <c r="O12" s="4">
        <v>60.86</v>
      </c>
      <c r="P12" s="4">
        <v>60.86</v>
      </c>
      <c r="Q12" s="4">
        <v>60.86</v>
      </c>
      <c r="R12" s="4">
        <v>60.86</v>
      </c>
      <c r="S12" s="4">
        <v>60.86</v>
      </c>
      <c r="T12" s="4">
        <v>121.72</v>
      </c>
      <c r="U12" s="4">
        <v>121.72</v>
      </c>
      <c r="V12" s="4">
        <v>121.72</v>
      </c>
      <c r="W12" s="4">
        <v>121.72</v>
      </c>
      <c r="X12" s="4">
        <v>121.72</v>
      </c>
      <c r="Y12" s="4">
        <v>121.72</v>
      </c>
      <c r="Z12" s="4">
        <v>121.72</v>
      </c>
      <c r="AA12" s="4">
        <v>121.72</v>
      </c>
      <c r="AB12" s="4">
        <v>121.72</v>
      </c>
      <c r="AC12" s="4">
        <v>121.72</v>
      </c>
    </row>
    <row r="13" spans="1:304">
      <c r="E13" s="1"/>
    </row>
    <row r="14" spans="1:304" s="5" customFormat="1" ht="14.4" customHeight="1">
      <c r="B14" s="6" t="s">
        <v>70</v>
      </c>
    </row>
    <row r="16" spans="1:304">
      <c r="C16" t="s">
        <v>71</v>
      </c>
      <c r="E16" s="10">
        <v>1</v>
      </c>
      <c r="F16" s="10">
        <v>2</v>
      </c>
      <c r="G16" s="10">
        <v>3</v>
      </c>
      <c r="H16" s="10">
        <v>4</v>
      </c>
      <c r="I16" s="10">
        <v>5</v>
      </c>
      <c r="J16" s="10">
        <v>6</v>
      </c>
      <c r="K16" s="10">
        <v>7</v>
      </c>
      <c r="L16" s="10">
        <v>8</v>
      </c>
      <c r="M16" s="10">
        <v>9</v>
      </c>
      <c r="N16" s="10">
        <v>10</v>
      </c>
      <c r="O16" s="10">
        <v>11</v>
      </c>
      <c r="P16" s="10">
        <v>12</v>
      </c>
      <c r="Q16" s="10">
        <v>13</v>
      </c>
      <c r="R16" s="10">
        <v>14</v>
      </c>
      <c r="S16" s="10">
        <v>15</v>
      </c>
      <c r="T16" s="10">
        <v>16</v>
      </c>
      <c r="U16" s="10">
        <v>17</v>
      </c>
      <c r="V16" s="10">
        <v>18</v>
      </c>
      <c r="W16" s="10">
        <v>19</v>
      </c>
      <c r="X16" s="10">
        <v>20</v>
      </c>
      <c r="Y16" s="10">
        <v>21</v>
      </c>
      <c r="Z16" s="10">
        <v>22</v>
      </c>
      <c r="AA16" s="10">
        <v>23</v>
      </c>
      <c r="AB16" s="10">
        <v>24</v>
      </c>
      <c r="AC16" s="10">
        <v>25</v>
      </c>
      <c r="AD16" s="10">
        <v>26</v>
      </c>
      <c r="AE16" s="10">
        <v>27</v>
      </c>
      <c r="AF16" s="10">
        <v>28</v>
      </c>
      <c r="AG16" s="10">
        <v>29</v>
      </c>
      <c r="AH16" s="10">
        <v>30</v>
      </c>
      <c r="AI16" s="10">
        <v>31</v>
      </c>
      <c r="AJ16" s="10">
        <v>32</v>
      </c>
      <c r="AK16" s="10">
        <v>33</v>
      </c>
      <c r="AL16" s="10">
        <v>34</v>
      </c>
      <c r="AM16" s="10">
        <v>35</v>
      </c>
      <c r="AN16" s="10">
        <v>36</v>
      </c>
      <c r="AO16" s="10">
        <v>37</v>
      </c>
      <c r="AP16" s="10">
        <v>38</v>
      </c>
      <c r="AQ16" s="10">
        <v>39</v>
      </c>
      <c r="AR16" s="10">
        <v>40</v>
      </c>
      <c r="AS16" s="10">
        <v>41</v>
      </c>
      <c r="AT16" s="10">
        <v>42</v>
      </c>
      <c r="AU16" s="10">
        <v>43</v>
      </c>
      <c r="AV16" s="10">
        <v>44</v>
      </c>
      <c r="AW16" s="10">
        <v>45</v>
      </c>
      <c r="AX16" s="10">
        <v>46</v>
      </c>
      <c r="AY16" s="10">
        <v>47</v>
      </c>
      <c r="AZ16" s="10">
        <v>48</v>
      </c>
      <c r="BA16" s="10">
        <v>49</v>
      </c>
      <c r="BB16" s="10">
        <v>50</v>
      </c>
      <c r="BC16" s="10">
        <v>51</v>
      </c>
      <c r="BD16" s="10">
        <v>52</v>
      </c>
      <c r="BE16" s="10">
        <v>53</v>
      </c>
      <c r="BF16" s="10">
        <v>54</v>
      </c>
      <c r="BG16" s="10">
        <v>55</v>
      </c>
      <c r="BH16" s="10">
        <v>56</v>
      </c>
      <c r="BI16" s="10">
        <v>57</v>
      </c>
      <c r="BJ16" s="10">
        <v>58</v>
      </c>
      <c r="BK16" s="10">
        <v>59</v>
      </c>
      <c r="BL16" s="10">
        <v>60</v>
      </c>
      <c r="BM16" s="10">
        <v>61</v>
      </c>
      <c r="BN16" s="10">
        <v>62</v>
      </c>
      <c r="BO16" s="10">
        <v>63</v>
      </c>
      <c r="BP16" s="10">
        <v>64</v>
      </c>
      <c r="BQ16" s="10">
        <v>65</v>
      </c>
      <c r="BR16" s="10">
        <v>66</v>
      </c>
      <c r="BS16" s="10">
        <v>67</v>
      </c>
      <c r="BT16" s="10">
        <v>68</v>
      </c>
      <c r="BU16" s="10">
        <v>69</v>
      </c>
      <c r="BV16" s="10">
        <v>70</v>
      </c>
      <c r="BW16" s="10">
        <v>71</v>
      </c>
      <c r="BX16" s="10">
        <v>72</v>
      </c>
      <c r="BY16" s="10">
        <v>73</v>
      </c>
      <c r="BZ16" s="10">
        <v>74</v>
      </c>
      <c r="CA16" s="10">
        <v>75</v>
      </c>
      <c r="CB16" s="10">
        <v>76</v>
      </c>
      <c r="CC16" s="10">
        <v>77</v>
      </c>
      <c r="CD16" s="10">
        <v>78</v>
      </c>
      <c r="CE16" s="10">
        <v>79</v>
      </c>
      <c r="CF16" s="10">
        <v>80</v>
      </c>
      <c r="CG16" s="10">
        <v>81</v>
      </c>
      <c r="CH16" s="10">
        <v>82</v>
      </c>
      <c r="CI16" s="10">
        <v>83</v>
      </c>
      <c r="CJ16" s="10">
        <v>84</v>
      </c>
      <c r="CK16" s="10">
        <v>85</v>
      </c>
      <c r="CL16" s="10">
        <v>86</v>
      </c>
      <c r="CM16" s="10">
        <v>87</v>
      </c>
      <c r="CN16" s="10">
        <v>88</v>
      </c>
      <c r="CO16" s="10">
        <v>89</v>
      </c>
      <c r="CP16" s="10">
        <v>90</v>
      </c>
      <c r="CQ16" s="10">
        <v>91</v>
      </c>
      <c r="CR16" s="10">
        <v>92</v>
      </c>
      <c r="CS16" s="10">
        <v>93</v>
      </c>
      <c r="CT16" s="10">
        <v>94</v>
      </c>
      <c r="CU16" s="10">
        <v>95</v>
      </c>
      <c r="CV16" s="10">
        <v>96</v>
      </c>
      <c r="CW16" s="10">
        <v>97</v>
      </c>
      <c r="CX16" s="10">
        <v>98</v>
      </c>
      <c r="CY16" s="10">
        <v>99</v>
      </c>
      <c r="CZ16" s="10">
        <v>100</v>
      </c>
      <c r="DA16" s="10">
        <v>101</v>
      </c>
      <c r="DB16" s="10">
        <v>102</v>
      </c>
      <c r="DC16" s="10">
        <v>103</v>
      </c>
      <c r="DD16" s="10">
        <v>104</v>
      </c>
      <c r="DE16" s="10">
        <v>105</v>
      </c>
      <c r="DF16" s="10">
        <v>106</v>
      </c>
      <c r="DG16" s="10">
        <v>107</v>
      </c>
      <c r="DH16" s="10">
        <v>108</v>
      </c>
      <c r="DI16" s="10">
        <v>109</v>
      </c>
      <c r="DJ16" s="10">
        <v>110</v>
      </c>
      <c r="DK16" s="10">
        <v>111</v>
      </c>
      <c r="DL16" s="10">
        <v>112</v>
      </c>
      <c r="DM16" s="10">
        <v>113</v>
      </c>
      <c r="DN16" s="10">
        <v>114</v>
      </c>
      <c r="DO16" s="10">
        <v>115</v>
      </c>
      <c r="DP16" s="10">
        <v>116</v>
      </c>
      <c r="DQ16" s="10">
        <v>117</v>
      </c>
      <c r="DR16" s="10">
        <v>118</v>
      </c>
      <c r="DS16" s="10">
        <v>119</v>
      </c>
      <c r="DT16" s="10">
        <v>120</v>
      </c>
      <c r="DU16" s="10">
        <v>121</v>
      </c>
      <c r="DV16" s="10">
        <v>122</v>
      </c>
      <c r="DW16" s="10">
        <v>123</v>
      </c>
      <c r="DX16" s="10">
        <v>124</v>
      </c>
      <c r="DY16" s="10">
        <v>125</v>
      </c>
      <c r="DZ16" s="10">
        <v>126</v>
      </c>
      <c r="EA16" s="10">
        <v>127</v>
      </c>
      <c r="EB16" s="10">
        <v>128</v>
      </c>
      <c r="EC16" s="10">
        <v>129</v>
      </c>
      <c r="ED16" s="10">
        <v>130</v>
      </c>
      <c r="EE16" s="10">
        <v>131</v>
      </c>
      <c r="EF16" s="10">
        <v>132</v>
      </c>
      <c r="EG16" s="10">
        <v>133</v>
      </c>
      <c r="EH16" s="10">
        <v>134</v>
      </c>
      <c r="EI16" s="10">
        <v>135</v>
      </c>
      <c r="EJ16" s="10">
        <v>136</v>
      </c>
      <c r="EK16" s="10">
        <v>137</v>
      </c>
      <c r="EL16" s="10">
        <v>138</v>
      </c>
      <c r="EM16" s="10">
        <v>139</v>
      </c>
      <c r="EN16" s="10">
        <v>140</v>
      </c>
      <c r="EO16" s="10">
        <v>141</v>
      </c>
      <c r="EP16" s="10">
        <v>142</v>
      </c>
      <c r="EQ16" s="10">
        <v>143</v>
      </c>
      <c r="ER16" s="10">
        <v>144</v>
      </c>
      <c r="ES16" s="10">
        <v>145</v>
      </c>
      <c r="ET16" s="10">
        <v>146</v>
      </c>
      <c r="EU16" s="10">
        <v>147</v>
      </c>
      <c r="EV16" s="10">
        <v>148</v>
      </c>
      <c r="EW16" s="10">
        <v>149</v>
      </c>
      <c r="EX16" s="10">
        <v>150</v>
      </c>
      <c r="EY16" s="10">
        <v>151</v>
      </c>
      <c r="EZ16" s="10">
        <v>152</v>
      </c>
      <c r="FA16" s="10">
        <v>153</v>
      </c>
      <c r="FB16" s="10">
        <v>154</v>
      </c>
      <c r="FC16" s="10">
        <v>155</v>
      </c>
      <c r="FD16" s="10">
        <v>156</v>
      </c>
      <c r="FE16" s="10">
        <v>157</v>
      </c>
      <c r="FF16" s="10">
        <v>158</v>
      </c>
      <c r="FG16" s="10">
        <v>159</v>
      </c>
      <c r="FH16" s="10">
        <v>160</v>
      </c>
      <c r="FI16" s="10">
        <v>161</v>
      </c>
      <c r="FJ16" s="10">
        <v>162</v>
      </c>
      <c r="FK16" s="10">
        <v>163</v>
      </c>
      <c r="FL16" s="10">
        <v>164</v>
      </c>
      <c r="FM16" s="10">
        <v>165</v>
      </c>
      <c r="FN16" s="10">
        <v>166</v>
      </c>
      <c r="FO16" s="10">
        <v>167</v>
      </c>
      <c r="FP16" s="10">
        <v>168</v>
      </c>
      <c r="FQ16" s="10">
        <v>169</v>
      </c>
      <c r="FR16" s="10">
        <v>170</v>
      </c>
      <c r="FS16" s="10">
        <v>171</v>
      </c>
      <c r="FT16" s="10">
        <v>172</v>
      </c>
      <c r="FU16" s="10">
        <v>173</v>
      </c>
      <c r="FV16" s="10">
        <v>174</v>
      </c>
      <c r="FW16" s="10">
        <v>175</v>
      </c>
      <c r="FX16" s="10">
        <v>176</v>
      </c>
      <c r="FY16" s="10">
        <v>177</v>
      </c>
      <c r="FZ16" s="10">
        <v>178</v>
      </c>
      <c r="GA16" s="10">
        <v>179</v>
      </c>
      <c r="GB16" s="10">
        <v>180</v>
      </c>
      <c r="GC16" s="10">
        <v>181</v>
      </c>
      <c r="GD16" s="10">
        <v>182</v>
      </c>
      <c r="GE16" s="10">
        <v>183</v>
      </c>
      <c r="GF16" s="10">
        <v>184</v>
      </c>
      <c r="GG16" s="10">
        <v>185</v>
      </c>
      <c r="GH16" s="10">
        <v>186</v>
      </c>
      <c r="GI16" s="10">
        <v>187</v>
      </c>
      <c r="GJ16" s="10">
        <v>188</v>
      </c>
      <c r="GK16" s="10">
        <v>189</v>
      </c>
      <c r="GL16" s="10">
        <v>190</v>
      </c>
      <c r="GM16" s="10">
        <v>191</v>
      </c>
      <c r="GN16" s="10">
        <v>192</v>
      </c>
      <c r="GO16" s="10">
        <v>193</v>
      </c>
      <c r="GP16" s="10">
        <v>194</v>
      </c>
      <c r="GQ16" s="10">
        <v>195</v>
      </c>
      <c r="GR16" s="10">
        <v>196</v>
      </c>
      <c r="GS16" s="10">
        <v>197</v>
      </c>
      <c r="GT16" s="10">
        <v>198</v>
      </c>
      <c r="GU16" s="10">
        <v>199</v>
      </c>
      <c r="GV16" s="10">
        <v>200</v>
      </c>
      <c r="GW16" s="10">
        <v>201</v>
      </c>
      <c r="GX16" s="10">
        <v>202</v>
      </c>
      <c r="GY16" s="10">
        <v>203</v>
      </c>
      <c r="GZ16" s="10">
        <v>204</v>
      </c>
      <c r="HA16" s="10">
        <v>205</v>
      </c>
      <c r="HB16" s="10">
        <v>206</v>
      </c>
      <c r="HC16" s="10">
        <v>207</v>
      </c>
      <c r="HD16" s="10">
        <v>208</v>
      </c>
      <c r="HE16" s="10">
        <v>209</v>
      </c>
      <c r="HF16" s="10">
        <v>210</v>
      </c>
      <c r="HG16" s="10">
        <v>211</v>
      </c>
      <c r="HH16" s="10">
        <v>212</v>
      </c>
      <c r="HI16" s="10">
        <v>213</v>
      </c>
      <c r="HJ16" s="10">
        <v>214</v>
      </c>
      <c r="HK16" s="10">
        <v>215</v>
      </c>
      <c r="HL16" s="10">
        <v>216</v>
      </c>
      <c r="HM16" s="10">
        <v>217</v>
      </c>
      <c r="HN16" s="10">
        <v>218</v>
      </c>
      <c r="HO16" s="10">
        <v>219</v>
      </c>
      <c r="HP16" s="10">
        <v>220</v>
      </c>
      <c r="HQ16" s="10">
        <v>221</v>
      </c>
      <c r="HR16" s="10">
        <v>222</v>
      </c>
      <c r="HS16" s="10">
        <v>223</v>
      </c>
      <c r="HT16" s="10">
        <v>224</v>
      </c>
      <c r="HU16" s="10">
        <v>225</v>
      </c>
      <c r="HV16" s="10">
        <v>226</v>
      </c>
      <c r="HW16" s="10">
        <v>227</v>
      </c>
      <c r="HX16" s="10">
        <v>228</v>
      </c>
      <c r="HY16" s="10">
        <v>229</v>
      </c>
      <c r="HZ16" s="10">
        <v>230</v>
      </c>
      <c r="IA16" s="10">
        <v>231</v>
      </c>
      <c r="IB16" s="10">
        <v>232</v>
      </c>
      <c r="IC16" s="10">
        <v>233</v>
      </c>
      <c r="ID16" s="10">
        <v>234</v>
      </c>
      <c r="IE16" s="10">
        <v>235</v>
      </c>
      <c r="IF16" s="10">
        <v>236</v>
      </c>
      <c r="IG16" s="10">
        <v>237</v>
      </c>
      <c r="IH16" s="10">
        <v>238</v>
      </c>
      <c r="II16" s="10">
        <v>239</v>
      </c>
      <c r="IJ16" s="10">
        <v>240</v>
      </c>
      <c r="IK16" s="10">
        <v>241</v>
      </c>
      <c r="IL16" s="10">
        <v>242</v>
      </c>
      <c r="IM16" s="10">
        <v>243</v>
      </c>
      <c r="IN16" s="10">
        <v>244</v>
      </c>
      <c r="IO16" s="10">
        <v>245</v>
      </c>
      <c r="IP16" s="10">
        <v>246</v>
      </c>
      <c r="IQ16" s="10">
        <v>247</v>
      </c>
      <c r="IR16" s="10">
        <v>248</v>
      </c>
      <c r="IS16" s="10">
        <v>249</v>
      </c>
      <c r="IT16" s="10">
        <v>250</v>
      </c>
      <c r="IU16" s="10">
        <v>251</v>
      </c>
      <c r="IV16" s="10">
        <v>252</v>
      </c>
      <c r="IW16" s="10">
        <v>253</v>
      </c>
      <c r="IX16" s="10">
        <v>254</v>
      </c>
      <c r="IY16" s="10">
        <v>255</v>
      </c>
      <c r="IZ16" s="10">
        <v>256</v>
      </c>
      <c r="JA16" s="10">
        <v>257</v>
      </c>
      <c r="JB16" s="10">
        <v>258</v>
      </c>
      <c r="JC16" s="10">
        <v>259</v>
      </c>
      <c r="JD16" s="10">
        <v>260</v>
      </c>
      <c r="JE16" s="10">
        <v>261</v>
      </c>
      <c r="JF16" s="10">
        <v>262</v>
      </c>
      <c r="JG16" s="10">
        <v>263</v>
      </c>
      <c r="JH16" s="10">
        <v>264</v>
      </c>
      <c r="JI16" s="10">
        <v>265</v>
      </c>
      <c r="JJ16" s="10">
        <v>266</v>
      </c>
      <c r="JK16" s="10">
        <v>267</v>
      </c>
      <c r="JL16" s="10">
        <v>268</v>
      </c>
      <c r="JM16" s="10">
        <v>269</v>
      </c>
      <c r="JN16" s="10">
        <v>270</v>
      </c>
      <c r="JO16" s="10">
        <v>271</v>
      </c>
      <c r="JP16" s="10">
        <v>272</v>
      </c>
      <c r="JQ16" s="10">
        <v>273</v>
      </c>
      <c r="JR16" s="10">
        <v>274</v>
      </c>
      <c r="JS16" s="10">
        <v>275</v>
      </c>
      <c r="JT16" s="10">
        <v>276</v>
      </c>
      <c r="JU16" s="10">
        <v>277</v>
      </c>
      <c r="JV16" s="10">
        <v>278</v>
      </c>
      <c r="JW16" s="10">
        <v>279</v>
      </c>
      <c r="JX16" s="10">
        <v>280</v>
      </c>
      <c r="JY16" s="10">
        <v>281</v>
      </c>
      <c r="JZ16" s="10">
        <v>282</v>
      </c>
      <c r="KA16" s="10">
        <v>283</v>
      </c>
      <c r="KB16" s="10">
        <v>284</v>
      </c>
      <c r="KC16" s="10">
        <v>285</v>
      </c>
      <c r="KD16" s="10">
        <v>286</v>
      </c>
      <c r="KE16" s="10">
        <v>287</v>
      </c>
      <c r="KF16" s="10">
        <v>288</v>
      </c>
      <c r="KG16" s="10">
        <v>289</v>
      </c>
      <c r="KH16" s="10">
        <v>290</v>
      </c>
      <c r="KI16" s="10">
        <v>291</v>
      </c>
      <c r="KJ16" s="10">
        <v>292</v>
      </c>
      <c r="KK16" s="10">
        <v>293</v>
      </c>
      <c r="KL16" s="10">
        <v>294</v>
      </c>
      <c r="KM16" s="10">
        <v>295</v>
      </c>
      <c r="KN16" s="10">
        <v>296</v>
      </c>
      <c r="KO16" s="10">
        <v>297</v>
      </c>
      <c r="KP16" s="10">
        <v>298</v>
      </c>
      <c r="KQ16" s="10">
        <v>299</v>
      </c>
      <c r="KR16" s="10">
        <v>300</v>
      </c>
    </row>
    <row r="17" spans="2:304">
      <c r="C17" t="s">
        <v>5</v>
      </c>
      <c r="D17" s="3" t="s">
        <v>41</v>
      </c>
      <c r="E17" s="4">
        <v>51036.317999999999</v>
      </c>
      <c r="F17" s="4">
        <v>56080.331999999995</v>
      </c>
      <c r="G17" s="4">
        <v>44119.584000000003</v>
      </c>
      <c r="H17" s="4">
        <v>59114.087999999996</v>
      </c>
      <c r="I17" s="4">
        <v>55997.063999999998</v>
      </c>
      <c r="J17" s="4">
        <v>46504.368000000002</v>
      </c>
      <c r="K17" s="4">
        <v>56971.025999999998</v>
      </c>
      <c r="L17" s="4">
        <v>55102.608</v>
      </c>
      <c r="M17" s="4">
        <v>48069.233999999997</v>
      </c>
      <c r="N17" s="4">
        <v>56874.563999999998</v>
      </c>
      <c r="O17" s="4">
        <v>56831.273999999998</v>
      </c>
      <c r="P17" s="4">
        <v>44198.316000000006</v>
      </c>
      <c r="Q17" s="4">
        <v>59565.87</v>
      </c>
      <c r="R17" s="4">
        <v>45823.158000000003</v>
      </c>
      <c r="S17" s="4">
        <v>57680.712</v>
      </c>
      <c r="T17" s="4">
        <v>49603.805999999997</v>
      </c>
      <c r="U17" s="4">
        <v>51313.14</v>
      </c>
      <c r="V17" s="4">
        <v>50157.144</v>
      </c>
      <c r="W17" s="4">
        <v>51344.225999999995</v>
      </c>
      <c r="X17" s="4">
        <v>52673.94</v>
      </c>
      <c r="Y17" s="4">
        <v>46791.54</v>
      </c>
      <c r="Z17" s="4">
        <v>52304.039999999994</v>
      </c>
      <c r="AA17" s="4">
        <v>53819.766000000003</v>
      </c>
      <c r="AB17" s="4">
        <v>60553.421999999999</v>
      </c>
      <c r="AC17" s="4">
        <v>53695.673999999999</v>
      </c>
      <c r="AD17" s="4">
        <v>52404.335999999996</v>
      </c>
      <c r="AE17" s="4">
        <v>55392.66</v>
      </c>
      <c r="AF17" s="4">
        <v>50110.577999999994</v>
      </c>
      <c r="AG17" s="4">
        <v>49381.127999999997</v>
      </c>
      <c r="AH17" s="4">
        <v>53858.951999999997</v>
      </c>
      <c r="AI17" s="4">
        <v>48356.297999999995</v>
      </c>
      <c r="AJ17" s="4">
        <v>54813.311999999998</v>
      </c>
      <c r="AK17" s="4">
        <v>53817.407999999996</v>
      </c>
      <c r="AL17" s="4">
        <v>47055.258000000002</v>
      </c>
      <c r="AM17" s="4">
        <v>48821.957999999999</v>
      </c>
      <c r="AN17" s="4">
        <v>189410.66999999998</v>
      </c>
      <c r="AO17" s="4">
        <v>49527.576000000001</v>
      </c>
      <c r="AP17" s="4">
        <v>57445.11</v>
      </c>
      <c r="AQ17" s="4">
        <v>61100.297999999995</v>
      </c>
      <c r="AR17" s="4">
        <v>53013.815999999999</v>
      </c>
      <c r="AS17" s="4">
        <v>52773.732000000004</v>
      </c>
      <c r="AT17" s="4">
        <v>45508.824000000001</v>
      </c>
      <c r="AU17" s="4">
        <v>44045.784</v>
      </c>
      <c r="AV17" s="4">
        <v>55295.657999999996</v>
      </c>
      <c r="AW17" s="4">
        <v>45034.271999999997</v>
      </c>
      <c r="AX17" s="4">
        <v>55503.791999999994</v>
      </c>
      <c r="AY17" s="4">
        <v>57918.528000000006</v>
      </c>
      <c r="AZ17" s="4">
        <v>60366.654000000002</v>
      </c>
      <c r="BA17" s="4">
        <v>46982.411999999997</v>
      </c>
      <c r="BB17" s="4">
        <v>47696.76</v>
      </c>
      <c r="BC17" s="4">
        <v>53225.91</v>
      </c>
      <c r="BD17" s="4">
        <v>52313.885999999999</v>
      </c>
      <c r="BE17" s="4">
        <v>60350.436000000002</v>
      </c>
      <c r="BF17" s="4">
        <v>56059.956000000006</v>
      </c>
      <c r="BG17" s="4">
        <v>50368.932000000001</v>
      </c>
      <c r="BH17" s="4">
        <v>44780.112000000001</v>
      </c>
      <c r="BI17" s="4">
        <v>45889.632000000005</v>
      </c>
      <c r="BJ17" s="4">
        <v>51116.021999999997</v>
      </c>
      <c r="BK17" s="4">
        <v>50705.405999999995</v>
      </c>
      <c r="BL17" s="4">
        <v>45453.006000000001</v>
      </c>
      <c r="BM17" s="4">
        <v>50322.725999999995</v>
      </c>
      <c r="BN17" s="4">
        <v>48140.225999999995</v>
      </c>
      <c r="BO17" s="4">
        <v>52675.343999999997</v>
      </c>
      <c r="BP17" s="4">
        <v>185100.30000000002</v>
      </c>
      <c r="BQ17" s="4">
        <v>54250.794000000002</v>
      </c>
      <c r="BR17" s="4">
        <v>60203.232000000004</v>
      </c>
      <c r="BS17" s="4">
        <v>55266.21</v>
      </c>
      <c r="BT17" s="4">
        <v>45033.245999999999</v>
      </c>
      <c r="BU17" s="4">
        <v>60524.01</v>
      </c>
      <c r="BV17" s="4">
        <v>59763.689999999995</v>
      </c>
      <c r="BW17" s="4">
        <v>51146.585999999996</v>
      </c>
      <c r="BX17" s="4">
        <v>50046.425999999992</v>
      </c>
      <c r="BY17" s="4">
        <v>52581.203999999998</v>
      </c>
      <c r="BZ17" s="4">
        <v>49645.457999999999</v>
      </c>
      <c r="CA17" s="4">
        <v>57193.308000000005</v>
      </c>
      <c r="CB17" s="4">
        <v>48061.835999999996</v>
      </c>
      <c r="CC17" s="4">
        <v>50215.103999999999</v>
      </c>
      <c r="CD17" s="4">
        <v>49975.883999999998</v>
      </c>
      <c r="CE17" s="4">
        <v>58007.898000000001</v>
      </c>
      <c r="CF17" s="4">
        <v>51391.313999999998</v>
      </c>
      <c r="CG17" s="4">
        <v>51287.993999999999</v>
      </c>
      <c r="CH17" s="4">
        <v>56509.614000000001</v>
      </c>
      <c r="CI17" s="4">
        <v>60981.515999999996</v>
      </c>
      <c r="CJ17" s="4">
        <v>46777.644</v>
      </c>
      <c r="CK17" s="4">
        <v>60928.343999999997</v>
      </c>
      <c r="CL17" s="4">
        <v>46549.872000000003</v>
      </c>
      <c r="CM17" s="4">
        <v>58227.48</v>
      </c>
      <c r="CN17" s="4">
        <v>50457.887999999992</v>
      </c>
      <c r="CO17" s="4">
        <v>53309.411999999997</v>
      </c>
      <c r="CP17" s="4">
        <v>45767.232000000004</v>
      </c>
      <c r="CQ17" s="4">
        <v>45819.305999999997</v>
      </c>
      <c r="CR17" s="4">
        <v>56413.259999999995</v>
      </c>
      <c r="CS17" s="4">
        <v>47896.271999999997</v>
      </c>
      <c r="CT17" s="4">
        <v>59806.187999999995</v>
      </c>
      <c r="CU17" s="4">
        <v>50909.975999999995</v>
      </c>
      <c r="CV17" s="4">
        <v>50300.135999999999</v>
      </c>
      <c r="CW17" s="4">
        <v>54678.725999999995</v>
      </c>
      <c r="CX17" s="4">
        <v>47652.75</v>
      </c>
      <c r="CY17" s="4">
        <v>48387.653999999995</v>
      </c>
      <c r="CZ17" s="4">
        <v>46921.32</v>
      </c>
      <c r="DA17" s="4">
        <v>59896.061999999998</v>
      </c>
      <c r="DB17" s="4">
        <v>52211.195999999996</v>
      </c>
      <c r="DC17" s="4">
        <v>58655.898000000001</v>
      </c>
      <c r="DD17" s="4">
        <v>46520.567999999999</v>
      </c>
      <c r="DE17" s="4">
        <v>46412.802000000003</v>
      </c>
      <c r="DF17" s="4">
        <v>44198.316000000006</v>
      </c>
      <c r="DG17" s="4">
        <v>125216.56</v>
      </c>
      <c r="DH17" s="4">
        <v>44676.234000000004</v>
      </c>
      <c r="DI17" s="4">
        <v>55272.365999999995</v>
      </c>
      <c r="DJ17" s="4">
        <v>44941.716</v>
      </c>
      <c r="DK17" s="4">
        <v>56444.778000000006</v>
      </c>
      <c r="DL17" s="4">
        <v>60089.112000000001</v>
      </c>
      <c r="DM17" s="4">
        <v>53641.296000000002</v>
      </c>
      <c r="DN17" s="4">
        <v>51345.611999999994</v>
      </c>
      <c r="DO17" s="4">
        <v>-14365.439999999999</v>
      </c>
      <c r="DP17" s="4">
        <v>47308.337999999996</v>
      </c>
      <c r="DQ17" s="4">
        <v>55842.767999999996</v>
      </c>
      <c r="DR17" s="4">
        <v>59829.641999999993</v>
      </c>
      <c r="DS17" s="4">
        <v>45194.850000000006</v>
      </c>
      <c r="DT17" s="4">
        <v>46854.882000000005</v>
      </c>
      <c r="DU17" s="4">
        <v>49220.945999999996</v>
      </c>
      <c r="DV17" s="4">
        <v>59511.131999999998</v>
      </c>
      <c r="DW17" s="4">
        <v>45710.658000000003</v>
      </c>
      <c r="DX17" s="4">
        <v>52440.173999999999</v>
      </c>
      <c r="DY17" s="4">
        <v>56651.58</v>
      </c>
      <c r="DZ17" s="4">
        <v>58048.056000000004</v>
      </c>
      <c r="EA17" s="4">
        <v>57379.301999999996</v>
      </c>
      <c r="EB17" s="4">
        <v>61110.18</v>
      </c>
      <c r="EC17" s="4">
        <v>44652.960000000006</v>
      </c>
      <c r="ED17" s="4">
        <v>46867.266000000003</v>
      </c>
      <c r="EE17" s="4">
        <v>47682.18</v>
      </c>
      <c r="EF17" s="4">
        <v>61324.163999999997</v>
      </c>
      <c r="EG17" s="4">
        <v>116929.98</v>
      </c>
      <c r="EH17" s="4">
        <v>60154.559999999998</v>
      </c>
      <c r="EI17" s="4">
        <v>52516.115999999995</v>
      </c>
      <c r="EJ17" s="4">
        <v>48401.766000000003</v>
      </c>
      <c r="EK17" s="4">
        <v>60636.455999999998</v>
      </c>
      <c r="EL17" s="4">
        <v>59576.328000000001</v>
      </c>
      <c r="EM17" s="4">
        <v>60534.630000000005</v>
      </c>
      <c r="EN17" s="4">
        <v>50205.78</v>
      </c>
      <c r="EO17" s="4">
        <v>52360.182000000001</v>
      </c>
      <c r="EP17" s="4">
        <v>53221.464</v>
      </c>
      <c r="EQ17" s="4">
        <v>44953.884000000005</v>
      </c>
      <c r="ER17" s="4">
        <v>52260.695999999996</v>
      </c>
      <c r="ES17" s="4">
        <v>53576.28</v>
      </c>
      <c r="ET17" s="4">
        <v>52572.402000000002</v>
      </c>
      <c r="EU17" s="4">
        <v>54590.633999999998</v>
      </c>
      <c r="EV17" s="4">
        <v>49819.067999999999</v>
      </c>
      <c r="EW17" s="4">
        <v>54078.353999999999</v>
      </c>
      <c r="EX17" s="4">
        <v>64880.334000000003</v>
      </c>
      <c r="EY17" s="4">
        <v>57734.207999999999</v>
      </c>
      <c r="EZ17" s="4">
        <v>56476.728000000003</v>
      </c>
      <c r="FA17" s="4">
        <v>50305.157999999996</v>
      </c>
      <c r="FB17" s="4">
        <v>59613.641999999993</v>
      </c>
      <c r="FC17" s="4">
        <v>53149.049999999996</v>
      </c>
      <c r="FD17" s="4">
        <v>43959.87</v>
      </c>
      <c r="FE17" s="4">
        <v>51138.233999999997</v>
      </c>
      <c r="FF17" s="4">
        <v>53970.047999999995</v>
      </c>
      <c r="FG17" s="4">
        <v>58712.741999999998</v>
      </c>
      <c r="FH17" s="4">
        <v>44470.457999999999</v>
      </c>
      <c r="FI17" s="4">
        <v>49506.228000000003</v>
      </c>
      <c r="FJ17" s="4">
        <v>57174.822</v>
      </c>
      <c r="FK17" s="4">
        <v>47394.648000000001</v>
      </c>
      <c r="FL17" s="4">
        <v>57189.456000000006</v>
      </c>
      <c r="FM17" s="4">
        <v>44253.521999999997</v>
      </c>
      <c r="FN17" s="4">
        <v>50584.932000000001</v>
      </c>
      <c r="FO17" s="4">
        <v>55548.756000000001</v>
      </c>
      <c r="FP17" s="4">
        <v>49202.549999999996</v>
      </c>
      <c r="FQ17" s="4">
        <v>49585.608</v>
      </c>
      <c r="FR17" s="4">
        <v>60700.878000000004</v>
      </c>
      <c r="FS17" s="4">
        <v>47091.527999999998</v>
      </c>
      <c r="FT17" s="4">
        <v>45939.743999999999</v>
      </c>
      <c r="FU17" s="4">
        <v>46309.104000000007</v>
      </c>
      <c r="FV17" s="4">
        <v>59209.811999999998</v>
      </c>
      <c r="FW17" s="4">
        <v>56773.745999999999</v>
      </c>
      <c r="FX17" s="4">
        <v>53397.504000000001</v>
      </c>
      <c r="FY17" s="4">
        <v>44314.146000000008</v>
      </c>
      <c r="FZ17" s="4">
        <v>48981.797999999995</v>
      </c>
      <c r="GA17" s="4">
        <v>56634.947999999997</v>
      </c>
      <c r="GB17" s="4">
        <v>55283.957999999999</v>
      </c>
      <c r="GC17" s="4">
        <v>51760.799999999996</v>
      </c>
      <c r="GD17" s="4">
        <v>50828.021999999997</v>
      </c>
      <c r="GE17" s="4">
        <v>45415.17</v>
      </c>
      <c r="GF17" s="4">
        <v>54556.542000000001</v>
      </c>
      <c r="GG17" s="4">
        <v>55568.898000000001</v>
      </c>
      <c r="GH17" s="4">
        <v>60564.582000000002</v>
      </c>
      <c r="GI17" s="4">
        <v>60566.148000000001</v>
      </c>
      <c r="GJ17" s="4">
        <v>50436.252</v>
      </c>
      <c r="GK17" s="4">
        <v>44225.406000000003</v>
      </c>
      <c r="GL17" s="4">
        <v>50298.228000000003</v>
      </c>
      <c r="GM17" s="4">
        <v>49055.777999999998</v>
      </c>
      <c r="GN17" s="4">
        <v>49645.565999999999</v>
      </c>
      <c r="GO17" s="4">
        <v>48474.072</v>
      </c>
      <c r="GP17" s="4">
        <v>52453.745999999999</v>
      </c>
      <c r="GQ17" s="4">
        <v>44499.06</v>
      </c>
      <c r="GR17" s="4">
        <v>60896.304000000004</v>
      </c>
      <c r="GS17" s="4">
        <v>52667.1</v>
      </c>
      <c r="GT17" s="4">
        <v>62904.797999999995</v>
      </c>
      <c r="GU17" s="4">
        <v>64704.815999999999</v>
      </c>
      <c r="GV17" s="4">
        <v>49159.277999999998</v>
      </c>
      <c r="GW17" s="4">
        <v>55415.087999999996</v>
      </c>
      <c r="GX17" s="4">
        <v>48770.027999999998</v>
      </c>
      <c r="GY17" s="4">
        <v>53122.805999999997</v>
      </c>
      <c r="GZ17" s="4">
        <v>44195.67</v>
      </c>
      <c r="HA17" s="4">
        <v>25234.559999999998</v>
      </c>
      <c r="HB17" s="4">
        <v>25234.559999999998</v>
      </c>
      <c r="HC17" s="4">
        <v>25234.559999999998</v>
      </c>
      <c r="HD17" s="4">
        <v>61788.24</v>
      </c>
      <c r="HE17" s="4">
        <v>63931.121999999996</v>
      </c>
      <c r="HF17" s="4">
        <v>48303.035999999993</v>
      </c>
      <c r="HG17" s="4">
        <v>49238.351999999999</v>
      </c>
      <c r="HH17" s="4">
        <v>59463.341999999997</v>
      </c>
      <c r="HI17" s="4">
        <v>62959.103999999999</v>
      </c>
      <c r="HJ17" s="4">
        <v>-74765.440000000002</v>
      </c>
      <c r="HK17" s="4">
        <v>56571.137999999992</v>
      </c>
      <c r="HL17" s="4">
        <v>49880.141999999993</v>
      </c>
      <c r="HM17" s="4">
        <v>60076.151999999995</v>
      </c>
      <c r="HN17" s="4">
        <v>59564.159999999996</v>
      </c>
      <c r="HO17" s="4">
        <v>53325.035999999993</v>
      </c>
      <c r="HP17" s="4">
        <v>64307.717999999993</v>
      </c>
      <c r="HQ17" s="4">
        <v>51791.13</v>
      </c>
      <c r="HR17" s="4">
        <v>45374.868000000002</v>
      </c>
      <c r="HS17" s="4">
        <v>64276.955999999998</v>
      </c>
      <c r="HT17" s="4">
        <v>47687.237999999998</v>
      </c>
      <c r="HU17" s="4">
        <v>55553.724000000002</v>
      </c>
      <c r="HV17" s="4">
        <v>67962.312000000005</v>
      </c>
      <c r="HW17" s="4">
        <v>64213.326000000001</v>
      </c>
      <c r="HX17" s="4">
        <v>48374.334000000003</v>
      </c>
      <c r="HY17" s="4">
        <v>87455.16</v>
      </c>
      <c r="HZ17" s="4">
        <v>87455.16</v>
      </c>
      <c r="IA17" s="4">
        <v>87455.16</v>
      </c>
      <c r="IB17" s="4">
        <v>62500.77</v>
      </c>
      <c r="IC17" s="4">
        <v>65169.017999999996</v>
      </c>
      <c r="ID17" s="4">
        <v>63145.673999999999</v>
      </c>
      <c r="IE17" s="4">
        <v>60383.07</v>
      </c>
      <c r="IF17" s="4">
        <v>50461.56</v>
      </c>
      <c r="IG17" s="4">
        <v>58926.563999999998</v>
      </c>
      <c r="IH17" s="4">
        <v>67657.715999999986</v>
      </c>
      <c r="II17" s="4">
        <v>50464.601999999999</v>
      </c>
      <c r="IJ17" s="4">
        <v>52780.085999999996</v>
      </c>
      <c r="IK17" s="4">
        <v>64704.815999999999</v>
      </c>
      <c r="IL17" s="4">
        <v>49159.277999999998</v>
      </c>
      <c r="IM17" s="4">
        <v>55415.087999999996</v>
      </c>
      <c r="IN17" s="4">
        <v>48770.027999999998</v>
      </c>
      <c r="IO17" s="4">
        <v>53122.805999999997</v>
      </c>
      <c r="IP17" s="4">
        <v>44195.67</v>
      </c>
      <c r="IQ17" s="4">
        <v>25234.559999999998</v>
      </c>
      <c r="IR17" s="4">
        <v>25234.559999999998</v>
      </c>
      <c r="IS17" s="4">
        <v>25234.559999999998</v>
      </c>
      <c r="IT17" s="4">
        <v>61788.24</v>
      </c>
      <c r="IU17" s="4">
        <v>63931.121999999996</v>
      </c>
      <c r="IV17" s="4">
        <v>48303.035999999993</v>
      </c>
      <c r="IW17" s="4">
        <v>49238.351999999999</v>
      </c>
      <c r="IX17" s="4">
        <v>59463.341999999997</v>
      </c>
      <c r="IY17" s="4">
        <v>62959.103999999999</v>
      </c>
      <c r="IZ17" s="4">
        <v>52708.229999999996</v>
      </c>
      <c r="JA17" s="4">
        <v>56571.137999999992</v>
      </c>
      <c r="JB17" s="4">
        <v>49880.141999999993</v>
      </c>
      <c r="JC17" s="4">
        <v>60076.151999999995</v>
      </c>
      <c r="JD17" s="4">
        <v>59564.159999999996</v>
      </c>
      <c r="JE17" s="4">
        <v>53325.035999999993</v>
      </c>
      <c r="JF17" s="4">
        <v>64307.717999999993</v>
      </c>
      <c r="JG17" s="4">
        <v>51791.13</v>
      </c>
      <c r="JH17" s="4">
        <v>45374.868000000002</v>
      </c>
      <c r="JI17" s="4">
        <v>64276.955999999998</v>
      </c>
      <c r="JJ17" s="4">
        <v>47687.237999999998</v>
      </c>
      <c r="JK17" s="4">
        <v>55553.724000000002</v>
      </c>
      <c r="JL17" s="4">
        <v>67962.312000000005</v>
      </c>
      <c r="JM17" s="4">
        <v>64213.326000000001</v>
      </c>
      <c r="JN17" s="4">
        <v>48374.334000000003</v>
      </c>
      <c r="JO17" s="4">
        <v>189410.66999999998</v>
      </c>
      <c r="JP17" s="4">
        <v>49527.576000000001</v>
      </c>
      <c r="JQ17" s="4">
        <v>57445.11</v>
      </c>
      <c r="JR17" s="4">
        <v>61100.297999999995</v>
      </c>
      <c r="JS17" s="4">
        <v>53013.815999999999</v>
      </c>
      <c r="JT17" s="4">
        <v>52773.732000000004</v>
      </c>
      <c r="JU17" s="4">
        <v>45508.824000000001</v>
      </c>
      <c r="JV17" s="4">
        <v>44045.784</v>
      </c>
      <c r="JW17" s="4">
        <v>55295.657999999996</v>
      </c>
      <c r="JX17" s="4">
        <v>45034.271999999997</v>
      </c>
      <c r="JY17" s="4">
        <v>55503.791999999994</v>
      </c>
      <c r="JZ17" s="4">
        <v>57918.528000000006</v>
      </c>
      <c r="KA17" s="4">
        <v>60366.654000000002</v>
      </c>
      <c r="KB17" s="4">
        <v>46982.411999999997</v>
      </c>
      <c r="KC17" s="4">
        <v>47696.76</v>
      </c>
      <c r="KD17" s="4">
        <v>14000</v>
      </c>
      <c r="KE17" s="4">
        <v>14000</v>
      </c>
      <c r="KF17" s="4">
        <v>14000</v>
      </c>
      <c r="KG17" s="4">
        <v>56059.956000000006</v>
      </c>
      <c r="KH17" s="4">
        <v>50368.932000000001</v>
      </c>
      <c r="KI17" s="4">
        <v>44780.112000000001</v>
      </c>
      <c r="KJ17" s="4">
        <v>45889.632000000005</v>
      </c>
      <c r="KK17" s="4">
        <v>51116.021999999997</v>
      </c>
      <c r="KL17" s="4">
        <v>50705.405999999995</v>
      </c>
      <c r="KM17" s="4">
        <v>145453.00599999999</v>
      </c>
      <c r="KN17" s="4">
        <v>50322.725999999995</v>
      </c>
      <c r="KO17" s="4">
        <v>48140.225999999995</v>
      </c>
      <c r="KP17" s="4">
        <v>52675.343999999997</v>
      </c>
      <c r="KQ17" s="4">
        <v>185100.30000000002</v>
      </c>
      <c r="KR17" s="4">
        <v>54250.794000000002</v>
      </c>
    </row>
    <row r="18" spans="2:304">
      <c r="E18" s="1"/>
    </row>
    <row r="19" spans="2:304" s="5" customFormat="1" ht="14.4" customHeight="1">
      <c r="B19" s="6" t="s">
        <v>40</v>
      </c>
    </row>
    <row r="21" spans="2:304">
      <c r="C21" t="s">
        <v>10</v>
      </c>
      <c r="D21" s="9">
        <v>46753</v>
      </c>
      <c r="E21" s="3"/>
    </row>
    <row r="22" spans="2:304">
      <c r="C22" t="s">
        <v>30</v>
      </c>
      <c r="D22" s="10">
        <v>25</v>
      </c>
      <c r="E22" s="3" t="s">
        <v>1</v>
      </c>
      <c r="F22" s="1"/>
      <c r="G22" s="1"/>
      <c r="H22" s="1"/>
    </row>
    <row r="23" spans="2:304">
      <c r="C23" t="s">
        <v>67</v>
      </c>
      <c r="D23" s="10">
        <v>12</v>
      </c>
      <c r="E23" s="3"/>
      <c r="F23" s="1"/>
    </row>
    <row r="24" spans="2:304">
      <c r="C24" t="s">
        <v>68</v>
      </c>
      <c r="D24" s="10">
        <v>1000</v>
      </c>
      <c r="E24" s="3"/>
      <c r="F24" s="1"/>
    </row>
    <row r="25" spans="2:304">
      <c r="C25" t="s">
        <v>11</v>
      </c>
      <c r="D25" s="4">
        <v>19500</v>
      </c>
      <c r="E25" s="3" t="s">
        <v>41</v>
      </c>
    </row>
    <row r="26" spans="2:304">
      <c r="B26" s="2" t="s">
        <v>22</v>
      </c>
    </row>
    <row r="27" spans="2:304">
      <c r="C27" t="s">
        <v>52</v>
      </c>
      <c r="D27" s="7">
        <v>0.02</v>
      </c>
      <c r="E27" s="3" t="s">
        <v>2</v>
      </c>
      <c r="F27" s="19"/>
    </row>
    <row r="28" spans="2:304">
      <c r="C28" t="s">
        <v>53</v>
      </c>
      <c r="D28" s="7">
        <v>0.25</v>
      </c>
      <c r="E28" s="3" t="s">
        <v>2</v>
      </c>
    </row>
    <row r="29" spans="2:304">
      <c r="C29" t="s">
        <v>54</v>
      </c>
      <c r="D29" s="7">
        <v>0.12</v>
      </c>
      <c r="E29" s="3" t="s">
        <v>2</v>
      </c>
    </row>
    <row r="30" spans="2:304">
      <c r="C30" t="s">
        <v>55</v>
      </c>
      <c r="D30" s="7">
        <v>0.06</v>
      </c>
      <c r="E30" s="3" t="s">
        <v>2</v>
      </c>
      <c r="F30" s="19"/>
    </row>
    <row r="31" spans="2:304">
      <c r="C31" t="s">
        <v>56</v>
      </c>
      <c r="D31" s="7">
        <v>6.25E-2</v>
      </c>
      <c r="E31" s="3" t="s">
        <v>2</v>
      </c>
    </row>
    <row r="32" spans="2:304">
      <c r="C32" t="s">
        <v>57</v>
      </c>
      <c r="D32" s="7">
        <v>6.5000000000000002E-2</v>
      </c>
      <c r="E32" s="3" t="s">
        <v>2</v>
      </c>
    </row>
    <row r="33" spans="2:6">
      <c r="C33" t="s">
        <v>83</v>
      </c>
      <c r="D33" s="7">
        <v>6.7500000000000004E-2</v>
      </c>
      <c r="E33" s="3" t="s">
        <v>2</v>
      </c>
    </row>
    <row r="34" spans="2:6">
      <c r="C34" t="s">
        <v>84</v>
      </c>
      <c r="D34" s="7">
        <v>7.0000000000000007E-2</v>
      </c>
      <c r="E34" s="3" t="s">
        <v>2</v>
      </c>
    </row>
    <row r="35" spans="2:6">
      <c r="C35" t="s">
        <v>42</v>
      </c>
      <c r="D35" s="7">
        <v>0.13875000000000001</v>
      </c>
      <c r="E35" s="3" t="s">
        <v>2</v>
      </c>
    </row>
    <row r="36" spans="2:6">
      <c r="C36" t="s">
        <v>125</v>
      </c>
      <c r="D36" s="7">
        <v>0.14949999999999999</v>
      </c>
      <c r="E36" s="3" t="s">
        <v>2</v>
      </c>
    </row>
    <row r="37" spans="2:6">
      <c r="B37" s="2" t="s">
        <v>62</v>
      </c>
    </row>
    <row r="38" spans="2:6">
      <c r="C38" t="s">
        <v>52</v>
      </c>
      <c r="D38" s="7" t="s">
        <v>59</v>
      </c>
      <c r="E38" s="3"/>
    </row>
    <row r="39" spans="2:6">
      <c r="C39" t="s">
        <v>53</v>
      </c>
      <c r="D39" s="7" t="s">
        <v>59</v>
      </c>
      <c r="E39" s="3"/>
    </row>
    <row r="40" spans="2:6">
      <c r="C40" t="s">
        <v>54</v>
      </c>
      <c r="D40" s="7" t="s">
        <v>59</v>
      </c>
      <c r="E40" s="3"/>
    </row>
    <row r="41" spans="2:6">
      <c r="C41" t="s">
        <v>55</v>
      </c>
      <c r="D41" s="7" t="s">
        <v>60</v>
      </c>
      <c r="E41" s="3"/>
      <c r="F41" s="19"/>
    </row>
    <row r="42" spans="2:6">
      <c r="C42" t="s">
        <v>56</v>
      </c>
      <c r="D42" s="7" t="s">
        <v>60</v>
      </c>
      <c r="E42" s="3"/>
    </row>
    <row r="43" spans="2:6">
      <c r="C43" t="s">
        <v>57</v>
      </c>
      <c r="D43" s="7" t="s">
        <v>60</v>
      </c>
      <c r="E43" s="3"/>
    </row>
    <row r="44" spans="2:6">
      <c r="C44" t="s">
        <v>83</v>
      </c>
      <c r="D44" s="7" t="s">
        <v>60</v>
      </c>
      <c r="E44" s="3"/>
    </row>
    <row r="45" spans="2:6">
      <c r="C45" t="s">
        <v>84</v>
      </c>
      <c r="D45" s="7" t="s">
        <v>60</v>
      </c>
      <c r="E45" s="3"/>
    </row>
    <row r="46" spans="2:6">
      <c r="C46" t="s">
        <v>42</v>
      </c>
      <c r="D46" s="7" t="s">
        <v>61</v>
      </c>
      <c r="E46" s="3"/>
    </row>
    <row r="47" spans="2:6">
      <c r="C47" t="s">
        <v>125</v>
      </c>
      <c r="D47" s="7" t="s">
        <v>61</v>
      </c>
      <c r="E47" s="3"/>
    </row>
    <row r="48" spans="2:6">
      <c r="B48" s="2" t="s">
        <v>63</v>
      </c>
    </row>
    <row r="49" spans="2:6">
      <c r="C49" t="s">
        <v>52</v>
      </c>
      <c r="D49" s="7" t="s">
        <v>65</v>
      </c>
      <c r="E49" s="3"/>
    </row>
    <row r="50" spans="2:6">
      <c r="C50" t="s">
        <v>53</v>
      </c>
      <c r="D50" s="7" t="s">
        <v>65</v>
      </c>
      <c r="E50" s="3"/>
    </row>
    <row r="51" spans="2:6">
      <c r="C51" t="s">
        <v>54</v>
      </c>
      <c r="D51" s="7" t="s">
        <v>65</v>
      </c>
      <c r="E51" s="3"/>
    </row>
    <row r="52" spans="2:6">
      <c r="C52" t="s">
        <v>55</v>
      </c>
      <c r="D52" s="7" t="s">
        <v>65</v>
      </c>
      <c r="E52" s="3"/>
      <c r="F52" s="19"/>
    </row>
    <row r="53" spans="2:6">
      <c r="C53" t="s">
        <v>56</v>
      </c>
      <c r="D53" s="7" t="s">
        <v>66</v>
      </c>
      <c r="E53" s="3"/>
    </row>
    <row r="54" spans="2:6">
      <c r="C54" t="s">
        <v>57</v>
      </c>
      <c r="D54" s="7" t="s">
        <v>66</v>
      </c>
      <c r="E54" s="3"/>
    </row>
    <row r="55" spans="2:6">
      <c r="C55" t="s">
        <v>83</v>
      </c>
      <c r="D55" s="7" t="s">
        <v>66</v>
      </c>
      <c r="E55" s="3"/>
    </row>
    <row r="56" spans="2:6">
      <c r="C56" t="s">
        <v>84</v>
      </c>
      <c r="D56" s="7" t="s">
        <v>66</v>
      </c>
      <c r="E56" s="3"/>
    </row>
    <row r="57" spans="2:6">
      <c r="C57" t="s">
        <v>42</v>
      </c>
      <c r="D57" s="7" t="s">
        <v>65</v>
      </c>
      <c r="E57" s="3"/>
    </row>
    <row r="58" spans="2:6">
      <c r="C58" t="s">
        <v>125</v>
      </c>
      <c r="D58" s="7" t="s">
        <v>65</v>
      </c>
      <c r="E58" s="3"/>
    </row>
    <row r="59" spans="2:6">
      <c r="B59" s="2" t="s">
        <v>23</v>
      </c>
    </row>
    <row r="60" spans="2:6">
      <c r="C60" t="s">
        <v>12</v>
      </c>
      <c r="D60" s="11">
        <v>2030</v>
      </c>
    </row>
    <row r="61" spans="2:6">
      <c r="C61" t="s">
        <v>13</v>
      </c>
      <c r="D61" s="11">
        <v>2030</v>
      </c>
    </row>
    <row r="62" spans="2:6">
      <c r="C62" t="s">
        <v>14</v>
      </c>
      <c r="D62" s="11">
        <v>2033</v>
      </c>
    </row>
    <row r="63" spans="2:6">
      <c r="C63" t="s">
        <v>27</v>
      </c>
      <c r="D63" s="11">
        <v>2035</v>
      </c>
    </row>
    <row r="64" spans="2:6">
      <c r="C64" t="s">
        <v>92</v>
      </c>
      <c r="D64" s="11">
        <v>2035</v>
      </c>
    </row>
    <row r="65" spans="2:7">
      <c r="C65" t="s">
        <v>93</v>
      </c>
      <c r="D65" s="11">
        <v>2036</v>
      </c>
    </row>
    <row r="66" spans="2:7">
      <c r="C66" t="s">
        <v>15</v>
      </c>
      <c r="D66" s="11">
        <v>4</v>
      </c>
      <c r="E66" s="3" t="s">
        <v>1</v>
      </c>
    </row>
    <row r="67" spans="2:7">
      <c r="C67" t="s">
        <v>95</v>
      </c>
      <c r="D67" s="4">
        <v>1</v>
      </c>
    </row>
    <row r="68" spans="2:7">
      <c r="C68" t="s">
        <v>130</v>
      </c>
      <c r="D68" s="4">
        <v>0.5</v>
      </c>
    </row>
    <row r="69" spans="2:7">
      <c r="C69" t="s">
        <v>131</v>
      </c>
      <c r="D69" s="4">
        <v>0.3</v>
      </c>
    </row>
    <row r="70" spans="2:7">
      <c r="C70" t="s">
        <v>132</v>
      </c>
      <c r="D70" s="4">
        <v>0.2</v>
      </c>
    </row>
    <row r="71" spans="2:7">
      <c r="C71" t="s">
        <v>133</v>
      </c>
      <c r="D71" s="4">
        <v>0.1</v>
      </c>
    </row>
    <row r="72" spans="2:7">
      <c r="B72" s="2" t="s">
        <v>24</v>
      </c>
    </row>
    <row r="73" spans="2:7">
      <c r="C73" t="s">
        <v>4</v>
      </c>
      <c r="D73" s="4">
        <v>12.45</v>
      </c>
      <c r="E73" s="3" t="s">
        <v>74</v>
      </c>
    </row>
    <row r="74" spans="2:7">
      <c r="C74" t="s">
        <v>31</v>
      </c>
      <c r="D74" s="4">
        <v>0</v>
      </c>
      <c r="E74" s="3" t="s">
        <v>74</v>
      </c>
    </row>
    <row r="75" spans="2:7">
      <c r="C75" t="s">
        <v>32</v>
      </c>
      <c r="D75" s="4">
        <v>581</v>
      </c>
      <c r="E75" s="3" t="s">
        <v>74</v>
      </c>
      <c r="G75" s="1"/>
    </row>
    <row r="76" spans="2:7">
      <c r="C76" t="s">
        <v>33</v>
      </c>
      <c r="D76" s="4">
        <v>904.16666666666674</v>
      </c>
      <c r="E76" s="3" t="s">
        <v>74</v>
      </c>
    </row>
    <row r="77" spans="2:7">
      <c r="C77" t="s">
        <v>34</v>
      </c>
      <c r="D77" s="4">
        <v>217.00000000000009</v>
      </c>
      <c r="E77" s="3" t="s">
        <v>74</v>
      </c>
    </row>
    <row r="78" spans="2:7">
      <c r="C78" t="s">
        <v>91</v>
      </c>
      <c r="D78" s="4">
        <v>2467.2000000000003</v>
      </c>
      <c r="E78" s="3" t="s">
        <v>74</v>
      </c>
    </row>
    <row r="79" spans="2:7">
      <c r="C79" t="s">
        <v>90</v>
      </c>
      <c r="D79" s="4">
        <v>2130.1000000000004</v>
      </c>
      <c r="E79" s="3" t="s">
        <v>74</v>
      </c>
    </row>
    <row r="80" spans="2:7">
      <c r="C80" t="s">
        <v>58</v>
      </c>
      <c r="D80" s="4">
        <v>400</v>
      </c>
      <c r="E80" s="3" t="s">
        <v>74</v>
      </c>
    </row>
    <row r="81" spans="2:5">
      <c r="C81" t="s">
        <v>126</v>
      </c>
      <c r="D81" s="4">
        <v>375</v>
      </c>
      <c r="E81" s="3" t="s">
        <v>74</v>
      </c>
    </row>
    <row r="82" spans="2:5">
      <c r="B82" s="2" t="s">
        <v>25</v>
      </c>
    </row>
    <row r="83" spans="2:5">
      <c r="C83" t="s">
        <v>16</v>
      </c>
      <c r="D83" s="4">
        <v>12.12</v>
      </c>
      <c r="E83" s="12" t="s">
        <v>73</v>
      </c>
    </row>
    <row r="84" spans="2:5">
      <c r="C84" t="s">
        <v>17</v>
      </c>
      <c r="D84" s="4">
        <v>4.16</v>
      </c>
      <c r="E84" s="12" t="s">
        <v>73</v>
      </c>
    </row>
    <row r="85" spans="2:5">
      <c r="C85" t="s">
        <v>18</v>
      </c>
      <c r="D85" s="4">
        <v>1.6799999999999997</v>
      </c>
      <c r="E85" s="12" t="s">
        <v>73</v>
      </c>
    </row>
    <row r="86" spans="2:5">
      <c r="C86" t="s">
        <v>35</v>
      </c>
      <c r="D86" s="4">
        <v>1.2375</v>
      </c>
      <c r="E86" s="12" t="s">
        <v>73</v>
      </c>
    </row>
    <row r="87" spans="2:5">
      <c r="C87" t="s">
        <v>86</v>
      </c>
      <c r="D87" s="4">
        <v>2</v>
      </c>
      <c r="E87" s="12" t="s">
        <v>73</v>
      </c>
    </row>
    <row r="88" spans="2:5">
      <c r="C88" t="s">
        <v>87</v>
      </c>
      <c r="D88" s="4">
        <v>3</v>
      </c>
      <c r="E88" s="12" t="s">
        <v>73</v>
      </c>
    </row>
    <row r="89" spans="2:5">
      <c r="C89" t="s">
        <v>19</v>
      </c>
      <c r="D89" s="4">
        <v>27.52</v>
      </c>
      <c r="E89" s="12" t="s">
        <v>0</v>
      </c>
    </row>
    <row r="90" spans="2:5">
      <c r="C90" t="s">
        <v>20</v>
      </c>
      <c r="D90" s="4">
        <v>13.76</v>
      </c>
      <c r="E90" s="12" t="s">
        <v>0</v>
      </c>
    </row>
    <row r="91" spans="2:5">
      <c r="C91" t="s">
        <v>21</v>
      </c>
      <c r="D91" s="4">
        <v>103.2</v>
      </c>
      <c r="E91" s="12" t="s">
        <v>0</v>
      </c>
    </row>
    <row r="92" spans="2:5">
      <c r="C92" t="s">
        <v>28</v>
      </c>
      <c r="D92" s="4">
        <v>15.479999999999999</v>
      </c>
      <c r="E92" s="12" t="s">
        <v>0</v>
      </c>
    </row>
    <row r="93" spans="2:5">
      <c r="C93" t="s">
        <v>88</v>
      </c>
      <c r="D93" s="4">
        <v>11</v>
      </c>
      <c r="E93" s="12" t="s">
        <v>0</v>
      </c>
    </row>
    <row r="94" spans="2:5">
      <c r="C94" t="s">
        <v>89</v>
      </c>
      <c r="D94" s="4">
        <v>12</v>
      </c>
      <c r="E94" s="12" t="s">
        <v>0</v>
      </c>
    </row>
    <row r="96" spans="2:5" s="5" customFormat="1" ht="14.4" customHeight="1">
      <c r="B96" s="6" t="s">
        <v>3</v>
      </c>
    </row>
  </sheetData>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15180-73C3-404B-AFCC-AC8D4B9E2E97}">
  <sheetPr>
    <tabColor theme="8" tint="0.79998168889431442"/>
  </sheetPr>
  <dimension ref="A1:C36"/>
  <sheetViews>
    <sheetView zoomScale="77" workbookViewId="0"/>
  </sheetViews>
  <sheetFormatPr defaultRowHeight="15.6"/>
  <cols>
    <col min="1" max="1" width="74.109375" style="21" bestFit="1" customWidth="1"/>
    <col min="2" max="2" width="16.33203125" style="21" customWidth="1"/>
    <col min="3" max="16384" width="8.88671875" style="21"/>
  </cols>
  <sheetData>
    <row r="1" spans="1:3">
      <c r="A1" s="20" t="s">
        <v>43</v>
      </c>
      <c r="B1" s="20" t="s">
        <v>44</v>
      </c>
      <c r="C1" s="20" t="s">
        <v>50</v>
      </c>
    </row>
    <row r="2" spans="1:3">
      <c r="A2" s="22" t="s">
        <v>98</v>
      </c>
      <c r="B2" s="23"/>
      <c r="C2" s="8" t="s">
        <v>41</v>
      </c>
    </row>
    <row r="3" spans="1:3">
      <c r="A3" s="22" t="s">
        <v>99</v>
      </c>
      <c r="B3" s="23"/>
      <c r="C3" s="8" t="s">
        <v>41</v>
      </c>
    </row>
    <row r="4" spans="1:3">
      <c r="A4" s="22" t="s">
        <v>100</v>
      </c>
      <c r="B4" s="23"/>
      <c r="C4" s="8" t="s">
        <v>41</v>
      </c>
    </row>
    <row r="5" spans="1:3">
      <c r="A5" s="22" t="s">
        <v>101</v>
      </c>
      <c r="B5" s="23"/>
      <c r="C5" s="8" t="s">
        <v>41</v>
      </c>
    </row>
    <row r="6" spans="1:3">
      <c r="A6" s="22" t="s">
        <v>102</v>
      </c>
      <c r="B6" s="23"/>
      <c r="C6" s="8" t="s">
        <v>41</v>
      </c>
    </row>
    <row r="7" spans="1:3">
      <c r="A7" s="22" t="s">
        <v>103</v>
      </c>
      <c r="B7" s="23"/>
      <c r="C7" s="8" t="s">
        <v>41</v>
      </c>
    </row>
    <row r="8" spans="1:3">
      <c r="A8" s="22" t="s">
        <v>104</v>
      </c>
      <c r="B8" s="23"/>
      <c r="C8" s="8" t="s">
        <v>41</v>
      </c>
    </row>
    <row r="9" spans="1:3">
      <c r="A9" s="22" t="s">
        <v>105</v>
      </c>
      <c r="B9" s="23"/>
      <c r="C9" s="8" t="s">
        <v>41</v>
      </c>
    </row>
    <row r="10" spans="1:3">
      <c r="A10" s="22" t="s">
        <v>106</v>
      </c>
      <c r="B10" s="23"/>
      <c r="C10" s="8" t="s">
        <v>41</v>
      </c>
    </row>
    <row r="11" spans="1:3">
      <c r="A11" s="22" t="s">
        <v>107</v>
      </c>
      <c r="B11" s="23"/>
      <c r="C11" s="8" t="s">
        <v>41</v>
      </c>
    </row>
    <row r="12" spans="1:3">
      <c r="A12" s="22" t="s">
        <v>127</v>
      </c>
      <c r="B12" s="23"/>
      <c r="C12" s="8" t="s">
        <v>41</v>
      </c>
    </row>
    <row r="13" spans="1:3">
      <c r="A13" s="22" t="s">
        <v>108</v>
      </c>
      <c r="B13" s="23"/>
      <c r="C13" s="8" t="s">
        <v>41</v>
      </c>
    </row>
    <row r="14" spans="1:3">
      <c r="A14" s="22" t="s">
        <v>109</v>
      </c>
      <c r="B14" s="23"/>
      <c r="C14" s="8" t="s">
        <v>41</v>
      </c>
    </row>
    <row r="15" spans="1:3">
      <c r="A15" s="22" t="s">
        <v>110</v>
      </c>
      <c r="B15" s="23"/>
      <c r="C15" s="8" t="s">
        <v>41</v>
      </c>
    </row>
    <row r="16" spans="1:3">
      <c r="A16" s="22" t="s">
        <v>128</v>
      </c>
      <c r="B16" s="23"/>
      <c r="C16" s="8" t="s">
        <v>41</v>
      </c>
    </row>
    <row r="17" spans="1:3">
      <c r="A17" s="22" t="s">
        <v>111</v>
      </c>
      <c r="B17" s="23"/>
      <c r="C17" s="8" t="s">
        <v>41</v>
      </c>
    </row>
    <row r="18" spans="1:3">
      <c r="A18" s="22" t="s">
        <v>112</v>
      </c>
      <c r="B18" s="23"/>
      <c r="C18" s="8" t="s">
        <v>41</v>
      </c>
    </row>
    <row r="19" spans="1:3">
      <c r="A19" s="22" t="s">
        <v>113</v>
      </c>
      <c r="B19" s="23"/>
      <c r="C19" s="8" t="s">
        <v>41</v>
      </c>
    </row>
    <row r="20" spans="1:3">
      <c r="A20" s="22" t="s">
        <v>114</v>
      </c>
      <c r="B20" s="23"/>
      <c r="C20" s="8" t="s">
        <v>41</v>
      </c>
    </row>
    <row r="21" spans="1:3">
      <c r="A21" s="22" t="s">
        <v>115</v>
      </c>
      <c r="B21" s="23"/>
      <c r="C21" s="8" t="s">
        <v>41</v>
      </c>
    </row>
    <row r="22" spans="1:3">
      <c r="A22" s="22" t="s">
        <v>116</v>
      </c>
      <c r="B22" s="23"/>
      <c r="C22" s="8" t="s">
        <v>41</v>
      </c>
    </row>
    <row r="23" spans="1:3">
      <c r="A23" s="22" t="s">
        <v>117</v>
      </c>
      <c r="B23" s="23"/>
      <c r="C23" s="8" t="s">
        <v>41</v>
      </c>
    </row>
    <row r="24" spans="1:3">
      <c r="A24" s="22" t="s">
        <v>118</v>
      </c>
      <c r="B24" s="23"/>
      <c r="C24" s="8" t="s">
        <v>41</v>
      </c>
    </row>
    <row r="25" spans="1:3">
      <c r="A25" s="22" t="s">
        <v>129</v>
      </c>
      <c r="B25" s="23"/>
      <c r="C25" s="8" t="s">
        <v>41</v>
      </c>
    </row>
    <row r="26" spans="1:3">
      <c r="A26" s="22" t="s">
        <v>119</v>
      </c>
      <c r="B26" s="23"/>
      <c r="C26" s="8" t="s">
        <v>41</v>
      </c>
    </row>
    <row r="27" spans="1:3">
      <c r="A27" s="22" t="s">
        <v>120</v>
      </c>
      <c r="B27" s="23"/>
      <c r="C27" s="8" t="s">
        <v>41</v>
      </c>
    </row>
    <row r="28" spans="1:3">
      <c r="A28" s="22" t="s">
        <v>121</v>
      </c>
      <c r="B28" s="23"/>
      <c r="C28" s="8" t="s">
        <v>41</v>
      </c>
    </row>
    <row r="29" spans="1:3">
      <c r="A29" s="22" t="s">
        <v>122</v>
      </c>
      <c r="B29" s="23"/>
      <c r="C29" s="8" t="s">
        <v>41</v>
      </c>
    </row>
    <row r="30" spans="1:3">
      <c r="A30" s="22" t="s">
        <v>123</v>
      </c>
      <c r="B30" s="23"/>
      <c r="C30" s="8" t="s">
        <v>41</v>
      </c>
    </row>
    <row r="31" spans="1:3">
      <c r="A31" s="22" t="s">
        <v>45</v>
      </c>
      <c r="B31" s="23"/>
      <c r="C31" s="8" t="s">
        <v>41</v>
      </c>
    </row>
    <row r="32" spans="1:3">
      <c r="A32" s="22" t="s">
        <v>46</v>
      </c>
      <c r="B32" s="23"/>
      <c r="C32" s="8" t="s">
        <v>41</v>
      </c>
    </row>
    <row r="33" spans="1:3">
      <c r="A33" s="22" t="s">
        <v>47</v>
      </c>
      <c r="B33" s="23"/>
      <c r="C33" s="8" t="s">
        <v>41</v>
      </c>
    </row>
    <row r="34" spans="1:3">
      <c r="A34" s="22" t="s">
        <v>48</v>
      </c>
      <c r="B34" s="23"/>
      <c r="C34" s="8" t="s">
        <v>41</v>
      </c>
    </row>
    <row r="35" spans="1:3">
      <c r="A35" s="22" t="s">
        <v>49</v>
      </c>
      <c r="B35" s="23"/>
      <c r="C35" s="8" t="s">
        <v>41</v>
      </c>
    </row>
    <row r="36" spans="1:3">
      <c r="A36" s="22" t="s">
        <v>97</v>
      </c>
      <c r="B36" s="23"/>
      <c r="C36" s="8" t="s">
        <v>41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Assumptions</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Pöltl</dc:creator>
  <cp:lastModifiedBy>Julian Pöltl</cp:lastModifiedBy>
  <dcterms:created xsi:type="dcterms:W3CDTF">2025-10-30T13:30:27Z</dcterms:created>
  <dcterms:modified xsi:type="dcterms:W3CDTF">2026-04-27T21:20:28Z</dcterms:modified>
</cp:coreProperties>
</file>