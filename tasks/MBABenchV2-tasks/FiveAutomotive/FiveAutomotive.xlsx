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Sum-of-the-Parts Valuation\FiveAutomotive\starting_files\"/>
    </mc:Choice>
  </mc:AlternateContent>
  <xr:revisionPtr revIDLastSave="0" documentId="13_ncr:1_{BD97AE87-BC49-46AA-ABD5-F644786B7412}" xr6:coauthVersionLast="47" xr6:coauthVersionMax="47" xr10:uidLastSave="{00000000-0000-0000-0000-000000000000}"/>
  <bookViews>
    <workbookView xWindow="-108" yWindow="-108" windowWidth="23256" windowHeight="12456" tabRatio="734" xr2:uid="{9D050BFD-007E-4C38-9D7B-ED1AFA0D54D5}"/>
  </bookViews>
  <sheets>
    <sheet name="Instructions" sheetId="2" r:id="rId1"/>
    <sheet name="Assumption" sheetId="9" r:id="rId2"/>
    <sheet name="1 - Screws" sheetId="16" r:id="rId3"/>
    <sheet name="1 - Material prices" sheetId="14" r:id="rId4"/>
    <sheet name="1 - Sales info" sheetId="15" r:id="rId5"/>
    <sheet name="3 - Comp" sheetId="23" r:id="rId6"/>
    <sheet name="5 - Comp" sheetId="21" r:id="rId7"/>
    <sheet name="Questions" sheetId="6" r:id="rId8"/>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<sst xmlns="http://schemas.openxmlformats.org/spreadsheetml/2006/main" count="1778" uniqueCount="551">
  <si>
    <t>Answers</t>
  </si>
  <si>
    <t>Assumptions sheet may be also in the text on the Instructions tab - please use the assumptions on this sheet for your model</t>
  </si>
  <si>
    <t>End Sheet</t>
  </si>
  <si>
    <t>Unit</t>
  </si>
  <si>
    <t>Model basics</t>
  </si>
  <si>
    <t>EBITDA</t>
  </si>
  <si>
    <t>EBIT</t>
  </si>
  <si>
    <t>Total Assets</t>
  </si>
  <si>
    <t>Cash and Cash Equivalents</t>
  </si>
  <si>
    <t>Valuation basis date</t>
  </si>
  <si>
    <t>Valuation date</t>
  </si>
  <si>
    <t>Market Variables</t>
  </si>
  <si>
    <t>Risk-free interest rate</t>
  </si>
  <si>
    <t>Adjusted beta, 3-year daily</t>
  </si>
  <si>
    <t>Market risk premium</t>
  </si>
  <si>
    <t>[%]</t>
  </si>
  <si>
    <t>Growth</t>
  </si>
  <si>
    <t>Total Equity</t>
  </si>
  <si>
    <t>Depreciation &amp; Amortization</t>
  </si>
  <si>
    <t>Tax rate</t>
  </si>
  <si>
    <t>Do not question the data provided.</t>
  </si>
  <si>
    <t>Valuation Task</t>
  </si>
  <si>
    <t>Ensure that the valuation is transitioned to the valuation date.</t>
  </si>
  <si>
    <t>g</t>
  </si>
  <si>
    <t>Prices [$/t]</t>
  </si>
  <si>
    <t>Stainless Steal</t>
  </si>
  <si>
    <t>Inconel</t>
  </si>
  <si>
    <t>Aluminium Alloy</t>
  </si>
  <si>
    <t>Material</t>
  </si>
  <si>
    <t>Density [g/ccm]</t>
  </si>
  <si>
    <t>[pcs.]</t>
  </si>
  <si>
    <t>S1</t>
  </si>
  <si>
    <t>S2</t>
  </si>
  <si>
    <t>S3</t>
  </si>
  <si>
    <t>S4</t>
  </si>
  <si>
    <t>S5</t>
  </si>
  <si>
    <t>S6</t>
  </si>
  <si>
    <t>S7</t>
  </si>
  <si>
    <t>S8</t>
  </si>
  <si>
    <t>S9</t>
  </si>
  <si>
    <t>Screw</t>
  </si>
  <si>
    <t>Volume raw [ccm]</t>
  </si>
  <si>
    <t>Volume finished [ccm]</t>
  </si>
  <si>
    <t>Surface finish</t>
  </si>
  <si>
    <t>Machining time [min/screw]</t>
  </si>
  <si>
    <t>none</t>
  </si>
  <si>
    <t>Polished</t>
  </si>
  <si>
    <t>Anodized</t>
  </si>
  <si>
    <t>You have to build the DCF model for a small company producing metal screws.</t>
  </si>
  <si>
    <t>All screws are manufactured one after the other on the Screwmaster 50.</t>
  </si>
  <si>
    <t>Purchase Price</t>
  </si>
  <si>
    <t>[$]</t>
  </si>
  <si>
    <t>(2025)</t>
  </si>
  <si>
    <t>Useful life</t>
  </si>
  <si>
    <t>[years]</t>
  </si>
  <si>
    <t>Number of machines at the beginning</t>
  </si>
  <si>
    <t>[#]</t>
  </si>
  <si>
    <t>Machine utilization</t>
  </si>
  <si>
    <t>The raw material used is dependent on the screw produced.</t>
  </si>
  <si>
    <t>A screwmaster 50 is consuming 50 kW while running.</t>
  </si>
  <si>
    <t>Energy is paid at the 10.th of the following month.</t>
  </si>
  <si>
    <t>Energy</t>
  </si>
  <si>
    <t>Consumption</t>
  </si>
  <si>
    <t>Price</t>
  </si>
  <si>
    <t>[$/kWh]</t>
  </si>
  <si>
    <t>[kW/machine hour]</t>
  </si>
  <si>
    <t>Other production input</t>
  </si>
  <si>
    <t>Other production input per screw</t>
  </si>
  <si>
    <t>(for wather and other material consumption)</t>
  </si>
  <si>
    <t>[$/screw]</t>
  </si>
  <si>
    <t>Production staff</t>
  </si>
  <si>
    <t>Hours per day</t>
  </si>
  <si>
    <t>Days per week</t>
  </si>
  <si>
    <t>Days per year (ass.)</t>
  </si>
  <si>
    <t>Days per month</t>
  </si>
  <si>
    <t>Production employee costs per year</t>
  </si>
  <si>
    <t>Machines per employee</t>
  </si>
  <si>
    <t>Scrap metal</t>
  </si>
  <si>
    <t>Saleback quota</t>
  </si>
  <si>
    <t>(of org. material price)</t>
  </si>
  <si>
    <t>Sell price [2025]</t>
  </si>
  <si>
    <t>To some of the screws a special surface finish has to be applied to.</t>
  </si>
  <si>
    <t>That surface finish is not done in house, but bought externally.</t>
  </si>
  <si>
    <t>Assume no additional production time/ production lag due to the surface finish.</t>
  </si>
  <si>
    <t>Polishing</t>
  </si>
  <si>
    <t>Anodizing</t>
  </si>
  <si>
    <t>/screw</t>
  </si>
  <si>
    <t>Building</t>
  </si>
  <si>
    <t>Taxes</t>
  </si>
  <si>
    <t>SG&amp;A</t>
  </si>
  <si>
    <t>SG&amp;A percentage</t>
  </si>
  <si>
    <t>(of total revenue)</t>
  </si>
  <si>
    <t>Explicit planning period</t>
  </si>
  <si>
    <t>Profit distribution</t>
  </si>
  <si>
    <t>Distribution quota</t>
  </si>
  <si>
    <t>(of positive profit)</t>
  </si>
  <si>
    <t>CCC</t>
  </si>
  <si>
    <t>[days]</t>
  </si>
  <si>
    <t>DSO</t>
  </si>
  <si>
    <t>DIO</t>
  </si>
  <si>
    <t>DPO</t>
  </si>
  <si>
    <t>Finished products are only produced JIT and therefore sold instantly.</t>
  </si>
  <si>
    <t>Inflation</t>
  </si>
  <si>
    <t>Inflation rate</t>
  </si>
  <si>
    <t>All prices (purchase prices, sell prices, wages, …) are assumed to be inflation dependent.</t>
  </si>
  <si>
    <t>Machines (general)</t>
  </si>
  <si>
    <t>Assume a year with 12 months and 30 days per months.</t>
  </si>
  <si>
    <t>Assume complete equal distribution for everything not specifically determined.</t>
  </si>
  <si>
    <t>Loan</t>
  </si>
  <si>
    <t>A starting balance is given - see Assumption</t>
  </si>
  <si>
    <t>Perform a DCF valuation for the company based on the provided data and your 3-Statement model.</t>
  </si>
  <si>
    <t>Cash</t>
  </si>
  <si>
    <t>Accounts Receivable</t>
  </si>
  <si>
    <t>Inventory</t>
  </si>
  <si>
    <t>PP&amp;E - Buildings</t>
  </si>
  <si>
    <t>PP&amp;E - Machines</t>
  </si>
  <si>
    <t>Accounts Payable</t>
  </si>
  <si>
    <t>Tax Payable</t>
  </si>
  <si>
    <t>Equity Capital</t>
  </si>
  <si>
    <t>Retained Earnings</t>
  </si>
  <si>
    <t>PP&amp;E - Other</t>
  </si>
  <si>
    <t>Other PP&amp;E</t>
  </si>
  <si>
    <t>It is consisting out of stuff like office supplies and furniture.</t>
  </si>
  <si>
    <t>(assumed)</t>
  </si>
  <si>
    <t>In addition, the company has an annuity loan - for details see assumptions.</t>
  </si>
  <si>
    <t>Loan amount</t>
  </si>
  <si>
    <t>(original)</t>
  </si>
  <si>
    <t>Loan closing date</t>
  </si>
  <si>
    <t>Term</t>
  </si>
  <si>
    <t>Interest</t>
  </si>
  <si>
    <t>(p.a., linear)</t>
  </si>
  <si>
    <t>Minutes per hour</t>
  </si>
  <si>
    <t>Machines bought for</t>
  </si>
  <si>
    <t>Machines bought at</t>
  </si>
  <si>
    <t>Workhours per week</t>
  </si>
  <si>
    <t>[h]</t>
  </si>
  <si>
    <t>kg to t - conversion factor</t>
  </si>
  <si>
    <t>g to kg - conversion factor</t>
  </si>
  <si>
    <t>Current portion of long-term debt</t>
  </si>
  <si>
    <t>Long-term debt</t>
  </si>
  <si>
    <t>Opening balance</t>
  </si>
  <si>
    <t>No loss carry-forward.</t>
  </si>
  <si>
    <t>Finish date</t>
  </si>
  <si>
    <t>Current Portion of Long-Term Debt</t>
  </si>
  <si>
    <t>Long-Term Debt</t>
  </si>
  <si>
    <t>Building share used for production</t>
  </si>
  <si>
    <t>Net Income</t>
  </si>
  <si>
    <t>Share used for production</t>
  </si>
  <si>
    <t>Months per year</t>
  </si>
  <si>
    <t>Profit Distribution Payable</t>
  </si>
  <si>
    <t>Interest on negative cash balance</t>
  </si>
  <si>
    <t>Questions (please round your answers to two decimal places, WACC rate rounded to four decimals)</t>
  </si>
  <si>
    <t>The scrap metal from the production process will be sold back for a percentage of the material purchase price - see Assumptions tab for the saleback quota.</t>
  </si>
  <si>
    <t>The machines can be utilized up to a maximum capacity share - see Assumptions tab for the utilization rate.</t>
  </si>
  <si>
    <t>The buildings were build in 2022 (finished beginning of the year) and have enough capacity for both production and administration.</t>
  </si>
  <si>
    <t>(based on sales rev)</t>
  </si>
  <si>
    <t>(not netted)</t>
  </si>
  <si>
    <t>Use the total debt outstanding at the valuation basis date as the market value of debt.</t>
  </si>
  <si>
    <t>If not specified, the payments/cashflows are due at the end of the respective period (simplification).</t>
  </si>
  <si>
    <t>A negative cash balance incurs additional interest charges (mind the payment/cashflow timing simplification).</t>
  </si>
  <si>
    <t>Structure the Income Statement such that Cost of Goods Sold includes all production-related depreciation (machines, production share of buildings, production share of Other PP&amp;E). EBITDA is defined as Gross Profit minus SG&amp;A. General (non-production) depreciation appears below EBITDA."</t>
  </si>
  <si>
    <t>Sum-of-the-Parts Valuation - Five Automotive</t>
  </si>
  <si>
    <t>The company to value has five different business lines in the B2C business:</t>
  </si>
  <si>
    <t>You therefore first have to build the monthly 3-Statement model for that company based on the information below:</t>
  </si>
  <si>
    <t>- Fixings (for Automotive)</t>
  </si>
  <si>
    <t>- Plastics Parts (for Automotive)</t>
  </si>
  <si>
    <t>- Auto Parts Sales</t>
  </si>
  <si>
    <t>- General Car Sales</t>
  </si>
  <si>
    <t>Fixings:</t>
  </si>
  <si>
    <t>Information about the products (in this case only screws) produced you will find on the tab 1 - Screws.</t>
  </si>
  <si>
    <t>For sales information see tab 1 - Sales info - both quantity and price are listed there.</t>
  </si>
  <si>
    <t>The material price is fluctuating - see tab 1 - Material price.</t>
  </si>
  <si>
    <t>Business Line</t>
  </si>
  <si>
    <t>1 - Fixings</t>
  </si>
  <si>
    <t>(applied every January)</t>
  </si>
  <si>
    <t>Machines will be bought at the beginning of a month and cannot be sold/will stay at the company once acquired.</t>
  </si>
  <si>
    <t>Model the month-end energy payable as part of Accounts Payable.</t>
  </si>
  <si>
    <t>Employees can be fired/hired instantly.</t>
  </si>
  <si>
    <t>Taxes are applied to positive pre-tax profit, calculated on a monthly basis and paid in June the following year.</t>
  </si>
  <si>
    <t>Annual inflation is 2% applied every January.</t>
  </si>
  <si>
    <t>Fixings</t>
  </si>
  <si>
    <t>Do not use mid year convention.</t>
  </si>
  <si>
    <t>Plastic Parts:</t>
  </si>
  <si>
    <t>DCF FCFF Period</t>
  </si>
  <si>
    <t>(last)</t>
  </si>
  <si>
    <t>Use the narrow NWC definition.</t>
  </si>
  <si>
    <t>Original costs</t>
  </si>
  <si>
    <t>For the terminal value, calculate a normalized FCFF as a simple average of the last 36 months of explicit forecast.</t>
  </si>
  <si>
    <t>The company operates continuously (360 days/year, 24 hours/day).</t>
  </si>
  <si>
    <t>A production employee can handle 4 machines simultaneously.</t>
  </si>
  <si>
    <t>Calculate the number of employees per concurrent shift position (rounded up) based on the machines in that month, then multiply by the number of full-time-equivalent positions needed to cover all weekly production hours (24h × 7d / 42h per employee = 4).</t>
  </si>
  <si>
    <t xml:space="preserve">Each production employee works 42 hours per week at a cost of $77,500 per year. </t>
  </si>
  <si>
    <t>(based on the sum of: raw material costs, surface finishing costs, other production costs, and SG&amp;A - excluding energy costs, production wages, and all depreciation)</t>
  </si>
  <si>
    <t>For the equity bridge, linearly interpolate balance sheet items between the two consecutive month-end dates that bracket the valuation date, using a 30/360 day-count fraction. For example, for a May 17 valuation date, interpolate between the April 30 and May 30 balance sheets with a fraction of 17/30.</t>
  </si>
  <si>
    <t>(based on total raw material costs)</t>
  </si>
  <si>
    <t xml:space="preserve">45% of positive monthly Net Income (after tax) is earmarked for distribution. </t>
  </si>
  <si>
    <t>Distributions are calculated each month and paid in March of the following year.</t>
  </si>
  <si>
    <t>Losses are fully absorbed by Retained Earnings (no offset against prior positive months within the same year).</t>
  </si>
  <si>
    <t>Other PP&amp;E has a 2-year useful life (24 months) with straight-line depreciation based on original cost. Track each monthly purchase as a separate vintage (cohort). The inflation-adjusted target month-end book value = 345,678 × inflation index. Each month: (1) the vintage reaching 24 months old is fully depreciated and retired, (2) new CapEx is purchased such that the sum of all active vintages' book values (original cost minus accumulated depreciation) equals the target. Monthly depreciation = sum of all active vintages' original costs / 24. The opening position consists of a single vintage purchased for 691,356 on Jan 1, 2025, which is 12 months old at model start.</t>
  </si>
  <si>
    <t>You are restricted by available data from the company, but all business lines are separate and you are able to value them separately.</t>
  </si>
  <si>
    <t>For Fixings you are able to generate a fully integrated model based on detailed assumptions and inputs.</t>
  </si>
  <si>
    <t>For Auto Parts Sales you are able to compare to traded peers and value based on that.</t>
  </si>
  <si>
    <t>For Plastic Parts you will generate an integrated model based on basic growth figures.</t>
  </si>
  <si>
    <t>For Automotive R&amp;D you are able to compare to traded peers and value based on that.</t>
  </si>
  <si>
    <t>The model should be monthly.</t>
  </si>
  <si>
    <t>P&amp;L Statement:</t>
  </si>
  <si>
    <t>For taxes use the flat tax rate on the pre-tax income.</t>
  </si>
  <si>
    <t>Balance Sheet:</t>
  </si>
  <si>
    <t>Balance your Balance Sheet using Cash (plug-only).</t>
  </si>
  <si>
    <t>For Plastic Parts Part you have to build the integrated 3-Statement Model as a forecast for the next 10 years.</t>
  </si>
  <si>
    <t>You are provide with the 2025 P&amp;L data - assume it is equally distributed over the months.</t>
  </si>
  <si>
    <t>You are provide with the 2025 Closing Balance Sheet.</t>
  </si>
  <si>
    <t>-</t>
  </si>
  <si>
    <t>COGS</t>
  </si>
  <si>
    <t>Current Assets</t>
  </si>
  <si>
    <t>Current Liabilities</t>
  </si>
  <si>
    <t>Non-Current Assets</t>
  </si>
  <si>
    <t>Non-Current Liabilities</t>
  </si>
  <si>
    <t>Non-Operating Items</t>
  </si>
  <si>
    <t>Operating Expenses</t>
  </si>
  <si>
    <t>Revenue</t>
  </si>
  <si>
    <t>Cost of Goods Sold</t>
  </si>
  <si>
    <t>Research &amp; Development</t>
  </si>
  <si>
    <t>Sales &amp; Marketing</t>
  </si>
  <si>
    <t>General &amp; Administrative</t>
  </si>
  <si>
    <t>IT &amp; Infrastructure</t>
  </si>
  <si>
    <t>Legal &amp; Compliance</t>
  </si>
  <si>
    <t>Logistics &amp; Distribution</t>
  </si>
  <si>
    <t>Interest Income</t>
  </si>
  <si>
    <t>Interest Expense</t>
  </si>
  <si>
    <t>Cash &amp; Cash Equivalents</t>
  </si>
  <si>
    <t>Short-Term Investments</t>
  </si>
  <si>
    <t>Prepaid Expenses</t>
  </si>
  <si>
    <t>Other Current Assets</t>
  </si>
  <si>
    <t>Property, Plant &amp; Equipment</t>
  </si>
  <si>
    <t>Accumulated Depreciation</t>
  </si>
  <si>
    <t>Intangible Assets</t>
  </si>
  <si>
    <t>Long-Term Investments</t>
  </si>
  <si>
    <t>Other Non-Current Assets</t>
  </si>
  <si>
    <t>Short-Term Debt</t>
  </si>
  <si>
    <t>Accrued Expenses</t>
  </si>
  <si>
    <t>Deferred Revenue</t>
  </si>
  <si>
    <t>Other Current Liabilities</t>
  </si>
  <si>
    <t>Pension Liabilities</t>
  </si>
  <si>
    <t>Lease Liabilities</t>
  </si>
  <si>
    <t>Other Long-Term Liabilities</t>
  </si>
  <si>
    <t>Share Capital</t>
  </si>
  <si>
    <t>Additional Paid-In Capital</t>
  </si>
  <si>
    <t>Weekend days</t>
  </si>
  <si>
    <t>Saturday, Sunday</t>
  </si>
  <si>
    <t>Other inputs</t>
  </si>
  <si>
    <t>Profit Distribution Quota</t>
  </si>
  <si>
    <t>GL Amounts &amp; Categorization</t>
  </si>
  <si>
    <t>Category</t>
  </si>
  <si>
    <t>D&amp;A</t>
  </si>
  <si>
    <t>Equity</t>
  </si>
  <si>
    <t>Growth rate</t>
  </si>
  <si>
    <t>(EAG)</t>
  </si>
  <si>
    <t>(EAG) - exemption for Cash &amp; Cash equivalents</t>
  </si>
  <si>
    <t>see Instructions</t>
  </si>
  <si>
    <t>2 - Plastic Parts</t>
  </si>
  <si>
    <t>All models</t>
  </si>
  <si>
    <t>Amount 2025</t>
  </si>
  <si>
    <t>Closing Balance 2025</t>
  </si>
  <si>
    <t>Plastic Parts</t>
  </si>
  <si>
    <t>Other SG&amp;A</t>
  </si>
  <si>
    <t>Other Receivables</t>
  </si>
  <si>
    <t>Receivables</t>
  </si>
  <si>
    <t>For the terminal value, calculate a normalized FCFF as a simple average of the last 24 months of explicit forecast.</t>
  </si>
  <si>
    <t>For General Car Sales you will be provided with estimate data and have to prepare a DCF based on that data.</t>
  </si>
  <si>
    <t>Cost of Debt</t>
  </si>
  <si>
    <t>For the FCFF, use only operating profit-driven items and tangible fixed asset investment. Capital expenditures correspond to the change in gross Property, Plant &amp; Equipment only.</t>
  </si>
  <si>
    <t>For changes in Net Working Capital, include all operational (non-financial) current assets and current liabilities. Exclude Cash &amp; Cash Equivalents (the balancing item), all investment positions, and all debt instruments from the working capital calculation.</t>
  </si>
  <si>
    <t>4 - General Car Sales</t>
  </si>
  <si>
    <t>After the ten years of the explicit forecast, calculate the terminal value using the Gordon Growth Model, applied at the end of the last explicit forecast period</t>
  </si>
  <si>
    <t>Use the total debt (including leases) outstanding at the valuation basis date as the market value of debt.</t>
  </si>
  <si>
    <t>Calculate the WACC iteratively (WACC annual to monthly: geometrically conversion)</t>
  </si>
  <si>
    <t>For taxes, apply the flat tax rate to pre-tax income. If pre-tax income is negative, taxes are zero (no tax benefit / no loss carry-forward).</t>
  </si>
  <si>
    <t>Financial data</t>
  </si>
  <si>
    <t>Pretax Income</t>
  </si>
  <si>
    <t>Total Debt</t>
  </si>
  <si>
    <t>2026e</t>
  </si>
  <si>
    <t>2027e</t>
  </si>
  <si>
    <t>2028e</t>
  </si>
  <si>
    <t>2029e</t>
  </si>
  <si>
    <t>2030e</t>
  </si>
  <si>
    <t>2031e</t>
  </si>
  <si>
    <t>2032e</t>
  </si>
  <si>
    <t>2033e</t>
  </si>
  <si>
    <t>2034e</t>
  </si>
  <si>
    <t>2035e</t>
  </si>
  <si>
    <t>General Car Sales</t>
  </si>
  <si>
    <t>General Car Sales:</t>
  </si>
  <si>
    <t>Perform a DCF valuation for the company based on the provided data.</t>
  </si>
  <si>
    <t>Use the iterative method to calculate the WACC.</t>
  </si>
  <si>
    <t>Assume book value of debt = market value of debt.</t>
  </si>
  <si>
    <t>For the terminal value, calculate a normalized FCFF as a time-weighted average of all explicit forecast period FCFFs, using linear weights (weight 1 for 2026 through weight 10 for 2035).</t>
  </si>
  <si>
    <t>You do not have to judge the selection and no adjustments are needed (use provided financials without modification, unless specifically stated).</t>
  </si>
  <si>
    <t>Calculate the following metrics based on the data:</t>
  </si>
  <si>
    <t>- EV/Sales</t>
  </si>
  <si>
    <t>- EV/EBITDA</t>
  </si>
  <si>
    <t>Calculate the Maximum, 75th Percentile, Average, Median, 25th Percentile and Minimum for the selected metrics. Exclude any negative or undefined multiples from the statistical calculations for the affected metric.</t>
  </si>
  <si>
    <t>Automotive R&amp;D</t>
  </si>
  <si>
    <t>Automotive R&amp;D:</t>
  </si>
  <si>
    <t>You have been provided with data about comparables for the Automotive R&amp;D part.</t>
  </si>
  <si>
    <t>Sales</t>
  </si>
  <si>
    <t>FCF</t>
  </si>
  <si>
    <t>Market Data</t>
  </si>
  <si>
    <t>Company</t>
  </si>
  <si>
    <t>Fiscal</t>
  </si>
  <si>
    <t>Enterprise</t>
  </si>
  <si>
    <t>Shares Out</t>
  </si>
  <si>
    <t>Name</t>
  </si>
  <si>
    <t>Ticker</t>
  </si>
  <si>
    <t>Period</t>
  </si>
  <si>
    <t>FY</t>
  </si>
  <si>
    <t>Value</t>
  </si>
  <si>
    <t>EV (M)</t>
  </si>
  <si>
    <t>(M)</t>
  </si>
  <si>
    <t>12/2025</t>
  </si>
  <si>
    <t>03/31/2026</t>
  </si>
  <si>
    <t>12/31/2025</t>
  </si>
  <si>
    <t>AFRY B</t>
  </si>
  <si>
    <t>AFRY-SE</t>
  </si>
  <si>
    <t>Arcadis</t>
  </si>
  <si>
    <t>ARCAD-NL</t>
  </si>
  <si>
    <t>SWECO B</t>
  </si>
  <si>
    <t>SWEC.B-SE</t>
  </si>
  <si>
    <t>Atkinsrealis</t>
  </si>
  <si>
    <t>ATRL-CA</t>
  </si>
  <si>
    <t>Tetra Tech</t>
  </si>
  <si>
    <t>TTEK-US</t>
  </si>
  <si>
    <t>03/29/2026</t>
  </si>
  <si>
    <t>Jacobs Solutions</t>
  </si>
  <si>
    <t>J-US</t>
  </si>
  <si>
    <t>03/27/2026</t>
  </si>
  <si>
    <t>AECOM</t>
  </si>
  <si>
    <t>ACM-US</t>
  </si>
  <si>
    <t>Stantec</t>
  </si>
  <si>
    <t>STN-CA</t>
  </si>
  <si>
    <t>Net Debt</t>
  </si>
  <si>
    <t>($m)</t>
  </si>
  <si>
    <t>($)</t>
  </si>
  <si>
    <t>[$m]</t>
  </si>
  <si>
    <t>5 - Automotive R&amp;D</t>
  </si>
  <si>
    <t>General:</t>
  </si>
  <si>
    <t>Create a summary showing the total value of the company based on the calculations for the five company parts.</t>
  </si>
  <si>
    <t>Answer the questions with the result from your summary and your created sub-models.</t>
  </si>
  <si>
    <t>Auto Parts Sales:</t>
  </si>
  <si>
    <t>You have been provided with data about comparables for the Auto Parts Sales part.</t>
  </si>
  <si>
    <t>AutoZone</t>
  </si>
  <si>
    <t>AZO-US</t>
  </si>
  <si>
    <t>02/14/2026</t>
  </si>
  <si>
    <t>O'Reilly Automotive</t>
  </si>
  <si>
    <t>ORLY-US</t>
  </si>
  <si>
    <t>Advance Auto Parts</t>
  </si>
  <si>
    <t>AAP-US</t>
  </si>
  <si>
    <t>Genuine Parts</t>
  </si>
  <si>
    <t>GPC-US</t>
  </si>
  <si>
    <t>CarParts.com</t>
  </si>
  <si>
    <t>PRTS-US</t>
  </si>
  <si>
    <t>04/04/2026</t>
  </si>
  <si>
    <t>KUO SAB B</t>
  </si>
  <si>
    <t>KUOB-MX</t>
  </si>
  <si>
    <t>BorgWarner</t>
  </si>
  <si>
    <t>BWA-US</t>
  </si>
  <si>
    <t>LKQ</t>
  </si>
  <si>
    <t>LKQ-US</t>
  </si>
  <si>
    <t>Halfords Group</t>
  </si>
  <si>
    <t>HFD-GB</t>
  </si>
  <si>
    <t>09/26/2025</t>
  </si>
  <si>
    <t>Bapcor</t>
  </si>
  <si>
    <t>BAP-AU</t>
  </si>
  <si>
    <t>Auto Parts Sales</t>
  </si>
  <si>
    <t>3 - Auto Parts Sales</t>
  </si>
  <si>
    <t>Ensure that the valuation is transitioned to the valuation date. Use an actual/360 day-count fraction for the transition.</t>
  </si>
  <si>
    <t>You are given 10 years of explicit Forecast data - after those ten years, calculate the terminal value using the Gordon Growth Model (perpetuity growth method) with the growth rate provided.</t>
  </si>
  <si>
    <t>- Automotive R&amp;D</t>
  </si>
  <si>
    <t>What is the WACC rate?</t>
  </si>
  <si>
    <t>What is the Equity value at Valuation date?</t>
  </si>
  <si>
    <t>What is the total company value?</t>
  </si>
  <si>
    <t>Part</t>
  </si>
  <si>
    <t>All Parts</t>
  </si>
  <si>
    <t>What is the amount for/of Accounts Payable in 3/2028?</t>
  </si>
  <si>
    <t>What is the amount for/of Accounts Payable in 5/2032?</t>
  </si>
  <si>
    <t>What is the amount for/of Accounts Payable in 7/2032?</t>
  </si>
  <si>
    <t>What is the amount for/of Accounts Receivable in 12/2031?</t>
  </si>
  <si>
    <t>What is the amount for/of Accounts Receivable in 3/2034?</t>
  </si>
  <si>
    <t>What is the amount for/of CAPEX - Machines in 2/2032?</t>
  </si>
  <si>
    <t>What is the amount for/of CAPEX - Machines in 8/2033?</t>
  </si>
  <si>
    <t>What is the amount for/of Cash and Cash Equivalents in 1/2027?</t>
  </si>
  <si>
    <t>What is the amount for/of Cash and Cash Equivalents in 12/2034?</t>
  </si>
  <si>
    <t>What is the amount for/of Cash and Cash Equivalents in 2/2031?</t>
  </si>
  <si>
    <t>What is the amount for/of Cash and Cash Equivalents in 5/2031?</t>
  </si>
  <si>
    <t>What is the amount for/of Changes in Net Working Capital in 4/2027?</t>
  </si>
  <si>
    <t>What is the amount for/of Changes in Net Working Capital in 5/2028?</t>
  </si>
  <si>
    <t>What is the amount for/of Changes in Net Working Capital in 7/2035?</t>
  </si>
  <si>
    <t>What is the amount for/of Changes in Net Working Capital in 9/2027?</t>
  </si>
  <si>
    <t>What is the amount for/of Changes in Net Working Capital in 9/2035?</t>
  </si>
  <si>
    <t>What is the amount for/of Current portion of long-term debt in 10/2031?</t>
  </si>
  <si>
    <t>What is the amount for/of Depreciation (general) in 4/2031?</t>
  </si>
  <si>
    <t>What is the amount for/of Depreciation (production related) in 5/2030?</t>
  </si>
  <si>
    <t>What is the amount for/of Depreciation (total) in 8/2026?</t>
  </si>
  <si>
    <t>What is the amount for/of Energy in 11/2029?</t>
  </si>
  <si>
    <t>What is the amount for/of Energy in 9/2031?</t>
  </si>
  <si>
    <t>What is the amount for/of Equity Capital in 10/2028?</t>
  </si>
  <si>
    <t>What is the amount for/of Equity Capital in 12/2033?</t>
  </si>
  <si>
    <t>What is the amount for/of Equity Capital in 3/2029?</t>
  </si>
  <si>
    <t>What is the amount for/of Interest (Loan) in 10/2035?</t>
  </si>
  <si>
    <t>What is the amount for/of Interest (Loan) in 11/2028?</t>
  </si>
  <si>
    <t>What is the amount for/of Interest (Loan) in 7/2035?</t>
  </si>
  <si>
    <t>What is the amount for/of Interest (negative cash balance) in 2/2031?</t>
  </si>
  <si>
    <t>What is the amount for/of Interest (negative cash balance) in 6/2027?</t>
  </si>
  <si>
    <t>What is the amount for/of Inventory - Raw materials in 5/2032?</t>
  </si>
  <si>
    <t>What is the amount for/of Long-term debt in 10/2033?</t>
  </si>
  <si>
    <t>What is the amount for/of Long-term debt in 2/2031?</t>
  </si>
  <si>
    <t>What is the amount for/of Net Cashflow in 12/2032?</t>
  </si>
  <si>
    <t>What is the amount for/of Net Income in 1/2032?</t>
  </si>
  <si>
    <t>What is the amount for/of Net Income in 10/2034?</t>
  </si>
  <si>
    <t>What is the amount for/of Net Income in 6/2026?</t>
  </si>
  <si>
    <t>What is the amount for/of Net Income in 8/2027?</t>
  </si>
  <si>
    <t>What is the amount for/of Net Income in 9/2032?</t>
  </si>
  <si>
    <t>What is the amount for/of Opening Cash in 10/2027?</t>
  </si>
  <si>
    <t>What is the amount for/of Opening Cash in 11/2029?</t>
  </si>
  <si>
    <t>What is the amount for/of Opening Cash in 11/2032?</t>
  </si>
  <si>
    <t>What is the amount for/of Other production costs in 1/2029?</t>
  </si>
  <si>
    <t>What is the amount for/of PP&amp;E - Machines in 2/2032?</t>
  </si>
  <si>
    <t>What is the amount for/of PP&amp;E - Machines in 3/2027?</t>
  </si>
  <si>
    <t>What is the amount for/of PP&amp;E - Machines in 5/2032?</t>
  </si>
  <si>
    <t>What is the amount for/of PP&amp;E - Other in 11/2032?</t>
  </si>
  <si>
    <t>What is the amount for/of PP&amp;E - Other in 3/2028?</t>
  </si>
  <si>
    <t>What is the amount for/of PP&amp;E - Other in 9/2030?</t>
  </si>
  <si>
    <t>What is the amount for/of Production wages in 11/2029?</t>
  </si>
  <si>
    <t>What is the amount for/of Production wages in 2/2033?</t>
  </si>
  <si>
    <t>What is the amount for/of Profit Distribution Payable in 6/2035?</t>
  </si>
  <si>
    <t>What is the amount for/of Profit distributions payout (prior year) in 1/2028?</t>
  </si>
  <si>
    <t>What is the amount for/of Profit distributions payout (prior year) in 2/2033?</t>
  </si>
  <si>
    <t>What is the amount for/of Profit distributions payout (prior year) in 7/2029?</t>
  </si>
  <si>
    <t>What is the amount for/of Profit distributions payout (prior year) in 7/2035?</t>
  </si>
  <si>
    <t>What is the amount for/of Raw material in 3/2034?</t>
  </si>
  <si>
    <t>What is the amount for/of Raw material in 5/2031?</t>
  </si>
  <si>
    <t>What is the amount for/of Repayment Loans in 2/2027?</t>
  </si>
  <si>
    <t>What is the amount for/of Repayment Loans in 9/2026?</t>
  </si>
  <si>
    <t>What is the amount for/of Retained Earnings in 1/2031?</t>
  </si>
  <si>
    <t>What is the amount for/of Sales Revenue in 4/2031?</t>
  </si>
  <si>
    <t>What is the amount for/of Sales Revenue in 8/2029?</t>
  </si>
  <si>
    <t>What is the amount for/of Scrap Metal Revenue in 1/2034?</t>
  </si>
  <si>
    <t>What is the amount for/of SG&amp;A in 11/2033?</t>
  </si>
  <si>
    <t>What is the amount for/of SG&amp;A in 4/2034?</t>
  </si>
  <si>
    <t>What is the amount for/of SG&amp;A in 6/2026?</t>
  </si>
  <si>
    <t>What is the amount for/of Surface finishing costs in 12/2033?</t>
  </si>
  <si>
    <t>What is the amount for/of Surface finishing costs in 5/2035?</t>
  </si>
  <si>
    <t>What is the amount for/of Surface finishing costs in 7/2026?</t>
  </si>
  <si>
    <t>What is the amount for/of Tax Payable in 11/2029?</t>
  </si>
  <si>
    <t>What is the amount for/of Tax Payable in 3/2031?</t>
  </si>
  <si>
    <t>What is the amount for/of Tax Payable in 9/2035?</t>
  </si>
  <si>
    <t>What is the amount for/of Taxes in 12/2032?</t>
  </si>
  <si>
    <t>What is the amount for/of Taxes in 2/2027?</t>
  </si>
  <si>
    <t>What is the Discounted FCFF (to Valuation basis date) for 1/2031</t>
  </si>
  <si>
    <t>What is the Discounted FCFF (to Valuation basis date) for 1/2035</t>
  </si>
  <si>
    <t>What is the Discounted FCFF (to Valuation basis date) for 11/2034</t>
  </si>
  <si>
    <t>What is the Discounted FCFF (to Valuation basis date) for 12/2031</t>
  </si>
  <si>
    <t>What is the Discounted FCFF (to Valuation basis date) for 2/2033</t>
  </si>
  <si>
    <t>What is the Discounted FCFF (to Valuation basis date) for 3/2028</t>
  </si>
  <si>
    <t>What is the Discounted FCFF (to Valuation basis date) for 4/2027</t>
  </si>
  <si>
    <t>What is the Discounted FCFF (to Valuation basis date) for 5/2027</t>
  </si>
  <si>
    <t>What is the Discounted FCFF (to Valuation basis date) for 5/2029</t>
  </si>
  <si>
    <t>What is the Discounted FCFF (to Valuation basis date) for 6/2026</t>
  </si>
  <si>
    <t>What is the amount for/of Accounts Payable in 2/2028?</t>
  </si>
  <si>
    <t>What is the amount for/of Accumulated Depreciation in 3/2035?</t>
  </si>
  <si>
    <t>What is the amount for/of Additional Paid-In Capital in 7/2032?</t>
  </si>
  <si>
    <t>What is the amount for/of Cash &amp; Cash Equivalents in 11/2031?</t>
  </si>
  <si>
    <t>What is the amount for/of Cash &amp; Cash Equivalents in 2/2030?</t>
  </si>
  <si>
    <t>What is the amount for/of Cash &amp; Cash Equivalents in 7/2032?</t>
  </si>
  <si>
    <t>What is the amount for/of Change in Other Non-Current Assets in 8/2028?</t>
  </si>
  <si>
    <t>What is the amount for/of Changes in Net Working Capital in 7/2029?</t>
  </si>
  <si>
    <t>What is the amount for/of Cost of Goods Sold in 11/2029?</t>
  </si>
  <si>
    <t>What is the amount for/of Cost of Goods Sold in 9/2028?</t>
  </si>
  <si>
    <t>What is the amount for/of Deferred Revenue in 7/2034?</t>
  </si>
  <si>
    <t>What is the amount for/of Depreciation &amp; Amortization in 11/2026?</t>
  </si>
  <si>
    <t>What is the amount for/of Depreciation in 5/2030?</t>
  </si>
  <si>
    <t>What is the amount for/of Intangible Assets growth in 12/2035?</t>
  </si>
  <si>
    <t>What is the amount for/of Intangible Assets growth in 6/2028?</t>
  </si>
  <si>
    <t>What is the amount for/of Intangible Assets in 4/2033?</t>
  </si>
  <si>
    <t>What is the amount for/of Inventory in 2/2027?</t>
  </si>
  <si>
    <t>What is the amount for/of IT &amp; Infrastructure in 5/2035?</t>
  </si>
  <si>
    <t>What is the amount for/of Lease Liabilities in 12/2032?</t>
  </si>
  <si>
    <t>What is the amount for/of Lease Liabilities in 3/2033?</t>
  </si>
  <si>
    <t>What is the amount for/of Legal &amp; Compliance in 4/2030?</t>
  </si>
  <si>
    <t>What is the amount for/of Logistics &amp; Distribution in 3/2028?</t>
  </si>
  <si>
    <t>What is the amount for/of Long-Term Debt in 12/2032?</t>
  </si>
  <si>
    <t>What is the amount for/of Long-Term Investments in 2/2030?</t>
  </si>
  <si>
    <t>What is the amount for/of Net Income in 2/2031?</t>
  </si>
  <si>
    <t>What is the amount for/of Net Income in 3/2026?</t>
  </si>
  <si>
    <t>What is the amount for/of Opening Cash in 9/2028?</t>
  </si>
  <si>
    <t>What is the amount for/of Other Liability/Obligation Increases in 4/2032?</t>
  </si>
  <si>
    <t>What is the amount for/of Other Long-Term Liabilities in 8/2032?</t>
  </si>
  <si>
    <t>What is the amount for/of Other Non-Current Assets in 1/2032?</t>
  </si>
  <si>
    <t>What is the amount for/of Other Non-Current Assets in 8/2029?</t>
  </si>
  <si>
    <t>What is the amount for/of Prepaid Expenses in 1/2029?</t>
  </si>
  <si>
    <t>What is the amount for/of Prepaid Expenses in 7/2027?</t>
  </si>
  <si>
    <t>What is the amount for/of Research &amp; Development in 5/2029?</t>
  </si>
  <si>
    <t>What is the amount for/of Revenue in 4/2026?</t>
  </si>
  <si>
    <t>What is the amount for/of Sales &amp; Marketing in 10/2026?</t>
  </si>
  <si>
    <t>What is the amount for/of Sales &amp; Marketing in 11/2034?</t>
  </si>
  <si>
    <t>What is the amount for/of Share Capital in 1/2035?</t>
  </si>
  <si>
    <t>What is the amount for/of Share Capital in 4/2028?</t>
  </si>
  <si>
    <t>What is the amount for/of Share Capital in 6/2027?</t>
  </si>
  <si>
    <t>What is the amount for/of Share Capital in 7/2035?</t>
  </si>
  <si>
    <t>What is the amount for/of Short-Term &amp; Long-Term Debt Change in 1/2030?</t>
  </si>
  <si>
    <t>What is the amount for/of Short-Term &amp; Long-Term Investments in 6/2027?</t>
  </si>
  <si>
    <t>What is the amount for/of Short-Term Debt in 2/2026?</t>
  </si>
  <si>
    <t>What is the amount for/of Short-Term Debt in 8/2027?</t>
  </si>
  <si>
    <t>What is the amount for/of Short-Term Debt in 9/2029?</t>
  </si>
  <si>
    <t>What is the amount for/of Short-Term Investments in 6/2033?</t>
  </si>
  <si>
    <t>What is the amount for/of Taxes in 12/2034?</t>
  </si>
  <si>
    <t>What is the amount for/of Taxes in 3/2029?</t>
  </si>
  <si>
    <t>What is the amount for/of Taxes in 4/2029?</t>
  </si>
  <si>
    <t>What is the Implied Equity Value using the Average of EV/Sales?</t>
  </si>
  <si>
    <t>What is the Implied Equity Value using the Average of EV/EBITDA?</t>
  </si>
  <si>
    <t>What is the Discounted FCFF (to Valuation basis date) for 1/2031?</t>
  </si>
  <si>
    <t>What is the Discounted FCFF (to Valuation basis date) for 1/2035?</t>
  </si>
  <si>
    <t>What is the Discounted FCFF (to Valuation basis date) for 11/2034?</t>
  </si>
  <si>
    <t>What is the Discounted FCFF (to Valuation basis date) for 12/2031?</t>
  </si>
  <si>
    <t>What is the Discounted FCFF (to Valuation basis date) for 2/2033?</t>
  </si>
  <si>
    <t>What is the Discounted FCFF (to Valuation basis date) for 3/2028?</t>
  </si>
  <si>
    <t>What is the Discounted FCFF (to Valuation basis date) for 4/2027?</t>
  </si>
  <si>
    <t>What is the Discounted FCFF (to Valuation basis date) for 5/2027?</t>
  </si>
  <si>
    <t>What is the Discounted FCFF (to Valuation basis date) for 5/2029?</t>
  </si>
  <si>
    <t>What is the Discounted FCFF (to Valuation basis date) for 6/2026?</t>
  </si>
  <si>
    <t>What is the Discounted FCFF (to Valuation basis date) for the year 2026?</t>
  </si>
  <si>
    <t>What is the Discounted FCFF (to Valuation basis date) for the year 2027?</t>
  </si>
  <si>
    <t>What is the Discounted FCFF (to Valuation basis date) for the year 2028?</t>
  </si>
  <si>
    <t>What is the Discounted FCFF (to Valuation basis date) for the year 2029?</t>
  </si>
  <si>
    <t>What is the Discounted FCFF (to Valuation basis date) for the year 2030?</t>
  </si>
  <si>
    <t>What is the Discounted FCFF (to Valuation basis date) for the year 2031?</t>
  </si>
  <si>
    <t>What is the Discounted FCFF (to Valuation basis date) for the year 2032?</t>
  </si>
  <si>
    <t>What is the Discounted FCFF (to Valuation basis date) for the year 2033?</t>
  </si>
  <si>
    <t>What is the Discounted FCFF (to Valuation basis date) for the year 2034?</t>
  </si>
  <si>
    <t>What is the Discounted FCFF (to Valuation basis date) for the year 2035?</t>
  </si>
  <si>
    <t>Starting from the 2025 base data (equally distributed over 12 months), compound each P&amp;L line item monthly using its category's Effective Annual Growth (EAG) rate, where each month's compounding exponent equals that month's workdays divided by the year's total workdays (assume no holidays, weekends = Saturday &amp; Sunday).</t>
  </si>
  <si>
    <t>Starting from the 2025 base data, compound each BS line item (except Cash and Equity items) item monthly using its category's Effective Annual Growth (EAG) rate, where each month's compounding exponent equals that month's workdays divided by the year's total workdays (assume no holidays, weekends = Saturday &amp; Sunday).</t>
  </si>
  <si>
    <t>Value (EqV) the part of the company based on the 75th Percentile, Average, Median and 25th Percentile of all selected measures separately.</t>
  </si>
  <si>
    <t>Assume no changes regarding the balance sheet data provided between the Valuation basis date and the Valuation date. Determine the value attributable to equity holders using the 2025 year-end balance sheet values for debt and cash and cash equivalents.</t>
  </si>
  <si>
    <t>After the ten years of the explicit forecast, calculate the terminal value using the Gordon Growth Model (perpetuity growth method) with the growth rate provided, applied at the end of the last explicit forecast period.</t>
  </si>
  <si>
    <t>The final equity value is the simple average of all 8 implied equity values (4 statistical measures × 2 valuation metrics).</t>
  </si>
  <si>
    <t>For Equity, assume no new equity issuance/changes. The Profit Distribution Quota (see Assumptions) defines the share of positive monthly Net Income distributed. If monthly Net Income is negative, no distribution is made, and the full loss is absorbed by Retained Earnings.</t>
  </si>
  <si>
    <t>For monthly models, all rates marked '(p.a., linear)' are converted to monthly by dividing by 12. For annual models, these rates are used at their stated annual value.</t>
  </si>
  <si>
    <t>Profit distributions are paid out in the month they arise (no deferral).</t>
  </si>
  <si>
    <t>Depreciation &amp; Amortization on the P&amp;L is calculated as the period-over-period change in Accumulated Depreciation on the Balance Sheet (i.e. the absolute value of the period-over-period change). Do not apply a separate EAG rate to D&amp;A on the P&amp;L; derive it entirely from the BS movement (i.e. Accumulated Depreciation PP&amp;E).</t>
  </si>
  <si>
    <t>Use mid-year convention. Discount each year's FCFF at period minus 0.5 (i.e., year 1 at 0.5, year 2 at 1.5, …, year 10 at 9.5). Apply the same convention to the terminal value — discount it at the same mid-year exponent as the last explicit forecast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</si>
</sst>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000%"/>
    <numFmt numFmtId="167" formatCode="#,##0.0"/>
  </numFmts>
  <fonts count="16">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Roboto"/>
    </font>
    <font>
      <sz val="11"/>
      <name val="Roboto"/>
    </font>
    <font>
      <sz val="12"/>
      <color theme="1"/>
      <name val="Aptos Narrow"/>
      <family val="2"/>
      <scheme val="minor"/>
    </font>
    <font>
      <b/>
      <sz val="48"/>
      <color theme="0"/>
      <name val="ROBOTECH GP"/>
      <family val="2"/>
    </font>
    <font>
      <b/>
      <sz val="24"/>
      <color theme="0"/>
      <name val="ROBOTECH GP"/>
      <family val="2"/>
    </font>
    <font>
      <b/>
      <sz val="12"/>
      <color theme="1"/>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ptos Narrow"/>
      <family val="2"/>
      <scheme val="minor"/>
    </font>
    <font>
      <sz val="11"/>
      <color theme="1"/>
      <name val="Calibri"/>
      <family val="2"/>
      <charset val="1"/>
    </font>
    <font>
      <sz val="12"/>
      <color rgb="FF0000FF"/>
      <name val="Aptos Narrow"/>
      <family val="2"/>
      <scheme val="minor"/>
    </font>
    <font>
      <b/>
      <sz val="11"/>
      <color theme="1"/>
      <name val="Roboto"/>
    </font>
  </fonts>
  <fills count="9">
    <fill>
      <patternFill patternType="none"/>
    </fill>
    <fill>
      <patternFill patternType="gray125"/>
    </fill>
    <fill>
      <gradientFill>
        <stop position="0">
          <color rgb="FF007B00"/>
        </stop>
        <stop position="1">
          <color rgb="FF020024"/>
        </stop>
      </gradientFill>
    </fill>
    <fill>
      <patternFill patternType="solid">
        <fgColor theme="7" tint="0.79998168889431442"/>
        <bgColor indexed="64"/>
      </patternFill>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C8C8C8"/>
        <bgColor indexed="64"/>
      </patternFill>
    </fill>
    <fill>
      <patternFill patternType="solid">
        <fgColor rgb="FFF0F0F0"/>
        <bgColor indexed="64"/>
      </patternFill>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6">
    <xf numFmtId="0" fontId="0" fillId="0" borderId="0"/>
    <xf numFmtId="0" fontId="1" fillId="0" borderId="0"/>
    <xf numFmtId="0" fontId="5" fillId="0" borderId="0"/>
    <xf numFmtId="9" fontId="1" fillId="0" borderId="0" applyFont="0" applyFill="0" applyBorder="0" applyAlignment="0" applyProtection="0"/>
    <xf numFmtId="4" fontId="10" fillId="5" borderId="2">
      <alignment horizontal="left"/>
    </xf>
    <xf numFmtId="0" fontId="13" fillId="0" borderId="0"/>
  </cellStyleXfs>
  <cellXfs count="67">
    <xf numFmtId="0" fontId="0" fillId="0" borderId="0" xfId="0"/>
    <xf numFmtId="0" fontId="3" fillId="0" borderId="0" xfId="1" applyFont="1"/>
    <xf numFmtId="0" fontId="4" fillId="0" borderId="0" xfId="1" applyFont="1"/>
    <xf numFmtId="0" fontId="3" fillId="0" borderId="0" xfId="1" applyFont="1" applyAlignment="1">
      <alignment horizontal="left"/>
    </xf>
    <xf numFmtId="0" fontId="3" fillId="0" borderId="0" xfId="1" applyFont="1" applyAlignment="1">
      <alignment horizontal="center"/>
    </xf>
    <xf numFmtId="0" fontId="4" fillId="0" borderId="0" xfId="1" applyFont="1" applyAlignment="1">
      <alignment horizontal="center"/>
    </xf>
    <xf numFmtId="0" fontId="2" fillId="0" borderId="0" xfId="0" applyFont="1"/>
    <xf numFmtId="0" fontId="8" fillId="0" borderId="0" xfId="2" applyFont="1"/>
    <xf numFmtId="0" fontId="5" fillId="0" borderId="0" xfId="2"/>
    <xf numFmtId="4" fontId="3" fillId="3" borderId="5" xfId="1" applyNumberFormat="1" applyFont="1" applyFill="1" applyBorder="1" applyAlignment="1">
      <alignment horizontal="center"/>
    </xf>
    <xf numFmtId="0" fontId="9" fillId="0" borderId="0" xfId="0" applyFont="1"/>
    <xf numFmtId="4" fontId="11" fillId="6" borderId="2" xfId="4" applyFont="1" applyFill="1">
      <alignment horizontal="left"/>
    </xf>
    <xf numFmtId="4" fontId="2" fillId="6" borderId="2" xfId="4" applyFont="1" applyFill="1">
      <alignment horizontal="left"/>
    </xf>
    <xf numFmtId="0" fontId="12" fillId="6" borderId="0" xfId="0" applyFont="1" applyFill="1"/>
    <xf numFmtId="10" fontId="9" fillId="4" borderId="5" xfId="3" applyNumberFormat="1" applyFont="1" applyFill="1" applyBorder="1"/>
    <xf numFmtId="3" fontId="9" fillId="4" borderId="5" xfId="3" applyNumberFormat="1" applyFont="1" applyFill="1" applyBorder="1"/>
    <xf numFmtId="0" fontId="14" fillId="0" borderId="0" xfId="0" applyFont="1"/>
    <xf numFmtId="14" fontId="9" fillId="4" borderId="5" xfId="3" applyNumberFormat="1" applyFont="1" applyFill="1" applyBorder="1"/>
    <xf numFmtId="4" fontId="9" fillId="4" borderId="5" xfId="3" applyNumberFormat="1" applyFont="1" applyFill="1" applyBorder="1"/>
    <xf numFmtId="0" fontId="3" fillId="0" borderId="0" xfId="1" quotePrefix="1" applyFont="1"/>
    <xf numFmtId="0" fontId="0" fillId="0" borderId="6" xfId="0" applyBorder="1"/>
    <xf numFmtId="0" fontId="0" fillId="0" borderId="7" xfId="0" applyBorder="1"/>
    <xf numFmtId="0" fontId="0" fillId="0" borderId="8" xfId="0" applyBorder="1"/>
    <xf numFmtId="0" fontId="0" fillId="0" borderId="9" xfId="0" applyBorder="1"/>
    <xf numFmtId="0" fontId="0" fillId="0" borderId="11" xfId="0" applyBorder="1"/>
    <xf numFmtId="4" fontId="0" fillId="0" borderId="9" xfId="0" applyNumberFormat="1" applyBorder="1"/>
    <xf numFmtId="4" fontId="0" fillId="0" borderId="11" xfId="0" applyNumberFormat="1" applyBorder="1"/>
    <xf numFmtId="4" fontId="0" fillId="0" borderId="0" xfId="0" applyNumberFormat="1"/>
    <xf numFmtId="3" fontId="0" fillId="0" borderId="0" xfId="0" applyNumberFormat="1"/>
    <xf numFmtId="4" fontId="0" fillId="0" borderId="14" xfId="0" applyNumberFormat="1" applyBorder="1"/>
    <xf numFmtId="4" fontId="9" fillId="4" borderId="10" xfId="3" applyNumberFormat="1" applyFont="1" applyFill="1" applyBorder="1"/>
    <xf numFmtId="4" fontId="9" fillId="4" borderId="12" xfId="3" applyNumberFormat="1" applyFont="1" applyFill="1" applyBorder="1"/>
    <xf numFmtId="4" fontId="9" fillId="4" borderId="13" xfId="3" applyNumberFormat="1" applyFont="1" applyFill="1" applyBorder="1"/>
    <xf numFmtId="3" fontId="9" fillId="4" borderId="10" xfId="3" applyNumberFormat="1" applyFont="1" applyFill="1" applyBorder="1"/>
    <xf numFmtId="3" fontId="9" fillId="4" borderId="12" xfId="3" applyNumberFormat="1" applyFont="1" applyFill="1" applyBorder="1"/>
    <xf numFmtId="3" fontId="9" fillId="4" borderId="13" xfId="3" applyNumberFormat="1" applyFont="1" applyFill="1" applyBorder="1"/>
    <xf numFmtId="0" fontId="0" fillId="0" borderId="0" xfId="0" quotePrefix="1"/>
    <xf numFmtId="4" fontId="0" fillId="0" borderId="8" xfId="0" applyNumberFormat="1" applyBorder="1"/>
    <xf numFmtId="10" fontId="3" fillId="3" borderId="5" xfId="1" applyNumberFormat="1" applyFont="1" applyFill="1" applyBorder="1" applyAlignment="1">
      <alignment horizontal="center"/>
    </xf>
    <xf numFmtId="0" fontId="15" fillId="0" borderId="0" xfId="1" applyFont="1"/>
    <xf numFmtId="0" fontId="0" fillId="0" borderId="15" xfId="0" applyBorder="1"/>
    <xf numFmtId="0" fontId="0" fillId="0" borderId="16" xfId="0" applyBorder="1"/>
    <xf numFmtId="0" fontId="0" fillId="0" borderId="5" xfId="0" applyBorder="1"/>
    <xf numFmtId="0" fontId="15" fillId="0" borderId="0" xfId="1" applyFont="1" applyAlignment="1">
      <alignment horizontal="left"/>
    </xf>
    <xf numFmtId="3" fontId="9" fillId="4" borderId="5" xfId="0" applyNumberFormat="1" applyFont="1" applyFill="1" applyBorder="1"/>
    <xf numFmtId="10" fontId="9" fillId="4" borderId="5" xfId="3" applyNumberFormat="1" applyFont="1" applyFill="1" applyBorder="1" applyAlignment="1">
      <alignment horizontal="right"/>
    </xf>
    <xf numFmtId="4" fontId="9" fillId="4" borderId="5" xfId="0" applyNumberFormat="1" applyFont="1" applyFill="1" applyBorder="1" applyAlignment="1">
      <alignment horizontal="right"/>
    </xf>
    <xf numFmtId="4" fontId="9" fillId="4" borderId="5" xfId="0" applyNumberFormat="1" applyFont="1" applyFill="1" applyBorder="1" applyAlignment="1">
      <alignment horizontal="left"/>
    </xf>
    <xf numFmtId="10" fontId="9" fillId="4" borderId="5" xfId="3" applyNumberFormat="1" applyFont="1" applyFill="1" applyBorder="1" applyAlignment="1">
      <alignment horizontal="left"/>
    </xf>
    <xf numFmtId="10" fontId="0" fillId="0" borderId="0" xfId="0" applyNumberFormat="1"/>
    <xf numFmtId="166" fontId="0" fillId="0" borderId="0" xfId="3" applyNumberFormat="1" applyFont="1"/>
    <xf numFmtId="0" fontId="10" fillId="7" borderId="0" xfId="0" applyFont="1" applyFill="1" applyAlignment="1">
      <alignment horizontal="left"/>
    </xf>
    <xf numFmtId="0" fontId="0" fillId="8" borderId="0" xfId="0" applyFill="1" applyAlignment="1">
      <alignment horizontal="left"/>
    </xf>
    <xf numFmtId="4" fontId="0" fillId="8" borderId="0" xfId="0" applyNumberFormat="1" applyFill="1" applyAlignment="1">
      <alignment horizontal="right"/>
    </xf>
    <xf numFmtId="167" fontId="0" fillId="8" borderId="0" xfId="0" applyNumberFormat="1" applyFill="1" applyAlignment="1">
      <alignment horizontal="right"/>
    </xf>
    <xf numFmtId="0" fontId="0" fillId="0" borderId="0" xfId="0" applyAlignment="1">
      <alignment horizontal="left"/>
    </xf>
    <xf numFmtId="4" fontId="0" fillId="0" borderId="0" xfId="0" applyNumberFormat="1" applyAlignment="1">
      <alignment horizontal="right"/>
    </xf>
    <xf numFmtId="167" fontId="0" fillId="0" borderId="0" xfId="0" applyNumberFormat="1" applyAlignment="1">
      <alignment horizontal="right"/>
    </xf>
    <xf numFmtId="0" fontId="0" fillId="6" borderId="0" xfId="0" applyFill="1" applyAlignment="1">
      <alignment horizontal="left"/>
    </xf>
    <xf numFmtId="4" fontId="0" fillId="6" borderId="0" xfId="0" applyNumberFormat="1" applyFill="1" applyAlignment="1">
      <alignment horizontal="right"/>
    </xf>
    <xf numFmtId="167" fontId="0" fillId="6" borderId="0" xfId="0" applyNumberFormat="1" applyFill="1" applyAlignment="1">
      <alignment horizontal="right"/>
    </xf>
    <xf numFmtId="10" fontId="3" fillId="3" borderId="5" xfId="3" applyNumberFormat="1" applyFont="1" applyFill="1" applyBorder="1" applyAlignment="1">
      <alignment horizontal="center"/>
    </xf>
    <xf numFmtId="0" fontId="6" fillId="2" borderId="1" xfId="2" applyFont="1" applyFill="1" applyBorder="1" applyAlignment="1">
      <alignment horizontal="center" vertical="center"/>
    </xf>
    <xf numFmtId="0" fontId="6" fillId="2" borderId="2" xfId="2" applyFont="1" applyFill="1" applyBorder="1" applyAlignment="1">
      <alignment horizontal="center" vertical="center"/>
    </xf>
    <xf numFmtId="0" fontId="6" fillId="2" borderId="3" xfId="2" applyFont="1" applyFill="1" applyBorder="1" applyAlignment="1">
      <alignment horizontal="center" vertical="center"/>
    </xf>
    <xf numFmtId="0" fontId="7" fillId="2" borderId="4" xfId="2" applyFont="1" applyFill="1" applyBorder="1" applyAlignment="1">
      <alignment horizontal="center" vertical="center"/>
    </xf>
    <xf numFmtId="0" fontId="7" fillId="2" borderId="0" xfId="2" applyFont="1" applyFill="1" applyAlignment="1">
      <alignment horizontal="center" vertical="center"/>
    </xf>
  </cellXfs>
  <cellStyles count="6">
    <cellStyle name="M Section Header" xfId="4" xr:uid="{F944F0E6-F034-49F8-8B3F-D0C9E50BA2F6}"/>
    <cellStyle name="Normal" xfId="0" builtinId="0"/>
    <cellStyle name="Normal 2" xfId="2" xr:uid="{037B3D13-DA10-4240-9E6B-55FD128391C9}"/>
    <cellStyle name="Normal 3" xfId="1" xr:uid="{1C87C372-71EA-4FEE-904D-475CC6E05479}"/>
    <cellStyle name="Normal 4" xfId="5" xr:uid="{273FDE25-047F-448D-BEF1-698059824ACE}"/>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76C-3579-4288-92CF-6D92740E33DD}">
  <sheetPr>
    <tabColor theme="8" tint="-0.249977111117893"/>
  </sheetPr>
  <dimension ref="A1:K159"/>
  <sheetViews>
    <sheetView showGridLines="0" tabSelected="1" zoomScale="80" zoomScaleNormal="80" zoomScaleSheetLayoutView="100" workbookViewId="0"/>
  </sheetViews>
  <sheetFormatPr defaultColWidth="5.21875" defaultRowHeight="14.4"/>
  <cols>
    <col min="1" max="1" width="1.88671875" style="1" customWidth="1"/>
    <col min="2" max="2" width="32.109375" style="4" customWidth="1"/>
    <col min="3" max="3" width="17.109375" style="4" bestFit="1" customWidth="1"/>
    <col min="4" max="4" width="20.88671875" style="4" bestFit="1" customWidth="1"/>
    <col min="5" max="5" width="24.109375" style="4" customWidth="1"/>
    <col min="6" max="6" width="21.5546875" style="4" customWidth="1"/>
    <col min="7" max="7" width="26.33203125" style="4" bestFit="1" customWidth="1"/>
    <col min="8" max="8" width="40.109375" style="4" customWidth="1"/>
    <col min="9" max="9" width="23.5546875" style="5" customWidth="1"/>
    <col min="10" max="10" width="23.5546875" style="2" customWidth="1"/>
    <col min="11" max="11" width="27.77734375" style="2" customWidth="1"/>
    <col min="12" max="12" width="20.5546875" style="2" customWidth="1"/>
    <col min="13" max="376" width="11.109375" style="2" bestFit="1" customWidth="1"/>
    <col min="377" max="377" width="5.21875" style="2"/>
    <col min="378" max="383" width="9.6640625" style="2" customWidth="1"/>
    <col min="384" max="384" width="5.21875" style="2"/>
    <col min="385" max="393" width="9.6640625" style="2" customWidth="1"/>
    <col min="394" max="16384" width="5.21875" style="2"/>
  </cols>
  <sheetData>
    <row r="1" spans="2:11" ht="15" customHeight="1">
      <c r="B1" s="1"/>
      <c r="C1" s="1"/>
      <c r="D1" s="1"/>
      <c r="E1" s="1"/>
      <c r="F1" s="1"/>
      <c r="G1" s="1"/>
      <c r="H1" s="1"/>
      <c r="I1" s="1"/>
      <c r="J1" s="1"/>
      <c r="K1" s="1"/>
    </row>
    <row r="2" spans="2:11" ht="60.75" customHeight="1">
      <c r="B2" s="62" t="s">
        <v>21</v>
      </c>
      <c r="C2" s="63"/>
      <c r="D2" s="63"/>
      <c r="E2" s="63"/>
      <c r="F2" s="63"/>
      <c r="G2" s="63"/>
      <c r="H2" s="63"/>
      <c r="I2" s="63"/>
      <c r="J2" s="63"/>
      <c r="K2" s="64"/>
    </row>
    <row r="3" spans="2:11" ht="15" customHeight="1">
      <c r="B3" s="1"/>
      <c r="C3" s="1"/>
      <c r="D3" s="1"/>
      <c r="E3" s="1"/>
      <c r="F3" s="1"/>
      <c r="G3" s="1"/>
      <c r="H3" s="1"/>
      <c r="I3" s="1"/>
      <c r="J3" s="1"/>
      <c r="K3" s="1"/>
    </row>
    <row r="4" spans="2:11" ht="33.75" customHeight="1">
      <c r="B4" s="65" t="s">
        <v>161</v>
      </c>
      <c r="C4" s="66"/>
      <c r="D4" s="66"/>
      <c r="E4" s="66"/>
      <c r="F4" s="66"/>
      <c r="G4" s="66"/>
      <c r="H4" s="66"/>
      <c r="I4" s="66"/>
      <c r="J4" s="1"/>
    </row>
    <row r="5" spans="2:11" ht="15" customHeight="1">
      <c r="B5" s="1"/>
      <c r="C5" s="1"/>
      <c r="D5" s="1"/>
      <c r="E5" s="1"/>
      <c r="F5" s="1"/>
      <c r="G5" s="1"/>
      <c r="H5" s="1"/>
      <c r="I5" s="1"/>
      <c r="J5" s="1"/>
      <c r="K5" s="1"/>
    </row>
    <row r="6" spans="2:11" ht="15" customHeight="1">
      <c r="B6" s="1" t="s">
        <v>162</v>
      </c>
      <c r="C6" s="1"/>
      <c r="D6" s="1"/>
      <c r="E6" s="1"/>
      <c r="F6" s="1"/>
      <c r="G6" s="1"/>
      <c r="H6" s="1"/>
      <c r="I6" s="1"/>
      <c r="J6" s="1"/>
      <c r="K6" s="1"/>
    </row>
    <row r="7" spans="2:11" ht="15" customHeight="1">
      <c r="B7" s="19" t="s">
        <v>164</v>
      </c>
      <c r="C7" s="1"/>
      <c r="D7" s="1"/>
      <c r="E7" s="1"/>
      <c r="F7" s="1"/>
      <c r="G7" s="1"/>
      <c r="H7" s="1"/>
      <c r="I7" s="1"/>
      <c r="J7" s="1"/>
      <c r="K7" s="1"/>
    </row>
    <row r="8" spans="2:11" ht="15" customHeight="1">
      <c r="B8" s="19" t="s">
        <v>165</v>
      </c>
      <c r="C8" s="1"/>
      <c r="D8" s="1"/>
      <c r="E8" s="1"/>
      <c r="F8" s="1"/>
      <c r="G8" s="1"/>
      <c r="H8" s="1"/>
      <c r="I8" s="1"/>
      <c r="J8" s="1"/>
      <c r="K8" s="1"/>
    </row>
    <row r="9" spans="2:11" ht="15" customHeight="1">
      <c r="B9" s="19" t="s">
        <v>166</v>
      </c>
      <c r="C9" s="1"/>
      <c r="D9" s="1"/>
      <c r="E9" s="1"/>
      <c r="F9" s="1"/>
      <c r="G9" s="1"/>
      <c r="H9" s="1"/>
      <c r="I9" s="1"/>
      <c r="J9" s="1"/>
      <c r="K9" s="1"/>
    </row>
    <row r="10" spans="2:11" ht="15" customHeight="1">
      <c r="B10" s="19" t="s">
        <v>167</v>
      </c>
      <c r="C10" s="1"/>
      <c r="D10" s="1"/>
      <c r="E10" s="1"/>
      <c r="F10" s="1"/>
      <c r="G10" s="1"/>
      <c r="H10" s="1"/>
      <c r="I10" s="1"/>
      <c r="J10" s="1"/>
      <c r="K10" s="1"/>
    </row>
    <row r="11" spans="2:11" ht="15" customHeight="1">
      <c r="B11" s="19" t="s">
        <v>377</v>
      </c>
      <c r="C11" s="1"/>
      <c r="D11" s="1"/>
      <c r="E11" s="1"/>
      <c r="F11" s="1"/>
      <c r="G11" s="1"/>
      <c r="H11" s="1"/>
      <c r="I11" s="1"/>
      <c r="J11" s="1"/>
      <c r="K11" s="1"/>
    </row>
    <row r="12" spans="2:11" ht="15" customHeight="1">
      <c r="B12" s="19"/>
      <c r="C12" s="1"/>
      <c r="D12" s="1"/>
      <c r="E12" s="1"/>
      <c r="F12" s="1"/>
      <c r="G12" s="1"/>
      <c r="H12" s="1"/>
      <c r="I12" s="1"/>
      <c r="J12" s="1"/>
      <c r="K12" s="1"/>
    </row>
    <row r="13" spans="2:11" ht="15" customHeight="1">
      <c r="B13" s="19" t="s">
        <v>199</v>
      </c>
      <c r="C13" s="1"/>
      <c r="D13" s="1"/>
      <c r="E13" s="1"/>
      <c r="F13" s="1"/>
      <c r="G13" s="1"/>
      <c r="H13" s="1"/>
      <c r="I13" s="1"/>
      <c r="J13" s="1"/>
      <c r="K13" s="1"/>
    </row>
    <row r="14" spans="2:11" ht="15" customHeight="1">
      <c r="B14" s="19" t="s">
        <v>200</v>
      </c>
      <c r="C14" s="1"/>
      <c r="D14" s="1"/>
      <c r="E14" s="1"/>
      <c r="F14" s="1"/>
      <c r="G14" s="1"/>
      <c r="H14" s="1"/>
      <c r="I14" s="1"/>
      <c r="J14" s="1"/>
      <c r="K14" s="1"/>
    </row>
    <row r="15" spans="2:11" ht="15" customHeight="1">
      <c r="B15" s="19" t="s">
        <v>202</v>
      </c>
      <c r="C15" s="1"/>
      <c r="D15" s="1"/>
      <c r="E15" s="1"/>
      <c r="F15" s="1"/>
      <c r="G15" s="1"/>
      <c r="H15" s="1"/>
      <c r="I15" s="1"/>
      <c r="J15" s="1"/>
      <c r="K15" s="1"/>
    </row>
    <row r="16" spans="2:11" ht="15" customHeight="1">
      <c r="B16" s="19" t="s">
        <v>201</v>
      </c>
      <c r="C16" s="1"/>
      <c r="D16" s="1"/>
      <c r="E16" s="1"/>
      <c r="F16" s="1"/>
      <c r="G16" s="1"/>
      <c r="H16" s="1"/>
      <c r="I16" s="1"/>
      <c r="J16" s="1"/>
      <c r="K16" s="1"/>
    </row>
    <row r="17" spans="2:11" ht="15" customHeight="1">
      <c r="B17" s="19" t="s">
        <v>269</v>
      </c>
      <c r="C17" s="1"/>
      <c r="D17" s="1"/>
      <c r="E17" s="1"/>
      <c r="F17" s="1"/>
      <c r="G17" s="1"/>
      <c r="H17" s="1"/>
      <c r="I17" s="1"/>
      <c r="J17" s="1"/>
      <c r="K17" s="1"/>
    </row>
    <row r="18" spans="2:11" ht="15" customHeight="1">
      <c r="B18" s="19" t="s">
        <v>203</v>
      </c>
      <c r="C18" s="1"/>
      <c r="D18" s="1"/>
      <c r="E18" s="1"/>
      <c r="F18" s="1"/>
      <c r="G18" s="1"/>
      <c r="H18" s="1"/>
      <c r="I18" s="1"/>
      <c r="J18" s="1"/>
      <c r="K18" s="1"/>
    </row>
    <row r="19" spans="2:11" ht="15" customHeight="1">
      <c r="B19" s="19"/>
      <c r="C19" s="1"/>
      <c r="D19" s="1"/>
      <c r="E19" s="1"/>
      <c r="F19" s="1"/>
      <c r="G19" s="1"/>
      <c r="H19" s="1"/>
      <c r="I19" s="1"/>
      <c r="J19" s="1"/>
      <c r="K19" s="1"/>
    </row>
    <row r="20" spans="2:11" ht="15" customHeight="1">
      <c r="B20" s="1" t="s">
        <v>547</v>
      </c>
      <c r="C20" s="1"/>
      <c r="D20" s="1"/>
      <c r="E20" s="1"/>
      <c r="F20" s="1"/>
      <c r="G20" s="1"/>
      <c r="H20" s="1"/>
      <c r="I20" s="1"/>
      <c r="J20" s="1"/>
      <c r="K20" s="1"/>
    </row>
    <row r="21" spans="2:11" ht="15" customHeight="1">
      <c r="B21" s="19"/>
      <c r="C21" s="1"/>
      <c r="D21" s="1"/>
      <c r="E21" s="1"/>
      <c r="F21" s="1"/>
      <c r="G21" s="1"/>
      <c r="H21" s="1"/>
      <c r="I21" s="1"/>
      <c r="J21" s="1"/>
      <c r="K21" s="1"/>
    </row>
    <row r="22" spans="2:11" ht="15" customHeight="1">
      <c r="B22" s="39" t="s">
        <v>168</v>
      </c>
      <c r="C22" s="1"/>
      <c r="D22" s="1"/>
      <c r="E22" s="1"/>
      <c r="F22" s="1"/>
      <c r="G22" s="1"/>
      <c r="H22" s="1"/>
      <c r="I22" s="1"/>
      <c r="J22" s="1"/>
      <c r="K22" s="1"/>
    </row>
    <row r="23" spans="2:11" ht="15" customHeight="1">
      <c r="B23" s="1" t="s">
        <v>48</v>
      </c>
      <c r="C23" s="1"/>
      <c r="D23" s="1"/>
      <c r="E23" s="1"/>
      <c r="F23" s="1"/>
      <c r="G23" s="1"/>
      <c r="H23" s="1"/>
      <c r="I23" s="1"/>
      <c r="J23" s="1"/>
      <c r="K23" s="1"/>
    </row>
    <row r="24" spans="2:11" ht="15" customHeight="1">
      <c r="B24" s="1" t="s">
        <v>163</v>
      </c>
      <c r="C24" s="1"/>
      <c r="D24" s="1"/>
      <c r="E24" s="1"/>
      <c r="F24" s="1"/>
      <c r="G24" s="1"/>
      <c r="H24" s="1"/>
      <c r="I24" s="1"/>
      <c r="J24" s="1"/>
      <c r="K24" s="1"/>
    </row>
    <row r="25" spans="2:11" ht="15" customHeight="1">
      <c r="B25" s="1" t="s">
        <v>160</v>
      </c>
      <c r="C25" s="1"/>
      <c r="D25" s="1"/>
      <c r="E25" s="1"/>
      <c r="F25" s="1"/>
      <c r="G25" s="1"/>
      <c r="H25" s="1"/>
      <c r="I25" s="1"/>
      <c r="J25" s="1"/>
      <c r="K25" s="1"/>
    </row>
    <row r="26" spans="2:11" ht="15" customHeight="1">
      <c r="B26" s="1"/>
      <c r="C26" s="1"/>
      <c r="D26" s="1"/>
      <c r="E26" s="1"/>
      <c r="F26" s="1"/>
      <c r="G26" s="1"/>
      <c r="H26" s="1"/>
      <c r="I26" s="1"/>
      <c r="J26" s="1"/>
      <c r="K26" s="1"/>
    </row>
    <row r="27" spans="2:11" ht="15" customHeight="1">
      <c r="B27" s="1" t="s">
        <v>169</v>
      </c>
      <c r="C27" s="1"/>
      <c r="D27" s="1"/>
      <c r="E27" s="1"/>
      <c r="F27" s="1"/>
      <c r="G27" s="1"/>
      <c r="H27" s="1"/>
      <c r="I27" s="1"/>
      <c r="J27" s="1"/>
      <c r="K27" s="1"/>
    </row>
    <row r="28" spans="2:11" ht="15" customHeight="1">
      <c r="B28" s="1" t="s">
        <v>49</v>
      </c>
      <c r="C28" s="1"/>
      <c r="D28" s="1"/>
      <c r="E28" s="1"/>
      <c r="F28" s="1"/>
      <c r="G28" s="1"/>
      <c r="H28" s="1"/>
      <c r="I28" s="1"/>
      <c r="J28" s="1"/>
      <c r="K28" s="1"/>
    </row>
    <row r="29" spans="2:11" ht="15" customHeight="1">
      <c r="B29" s="1" t="s">
        <v>153</v>
      </c>
      <c r="C29" s="1"/>
      <c r="D29" s="1"/>
      <c r="E29" s="1"/>
      <c r="F29" s="1"/>
      <c r="G29" s="1"/>
      <c r="H29" s="1"/>
      <c r="I29" s="1"/>
      <c r="J29" s="1"/>
      <c r="K29" s="1"/>
    </row>
    <row r="30" spans="2:11" ht="15" customHeight="1">
      <c r="B30" s="1" t="s">
        <v>175</v>
      </c>
      <c r="C30" s="1"/>
      <c r="D30" s="1"/>
      <c r="E30" s="1"/>
      <c r="F30" s="1"/>
      <c r="G30" s="1"/>
      <c r="H30" s="1"/>
      <c r="I30" s="1"/>
      <c r="J30" s="1"/>
      <c r="K30" s="1"/>
    </row>
    <row r="31" spans="2:11" ht="15" customHeight="1">
      <c r="B31" s="1"/>
      <c r="C31" s="1"/>
      <c r="D31" s="1"/>
      <c r="E31" s="1"/>
      <c r="F31" s="1"/>
      <c r="G31" s="1"/>
      <c r="H31" s="1"/>
      <c r="I31" s="1"/>
      <c r="J31" s="1"/>
      <c r="K31" s="1"/>
    </row>
    <row r="32" spans="2:11" ht="15" customHeight="1">
      <c r="B32" s="1" t="s">
        <v>198</v>
      </c>
      <c r="C32" s="1"/>
      <c r="D32" s="1"/>
      <c r="E32" s="1"/>
      <c r="F32" s="1"/>
      <c r="G32" s="1"/>
      <c r="H32" s="1"/>
      <c r="I32" s="1"/>
      <c r="J32" s="1"/>
      <c r="K32" s="1"/>
    </row>
    <row r="33" spans="2:11" ht="15" customHeight="1">
      <c r="B33" s="1" t="s">
        <v>122</v>
      </c>
      <c r="C33" s="1"/>
      <c r="D33" s="1"/>
      <c r="E33" s="1"/>
      <c r="F33" s="1"/>
      <c r="G33" s="1"/>
      <c r="H33" s="1"/>
      <c r="I33" s="1"/>
      <c r="J33" s="1"/>
      <c r="K33" s="1"/>
    </row>
    <row r="34" spans="2:11" ht="15" customHeight="1">
      <c r="B34" s="1"/>
      <c r="C34" s="1"/>
      <c r="D34" s="1"/>
      <c r="E34" s="1"/>
      <c r="F34" s="1"/>
      <c r="G34" s="1"/>
      <c r="H34" s="1"/>
      <c r="I34" s="1"/>
      <c r="J34" s="1"/>
      <c r="K34" s="1"/>
    </row>
    <row r="35" spans="2:11" ht="15" customHeight="1">
      <c r="B35" s="1" t="s">
        <v>170</v>
      </c>
      <c r="C35" s="1"/>
      <c r="D35" s="1"/>
      <c r="E35" s="1"/>
      <c r="F35" s="1"/>
      <c r="G35" s="1"/>
      <c r="H35" s="1"/>
      <c r="I35" s="1"/>
      <c r="J35" s="1"/>
      <c r="K35" s="1"/>
    </row>
    <row r="36" spans="2:11" ht="15" customHeight="1">
      <c r="B36" s="1"/>
      <c r="C36" s="1"/>
      <c r="D36" s="1"/>
      <c r="E36" s="1"/>
      <c r="F36" s="1"/>
      <c r="G36" s="1"/>
      <c r="H36" s="1"/>
      <c r="I36" s="1"/>
      <c r="J36" s="1"/>
      <c r="K36" s="1"/>
    </row>
    <row r="37" spans="2:11" ht="15" customHeight="1">
      <c r="B37" s="1" t="s">
        <v>59</v>
      </c>
      <c r="C37" s="1"/>
      <c r="D37" s="1"/>
      <c r="E37" s="1"/>
      <c r="F37" s="1"/>
      <c r="G37" s="1"/>
      <c r="H37" s="1"/>
      <c r="I37" s="1"/>
      <c r="J37" s="1"/>
      <c r="K37" s="1"/>
    </row>
    <row r="38" spans="2:11" ht="15" customHeight="1">
      <c r="B38" s="1" t="s">
        <v>60</v>
      </c>
      <c r="C38" s="1"/>
      <c r="D38" s="1"/>
      <c r="E38" s="1"/>
      <c r="F38" s="1"/>
      <c r="G38" s="1"/>
      <c r="H38" s="1"/>
      <c r="I38" s="1"/>
      <c r="J38" s="1"/>
      <c r="K38" s="1"/>
    </row>
    <row r="39" spans="2:11" ht="15" customHeight="1">
      <c r="B39" s="1" t="s">
        <v>176</v>
      </c>
      <c r="C39" s="1"/>
      <c r="D39" s="1"/>
      <c r="E39" s="1"/>
      <c r="F39" s="1"/>
      <c r="G39" s="1"/>
      <c r="H39" s="1"/>
      <c r="I39" s="1"/>
      <c r="J39" s="1"/>
      <c r="K39" s="1"/>
    </row>
    <row r="40" spans="2:11" ht="15" customHeight="1">
      <c r="B40" s="1"/>
      <c r="C40" s="1"/>
      <c r="D40" s="1"/>
      <c r="E40" s="1"/>
      <c r="F40" s="1"/>
      <c r="G40" s="1"/>
      <c r="H40" s="1"/>
      <c r="I40" s="1"/>
      <c r="J40" s="1"/>
      <c r="K40" s="1"/>
    </row>
    <row r="41" spans="2:11" ht="15" customHeight="1">
      <c r="B41" s="1" t="s">
        <v>58</v>
      </c>
      <c r="C41" s="1"/>
      <c r="D41" s="1"/>
      <c r="E41" s="1"/>
      <c r="F41" s="1"/>
      <c r="G41" s="1"/>
      <c r="H41" s="1"/>
      <c r="I41" s="1"/>
      <c r="J41" s="1"/>
      <c r="K41" s="1"/>
    </row>
    <row r="42" spans="2:11" ht="15" customHeight="1">
      <c r="B42" s="1" t="s">
        <v>171</v>
      </c>
      <c r="C42" s="1"/>
      <c r="D42" s="1"/>
      <c r="E42" s="1"/>
      <c r="F42" s="1"/>
      <c r="G42" s="1"/>
      <c r="H42" s="1"/>
      <c r="I42" s="1"/>
      <c r="J42" s="1"/>
      <c r="K42" s="1"/>
    </row>
    <row r="43" spans="2:11" ht="15" customHeight="1">
      <c r="B43" s="1"/>
      <c r="C43" s="1"/>
      <c r="D43" s="1"/>
      <c r="E43" s="1"/>
      <c r="F43" s="1"/>
      <c r="G43" s="1"/>
      <c r="H43" s="1"/>
      <c r="I43" s="1"/>
      <c r="J43" s="1"/>
      <c r="K43" s="1"/>
    </row>
    <row r="44" spans="2:11" ht="15" customHeight="1">
      <c r="B44" s="1" t="s">
        <v>152</v>
      </c>
      <c r="C44" s="1"/>
      <c r="D44" s="1"/>
      <c r="E44" s="1"/>
      <c r="F44" s="1"/>
      <c r="G44" s="1"/>
      <c r="H44" s="1"/>
      <c r="I44" s="1"/>
      <c r="J44" s="1"/>
      <c r="K44" s="1"/>
    </row>
    <row r="45" spans="2:11" ht="15" customHeight="1">
      <c r="B45" s="1"/>
      <c r="C45" s="1"/>
      <c r="D45" s="1"/>
      <c r="E45" s="1"/>
      <c r="F45" s="1"/>
      <c r="G45" s="1"/>
      <c r="H45" s="1"/>
      <c r="I45" s="1"/>
      <c r="J45" s="1"/>
      <c r="K45" s="1"/>
    </row>
    <row r="46" spans="2:11" ht="15" customHeight="1">
      <c r="B46" s="1" t="s">
        <v>188</v>
      </c>
      <c r="C46" s="1"/>
      <c r="D46" s="1"/>
      <c r="E46" s="1"/>
      <c r="F46" s="1"/>
      <c r="G46" s="1"/>
      <c r="H46" s="1"/>
      <c r="I46" s="1"/>
      <c r="J46" s="1"/>
      <c r="K46" s="1"/>
    </row>
    <row r="47" spans="2:11" ht="15" customHeight="1">
      <c r="B47" s="1" t="s">
        <v>191</v>
      </c>
      <c r="C47" s="1"/>
      <c r="D47" s="1"/>
      <c r="E47" s="1"/>
      <c r="F47" s="1"/>
      <c r="G47" s="1"/>
      <c r="H47" s="1"/>
      <c r="I47" s="1"/>
      <c r="J47" s="1"/>
      <c r="K47" s="1"/>
    </row>
    <row r="48" spans="2:11" ht="15" customHeight="1">
      <c r="B48" s="1" t="s">
        <v>189</v>
      </c>
      <c r="C48" s="1"/>
      <c r="D48" s="1"/>
      <c r="E48" s="1"/>
      <c r="F48" s="1"/>
      <c r="G48" s="1"/>
      <c r="H48" s="1"/>
      <c r="I48" s="1"/>
      <c r="J48" s="1"/>
      <c r="K48" s="1"/>
    </row>
    <row r="49" spans="2:11" ht="15" customHeight="1">
      <c r="B49" s="1" t="s">
        <v>190</v>
      </c>
      <c r="C49" s="1"/>
      <c r="D49" s="1"/>
      <c r="E49" s="1"/>
      <c r="F49" s="1"/>
      <c r="G49" s="1"/>
      <c r="H49" s="1"/>
      <c r="I49" s="1"/>
      <c r="J49" s="1"/>
      <c r="K49" s="1"/>
    </row>
    <row r="50" spans="2:11" ht="15" customHeight="1">
      <c r="B50" s="1" t="s">
        <v>177</v>
      </c>
      <c r="C50" s="1"/>
      <c r="D50" s="1"/>
      <c r="E50" s="1"/>
      <c r="F50" s="1"/>
      <c r="G50" s="1"/>
      <c r="H50" s="1"/>
      <c r="I50" s="1"/>
      <c r="J50" s="1"/>
      <c r="K50" s="1"/>
    </row>
    <row r="51" spans="2:11" ht="15" customHeight="1">
      <c r="B51" s="1"/>
      <c r="C51" s="1"/>
      <c r="D51" s="1"/>
      <c r="E51" s="1"/>
      <c r="F51" s="1"/>
      <c r="G51" s="1"/>
      <c r="H51" s="1"/>
      <c r="I51" s="1"/>
      <c r="J51" s="1"/>
      <c r="K51" s="1"/>
    </row>
    <row r="52" spans="2:11" ht="15" customHeight="1">
      <c r="B52" s="1" t="s">
        <v>81</v>
      </c>
      <c r="C52" s="1"/>
      <c r="D52" s="1"/>
      <c r="E52" s="1"/>
      <c r="F52" s="1"/>
      <c r="G52" s="1"/>
      <c r="H52" s="1"/>
      <c r="I52" s="1"/>
      <c r="J52" s="1"/>
      <c r="K52" s="1"/>
    </row>
    <row r="53" spans="2:11" ht="15" customHeight="1">
      <c r="B53" s="1" t="s">
        <v>82</v>
      </c>
      <c r="C53" s="1"/>
      <c r="D53" s="1"/>
      <c r="E53" s="1"/>
      <c r="F53" s="1"/>
      <c r="G53" s="1"/>
      <c r="H53" s="1"/>
      <c r="I53" s="1"/>
      <c r="J53" s="1"/>
      <c r="K53" s="1"/>
    </row>
    <row r="54" spans="2:11" ht="15" customHeight="1">
      <c r="B54" s="1" t="s">
        <v>83</v>
      </c>
      <c r="C54" s="1"/>
      <c r="D54" s="1"/>
      <c r="E54" s="1"/>
      <c r="F54" s="1"/>
      <c r="G54" s="1"/>
      <c r="H54" s="1"/>
      <c r="I54" s="1"/>
      <c r="J54" s="1"/>
      <c r="K54" s="1"/>
    </row>
    <row r="55" spans="2:11" ht="15" customHeight="1">
      <c r="B55" s="1"/>
      <c r="C55" s="1"/>
      <c r="D55" s="1"/>
      <c r="E55" s="1"/>
      <c r="F55" s="1"/>
      <c r="G55" s="1"/>
      <c r="H55" s="1"/>
      <c r="I55" s="1"/>
      <c r="J55" s="1"/>
      <c r="K55" s="1"/>
    </row>
    <row r="56" spans="2:11" ht="15" customHeight="1">
      <c r="B56" s="1" t="s">
        <v>154</v>
      </c>
      <c r="C56" s="1"/>
      <c r="D56" s="1"/>
      <c r="E56" s="1"/>
      <c r="F56" s="1"/>
      <c r="G56" s="1"/>
      <c r="H56" s="1"/>
      <c r="I56" s="1"/>
      <c r="J56" s="1"/>
      <c r="K56" s="1"/>
    </row>
    <row r="57" spans="2:11" ht="15" customHeight="1">
      <c r="B57" s="1"/>
      <c r="C57" s="1"/>
      <c r="D57" s="1"/>
      <c r="E57" s="1"/>
      <c r="F57" s="1"/>
      <c r="G57" s="1"/>
      <c r="H57" s="1"/>
      <c r="I57" s="1"/>
      <c r="J57" s="1"/>
      <c r="K57" s="1"/>
    </row>
    <row r="58" spans="2:11" ht="15" customHeight="1">
      <c r="B58" s="1" t="s">
        <v>178</v>
      </c>
      <c r="C58" s="1"/>
      <c r="D58" s="1"/>
      <c r="E58" s="1"/>
      <c r="F58" s="1"/>
      <c r="G58" s="1"/>
      <c r="H58" s="1"/>
      <c r="I58" s="1"/>
      <c r="J58" s="1"/>
      <c r="K58" s="1"/>
    </row>
    <row r="59" spans="2:11" ht="15" customHeight="1">
      <c r="B59" s="1" t="s">
        <v>141</v>
      </c>
      <c r="C59" s="1"/>
      <c r="D59" s="1"/>
      <c r="E59" s="1"/>
      <c r="F59" s="1"/>
      <c r="G59" s="1"/>
      <c r="H59" s="1"/>
      <c r="I59" s="1"/>
      <c r="J59" s="1"/>
      <c r="K59" s="1"/>
    </row>
    <row r="60" spans="2:11" ht="15" customHeight="1">
      <c r="B60" s="1"/>
      <c r="C60" s="1"/>
      <c r="D60" s="1"/>
      <c r="E60" s="1"/>
      <c r="F60" s="1"/>
      <c r="G60" s="1"/>
      <c r="H60" s="1"/>
      <c r="I60" s="1"/>
      <c r="J60" s="1"/>
      <c r="K60" s="1"/>
    </row>
    <row r="61" spans="2:11" ht="15" customHeight="1">
      <c r="B61" s="1" t="s">
        <v>195</v>
      </c>
      <c r="C61" s="1"/>
      <c r="D61" s="1"/>
      <c r="E61" s="1"/>
      <c r="F61" s="1"/>
      <c r="G61" s="1"/>
      <c r="H61" s="1"/>
      <c r="I61" s="1"/>
      <c r="J61" s="1"/>
      <c r="K61" s="1"/>
    </row>
    <row r="62" spans="2:11" ht="15" customHeight="1">
      <c r="B62" s="1" t="s">
        <v>196</v>
      </c>
      <c r="C62" s="1"/>
      <c r="D62" s="1"/>
      <c r="E62" s="1"/>
      <c r="F62" s="1"/>
      <c r="G62" s="1"/>
      <c r="H62" s="1"/>
      <c r="I62" s="1"/>
      <c r="J62" s="1"/>
      <c r="K62" s="1"/>
    </row>
    <row r="63" spans="2:11" ht="15" customHeight="1">
      <c r="B63" s="1" t="s">
        <v>197</v>
      </c>
      <c r="C63" s="1"/>
      <c r="D63" s="1"/>
      <c r="E63" s="1"/>
      <c r="F63" s="1"/>
      <c r="G63" s="1"/>
      <c r="H63" s="1"/>
      <c r="I63" s="1"/>
      <c r="J63" s="1"/>
      <c r="K63" s="1"/>
    </row>
    <row r="64" spans="2:11" ht="15" customHeight="1">
      <c r="B64" s="1"/>
      <c r="C64" s="1"/>
      <c r="D64" s="1"/>
      <c r="E64" s="1"/>
      <c r="F64" s="1"/>
      <c r="G64" s="1"/>
      <c r="H64" s="1"/>
      <c r="I64" s="1"/>
      <c r="J64" s="1"/>
      <c r="K64" s="1"/>
    </row>
    <row r="65" spans="2:11" ht="15" customHeight="1">
      <c r="B65" s="1" t="s">
        <v>124</v>
      </c>
      <c r="C65" s="1"/>
      <c r="D65" s="1"/>
      <c r="E65" s="1"/>
      <c r="F65" s="1"/>
      <c r="G65" s="1"/>
      <c r="H65" s="1"/>
      <c r="I65" s="1"/>
      <c r="J65" s="1"/>
      <c r="K65" s="1"/>
    </row>
    <row r="66" spans="2:11" ht="15" customHeight="1">
      <c r="B66" s="1" t="s">
        <v>159</v>
      </c>
      <c r="C66" s="1"/>
      <c r="D66" s="1"/>
      <c r="E66" s="1"/>
      <c r="F66" s="1"/>
      <c r="G66" s="1"/>
      <c r="H66" s="1"/>
      <c r="I66" s="1"/>
      <c r="J66" s="1"/>
      <c r="K66" s="1"/>
    </row>
    <row r="67" spans="2:11" ht="15" customHeight="1">
      <c r="B67" s="1"/>
      <c r="C67" s="1"/>
      <c r="D67" s="1"/>
      <c r="E67" s="1"/>
      <c r="F67" s="1"/>
      <c r="G67" s="1"/>
      <c r="H67" s="1"/>
      <c r="I67" s="1"/>
      <c r="J67" s="1"/>
      <c r="K67" s="1"/>
    </row>
    <row r="68" spans="2:11" ht="15" customHeight="1">
      <c r="B68" s="1" t="s">
        <v>101</v>
      </c>
      <c r="C68" s="1"/>
      <c r="D68" s="1"/>
      <c r="E68" s="1"/>
      <c r="F68" s="1"/>
      <c r="G68" s="1"/>
      <c r="H68" s="1"/>
      <c r="I68" s="1"/>
      <c r="J68" s="1"/>
      <c r="K68" s="1"/>
    </row>
    <row r="69" spans="2:11" ht="15" customHeight="1">
      <c r="B69" s="1"/>
      <c r="C69" s="1"/>
      <c r="D69" s="1"/>
      <c r="E69" s="1"/>
      <c r="F69" s="1"/>
      <c r="G69" s="1"/>
      <c r="H69" s="1"/>
      <c r="I69" s="1"/>
      <c r="J69" s="1"/>
      <c r="K69" s="1"/>
    </row>
    <row r="70" spans="2:11" ht="15" customHeight="1">
      <c r="B70" s="1" t="s">
        <v>179</v>
      </c>
      <c r="C70" s="1"/>
      <c r="D70" s="1"/>
      <c r="E70" s="1"/>
      <c r="F70" s="1"/>
      <c r="G70" s="1"/>
      <c r="H70" s="1"/>
      <c r="I70" s="1"/>
      <c r="J70" s="1"/>
      <c r="K70" s="1"/>
    </row>
    <row r="71" spans="2:11" ht="15" customHeight="1">
      <c r="B71" s="1" t="s">
        <v>104</v>
      </c>
      <c r="C71" s="1"/>
      <c r="D71" s="1"/>
      <c r="E71" s="1"/>
      <c r="F71" s="1"/>
      <c r="G71" s="1"/>
      <c r="H71" s="1"/>
      <c r="I71" s="1"/>
      <c r="J71" s="1"/>
      <c r="K71" s="1"/>
    </row>
    <row r="72" spans="2:11" ht="15" customHeight="1">
      <c r="B72" s="1"/>
      <c r="C72" s="1"/>
      <c r="D72" s="1"/>
      <c r="E72" s="1"/>
      <c r="F72" s="1"/>
      <c r="G72" s="1"/>
      <c r="H72" s="1"/>
      <c r="I72" s="1"/>
      <c r="J72" s="1"/>
      <c r="K72" s="1"/>
    </row>
    <row r="73" spans="2:11" ht="15" customHeight="1">
      <c r="B73" s="1" t="s">
        <v>106</v>
      </c>
      <c r="C73" s="1"/>
      <c r="D73" s="1"/>
      <c r="E73" s="1"/>
      <c r="F73" s="1"/>
      <c r="G73" s="1"/>
      <c r="H73" s="1"/>
      <c r="I73" s="1"/>
      <c r="J73" s="1"/>
      <c r="K73" s="1"/>
    </row>
    <row r="74" spans="2:11" ht="15" customHeight="1">
      <c r="B74" s="1" t="s">
        <v>107</v>
      </c>
      <c r="C74" s="1"/>
      <c r="D74" s="1"/>
      <c r="E74" s="1"/>
      <c r="F74" s="1"/>
      <c r="G74" s="1"/>
      <c r="H74" s="1"/>
      <c r="I74" s="1"/>
      <c r="J74" s="1"/>
      <c r="K74" s="1"/>
    </row>
    <row r="75" spans="2:11" ht="15" customHeight="1">
      <c r="B75" s="1"/>
      <c r="C75" s="1"/>
      <c r="D75" s="1"/>
      <c r="E75" s="1"/>
      <c r="F75" s="1"/>
      <c r="G75" s="1"/>
      <c r="H75" s="1"/>
      <c r="I75" s="1"/>
      <c r="J75" s="1"/>
      <c r="K75" s="1"/>
    </row>
    <row r="76" spans="2:11" ht="15" customHeight="1">
      <c r="B76" s="1" t="s">
        <v>109</v>
      </c>
      <c r="C76" s="1"/>
      <c r="D76" s="1"/>
      <c r="E76" s="1"/>
      <c r="F76" s="1"/>
      <c r="G76" s="1"/>
      <c r="H76" s="1"/>
      <c r="I76" s="1"/>
      <c r="J76" s="1"/>
      <c r="K76" s="1"/>
    </row>
    <row r="77" spans="2:11" ht="15" customHeight="1">
      <c r="B77" s="1" t="s">
        <v>158</v>
      </c>
      <c r="C77" s="1"/>
      <c r="D77" s="1"/>
      <c r="E77" s="1"/>
      <c r="F77" s="1"/>
      <c r="G77" s="1"/>
      <c r="H77" s="1"/>
      <c r="I77" s="1"/>
      <c r="J77" s="1"/>
      <c r="K77" s="1"/>
    </row>
    <row r="78" spans="2:11" ht="15" customHeight="1">
      <c r="B78" s="1"/>
      <c r="C78" s="1"/>
      <c r="D78" s="1"/>
      <c r="E78" s="1"/>
      <c r="F78" s="1"/>
      <c r="G78" s="1"/>
      <c r="H78" s="1"/>
      <c r="I78" s="1"/>
      <c r="J78" s="1"/>
      <c r="K78" s="1"/>
    </row>
    <row r="79" spans="2:11" ht="15" customHeight="1">
      <c r="B79" s="1" t="s">
        <v>185</v>
      </c>
      <c r="C79" s="1"/>
      <c r="D79" s="1"/>
      <c r="E79" s="1"/>
      <c r="F79" s="1"/>
      <c r="G79" s="1"/>
      <c r="H79" s="1"/>
      <c r="I79" s="1"/>
      <c r="J79" s="1"/>
      <c r="K79" s="1"/>
    </row>
    <row r="80" spans="2:11" ht="15" customHeight="1">
      <c r="B80" s="1"/>
      <c r="C80" s="1"/>
      <c r="D80" s="1"/>
      <c r="E80" s="1"/>
      <c r="F80" s="1"/>
      <c r="G80" s="1"/>
      <c r="H80" s="1"/>
      <c r="I80" s="1"/>
      <c r="J80" s="1"/>
      <c r="K80" s="1"/>
    </row>
    <row r="81" spans="2:11" ht="15" customHeight="1">
      <c r="B81" s="19" t="s">
        <v>110</v>
      </c>
      <c r="C81" s="1"/>
      <c r="D81" s="1"/>
      <c r="E81" s="1"/>
      <c r="F81" s="1"/>
      <c r="G81" s="1"/>
      <c r="H81" s="1"/>
      <c r="I81" s="1"/>
      <c r="J81" s="1"/>
      <c r="K81" s="1"/>
    </row>
    <row r="82" spans="2:11" ht="15" customHeight="1">
      <c r="B82" s="3" t="s">
        <v>157</v>
      </c>
      <c r="F82" s="1"/>
      <c r="G82" s="1"/>
      <c r="H82" s="1"/>
      <c r="I82" s="1"/>
      <c r="J82" s="1"/>
      <c r="K82" s="1"/>
    </row>
    <row r="83" spans="2:11" ht="15" customHeight="1">
      <c r="B83" s="3" t="s">
        <v>544</v>
      </c>
      <c r="F83" s="1"/>
      <c r="G83" s="1"/>
      <c r="H83" s="1"/>
      <c r="I83" s="1"/>
      <c r="J83" s="1"/>
      <c r="K83" s="1"/>
    </row>
    <row r="84" spans="2:11" ht="15" customHeight="1">
      <c r="B84" s="3" t="s">
        <v>187</v>
      </c>
      <c r="F84" s="1"/>
      <c r="G84" s="1"/>
      <c r="H84" s="1"/>
      <c r="I84" s="1"/>
      <c r="J84" s="1"/>
      <c r="K84" s="1"/>
    </row>
    <row r="85" spans="2:11">
      <c r="B85" s="3" t="s">
        <v>193</v>
      </c>
    </row>
    <row r="86" spans="2:11">
      <c r="B86" s="3" t="s">
        <v>20</v>
      </c>
    </row>
    <row r="87" spans="2:11">
      <c r="B87" s="3" t="s">
        <v>181</v>
      </c>
    </row>
    <row r="88" spans="2:11">
      <c r="B88" s="3" t="s">
        <v>22</v>
      </c>
    </row>
    <row r="89" spans="2:11">
      <c r="B89" s="3" t="s">
        <v>276</v>
      </c>
    </row>
    <row r="90" spans="2:11">
      <c r="B90" s="3"/>
    </row>
    <row r="91" spans="2:11">
      <c r="B91" s="43" t="s">
        <v>182</v>
      </c>
    </row>
    <row r="92" spans="2:11">
      <c r="B92" s="3" t="s">
        <v>209</v>
      </c>
    </row>
    <row r="93" spans="2:11">
      <c r="B93" s="1" t="s">
        <v>204</v>
      </c>
    </row>
    <row r="94" spans="2:11">
      <c r="B94" s="1"/>
    </row>
    <row r="95" spans="2:11">
      <c r="B95" s="1" t="s">
        <v>205</v>
      </c>
    </row>
    <row r="96" spans="2:11">
      <c r="B96" s="1" t="s">
        <v>210</v>
      </c>
    </row>
    <row r="97" spans="2:2">
      <c r="B97" s="1" t="s">
        <v>540</v>
      </c>
    </row>
    <row r="98" spans="2:2">
      <c r="B98" s="1" t="s">
        <v>206</v>
      </c>
    </row>
    <row r="99" spans="2:2">
      <c r="B99" s="1" t="s">
        <v>549</v>
      </c>
    </row>
    <row r="100" spans="2:2">
      <c r="B100" s="1" t="s">
        <v>277</v>
      </c>
    </row>
    <row r="101" spans="2:2">
      <c r="B101" s="1"/>
    </row>
    <row r="102" spans="2:2">
      <c r="B102" s="1" t="s">
        <v>207</v>
      </c>
    </row>
    <row r="103" spans="2:2">
      <c r="B103" s="1" t="s">
        <v>211</v>
      </c>
    </row>
    <row r="104" spans="2:2">
      <c r="B104" s="1" t="s">
        <v>541</v>
      </c>
    </row>
    <row r="105" spans="2:2">
      <c r="B105" s="1" t="s">
        <v>546</v>
      </c>
    </row>
    <row r="106" spans="2:2">
      <c r="B106" s="1" t="s">
        <v>208</v>
      </c>
    </row>
    <row r="107" spans="2:2">
      <c r="B107" s="1"/>
    </row>
    <row r="108" spans="2:2">
      <c r="B108" s="1" t="s">
        <v>548</v>
      </c>
    </row>
    <row r="109" spans="2:2">
      <c r="B109" s="19" t="s">
        <v>110</v>
      </c>
    </row>
    <row r="110" spans="2:2">
      <c r="B110" s="3" t="s">
        <v>275</v>
      </c>
    </row>
    <row r="111" spans="2:2">
      <c r="B111" s="3" t="s">
        <v>274</v>
      </c>
    </row>
    <row r="112" spans="2:2">
      <c r="B112" s="3" t="s">
        <v>268</v>
      </c>
    </row>
    <row r="113" spans="2:2">
      <c r="B113" s="3" t="s">
        <v>193</v>
      </c>
    </row>
    <row r="114" spans="2:2">
      <c r="B114" s="3" t="s">
        <v>20</v>
      </c>
    </row>
    <row r="115" spans="2:2">
      <c r="B115" s="3" t="s">
        <v>181</v>
      </c>
    </row>
    <row r="116" spans="2:2">
      <c r="B116" s="3" t="s">
        <v>271</v>
      </c>
    </row>
    <row r="117" spans="2:2">
      <c r="B117" s="3" t="s">
        <v>272</v>
      </c>
    </row>
    <row r="118" spans="2:2">
      <c r="B118" s="3" t="s">
        <v>22</v>
      </c>
    </row>
    <row r="119" spans="2:2">
      <c r="B119" s="3" t="s">
        <v>276</v>
      </c>
    </row>
    <row r="120" spans="2:2">
      <c r="B120" s="3"/>
    </row>
    <row r="121" spans="2:2">
      <c r="B121" s="43" t="s">
        <v>348</v>
      </c>
    </row>
    <row r="122" spans="2:2">
      <c r="B122" s="3" t="s">
        <v>349</v>
      </c>
    </row>
    <row r="123" spans="2:2">
      <c r="B123" s="3" t="s">
        <v>297</v>
      </c>
    </row>
    <row r="124" spans="2:2">
      <c r="B124" s="3" t="s">
        <v>298</v>
      </c>
    </row>
    <row r="125" spans="2:2">
      <c r="B125" s="3" t="s">
        <v>299</v>
      </c>
    </row>
    <row r="126" spans="2:2">
      <c r="B126" s="3" t="s">
        <v>300</v>
      </c>
    </row>
    <row r="127" spans="2:2">
      <c r="B127" s="3"/>
    </row>
    <row r="128" spans="2:2">
      <c r="B128" s="3" t="s">
        <v>301</v>
      </c>
    </row>
    <row r="129" spans="2:2">
      <c r="B129" s="3"/>
    </row>
    <row r="130" spans="2:2">
      <c r="B130" s="3" t="s">
        <v>542</v>
      </c>
    </row>
    <row r="131" spans="2:2">
      <c r="B131" s="3" t="s">
        <v>545</v>
      </c>
    </row>
    <row r="132" spans="2:2">
      <c r="B132" s="1"/>
    </row>
    <row r="133" spans="2:2">
      <c r="B133" s="39" t="s">
        <v>292</v>
      </c>
    </row>
    <row r="134" spans="2:2">
      <c r="B134" s="1" t="s">
        <v>293</v>
      </c>
    </row>
    <row r="135" spans="2:2">
      <c r="B135" s="1" t="s">
        <v>294</v>
      </c>
    </row>
    <row r="136" spans="2:2">
      <c r="B136" s="1" t="s">
        <v>295</v>
      </c>
    </row>
    <row r="137" spans="2:2">
      <c r="B137" s="1" t="s">
        <v>376</v>
      </c>
    </row>
    <row r="138" spans="2:2">
      <c r="B138" s="1" t="s">
        <v>296</v>
      </c>
    </row>
    <row r="139" spans="2:2">
      <c r="B139" s="1" t="s">
        <v>543</v>
      </c>
    </row>
    <row r="140" spans="2:2">
      <c r="B140" s="1" t="s">
        <v>20</v>
      </c>
    </row>
    <row r="141" spans="2:2">
      <c r="B141" s="1" t="s">
        <v>185</v>
      </c>
    </row>
    <row r="142" spans="2:2">
      <c r="B142" s="1" t="s">
        <v>550</v>
      </c>
    </row>
    <row r="143" spans="2:2">
      <c r="B143" s="1" t="s">
        <v>375</v>
      </c>
    </row>
    <row r="144" spans="2:2">
      <c r="B144" s="1"/>
    </row>
    <row r="145" spans="2:2">
      <c r="B145" s="43" t="s">
        <v>303</v>
      </c>
    </row>
    <row r="146" spans="2:2">
      <c r="B146" s="3" t="s">
        <v>304</v>
      </c>
    </row>
    <row r="147" spans="2:2">
      <c r="B147" s="3" t="s">
        <v>297</v>
      </c>
    </row>
    <row r="148" spans="2:2">
      <c r="B148" s="3" t="s">
        <v>298</v>
      </c>
    </row>
    <row r="149" spans="2:2">
      <c r="B149" s="3" t="s">
        <v>299</v>
      </c>
    </row>
    <row r="150" spans="2:2">
      <c r="B150" s="3" t="s">
        <v>300</v>
      </c>
    </row>
    <row r="151" spans="2:2">
      <c r="B151" s="3"/>
    </row>
    <row r="152" spans="2:2">
      <c r="B152" s="3" t="s">
        <v>301</v>
      </c>
    </row>
    <row r="153" spans="2:2">
      <c r="B153" s="3"/>
    </row>
    <row r="154" spans="2:2">
      <c r="B154" s="3" t="s">
        <v>542</v>
      </c>
    </row>
    <row r="155" spans="2:2">
      <c r="B155" s="3" t="s">
        <v>545</v>
      </c>
    </row>
    <row r="156" spans="2:2">
      <c r="B156" s="3"/>
    </row>
    <row r="157" spans="2:2">
      <c r="B157" s="43" t="s">
        <v>345</v>
      </c>
    </row>
    <row r="158" spans="2:2">
      <c r="B158" s="3" t="s">
        <v>346</v>
      </c>
    </row>
    <row r="159" spans="2:2">
      <c r="B159" s="3" t="s">
        <v>347</v>
      </c>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AO336"/>
  <sheetViews>
    <sheetView showGridLines="0" zoomScale="80" zoomScaleNormal="80" workbookViewId="0"/>
  </sheetViews>
  <sheetFormatPr defaultRowHeight="14.4"/>
  <cols>
    <col min="1" max="1" width="4.77734375" style="6" customWidth="1"/>
    <col min="2" max="2" width="20.88671875" style="6" customWidth="1"/>
    <col min="3" max="3" width="5.33203125" style="6" customWidth="1"/>
    <col min="4" max="4" width="24.5546875" customWidth="1"/>
    <col min="6" max="6" width="29.21875" bestFit="1" customWidth="1"/>
    <col min="7" max="8" width="17.88671875" customWidth="1"/>
    <col min="9" max="9" width="22.77734375" customWidth="1"/>
    <col min="10" max="13" width="17.88671875" customWidth="1"/>
    <col min="14" max="111" width="10.109375" bestFit="1" customWidth="1"/>
  </cols>
  <sheetData>
    <row r="1" spans="1:41">
      <c r="A1" s="6" t="str">
        <f>Instructions!B2&amp;": "&amp;Instructions!B4</f>
        <v>Valuation Task: Sum-of-the-Parts Valuation - Five Automotive</v>
      </c>
    </row>
    <row r="2" spans="1:41">
      <c r="A2" s="6" t="s">
        <v>1</v>
      </c>
    </row>
    <row r="4" spans="1:41">
      <c r="B4" s="6" t="s">
        <v>172</v>
      </c>
    </row>
    <row r="5" spans="1:41" s="13" customFormat="1" ht="14.4" customHeight="1">
      <c r="A5" s="11"/>
      <c r="B5" s="11"/>
      <c r="C5" s="12" t="s">
        <v>4</v>
      </c>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7" spans="1:41">
      <c r="B7" s="6" t="s">
        <v>261</v>
      </c>
      <c r="D7" t="s">
        <v>9</v>
      </c>
      <c r="G7" s="17">
        <v>46022</v>
      </c>
      <c r="H7" s="10"/>
    </row>
    <row r="8" spans="1:41">
      <c r="B8" s="6" t="s">
        <v>261</v>
      </c>
      <c r="D8" t="s">
        <v>10</v>
      </c>
      <c r="G8" s="17">
        <v>46159</v>
      </c>
      <c r="H8" s="10"/>
    </row>
    <row r="9" spans="1:41">
      <c r="B9" s="6" t="s">
        <v>261</v>
      </c>
      <c r="D9" t="s">
        <v>92</v>
      </c>
      <c r="G9" s="15">
        <v>10</v>
      </c>
      <c r="H9" s="10" t="s">
        <v>54</v>
      </c>
    </row>
    <row r="10" spans="1:41">
      <c r="B10" s="6" t="s">
        <v>261</v>
      </c>
      <c r="D10" t="s">
        <v>131</v>
      </c>
      <c r="G10" s="15">
        <v>60</v>
      </c>
      <c r="H10" s="10" t="s">
        <v>56</v>
      </c>
    </row>
    <row r="11" spans="1:41">
      <c r="B11" s="6" t="s">
        <v>261</v>
      </c>
      <c r="D11" t="s">
        <v>71</v>
      </c>
      <c r="G11" s="15">
        <v>24</v>
      </c>
      <c r="H11" s="10" t="s">
        <v>56</v>
      </c>
    </row>
    <row r="12" spans="1:41">
      <c r="B12" s="6" t="s">
        <v>261</v>
      </c>
      <c r="D12" t="s">
        <v>72</v>
      </c>
      <c r="G12" s="15">
        <v>7</v>
      </c>
      <c r="H12" s="10" t="s">
        <v>56</v>
      </c>
    </row>
    <row r="13" spans="1:41">
      <c r="B13" s="6" t="s">
        <v>261</v>
      </c>
      <c r="D13" t="s">
        <v>74</v>
      </c>
      <c r="G13" s="15">
        <v>30</v>
      </c>
      <c r="H13" s="10" t="s">
        <v>56</v>
      </c>
    </row>
    <row r="14" spans="1:41">
      <c r="B14" s="6" t="s">
        <v>261</v>
      </c>
      <c r="D14" t="s">
        <v>73</v>
      </c>
      <c r="G14" s="15">
        <v>360</v>
      </c>
      <c r="H14" s="10" t="s">
        <v>56</v>
      </c>
    </row>
    <row r="15" spans="1:41">
      <c r="B15" s="6" t="s">
        <v>261</v>
      </c>
      <c r="D15" t="s">
        <v>148</v>
      </c>
      <c r="G15" s="15">
        <v>12</v>
      </c>
      <c r="H15" s="10" t="s">
        <v>56</v>
      </c>
    </row>
    <row r="16" spans="1:41">
      <c r="B16" s="6" t="s">
        <v>261</v>
      </c>
      <c r="D16" t="s">
        <v>137</v>
      </c>
      <c r="G16" s="15">
        <v>1000</v>
      </c>
      <c r="H16" s="10" t="s">
        <v>56</v>
      </c>
    </row>
    <row r="17" spans="1:41">
      <c r="B17" s="6" t="s">
        <v>261</v>
      </c>
      <c r="D17" t="s">
        <v>136</v>
      </c>
      <c r="G17" s="15">
        <v>1000</v>
      </c>
      <c r="H17" s="10" t="s">
        <v>56</v>
      </c>
    </row>
    <row r="19" spans="1:41" s="13" customFormat="1" ht="14.4" customHeight="1">
      <c r="A19" s="11"/>
      <c r="B19" s="11"/>
      <c r="C19" s="12" t="s">
        <v>105</v>
      </c>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row>
    <row r="21" spans="1:41">
      <c r="B21" s="6" t="s">
        <v>173</v>
      </c>
      <c r="D21" t="s">
        <v>50</v>
      </c>
      <c r="E21" s="36" t="s">
        <v>52</v>
      </c>
      <c r="G21" s="18">
        <v>265000</v>
      </c>
      <c r="H21" s="10" t="s">
        <v>51</v>
      </c>
    </row>
    <row r="22" spans="1:41">
      <c r="B22" s="6" t="s">
        <v>173</v>
      </c>
      <c r="D22" t="s">
        <v>53</v>
      </c>
      <c r="G22" s="18">
        <v>6</v>
      </c>
      <c r="H22" s="10" t="s">
        <v>54</v>
      </c>
    </row>
    <row r="23" spans="1:41">
      <c r="B23" s="6" t="s">
        <v>173</v>
      </c>
      <c r="D23" t="s">
        <v>55</v>
      </c>
      <c r="G23" s="18">
        <v>8</v>
      </c>
      <c r="H23" s="10" t="s">
        <v>56</v>
      </c>
    </row>
    <row r="24" spans="1:41">
      <c r="B24" s="6" t="s">
        <v>173</v>
      </c>
      <c r="D24" t="s">
        <v>132</v>
      </c>
      <c r="G24" s="18">
        <v>245000</v>
      </c>
      <c r="H24" s="10" t="s">
        <v>51</v>
      </c>
    </row>
    <row r="25" spans="1:41">
      <c r="B25" s="6" t="s">
        <v>173</v>
      </c>
      <c r="D25" t="s">
        <v>133</v>
      </c>
      <c r="G25" s="17">
        <v>44562</v>
      </c>
      <c r="H25" s="10"/>
    </row>
    <row r="26" spans="1:41">
      <c r="B26" s="6" t="s">
        <v>173</v>
      </c>
      <c r="D26" t="s">
        <v>57</v>
      </c>
      <c r="G26" s="14">
        <v>0.91500000000000004</v>
      </c>
      <c r="H26" s="10" t="s">
        <v>15</v>
      </c>
    </row>
    <row r="28" spans="1:41" s="13" customFormat="1" ht="14.4" customHeight="1">
      <c r="A28" s="11"/>
      <c r="B28" s="11"/>
      <c r="C28" s="12" t="s">
        <v>61</v>
      </c>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row>
    <row r="30" spans="1:41">
      <c r="B30" s="6" t="s">
        <v>173</v>
      </c>
      <c r="D30" t="s">
        <v>62</v>
      </c>
      <c r="G30" s="18">
        <v>50</v>
      </c>
      <c r="H30" s="10" t="s">
        <v>65</v>
      </c>
    </row>
    <row r="31" spans="1:41">
      <c r="B31" s="6" t="s">
        <v>173</v>
      </c>
      <c r="D31" t="s">
        <v>63</v>
      </c>
      <c r="E31" s="36" t="s">
        <v>52</v>
      </c>
      <c r="G31" s="18">
        <v>0.35</v>
      </c>
      <c r="H31" s="10" t="s">
        <v>64</v>
      </c>
    </row>
    <row r="33" spans="1:41" s="13" customFormat="1" ht="14.4" customHeight="1">
      <c r="A33" s="11"/>
      <c r="B33" s="11"/>
      <c r="C33" s="12" t="s">
        <v>66</v>
      </c>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row>
    <row r="35" spans="1:41">
      <c r="B35" s="6" t="s">
        <v>173</v>
      </c>
      <c r="D35" t="s">
        <v>67</v>
      </c>
      <c r="E35" s="36" t="s">
        <v>52</v>
      </c>
      <c r="F35" t="s">
        <v>68</v>
      </c>
      <c r="G35" s="18">
        <v>0.1245</v>
      </c>
      <c r="H35" s="10" t="s">
        <v>69</v>
      </c>
    </row>
    <row r="37" spans="1:41" s="13" customFormat="1" ht="14.4" customHeight="1">
      <c r="A37" s="11"/>
      <c r="B37" s="11"/>
      <c r="C37" s="12" t="s">
        <v>70</v>
      </c>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row>
    <row r="39" spans="1:41">
      <c r="B39" s="6" t="s">
        <v>173</v>
      </c>
      <c r="D39" t="s">
        <v>134</v>
      </c>
      <c r="G39" s="18">
        <v>42</v>
      </c>
      <c r="H39" s="10" t="s">
        <v>135</v>
      </c>
    </row>
    <row r="40" spans="1:41">
      <c r="B40" s="6" t="s">
        <v>173</v>
      </c>
      <c r="D40" t="s">
        <v>75</v>
      </c>
      <c r="E40" s="36" t="s">
        <v>52</v>
      </c>
      <c r="G40" s="18">
        <v>77500</v>
      </c>
      <c r="H40" s="10" t="s">
        <v>51</v>
      </c>
    </row>
    <row r="41" spans="1:41">
      <c r="B41" s="6" t="s">
        <v>173</v>
      </c>
      <c r="D41" t="s">
        <v>76</v>
      </c>
      <c r="G41" s="18">
        <v>4</v>
      </c>
      <c r="H41" s="10" t="s">
        <v>56</v>
      </c>
    </row>
    <row r="43" spans="1:41" s="13" customFormat="1" ht="14.4" customHeight="1">
      <c r="A43" s="11"/>
      <c r="B43" s="11"/>
      <c r="C43" s="12" t="s">
        <v>77</v>
      </c>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row>
    <row r="45" spans="1:41">
      <c r="B45" s="6" t="s">
        <v>173</v>
      </c>
      <c r="D45" t="s">
        <v>78</v>
      </c>
      <c r="G45" s="14">
        <v>0.45</v>
      </c>
      <c r="H45" s="10" t="s">
        <v>15</v>
      </c>
      <c r="I45" t="s">
        <v>79</v>
      </c>
      <c r="J45" t="s">
        <v>156</v>
      </c>
    </row>
    <row r="47" spans="1:41" s="13" customFormat="1" ht="14.4" customHeight="1">
      <c r="A47" s="11"/>
      <c r="B47" s="11"/>
      <c r="C47" s="12" t="s">
        <v>43</v>
      </c>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row>
    <row r="49" spans="1:41">
      <c r="B49" s="6" t="s">
        <v>173</v>
      </c>
      <c r="D49" t="s">
        <v>84</v>
      </c>
      <c r="E49" s="36" t="s">
        <v>52</v>
      </c>
      <c r="G49" s="18">
        <v>0.23449999999999999</v>
      </c>
      <c r="H49" s="10" t="s">
        <v>51</v>
      </c>
      <c r="I49" s="36" t="s">
        <v>86</v>
      </c>
    </row>
    <row r="50" spans="1:41">
      <c r="B50" s="6" t="s">
        <v>173</v>
      </c>
      <c r="D50" t="s">
        <v>85</v>
      </c>
      <c r="E50" s="36" t="s">
        <v>52</v>
      </c>
      <c r="G50" s="18">
        <v>0.34560000000000002</v>
      </c>
      <c r="H50" s="10" t="s">
        <v>51</v>
      </c>
      <c r="I50" s="36" t="s">
        <v>86</v>
      </c>
    </row>
    <row r="52" spans="1:41" s="13" customFormat="1" ht="14.4" customHeight="1">
      <c r="A52" s="11"/>
      <c r="B52" s="11"/>
      <c r="C52" s="12" t="s">
        <v>87</v>
      </c>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row>
    <row r="54" spans="1:41">
      <c r="B54" s="6" t="s">
        <v>173</v>
      </c>
      <c r="D54" t="s">
        <v>50</v>
      </c>
      <c r="E54" s="36" t="s">
        <v>52</v>
      </c>
      <c r="G54" s="18">
        <v>5000450</v>
      </c>
      <c r="H54" s="10" t="s">
        <v>51</v>
      </c>
    </row>
    <row r="55" spans="1:41">
      <c r="B55" s="6" t="s">
        <v>173</v>
      </c>
      <c r="D55" t="s">
        <v>53</v>
      </c>
      <c r="G55" s="18">
        <v>50</v>
      </c>
      <c r="H55" s="10" t="s">
        <v>54</v>
      </c>
    </row>
    <row r="56" spans="1:41">
      <c r="B56" s="6" t="s">
        <v>173</v>
      </c>
      <c r="D56" t="s">
        <v>142</v>
      </c>
      <c r="G56" s="17">
        <v>44562</v>
      </c>
      <c r="H56" s="10"/>
    </row>
    <row r="57" spans="1:41">
      <c r="B57" s="6" t="s">
        <v>173</v>
      </c>
      <c r="D57" t="s">
        <v>145</v>
      </c>
      <c r="G57" s="14">
        <v>0.67</v>
      </c>
      <c r="H57" s="10" t="s">
        <v>15</v>
      </c>
    </row>
    <row r="59" spans="1:41" s="13" customFormat="1" ht="14.4" customHeight="1">
      <c r="A59" s="11"/>
      <c r="B59" s="11"/>
      <c r="C59" s="12" t="s">
        <v>121</v>
      </c>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row>
    <row r="61" spans="1:41">
      <c r="B61" s="6" t="s">
        <v>173</v>
      </c>
      <c r="D61" t="s">
        <v>186</v>
      </c>
      <c r="G61" s="18">
        <v>691356</v>
      </c>
      <c r="H61" s="10" t="s">
        <v>51</v>
      </c>
    </row>
    <row r="62" spans="1:41">
      <c r="B62" s="6" t="s">
        <v>173</v>
      </c>
      <c r="D62" t="s">
        <v>53</v>
      </c>
      <c r="G62" s="18">
        <v>2</v>
      </c>
      <c r="H62" s="10" t="s">
        <v>54</v>
      </c>
    </row>
    <row r="63" spans="1:41">
      <c r="B63" s="6" t="s">
        <v>173</v>
      </c>
      <c r="D63" t="s">
        <v>147</v>
      </c>
      <c r="G63" s="14">
        <v>0.2</v>
      </c>
      <c r="H63" s="10" t="s">
        <v>15</v>
      </c>
    </row>
    <row r="65" spans="1:41" s="13" customFormat="1" ht="14.4" customHeight="1">
      <c r="A65" s="11"/>
      <c r="B65" s="11"/>
      <c r="C65" s="12" t="s">
        <v>88</v>
      </c>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row>
    <row r="67" spans="1:41">
      <c r="B67" s="6" t="s">
        <v>261</v>
      </c>
      <c r="D67" t="s">
        <v>19</v>
      </c>
      <c r="G67" s="14">
        <v>0.28749999999999998</v>
      </c>
      <c r="H67" s="10" t="s">
        <v>15</v>
      </c>
    </row>
    <row r="69" spans="1:41" s="13" customFormat="1" ht="14.4" customHeight="1">
      <c r="A69" s="11"/>
      <c r="B69" s="11"/>
      <c r="C69" s="12" t="s">
        <v>89</v>
      </c>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row>
    <row r="71" spans="1:41">
      <c r="B71" s="6" t="s">
        <v>173</v>
      </c>
      <c r="D71" t="s">
        <v>90</v>
      </c>
      <c r="G71" s="14">
        <v>0.125</v>
      </c>
      <c r="H71" s="10" t="s">
        <v>15</v>
      </c>
      <c r="I71" t="s">
        <v>91</v>
      </c>
    </row>
    <row r="73" spans="1:41" s="13" customFormat="1" ht="14.4" customHeight="1">
      <c r="A73" s="11"/>
      <c r="B73" s="11"/>
      <c r="C73" s="12" t="s">
        <v>108</v>
      </c>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row>
    <row r="75" spans="1:41">
      <c r="B75" s="6" t="s">
        <v>173</v>
      </c>
      <c r="D75" t="s">
        <v>125</v>
      </c>
      <c r="E75" t="s">
        <v>126</v>
      </c>
      <c r="G75" s="18">
        <v>8000000</v>
      </c>
      <c r="H75" s="10" t="s">
        <v>51</v>
      </c>
    </row>
    <row r="76" spans="1:41">
      <c r="B76" s="6" t="s">
        <v>173</v>
      </c>
      <c r="D76" t="s">
        <v>127</v>
      </c>
      <c r="G76" s="17">
        <v>44562</v>
      </c>
    </row>
    <row r="77" spans="1:41">
      <c r="B77" s="6" t="s">
        <v>173</v>
      </c>
      <c r="D77" t="s">
        <v>128</v>
      </c>
      <c r="G77" s="18">
        <v>15</v>
      </c>
      <c r="H77" s="10" t="s">
        <v>54</v>
      </c>
    </row>
    <row r="78" spans="1:41">
      <c r="B78" s="6" t="s">
        <v>173</v>
      </c>
      <c r="D78" t="s">
        <v>129</v>
      </c>
      <c r="G78" s="14">
        <v>8.7499999999999994E-2</v>
      </c>
      <c r="H78" s="10" t="s">
        <v>15</v>
      </c>
      <c r="I78" t="s">
        <v>130</v>
      </c>
    </row>
    <row r="80" spans="1:41" s="13" customFormat="1" ht="14.4" customHeight="1">
      <c r="A80" s="11"/>
      <c r="B80" s="11"/>
      <c r="C80" s="12" t="s">
        <v>111</v>
      </c>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row>
    <row r="82" spans="1:41">
      <c r="B82" s="6" t="s">
        <v>173</v>
      </c>
      <c r="D82" t="s">
        <v>150</v>
      </c>
      <c r="G82" s="14">
        <v>0.15678</v>
      </c>
      <c r="H82" s="10" t="s">
        <v>15</v>
      </c>
      <c r="I82" t="s">
        <v>130</v>
      </c>
    </row>
    <row r="84" spans="1:41" s="13" customFormat="1" ht="14.4" customHeight="1">
      <c r="A84" s="11"/>
      <c r="B84" s="11"/>
      <c r="C84" s="12" t="s">
        <v>93</v>
      </c>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row>
    <row r="86" spans="1:41">
      <c r="B86" s="6" t="s">
        <v>173</v>
      </c>
      <c r="D86" t="s">
        <v>94</v>
      </c>
      <c r="G86" s="14">
        <v>0.45</v>
      </c>
      <c r="H86" s="10" t="s">
        <v>15</v>
      </c>
      <c r="I86" t="s">
        <v>95</v>
      </c>
    </row>
    <row r="88" spans="1:41" s="13" customFormat="1" ht="14.4" customHeight="1">
      <c r="A88" s="11"/>
      <c r="B88" s="11"/>
      <c r="C88" s="12" t="s">
        <v>96</v>
      </c>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row>
    <row r="90" spans="1:41">
      <c r="B90" s="6" t="s">
        <v>173</v>
      </c>
      <c r="D90" t="s">
        <v>98</v>
      </c>
      <c r="G90" s="18">
        <v>15</v>
      </c>
      <c r="H90" s="10" t="s">
        <v>97</v>
      </c>
      <c r="I90" t="s">
        <v>155</v>
      </c>
    </row>
    <row r="91" spans="1:41">
      <c r="B91" s="6" t="s">
        <v>173</v>
      </c>
      <c r="D91" t="s">
        <v>99</v>
      </c>
      <c r="G91" s="18">
        <v>21</v>
      </c>
      <c r="H91" s="10" t="s">
        <v>97</v>
      </c>
      <c r="I91" t="s">
        <v>194</v>
      </c>
    </row>
    <row r="92" spans="1:41">
      <c r="B92" s="6" t="s">
        <v>173</v>
      </c>
      <c r="D92" t="s">
        <v>100</v>
      </c>
      <c r="G92" s="18">
        <v>25</v>
      </c>
      <c r="H92" s="10" t="s">
        <v>97</v>
      </c>
      <c r="I92" t="s">
        <v>192</v>
      </c>
    </row>
    <row r="94" spans="1:41" s="13" customFormat="1" ht="14.4" customHeight="1">
      <c r="A94" s="11"/>
      <c r="B94" s="11"/>
      <c r="C94" s="12" t="s">
        <v>102</v>
      </c>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row>
    <row r="96" spans="1:41">
      <c r="B96" s="6" t="s">
        <v>173</v>
      </c>
      <c r="D96" t="s">
        <v>103</v>
      </c>
      <c r="G96" s="14">
        <v>0.02</v>
      </c>
      <c r="H96" s="10" t="s">
        <v>15</v>
      </c>
      <c r="I96" t="s">
        <v>174</v>
      </c>
    </row>
    <row r="98" spans="1:41" s="13" customFormat="1" ht="14.4" customHeight="1">
      <c r="A98" s="11"/>
      <c r="B98" s="11"/>
      <c r="C98" s="12" t="s">
        <v>140</v>
      </c>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row>
    <row r="100" spans="1:41">
      <c r="B100" s="6" t="s">
        <v>173</v>
      </c>
      <c r="D100" t="s">
        <v>111</v>
      </c>
      <c r="G100" s="18">
        <v>2749941.9131816602</v>
      </c>
      <c r="H100" s="10" t="s">
        <v>51</v>
      </c>
    </row>
    <row r="101" spans="1:41">
      <c r="B101" s="6" t="s">
        <v>173</v>
      </c>
      <c r="D101" t="s">
        <v>112</v>
      </c>
      <c r="G101" s="18">
        <v>350010.1</v>
      </c>
      <c r="H101" s="10" t="s">
        <v>51</v>
      </c>
    </row>
    <row r="102" spans="1:41">
      <c r="B102" s="6" t="s">
        <v>173</v>
      </c>
      <c r="D102" t="s">
        <v>113</v>
      </c>
      <c r="G102" s="18">
        <v>112567.89</v>
      </c>
      <c r="H102" s="10" t="s">
        <v>51</v>
      </c>
    </row>
    <row r="103" spans="1:41">
      <c r="B103" s="6" t="s">
        <v>173</v>
      </c>
      <c r="D103" t="s">
        <v>115</v>
      </c>
      <c r="G103" s="18">
        <v>653333.33333333337</v>
      </c>
      <c r="H103" s="10" t="s">
        <v>51</v>
      </c>
    </row>
    <row r="104" spans="1:41">
      <c r="B104" s="6" t="s">
        <v>173</v>
      </c>
      <c r="D104" t="s">
        <v>120</v>
      </c>
      <c r="G104" s="18">
        <v>345678</v>
      </c>
      <c r="H104" s="10" t="s">
        <v>51</v>
      </c>
    </row>
    <row r="105" spans="1:41">
      <c r="B105" s="6" t="s">
        <v>173</v>
      </c>
      <c r="D105" t="s">
        <v>114</v>
      </c>
      <c r="G105" s="18">
        <v>4600414</v>
      </c>
      <c r="H105" s="10" t="s">
        <v>51</v>
      </c>
    </row>
    <row r="106" spans="1:41">
      <c r="B106" s="6" t="s">
        <v>173</v>
      </c>
      <c r="D106" t="s">
        <v>116</v>
      </c>
      <c r="G106" s="18">
        <v>399249.49</v>
      </c>
      <c r="H106" s="10" t="s">
        <v>51</v>
      </c>
    </row>
    <row r="107" spans="1:41">
      <c r="B107" s="6" t="s">
        <v>173</v>
      </c>
      <c r="D107" t="s">
        <v>117</v>
      </c>
      <c r="G107" s="18">
        <v>365312.22902430547</v>
      </c>
      <c r="H107" s="10" t="s">
        <v>51</v>
      </c>
      <c r="J107" s="27"/>
    </row>
    <row r="108" spans="1:41">
      <c r="B108" s="6" t="s">
        <v>173</v>
      </c>
      <c r="D108" t="s">
        <v>149</v>
      </c>
      <c r="G108" s="18">
        <v>444111.11</v>
      </c>
      <c r="H108" s="10" t="s">
        <v>51</v>
      </c>
    </row>
    <row r="109" spans="1:41">
      <c r="B109" s="6" t="s">
        <v>173</v>
      </c>
      <c r="D109" t="s">
        <v>138</v>
      </c>
      <c r="G109" s="18">
        <v>381110.5</v>
      </c>
      <c r="H109" s="10" t="s">
        <v>51</v>
      </c>
    </row>
    <row r="110" spans="1:41">
      <c r="B110" s="6" t="s">
        <v>173</v>
      </c>
      <c r="D110" t="s">
        <v>139</v>
      </c>
      <c r="G110" s="18">
        <v>6390081.9174906863</v>
      </c>
      <c r="H110" s="10" t="s">
        <v>51</v>
      </c>
    </row>
    <row r="111" spans="1:41">
      <c r="B111" s="6" t="s">
        <v>173</v>
      </c>
      <c r="D111" t="s">
        <v>118</v>
      </c>
      <c r="G111" s="18">
        <v>1400000</v>
      </c>
      <c r="H111" s="10" t="s">
        <v>51</v>
      </c>
    </row>
    <row r="112" spans="1:41">
      <c r="B112" s="6" t="s">
        <v>173</v>
      </c>
      <c r="D112" t="s">
        <v>119</v>
      </c>
      <c r="G112" s="18">
        <v>-567920.01</v>
      </c>
      <c r="H112" s="10" t="s">
        <v>51</v>
      </c>
    </row>
    <row r="114" spans="1:41" s="13" customFormat="1" ht="14.4" customHeight="1">
      <c r="A114" s="11"/>
      <c r="B114" s="11"/>
      <c r="C114" s="12" t="s">
        <v>11</v>
      </c>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row>
    <row r="116" spans="1:41">
      <c r="B116" s="6" t="s">
        <v>173</v>
      </c>
      <c r="D116" t="s">
        <v>183</v>
      </c>
      <c r="G116" s="18">
        <v>3</v>
      </c>
      <c r="H116" s="10" t="s">
        <v>54</v>
      </c>
      <c r="I116" t="s">
        <v>184</v>
      </c>
    </row>
    <row r="117" spans="1:41">
      <c r="B117" s="6" t="s">
        <v>260</v>
      </c>
      <c r="D117" t="s">
        <v>183</v>
      </c>
      <c r="G117" s="18">
        <v>2</v>
      </c>
      <c r="H117" s="10" t="s">
        <v>54</v>
      </c>
      <c r="I117" t="s">
        <v>184</v>
      </c>
    </row>
    <row r="119" spans="1:41" s="13" customFormat="1" ht="14.4" customHeight="1">
      <c r="A119" s="11"/>
      <c r="B119" s="11"/>
      <c r="C119" s="12" t="s">
        <v>11</v>
      </c>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row>
    <row r="121" spans="1:41">
      <c r="B121" s="6" t="s">
        <v>261</v>
      </c>
      <c r="D121" t="s">
        <v>12</v>
      </c>
      <c r="G121" s="14">
        <v>4.4499999999999998E-2</v>
      </c>
      <c r="H121" s="10" t="s">
        <v>15</v>
      </c>
    </row>
    <row r="122" spans="1:41">
      <c r="B122" s="6" t="s">
        <v>261</v>
      </c>
      <c r="D122" t="s">
        <v>13</v>
      </c>
      <c r="G122" s="18">
        <v>1.2</v>
      </c>
      <c r="I122" t="s">
        <v>123</v>
      </c>
    </row>
    <row r="123" spans="1:41">
      <c r="B123" s="6" t="s">
        <v>261</v>
      </c>
      <c r="D123" t="s">
        <v>14</v>
      </c>
      <c r="G123" s="14">
        <v>2.6749999999999999E-2</v>
      </c>
      <c r="H123" s="10" t="s">
        <v>15</v>
      </c>
    </row>
    <row r="124" spans="1:41">
      <c r="B124" s="6" t="s">
        <v>260</v>
      </c>
      <c r="D124" t="s">
        <v>270</v>
      </c>
      <c r="G124" s="14">
        <v>8.7616493295780723E-2</v>
      </c>
      <c r="H124" s="10" t="s">
        <v>15</v>
      </c>
    </row>
    <row r="125" spans="1:41">
      <c r="B125" s="6" t="s">
        <v>273</v>
      </c>
      <c r="D125" t="s">
        <v>270</v>
      </c>
      <c r="G125" s="14">
        <v>6.275E-2</v>
      </c>
      <c r="H125" s="10" t="s">
        <v>15</v>
      </c>
    </row>
    <row r="127" spans="1:41" s="13" customFormat="1" ht="14.4" customHeight="1">
      <c r="A127" s="11"/>
      <c r="B127" s="11"/>
      <c r="C127" s="12" t="s">
        <v>16</v>
      </c>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row>
    <row r="129" spans="1:41">
      <c r="B129" s="6" t="s">
        <v>173</v>
      </c>
      <c r="D129" t="s">
        <v>23</v>
      </c>
      <c r="G129" s="14">
        <v>1.95E-2</v>
      </c>
      <c r="H129" s="10" t="s">
        <v>15</v>
      </c>
      <c r="I129" t="s">
        <v>130</v>
      </c>
    </row>
    <row r="130" spans="1:41">
      <c r="B130" s="6" t="s">
        <v>260</v>
      </c>
      <c r="D130" t="s">
        <v>23</v>
      </c>
      <c r="G130" s="14">
        <v>1.4999999999999999E-2</v>
      </c>
      <c r="H130" s="10" t="s">
        <v>15</v>
      </c>
      <c r="I130" t="s">
        <v>130</v>
      </c>
    </row>
    <row r="131" spans="1:41">
      <c r="B131" s="6" t="s">
        <v>273</v>
      </c>
      <c r="D131" t="s">
        <v>23</v>
      </c>
      <c r="G131" s="14">
        <v>2.1999999999999999E-2</v>
      </c>
      <c r="H131" s="10" t="s">
        <v>15</v>
      </c>
      <c r="I131" t="s">
        <v>130</v>
      </c>
    </row>
    <row r="133" spans="1:41" s="13" customFormat="1" ht="14.4" customHeight="1">
      <c r="A133" s="11"/>
      <c r="B133" s="11"/>
      <c r="C133" s="12" t="s">
        <v>4</v>
      </c>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row>
    <row r="135" spans="1:41">
      <c r="B135" s="6" t="s">
        <v>260</v>
      </c>
      <c r="D135" t="s">
        <v>248</v>
      </c>
      <c r="G135" s="44" t="s">
        <v>249</v>
      </c>
      <c r="H135" s="10"/>
    </row>
    <row r="137" spans="1:41" s="13" customFormat="1" ht="14.4" customHeight="1">
      <c r="A137" s="11"/>
      <c r="B137" s="11"/>
      <c r="C137" s="12" t="s">
        <v>250</v>
      </c>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row>
    <row r="139" spans="1:41">
      <c r="B139" s="6" t="s">
        <v>260</v>
      </c>
      <c r="D139" t="s">
        <v>251</v>
      </c>
      <c r="G139" s="45">
        <v>0.85</v>
      </c>
      <c r="H139" s="10" t="s">
        <v>15</v>
      </c>
    </row>
    <row r="141" spans="1:41" s="13" customFormat="1" ht="14.4" customHeight="1">
      <c r="A141" s="11"/>
      <c r="B141" s="11"/>
      <c r="C141" s="12" t="s">
        <v>252</v>
      </c>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row>
    <row r="143" spans="1:41">
      <c r="B143" s="6" t="s">
        <v>260</v>
      </c>
      <c r="D143" t="s">
        <v>220</v>
      </c>
      <c r="E143" t="s">
        <v>262</v>
      </c>
      <c r="G143" s="46">
        <v>45965955.509999998</v>
      </c>
      <c r="H143" s="10" t="s">
        <v>51</v>
      </c>
      <c r="I143" s="27"/>
    </row>
    <row r="144" spans="1:41">
      <c r="B144" s="6" t="s">
        <v>260</v>
      </c>
      <c r="D144" t="s">
        <v>221</v>
      </c>
      <c r="E144" t="s">
        <v>262</v>
      </c>
      <c r="G144" s="46">
        <v>27488440.210000001</v>
      </c>
      <c r="H144" s="10" t="s">
        <v>51</v>
      </c>
    </row>
    <row r="145" spans="2:10">
      <c r="B145" s="6" t="s">
        <v>260</v>
      </c>
      <c r="D145" t="s">
        <v>222</v>
      </c>
      <c r="E145" t="s">
        <v>262</v>
      </c>
      <c r="G145" s="46">
        <v>2947615.03</v>
      </c>
      <c r="H145" s="10" t="s">
        <v>51</v>
      </c>
    </row>
    <row r="146" spans="2:10">
      <c r="B146" s="6" t="s">
        <v>260</v>
      </c>
      <c r="D146" t="s">
        <v>223</v>
      </c>
      <c r="E146" t="s">
        <v>262</v>
      </c>
      <c r="G146" s="46">
        <v>3980054.47</v>
      </c>
      <c r="H146" s="10" t="s">
        <v>51</v>
      </c>
    </row>
    <row r="147" spans="2:10">
      <c r="B147" s="6" t="s">
        <v>260</v>
      </c>
      <c r="D147" t="s">
        <v>224</v>
      </c>
      <c r="E147" t="s">
        <v>262</v>
      </c>
      <c r="G147" s="46">
        <v>2708674.6</v>
      </c>
      <c r="H147" s="10" t="s">
        <v>51</v>
      </c>
    </row>
    <row r="148" spans="2:10">
      <c r="B148" s="6" t="s">
        <v>260</v>
      </c>
      <c r="D148" t="s">
        <v>265</v>
      </c>
      <c r="E148" t="s">
        <v>262</v>
      </c>
      <c r="G148" s="46">
        <v>2222222.2200000002</v>
      </c>
      <c r="H148" s="10" t="s">
        <v>51</v>
      </c>
    </row>
    <row r="149" spans="2:10">
      <c r="B149" s="6" t="s">
        <v>260</v>
      </c>
      <c r="D149" t="s">
        <v>18</v>
      </c>
      <c r="E149" t="s">
        <v>262</v>
      </c>
      <c r="G149" s="46">
        <v>244022.56</v>
      </c>
      <c r="H149" s="10" t="s">
        <v>51</v>
      </c>
      <c r="J149" s="27"/>
    </row>
    <row r="150" spans="2:10">
      <c r="B150" s="6" t="s">
        <v>260</v>
      </c>
      <c r="D150" t="s">
        <v>225</v>
      </c>
      <c r="E150" t="s">
        <v>262</v>
      </c>
      <c r="G150" s="46">
        <v>908843.78</v>
      </c>
      <c r="H150" s="10" t="s">
        <v>51</v>
      </c>
    </row>
    <row r="151" spans="2:10">
      <c r="B151" s="6" t="s">
        <v>260</v>
      </c>
      <c r="D151" t="s">
        <v>226</v>
      </c>
      <c r="E151" t="s">
        <v>262</v>
      </c>
      <c r="G151" s="46">
        <v>518793.57</v>
      </c>
      <c r="H151" s="10" t="s">
        <v>51</v>
      </c>
    </row>
    <row r="152" spans="2:10">
      <c r="B152" s="6" t="s">
        <v>260</v>
      </c>
      <c r="D152" t="s">
        <v>227</v>
      </c>
      <c r="E152" t="s">
        <v>262</v>
      </c>
      <c r="G152" s="46">
        <v>1261995.3700000001</v>
      </c>
      <c r="H152" s="10" t="s">
        <v>51</v>
      </c>
    </row>
    <row r="153" spans="2:10">
      <c r="B153" s="6" t="s">
        <v>260</v>
      </c>
      <c r="D153" t="s">
        <v>228</v>
      </c>
      <c r="E153" t="s">
        <v>262</v>
      </c>
      <c r="G153" s="46">
        <v>117442.64</v>
      </c>
      <c r="H153" s="10" t="s">
        <v>51</v>
      </c>
    </row>
    <row r="154" spans="2:10">
      <c r="B154" s="6" t="s">
        <v>260</v>
      </c>
      <c r="D154" t="s">
        <v>229</v>
      </c>
      <c r="E154" t="s">
        <v>262</v>
      </c>
      <c r="G154" s="46">
        <v>2234485.0099999998</v>
      </c>
      <c r="H154" s="10" t="s">
        <v>51</v>
      </c>
      <c r="I154" s="50"/>
    </row>
    <row r="155" spans="2:10">
      <c r="B155" s="6" t="s">
        <v>260</v>
      </c>
      <c r="D155" t="s">
        <v>230</v>
      </c>
      <c r="E155" t="s">
        <v>263</v>
      </c>
      <c r="G155" s="46">
        <v>5729545.1499999901</v>
      </c>
      <c r="H155" s="10" t="s">
        <v>51</v>
      </c>
      <c r="I155" s="27"/>
    </row>
    <row r="156" spans="2:10">
      <c r="B156" s="6" t="s">
        <v>260</v>
      </c>
      <c r="D156" t="s">
        <v>231</v>
      </c>
      <c r="E156" t="s">
        <v>263</v>
      </c>
      <c r="G156" s="46">
        <v>2812433.05</v>
      </c>
      <c r="H156" s="10" t="s">
        <v>51</v>
      </c>
    </row>
    <row r="157" spans="2:10">
      <c r="B157" s="6" t="s">
        <v>260</v>
      </c>
      <c r="D157" t="s">
        <v>112</v>
      </c>
      <c r="E157" t="s">
        <v>263</v>
      </c>
      <c r="G157" s="46">
        <v>6926684.4900000002</v>
      </c>
      <c r="H157" s="10" t="s">
        <v>51</v>
      </c>
    </row>
    <row r="158" spans="2:10">
      <c r="B158" s="6" t="s">
        <v>260</v>
      </c>
      <c r="D158" t="s">
        <v>266</v>
      </c>
      <c r="E158" t="s">
        <v>263</v>
      </c>
      <c r="G158" s="46">
        <v>1000000</v>
      </c>
      <c r="H158" s="10" t="s">
        <v>51</v>
      </c>
    </row>
    <row r="159" spans="2:10">
      <c r="B159" s="6" t="s">
        <v>260</v>
      </c>
      <c r="D159" t="s">
        <v>113</v>
      </c>
      <c r="E159" t="s">
        <v>263</v>
      </c>
      <c r="G159" s="46">
        <v>5560771.4299999997</v>
      </c>
      <c r="H159" s="10" t="s">
        <v>51</v>
      </c>
    </row>
    <row r="160" spans="2:10">
      <c r="B160" s="6" t="s">
        <v>260</v>
      </c>
      <c r="D160" t="s">
        <v>232</v>
      </c>
      <c r="E160" t="s">
        <v>263</v>
      </c>
      <c r="G160" s="46">
        <v>790303.72</v>
      </c>
      <c r="H160" s="10" t="s">
        <v>51</v>
      </c>
    </row>
    <row r="161" spans="2:9">
      <c r="B161" s="6" t="s">
        <v>260</v>
      </c>
      <c r="D161" t="s">
        <v>233</v>
      </c>
      <c r="E161" t="s">
        <v>263</v>
      </c>
      <c r="G161" s="46">
        <v>584836.43999999994</v>
      </c>
      <c r="H161" s="10" t="s">
        <v>51</v>
      </c>
      <c r="I161" s="27"/>
    </row>
    <row r="162" spans="2:9">
      <c r="B162" s="6" t="s">
        <v>260</v>
      </c>
      <c r="D162" t="s">
        <v>234</v>
      </c>
      <c r="E162" t="s">
        <v>263</v>
      </c>
      <c r="G162" s="46">
        <v>27817561.41</v>
      </c>
      <c r="H162" s="10" t="s">
        <v>51</v>
      </c>
    </row>
    <row r="163" spans="2:9">
      <c r="B163" s="6" t="s">
        <v>260</v>
      </c>
      <c r="D163" t="s">
        <v>235</v>
      </c>
      <c r="E163" t="s">
        <v>263</v>
      </c>
      <c r="G163" s="46">
        <v>-11523093.23</v>
      </c>
      <c r="H163" s="10" t="s">
        <v>51</v>
      </c>
    </row>
    <row r="164" spans="2:9">
      <c r="B164" s="6" t="s">
        <v>260</v>
      </c>
      <c r="D164" t="s">
        <v>236</v>
      </c>
      <c r="E164" t="s">
        <v>263</v>
      </c>
      <c r="G164" s="46">
        <v>6068205.3799999999</v>
      </c>
      <c r="H164" s="10" t="s">
        <v>51</v>
      </c>
    </row>
    <row r="165" spans="2:9">
      <c r="B165" s="6" t="s">
        <v>260</v>
      </c>
      <c r="D165" t="s">
        <v>237</v>
      </c>
      <c r="E165" t="s">
        <v>263</v>
      </c>
      <c r="G165" s="46">
        <v>4837490.6399999997</v>
      </c>
      <c r="H165" s="10" t="s">
        <v>51</v>
      </c>
      <c r="I165" s="27"/>
    </row>
    <row r="166" spans="2:9">
      <c r="B166" s="6" t="s">
        <v>260</v>
      </c>
      <c r="D166" t="s">
        <v>238</v>
      </c>
      <c r="E166" t="s">
        <v>263</v>
      </c>
      <c r="G166" s="46">
        <v>721146.76</v>
      </c>
      <c r="H166" s="10" t="s">
        <v>51</v>
      </c>
    </row>
    <row r="167" spans="2:9">
      <c r="B167" s="6" t="s">
        <v>260</v>
      </c>
      <c r="D167" t="s">
        <v>116</v>
      </c>
      <c r="E167" t="s">
        <v>263</v>
      </c>
      <c r="G167" s="46">
        <v>4699219.09</v>
      </c>
      <c r="H167" s="10" t="s">
        <v>51</v>
      </c>
    </row>
    <row r="168" spans="2:9">
      <c r="B168" s="6" t="s">
        <v>260</v>
      </c>
      <c r="D168" t="s">
        <v>239</v>
      </c>
      <c r="E168" t="s">
        <v>263</v>
      </c>
      <c r="G168" s="46">
        <v>3555499.16</v>
      </c>
      <c r="H168" s="10" t="s">
        <v>51</v>
      </c>
    </row>
    <row r="169" spans="2:9">
      <c r="B169" s="6" t="s">
        <v>260</v>
      </c>
      <c r="D169" t="s">
        <v>240</v>
      </c>
      <c r="E169" t="s">
        <v>263</v>
      </c>
      <c r="G169" s="46">
        <v>2686543.58</v>
      </c>
      <c r="H169" s="10" t="s">
        <v>51</v>
      </c>
    </row>
    <row r="170" spans="2:9">
      <c r="B170" s="6" t="s">
        <v>260</v>
      </c>
      <c r="D170" t="s">
        <v>241</v>
      </c>
      <c r="E170" t="s">
        <v>263</v>
      </c>
      <c r="G170" s="46">
        <v>1814513.58</v>
      </c>
      <c r="H170" s="10" t="s">
        <v>51</v>
      </c>
    </row>
    <row r="171" spans="2:9">
      <c r="B171" s="6" t="s">
        <v>260</v>
      </c>
      <c r="D171" t="s">
        <v>143</v>
      </c>
      <c r="E171" t="s">
        <v>263</v>
      </c>
      <c r="G171" s="46">
        <v>1337492.73</v>
      </c>
      <c r="H171" s="10" t="s">
        <v>51</v>
      </c>
    </row>
    <row r="172" spans="2:9">
      <c r="B172" s="6" t="s">
        <v>260</v>
      </c>
      <c r="D172" t="s">
        <v>242</v>
      </c>
      <c r="E172" t="s">
        <v>263</v>
      </c>
      <c r="G172" s="46">
        <v>919262</v>
      </c>
      <c r="H172" s="10" t="s">
        <v>51</v>
      </c>
    </row>
    <row r="173" spans="2:9">
      <c r="B173" s="6" t="s">
        <v>260</v>
      </c>
      <c r="D173" t="s">
        <v>144</v>
      </c>
      <c r="E173" t="s">
        <v>263</v>
      </c>
      <c r="G173" s="46">
        <v>20610026.16</v>
      </c>
      <c r="H173" s="10" t="s">
        <v>51</v>
      </c>
    </row>
    <row r="174" spans="2:9">
      <c r="B174" s="6" t="s">
        <v>260</v>
      </c>
      <c r="D174" t="s">
        <v>243</v>
      </c>
      <c r="E174" t="s">
        <v>263</v>
      </c>
      <c r="G174" s="46">
        <v>3004223.22</v>
      </c>
      <c r="H174" s="10" t="s">
        <v>51</v>
      </c>
    </row>
    <row r="175" spans="2:9">
      <c r="B175" s="6" t="s">
        <v>260</v>
      </c>
      <c r="D175" t="s">
        <v>244</v>
      </c>
      <c r="E175" t="s">
        <v>263</v>
      </c>
      <c r="G175" s="46">
        <v>2586033.09</v>
      </c>
      <c r="H175" s="10" t="s">
        <v>51</v>
      </c>
    </row>
    <row r="176" spans="2:9">
      <c r="B176" s="6" t="s">
        <v>260</v>
      </c>
      <c r="D176" t="s">
        <v>245</v>
      </c>
      <c r="E176" t="s">
        <v>263</v>
      </c>
      <c r="G176" s="46">
        <v>907815.48</v>
      </c>
      <c r="H176" s="10" t="s">
        <v>51</v>
      </c>
    </row>
    <row r="177" spans="2:8">
      <c r="B177" s="6" t="s">
        <v>260</v>
      </c>
      <c r="D177" t="s">
        <v>246</v>
      </c>
      <c r="E177" t="s">
        <v>263</v>
      </c>
      <c r="G177" s="46">
        <v>6064933.96</v>
      </c>
      <c r="H177" s="10" t="s">
        <v>51</v>
      </c>
    </row>
    <row r="178" spans="2:8">
      <c r="B178" s="6" t="s">
        <v>260</v>
      </c>
      <c r="D178" t="s">
        <v>247</v>
      </c>
      <c r="E178" t="s">
        <v>263</v>
      </c>
      <c r="G178" s="46">
        <v>2060822.92</v>
      </c>
      <c r="H178" s="10" t="s">
        <v>51</v>
      </c>
    </row>
    <row r="179" spans="2:8">
      <c r="B179" s="6" t="s">
        <v>260</v>
      </c>
      <c r="D179" t="s">
        <v>119</v>
      </c>
      <c r="E179" t="s">
        <v>263</v>
      </c>
      <c r="G179" s="46">
        <v>1079500.27</v>
      </c>
      <c r="H179" s="10" t="s">
        <v>51</v>
      </c>
    </row>
    <row r="180" spans="2:8">
      <c r="B180" s="6" t="s">
        <v>260</v>
      </c>
      <c r="D180" t="s">
        <v>220</v>
      </c>
      <c r="E180" t="s">
        <v>253</v>
      </c>
      <c r="G180" s="47" t="s">
        <v>220</v>
      </c>
    </row>
    <row r="181" spans="2:8">
      <c r="B181" s="6" t="s">
        <v>260</v>
      </c>
      <c r="D181" t="s">
        <v>221</v>
      </c>
      <c r="E181" t="s">
        <v>253</v>
      </c>
      <c r="G181" s="47" t="s">
        <v>213</v>
      </c>
    </row>
    <row r="182" spans="2:8">
      <c r="B182" s="6" t="s">
        <v>260</v>
      </c>
      <c r="D182" t="s">
        <v>222</v>
      </c>
      <c r="E182" t="s">
        <v>253</v>
      </c>
      <c r="G182" s="47" t="s">
        <v>219</v>
      </c>
    </row>
    <row r="183" spans="2:8">
      <c r="B183" s="6" t="s">
        <v>260</v>
      </c>
      <c r="D183" t="s">
        <v>223</v>
      </c>
      <c r="E183" t="s">
        <v>253</v>
      </c>
      <c r="G183" s="47" t="s">
        <v>219</v>
      </c>
    </row>
    <row r="184" spans="2:8">
      <c r="B184" s="6" t="s">
        <v>260</v>
      </c>
      <c r="D184" t="s">
        <v>224</v>
      </c>
      <c r="E184" t="s">
        <v>253</v>
      </c>
      <c r="G184" s="47" t="s">
        <v>219</v>
      </c>
    </row>
    <row r="185" spans="2:8">
      <c r="B185" s="6" t="s">
        <v>260</v>
      </c>
      <c r="D185" t="s">
        <v>265</v>
      </c>
      <c r="E185" t="s">
        <v>253</v>
      </c>
      <c r="G185" s="47" t="s">
        <v>219</v>
      </c>
    </row>
    <row r="186" spans="2:8">
      <c r="B186" s="6" t="s">
        <v>260</v>
      </c>
      <c r="D186" t="s">
        <v>18</v>
      </c>
      <c r="E186" t="s">
        <v>253</v>
      </c>
      <c r="G186" s="47" t="s">
        <v>254</v>
      </c>
    </row>
    <row r="187" spans="2:8">
      <c r="B187" s="6" t="s">
        <v>260</v>
      </c>
      <c r="D187" t="s">
        <v>225</v>
      </c>
      <c r="E187" t="s">
        <v>253</v>
      </c>
      <c r="G187" s="47" t="s">
        <v>219</v>
      </c>
    </row>
    <row r="188" spans="2:8">
      <c r="B188" s="6" t="s">
        <v>260</v>
      </c>
      <c r="D188" t="s">
        <v>226</v>
      </c>
      <c r="E188" t="s">
        <v>253</v>
      </c>
      <c r="G188" s="47" t="s">
        <v>219</v>
      </c>
    </row>
    <row r="189" spans="2:8">
      <c r="B189" s="6" t="s">
        <v>260</v>
      </c>
      <c r="D189" t="s">
        <v>227</v>
      </c>
      <c r="E189" t="s">
        <v>253</v>
      </c>
      <c r="G189" s="47" t="s">
        <v>219</v>
      </c>
    </row>
    <row r="190" spans="2:8">
      <c r="B190" s="6" t="s">
        <v>260</v>
      </c>
      <c r="D190" t="s">
        <v>228</v>
      </c>
      <c r="E190" t="s">
        <v>253</v>
      </c>
      <c r="G190" s="47" t="s">
        <v>218</v>
      </c>
    </row>
    <row r="191" spans="2:8">
      <c r="B191" s="6" t="s">
        <v>260</v>
      </c>
      <c r="D191" t="s">
        <v>229</v>
      </c>
      <c r="E191" t="s">
        <v>253</v>
      </c>
      <c r="G191" s="47" t="s">
        <v>218</v>
      </c>
    </row>
    <row r="192" spans="2:8">
      <c r="B192" s="6" t="s">
        <v>260</v>
      </c>
      <c r="D192" t="s">
        <v>230</v>
      </c>
      <c r="E192" t="s">
        <v>253</v>
      </c>
      <c r="G192" s="47" t="s">
        <v>214</v>
      </c>
    </row>
    <row r="193" spans="2:7">
      <c r="B193" s="6" t="s">
        <v>260</v>
      </c>
      <c r="D193" t="s">
        <v>231</v>
      </c>
      <c r="E193" t="s">
        <v>253</v>
      </c>
      <c r="G193" s="47" t="s">
        <v>214</v>
      </c>
    </row>
    <row r="194" spans="2:7">
      <c r="B194" s="6" t="s">
        <v>260</v>
      </c>
      <c r="D194" t="s">
        <v>112</v>
      </c>
      <c r="E194" t="s">
        <v>253</v>
      </c>
      <c r="G194" s="47" t="s">
        <v>267</v>
      </c>
    </row>
    <row r="195" spans="2:7">
      <c r="B195" s="6" t="s">
        <v>260</v>
      </c>
      <c r="D195" t="s">
        <v>266</v>
      </c>
      <c r="E195" t="s">
        <v>253</v>
      </c>
      <c r="G195" s="47" t="s">
        <v>267</v>
      </c>
    </row>
    <row r="196" spans="2:7">
      <c r="B196" s="6" t="s">
        <v>260</v>
      </c>
      <c r="D196" t="s">
        <v>113</v>
      </c>
      <c r="E196" t="s">
        <v>253</v>
      </c>
      <c r="G196" s="47" t="s">
        <v>214</v>
      </c>
    </row>
    <row r="197" spans="2:7">
      <c r="B197" s="6" t="s">
        <v>260</v>
      </c>
      <c r="D197" t="s">
        <v>232</v>
      </c>
      <c r="E197" t="s">
        <v>253</v>
      </c>
      <c r="G197" s="47" t="s">
        <v>214</v>
      </c>
    </row>
    <row r="198" spans="2:7">
      <c r="B198" s="6" t="s">
        <v>260</v>
      </c>
      <c r="D198" t="s">
        <v>233</v>
      </c>
      <c r="E198" t="s">
        <v>253</v>
      </c>
      <c r="G198" s="47" t="s">
        <v>214</v>
      </c>
    </row>
    <row r="199" spans="2:7">
      <c r="B199" s="6" t="s">
        <v>260</v>
      </c>
      <c r="D199" t="s">
        <v>234</v>
      </c>
      <c r="E199" t="s">
        <v>253</v>
      </c>
      <c r="G199" s="47" t="s">
        <v>216</v>
      </c>
    </row>
    <row r="200" spans="2:7">
      <c r="B200" s="6" t="s">
        <v>260</v>
      </c>
      <c r="D200" t="s">
        <v>235</v>
      </c>
      <c r="E200" t="s">
        <v>253</v>
      </c>
      <c r="G200" s="47" t="s">
        <v>216</v>
      </c>
    </row>
    <row r="201" spans="2:7">
      <c r="B201" s="6" t="s">
        <v>260</v>
      </c>
      <c r="D201" t="s">
        <v>236</v>
      </c>
      <c r="E201" t="s">
        <v>253</v>
      </c>
      <c r="G201" s="47" t="s">
        <v>216</v>
      </c>
    </row>
    <row r="202" spans="2:7">
      <c r="B202" s="6" t="s">
        <v>260</v>
      </c>
      <c r="D202" t="s">
        <v>237</v>
      </c>
      <c r="E202" t="s">
        <v>253</v>
      </c>
      <c r="G202" s="47" t="s">
        <v>216</v>
      </c>
    </row>
    <row r="203" spans="2:7">
      <c r="B203" s="6" t="s">
        <v>260</v>
      </c>
      <c r="D203" t="s">
        <v>238</v>
      </c>
      <c r="E203" t="s">
        <v>253</v>
      </c>
      <c r="G203" s="47" t="s">
        <v>216</v>
      </c>
    </row>
    <row r="204" spans="2:7">
      <c r="B204" s="6" t="s">
        <v>260</v>
      </c>
      <c r="D204" t="s">
        <v>116</v>
      </c>
      <c r="E204" t="s">
        <v>253</v>
      </c>
      <c r="G204" s="47" t="s">
        <v>215</v>
      </c>
    </row>
    <row r="205" spans="2:7">
      <c r="B205" s="6" t="s">
        <v>260</v>
      </c>
      <c r="D205" t="s">
        <v>239</v>
      </c>
      <c r="E205" t="s">
        <v>253</v>
      </c>
      <c r="G205" s="47" t="s">
        <v>215</v>
      </c>
    </row>
    <row r="206" spans="2:7">
      <c r="B206" s="6" t="s">
        <v>260</v>
      </c>
      <c r="D206" t="s">
        <v>240</v>
      </c>
      <c r="E206" t="s">
        <v>253</v>
      </c>
      <c r="G206" s="47" t="s">
        <v>215</v>
      </c>
    </row>
    <row r="207" spans="2:7">
      <c r="B207" s="6" t="s">
        <v>260</v>
      </c>
      <c r="D207" t="s">
        <v>241</v>
      </c>
      <c r="E207" t="s">
        <v>253</v>
      </c>
      <c r="G207" s="47" t="s">
        <v>215</v>
      </c>
    </row>
    <row r="208" spans="2:7">
      <c r="B208" s="6" t="s">
        <v>260</v>
      </c>
      <c r="D208" t="s">
        <v>143</v>
      </c>
      <c r="E208" t="s">
        <v>253</v>
      </c>
      <c r="G208" s="47" t="s">
        <v>215</v>
      </c>
    </row>
    <row r="209" spans="1:41">
      <c r="B209" s="6" t="s">
        <v>260</v>
      </c>
      <c r="D209" t="s">
        <v>242</v>
      </c>
      <c r="E209" t="s">
        <v>253</v>
      </c>
      <c r="G209" s="47" t="s">
        <v>215</v>
      </c>
    </row>
    <row r="210" spans="1:41">
      <c r="B210" s="6" t="s">
        <v>260</v>
      </c>
      <c r="D210" t="s">
        <v>144</v>
      </c>
      <c r="E210" t="s">
        <v>253</v>
      </c>
      <c r="G210" s="47" t="s">
        <v>217</v>
      </c>
    </row>
    <row r="211" spans="1:41">
      <c r="B211" s="6" t="s">
        <v>260</v>
      </c>
      <c r="D211" t="s">
        <v>243</v>
      </c>
      <c r="E211" t="s">
        <v>253</v>
      </c>
      <c r="G211" s="47" t="s">
        <v>217</v>
      </c>
    </row>
    <row r="212" spans="1:41">
      <c r="B212" s="6" t="s">
        <v>260</v>
      </c>
      <c r="D212" t="s">
        <v>244</v>
      </c>
      <c r="E212" t="s">
        <v>253</v>
      </c>
      <c r="G212" s="47" t="s">
        <v>217</v>
      </c>
    </row>
    <row r="213" spans="1:41">
      <c r="B213" s="6" t="s">
        <v>260</v>
      </c>
      <c r="D213" t="s">
        <v>245</v>
      </c>
      <c r="E213" t="s">
        <v>253</v>
      </c>
      <c r="G213" s="47" t="s">
        <v>217</v>
      </c>
    </row>
    <row r="214" spans="1:41">
      <c r="B214" s="6" t="s">
        <v>260</v>
      </c>
      <c r="D214" t="s">
        <v>246</v>
      </c>
      <c r="E214" t="s">
        <v>253</v>
      </c>
      <c r="G214" s="47" t="s">
        <v>255</v>
      </c>
    </row>
    <row r="215" spans="1:41">
      <c r="B215" s="6" t="s">
        <v>260</v>
      </c>
      <c r="D215" t="s">
        <v>247</v>
      </c>
      <c r="E215" t="s">
        <v>253</v>
      </c>
      <c r="G215" s="47" t="s">
        <v>255</v>
      </c>
    </row>
    <row r="216" spans="1:41">
      <c r="B216" s="6" t="s">
        <v>260</v>
      </c>
      <c r="D216" t="s">
        <v>119</v>
      </c>
      <c r="E216" t="s">
        <v>253</v>
      </c>
      <c r="G216" s="47" t="s">
        <v>255</v>
      </c>
    </row>
    <row r="218" spans="1:41" s="13" customFormat="1" ht="14.4" customHeight="1">
      <c r="A218" s="11"/>
      <c r="B218" s="11"/>
      <c r="C218" s="12" t="s">
        <v>256</v>
      </c>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row>
    <row r="220" spans="1:41">
      <c r="B220" s="6" t="s">
        <v>260</v>
      </c>
      <c r="D220" t="s">
        <v>213</v>
      </c>
      <c r="G220" s="45">
        <v>1.9499999999999997E-2</v>
      </c>
      <c r="H220" s="10" t="s">
        <v>15</v>
      </c>
      <c r="I220" t="s">
        <v>257</v>
      </c>
      <c r="K220" s="49"/>
    </row>
    <row r="221" spans="1:41">
      <c r="B221" s="6" t="s">
        <v>260</v>
      </c>
      <c r="D221" t="s">
        <v>267</v>
      </c>
      <c r="G221" s="45">
        <v>1.7500000000000002E-2</v>
      </c>
      <c r="H221" s="10" t="s">
        <v>15</v>
      </c>
      <c r="I221" t="s">
        <v>257</v>
      </c>
      <c r="K221" s="49"/>
    </row>
    <row r="222" spans="1:41">
      <c r="B222" s="6" t="s">
        <v>260</v>
      </c>
      <c r="D222" t="s">
        <v>214</v>
      </c>
      <c r="G222" s="45">
        <v>1.8000000000000002E-2</v>
      </c>
      <c r="H222" s="10" t="s">
        <v>15</v>
      </c>
      <c r="I222" t="s">
        <v>258</v>
      </c>
    </row>
    <row r="223" spans="1:41">
      <c r="B223" s="6" t="s">
        <v>260</v>
      </c>
      <c r="D223" t="s">
        <v>215</v>
      </c>
      <c r="G223" s="45">
        <v>1.7000000000000001E-2</v>
      </c>
      <c r="H223" s="10" t="s">
        <v>15</v>
      </c>
      <c r="I223" t="s">
        <v>257</v>
      </c>
    </row>
    <row r="224" spans="1:41">
      <c r="B224" s="6" t="s">
        <v>260</v>
      </c>
      <c r="D224" t="s">
        <v>254</v>
      </c>
      <c r="G224" s="48" t="s">
        <v>259</v>
      </c>
      <c r="H224" s="10" t="s">
        <v>15</v>
      </c>
      <c r="I224" t="s">
        <v>257</v>
      </c>
    </row>
    <row r="225" spans="1:41">
      <c r="B225" s="6" t="s">
        <v>260</v>
      </c>
      <c r="D225" t="s">
        <v>255</v>
      </c>
      <c r="G225" s="48" t="s">
        <v>259</v>
      </c>
      <c r="H225" s="10" t="s">
        <v>15</v>
      </c>
      <c r="I225" t="s">
        <v>257</v>
      </c>
    </row>
    <row r="226" spans="1:41">
      <c r="B226" s="6" t="s">
        <v>260</v>
      </c>
      <c r="D226" t="s">
        <v>216</v>
      </c>
      <c r="G226" s="45">
        <v>1.8500000000000003E-2</v>
      </c>
      <c r="H226" s="10" t="s">
        <v>15</v>
      </c>
      <c r="I226" t="s">
        <v>257</v>
      </c>
    </row>
    <row r="227" spans="1:41">
      <c r="B227" s="6" t="s">
        <v>260</v>
      </c>
      <c r="D227" t="s">
        <v>217</v>
      </c>
      <c r="G227" s="45">
        <v>1.2499999999999999E-2</v>
      </c>
      <c r="H227" s="10" t="s">
        <v>15</v>
      </c>
      <c r="I227" t="s">
        <v>257</v>
      </c>
    </row>
    <row r="228" spans="1:41">
      <c r="B228" s="6" t="s">
        <v>260</v>
      </c>
      <c r="D228" t="s">
        <v>218</v>
      </c>
      <c r="G228" s="45">
        <v>0.02</v>
      </c>
      <c r="H228" s="10" t="s">
        <v>15</v>
      </c>
      <c r="I228" t="s">
        <v>257</v>
      </c>
    </row>
    <row r="229" spans="1:41">
      <c r="B229" s="6" t="s">
        <v>260</v>
      </c>
      <c r="D229" t="s">
        <v>219</v>
      </c>
      <c r="G229" s="45">
        <v>1.35E-2</v>
      </c>
      <c r="H229" s="10" t="s">
        <v>15</v>
      </c>
      <c r="I229" t="s">
        <v>257</v>
      </c>
    </row>
    <row r="230" spans="1:41">
      <c r="B230" s="6" t="s">
        <v>260</v>
      </c>
      <c r="D230" t="s">
        <v>220</v>
      </c>
      <c r="G230" s="45">
        <v>1.95E-2</v>
      </c>
      <c r="H230" s="10" t="s">
        <v>15</v>
      </c>
      <c r="I230" t="s">
        <v>257</v>
      </c>
    </row>
    <row r="232" spans="1:41" s="13" customFormat="1" ht="14.4" customHeight="1">
      <c r="A232" s="11"/>
      <c r="B232" s="11"/>
      <c r="C232" s="12" t="s">
        <v>373</v>
      </c>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row>
    <row r="234" spans="1:41">
      <c r="B234" s="6" t="s">
        <v>374</v>
      </c>
      <c r="D234" t="s">
        <v>340</v>
      </c>
      <c r="E234">
        <v>2025</v>
      </c>
      <c r="G234" s="46">
        <v>28.234559999999998</v>
      </c>
      <c r="H234" s="10" t="s">
        <v>343</v>
      </c>
    </row>
    <row r="236" spans="1:41" s="13" customFormat="1" ht="14.4" customHeight="1">
      <c r="A236" s="11"/>
      <c r="B236" s="11"/>
      <c r="C236" s="12" t="s">
        <v>278</v>
      </c>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row>
    <row r="238" spans="1:41">
      <c r="B238" s="6" t="s">
        <v>273</v>
      </c>
      <c r="D238" t="s">
        <v>8</v>
      </c>
      <c r="E238">
        <v>2024</v>
      </c>
      <c r="G238" s="46">
        <v>1196133</v>
      </c>
      <c r="H238" s="10" t="s">
        <v>51</v>
      </c>
    </row>
    <row r="239" spans="1:41">
      <c r="B239" s="6" t="s">
        <v>273</v>
      </c>
      <c r="D239" t="s">
        <v>8</v>
      </c>
      <c r="E239">
        <v>2025</v>
      </c>
      <c r="G239" s="46">
        <v>1296133.3299999998</v>
      </c>
      <c r="H239" s="10" t="s">
        <v>51</v>
      </c>
    </row>
    <row r="240" spans="1:41">
      <c r="B240" s="6" t="s">
        <v>273</v>
      </c>
      <c r="D240" t="s">
        <v>8</v>
      </c>
      <c r="E240" t="s">
        <v>281</v>
      </c>
      <c r="G240" s="46">
        <v>1294733.33</v>
      </c>
      <c r="H240" s="10" t="s">
        <v>51</v>
      </c>
    </row>
    <row r="241" spans="2:8">
      <c r="B241" s="6" t="s">
        <v>273</v>
      </c>
      <c r="D241" t="s">
        <v>8</v>
      </c>
      <c r="E241" t="s">
        <v>282</v>
      </c>
      <c r="G241" s="46">
        <v>1164266.67</v>
      </c>
      <c r="H241" s="10" t="s">
        <v>51</v>
      </c>
    </row>
    <row r="242" spans="2:8">
      <c r="B242" s="6" t="s">
        <v>273</v>
      </c>
      <c r="D242" t="s">
        <v>8</v>
      </c>
      <c r="E242" t="s">
        <v>283</v>
      </c>
      <c r="G242" s="46">
        <v>1518266.67</v>
      </c>
      <c r="H242" s="10" t="s">
        <v>51</v>
      </c>
    </row>
    <row r="243" spans="2:8">
      <c r="B243" s="6" t="s">
        <v>273</v>
      </c>
      <c r="D243" t="s">
        <v>8</v>
      </c>
      <c r="E243" t="s">
        <v>284</v>
      </c>
      <c r="G243" s="46">
        <v>2918733.33</v>
      </c>
      <c r="H243" s="10" t="s">
        <v>51</v>
      </c>
    </row>
    <row r="244" spans="2:8">
      <c r="B244" s="6" t="s">
        <v>273</v>
      </c>
      <c r="D244" t="s">
        <v>8</v>
      </c>
      <c r="E244" t="s">
        <v>285</v>
      </c>
      <c r="G244" s="46">
        <v>2175733.33</v>
      </c>
      <c r="H244" s="10" t="s">
        <v>51</v>
      </c>
    </row>
    <row r="245" spans="2:8">
      <c r="B245" s="6" t="s">
        <v>273</v>
      </c>
      <c r="D245" t="s">
        <v>8</v>
      </c>
      <c r="E245" t="s">
        <v>286</v>
      </c>
      <c r="G245" s="46">
        <v>2012800</v>
      </c>
      <c r="H245" s="10" t="s">
        <v>51</v>
      </c>
    </row>
    <row r="246" spans="2:8">
      <c r="B246" s="6" t="s">
        <v>273</v>
      </c>
      <c r="D246" t="s">
        <v>8</v>
      </c>
      <c r="E246" t="s">
        <v>287</v>
      </c>
      <c r="G246" s="46">
        <v>1584400</v>
      </c>
      <c r="H246" s="10" t="s">
        <v>51</v>
      </c>
    </row>
    <row r="247" spans="2:8">
      <c r="B247" s="6" t="s">
        <v>273</v>
      </c>
      <c r="D247" t="s">
        <v>8</v>
      </c>
      <c r="E247" t="s">
        <v>288</v>
      </c>
      <c r="G247" s="46">
        <v>1861133.3299999998</v>
      </c>
      <c r="H247" s="10" t="s">
        <v>51</v>
      </c>
    </row>
    <row r="248" spans="2:8">
      <c r="B248" s="6" t="s">
        <v>273</v>
      </c>
      <c r="D248" t="s">
        <v>8</v>
      </c>
      <c r="E248" t="s">
        <v>289</v>
      </c>
      <c r="G248" s="46">
        <v>1840000</v>
      </c>
      <c r="H248" s="10" t="s">
        <v>51</v>
      </c>
    </row>
    <row r="249" spans="2:8">
      <c r="B249" s="6" t="s">
        <v>273</v>
      </c>
      <c r="D249" t="s">
        <v>8</v>
      </c>
      <c r="E249" t="s">
        <v>290</v>
      </c>
      <c r="G249" s="46">
        <v>2075533.3300000003</v>
      </c>
      <c r="H249" s="10" t="s">
        <v>51</v>
      </c>
    </row>
    <row r="250" spans="2:8">
      <c r="B250" s="6" t="s">
        <v>273</v>
      </c>
      <c r="D250" t="s">
        <v>214</v>
      </c>
      <c r="E250">
        <v>2024</v>
      </c>
      <c r="G250" s="46">
        <v>4756890</v>
      </c>
      <c r="H250" s="10" t="s">
        <v>51</v>
      </c>
    </row>
    <row r="251" spans="2:8">
      <c r="B251" s="6" t="s">
        <v>273</v>
      </c>
      <c r="D251" t="s">
        <v>214</v>
      </c>
      <c r="E251">
        <v>2025</v>
      </c>
      <c r="G251" s="46">
        <v>5485200</v>
      </c>
      <c r="H251" s="10" t="s">
        <v>51</v>
      </c>
    </row>
    <row r="252" spans="2:8">
      <c r="B252" s="6" t="s">
        <v>273</v>
      </c>
      <c r="D252" t="s">
        <v>214</v>
      </c>
      <c r="E252" t="s">
        <v>281</v>
      </c>
      <c r="G252" s="46">
        <v>6754800</v>
      </c>
      <c r="H252" s="10" t="s">
        <v>51</v>
      </c>
    </row>
    <row r="253" spans="2:8">
      <c r="B253" s="6" t="s">
        <v>273</v>
      </c>
      <c r="D253" t="s">
        <v>214</v>
      </c>
      <c r="E253" t="s">
        <v>282</v>
      </c>
      <c r="G253" s="46">
        <v>7382266.6699999999</v>
      </c>
      <c r="H253" s="10" t="s">
        <v>51</v>
      </c>
    </row>
    <row r="254" spans="2:8">
      <c r="B254" s="6" t="s">
        <v>273</v>
      </c>
      <c r="D254" t="s">
        <v>214</v>
      </c>
      <c r="E254" t="s">
        <v>283</v>
      </c>
      <c r="G254" s="46">
        <v>7695133.3300000001</v>
      </c>
      <c r="H254" s="10" t="s">
        <v>51</v>
      </c>
    </row>
    <row r="255" spans="2:8">
      <c r="B255" s="6" t="s">
        <v>273</v>
      </c>
      <c r="D255" t="s">
        <v>214</v>
      </c>
      <c r="E255" t="s">
        <v>284</v>
      </c>
      <c r="G255" s="46">
        <v>9729400</v>
      </c>
      <c r="H255" s="10" t="s">
        <v>51</v>
      </c>
    </row>
    <row r="256" spans="2:8">
      <c r="B256" s="6" t="s">
        <v>273</v>
      </c>
      <c r="D256" t="s">
        <v>214</v>
      </c>
      <c r="E256" t="s">
        <v>285</v>
      </c>
      <c r="G256" s="46">
        <v>8225000</v>
      </c>
      <c r="H256" s="10" t="s">
        <v>51</v>
      </c>
    </row>
    <row r="257" spans="2:8">
      <c r="B257" s="6" t="s">
        <v>273</v>
      </c>
      <c r="D257" t="s">
        <v>214</v>
      </c>
      <c r="E257" t="s">
        <v>286</v>
      </c>
      <c r="G257" s="46">
        <v>7767600</v>
      </c>
      <c r="H257" s="10" t="s">
        <v>51</v>
      </c>
    </row>
    <row r="258" spans="2:8">
      <c r="B258" s="6" t="s">
        <v>273</v>
      </c>
      <c r="D258" t="s">
        <v>214</v>
      </c>
      <c r="E258" t="s">
        <v>287</v>
      </c>
      <c r="G258" s="46">
        <v>9072800</v>
      </c>
      <c r="H258" s="10" t="s">
        <v>51</v>
      </c>
    </row>
    <row r="259" spans="2:8">
      <c r="B259" s="6" t="s">
        <v>273</v>
      </c>
      <c r="D259" t="s">
        <v>214</v>
      </c>
      <c r="E259" t="s">
        <v>288</v>
      </c>
      <c r="G259" s="46">
        <v>8917000</v>
      </c>
      <c r="H259" s="10" t="s">
        <v>51</v>
      </c>
    </row>
    <row r="260" spans="2:8">
      <c r="B260" s="6" t="s">
        <v>273</v>
      </c>
      <c r="D260" t="s">
        <v>214</v>
      </c>
      <c r="E260" t="s">
        <v>289</v>
      </c>
      <c r="G260" s="46">
        <v>9401000</v>
      </c>
      <c r="H260" s="10" t="s">
        <v>51</v>
      </c>
    </row>
    <row r="261" spans="2:8">
      <c r="B261" s="6" t="s">
        <v>273</v>
      </c>
      <c r="D261" t="s">
        <v>214</v>
      </c>
      <c r="E261" t="s">
        <v>290</v>
      </c>
      <c r="G261" s="46">
        <v>8546000</v>
      </c>
      <c r="H261" s="10" t="s">
        <v>51</v>
      </c>
    </row>
    <row r="262" spans="2:8">
      <c r="B262" s="6" t="s">
        <v>273</v>
      </c>
      <c r="D262" t="s">
        <v>215</v>
      </c>
      <c r="E262">
        <v>2025</v>
      </c>
      <c r="G262" s="46">
        <v>4947066.67</v>
      </c>
      <c r="H262" s="10" t="s">
        <v>51</v>
      </c>
    </row>
    <row r="263" spans="2:8">
      <c r="B263" s="6" t="s">
        <v>273</v>
      </c>
      <c r="D263" t="s">
        <v>215</v>
      </c>
      <c r="E263" t="s">
        <v>281</v>
      </c>
      <c r="G263" s="46">
        <v>4993666.67</v>
      </c>
      <c r="H263" s="10" t="s">
        <v>51</v>
      </c>
    </row>
    <row r="264" spans="2:8">
      <c r="B264" s="6" t="s">
        <v>273</v>
      </c>
      <c r="D264" t="s">
        <v>215</v>
      </c>
      <c r="E264" t="s">
        <v>282</v>
      </c>
      <c r="G264" s="46">
        <v>5785200</v>
      </c>
      <c r="H264" s="10" t="s">
        <v>51</v>
      </c>
    </row>
    <row r="265" spans="2:8">
      <c r="B265" s="6" t="s">
        <v>273</v>
      </c>
      <c r="D265" t="s">
        <v>215</v>
      </c>
      <c r="E265" t="s">
        <v>283</v>
      </c>
      <c r="G265" s="46">
        <v>6847200</v>
      </c>
      <c r="H265" s="10" t="s">
        <v>51</v>
      </c>
    </row>
    <row r="266" spans="2:8">
      <c r="B266" s="6" t="s">
        <v>273</v>
      </c>
      <c r="D266" t="s">
        <v>215</v>
      </c>
      <c r="E266" t="s">
        <v>284</v>
      </c>
      <c r="G266" s="46">
        <v>6317266.6699999999</v>
      </c>
      <c r="H266" s="10" t="s">
        <v>51</v>
      </c>
    </row>
    <row r="267" spans="2:8">
      <c r="B267" s="6" t="s">
        <v>273</v>
      </c>
      <c r="D267" t="s">
        <v>215</v>
      </c>
      <c r="E267" t="s">
        <v>285</v>
      </c>
      <c r="G267" s="46">
        <v>6031800</v>
      </c>
      <c r="H267" s="10" t="s">
        <v>51</v>
      </c>
    </row>
    <row r="268" spans="2:8">
      <c r="B268" s="6" t="s">
        <v>273</v>
      </c>
      <c r="D268" t="s">
        <v>215</v>
      </c>
      <c r="E268" t="s">
        <v>286</v>
      </c>
      <c r="G268" s="46">
        <v>7228666.6699999999</v>
      </c>
      <c r="H268" s="10" t="s">
        <v>51</v>
      </c>
    </row>
    <row r="269" spans="2:8">
      <c r="B269" s="6" t="s">
        <v>273</v>
      </c>
      <c r="D269" t="s">
        <v>215</v>
      </c>
      <c r="E269" t="s">
        <v>287</v>
      </c>
      <c r="G269" s="46">
        <v>10317600</v>
      </c>
      <c r="H269" s="10" t="s">
        <v>51</v>
      </c>
    </row>
    <row r="270" spans="2:8">
      <c r="B270" s="6" t="s">
        <v>273</v>
      </c>
      <c r="D270" t="s">
        <v>215</v>
      </c>
      <c r="E270" t="s">
        <v>288</v>
      </c>
      <c r="G270" s="46">
        <v>9025200</v>
      </c>
      <c r="H270" s="10" t="s">
        <v>51</v>
      </c>
    </row>
    <row r="271" spans="2:8">
      <c r="B271" s="6" t="s">
        <v>273</v>
      </c>
      <c r="D271" t="s">
        <v>215</v>
      </c>
      <c r="E271" t="s">
        <v>289</v>
      </c>
      <c r="G271" s="46">
        <v>10839200</v>
      </c>
      <c r="H271" s="10" t="s">
        <v>51</v>
      </c>
    </row>
    <row r="272" spans="2:8">
      <c r="B272" s="6" t="s">
        <v>273</v>
      </c>
      <c r="D272" t="s">
        <v>215</v>
      </c>
      <c r="E272" t="s">
        <v>290</v>
      </c>
      <c r="G272" s="46">
        <v>9566866.6699999999</v>
      </c>
      <c r="H272" s="10" t="s">
        <v>51</v>
      </c>
    </row>
    <row r="273" spans="2:8">
      <c r="B273" s="6" t="s">
        <v>273</v>
      </c>
      <c r="D273" t="s">
        <v>6</v>
      </c>
      <c r="E273">
        <v>2025</v>
      </c>
      <c r="G273" s="46">
        <v>4371400</v>
      </c>
      <c r="H273" s="10" t="s">
        <v>51</v>
      </c>
    </row>
    <row r="274" spans="2:8">
      <c r="B274" s="6" t="s">
        <v>273</v>
      </c>
      <c r="D274" t="s">
        <v>6</v>
      </c>
      <c r="E274" t="s">
        <v>281</v>
      </c>
      <c r="G274" s="46">
        <v>3793866.67</v>
      </c>
      <c r="H274" s="10" t="s">
        <v>51</v>
      </c>
    </row>
    <row r="275" spans="2:8">
      <c r="B275" s="6" t="s">
        <v>273</v>
      </c>
      <c r="D275" t="s">
        <v>6</v>
      </c>
      <c r="E275" t="s">
        <v>282</v>
      </c>
      <c r="G275" s="46">
        <v>3520200</v>
      </c>
      <c r="H275" s="10" t="s">
        <v>51</v>
      </c>
    </row>
    <row r="276" spans="2:8">
      <c r="B276" s="6" t="s">
        <v>273</v>
      </c>
      <c r="D276" t="s">
        <v>6</v>
      </c>
      <c r="E276" t="s">
        <v>283</v>
      </c>
      <c r="G276" s="46">
        <v>4153933.33</v>
      </c>
      <c r="H276" s="10" t="s">
        <v>51</v>
      </c>
    </row>
    <row r="277" spans="2:8">
      <c r="B277" s="6" t="s">
        <v>273</v>
      </c>
      <c r="D277" t="s">
        <v>6</v>
      </c>
      <c r="E277" t="s">
        <v>284</v>
      </c>
      <c r="G277" s="46">
        <v>3820200</v>
      </c>
      <c r="H277" s="10" t="s">
        <v>51</v>
      </c>
    </row>
    <row r="278" spans="2:8">
      <c r="B278" s="6" t="s">
        <v>273</v>
      </c>
      <c r="D278" t="s">
        <v>6</v>
      </c>
      <c r="E278" t="s">
        <v>285</v>
      </c>
      <c r="G278" s="46">
        <v>3793800</v>
      </c>
      <c r="H278" s="10" t="s">
        <v>51</v>
      </c>
    </row>
    <row r="279" spans="2:8">
      <c r="B279" s="6" t="s">
        <v>273</v>
      </c>
      <c r="D279" t="s">
        <v>6</v>
      </c>
      <c r="E279" t="s">
        <v>286</v>
      </c>
      <c r="G279" s="46">
        <v>6276333.3300000001</v>
      </c>
      <c r="H279" s="10" t="s">
        <v>51</v>
      </c>
    </row>
    <row r="280" spans="2:8">
      <c r="B280" s="6" t="s">
        <v>273</v>
      </c>
      <c r="D280" t="s">
        <v>6</v>
      </c>
      <c r="E280" t="s">
        <v>287</v>
      </c>
      <c r="G280" s="46">
        <v>8002866.6699999999</v>
      </c>
      <c r="H280" s="10" t="s">
        <v>51</v>
      </c>
    </row>
    <row r="281" spans="2:8">
      <c r="B281" s="6" t="s">
        <v>273</v>
      </c>
      <c r="D281" t="s">
        <v>6</v>
      </c>
      <c r="E281" t="s">
        <v>288</v>
      </c>
      <c r="G281" s="46">
        <v>7099333.3300000001</v>
      </c>
      <c r="H281" s="10" t="s">
        <v>51</v>
      </c>
    </row>
    <row r="282" spans="2:8">
      <c r="B282" s="6" t="s">
        <v>273</v>
      </c>
      <c r="D282" t="s">
        <v>6</v>
      </c>
      <c r="E282" t="s">
        <v>289</v>
      </c>
      <c r="G282" s="46">
        <v>7571600</v>
      </c>
      <c r="H282" s="10" t="s">
        <v>51</v>
      </c>
    </row>
    <row r="283" spans="2:8">
      <c r="B283" s="6" t="s">
        <v>273</v>
      </c>
      <c r="D283" t="s">
        <v>6</v>
      </c>
      <c r="E283" t="s">
        <v>290</v>
      </c>
      <c r="G283" s="46">
        <v>7685000</v>
      </c>
      <c r="H283" s="10" t="s">
        <v>51</v>
      </c>
    </row>
    <row r="284" spans="2:8">
      <c r="B284" s="6" t="s">
        <v>273</v>
      </c>
      <c r="D284" t="s">
        <v>5</v>
      </c>
      <c r="E284">
        <v>2025</v>
      </c>
      <c r="G284" s="46">
        <v>5062266.67</v>
      </c>
      <c r="H284" s="10" t="s">
        <v>51</v>
      </c>
    </row>
    <row r="285" spans="2:8">
      <c r="B285" s="6" t="s">
        <v>273</v>
      </c>
      <c r="D285" t="s">
        <v>5</v>
      </c>
      <c r="E285" t="s">
        <v>281</v>
      </c>
      <c r="G285" s="46">
        <v>4457866.67</v>
      </c>
      <c r="H285" s="10" t="s">
        <v>51</v>
      </c>
    </row>
    <row r="286" spans="2:8">
      <c r="B286" s="6" t="s">
        <v>273</v>
      </c>
      <c r="D286" t="s">
        <v>5</v>
      </c>
      <c r="E286" t="s">
        <v>282</v>
      </c>
      <c r="G286" s="46">
        <v>4103066.67</v>
      </c>
      <c r="H286" s="10" t="s">
        <v>51</v>
      </c>
    </row>
    <row r="287" spans="2:8">
      <c r="B287" s="6" t="s">
        <v>273</v>
      </c>
      <c r="D287" t="s">
        <v>5</v>
      </c>
      <c r="E287" t="s">
        <v>283</v>
      </c>
      <c r="G287" s="46">
        <v>4792733.33</v>
      </c>
      <c r="H287" s="10" t="s">
        <v>51</v>
      </c>
    </row>
    <row r="288" spans="2:8">
      <c r="B288" s="6" t="s">
        <v>273</v>
      </c>
      <c r="D288" t="s">
        <v>5</v>
      </c>
      <c r="E288" t="s">
        <v>284</v>
      </c>
      <c r="G288" s="46">
        <v>4569933.33</v>
      </c>
      <c r="H288" s="10" t="s">
        <v>51</v>
      </c>
    </row>
    <row r="289" spans="2:8">
      <c r="B289" s="6" t="s">
        <v>273</v>
      </c>
      <c r="D289" t="s">
        <v>5</v>
      </c>
      <c r="E289" t="s">
        <v>285</v>
      </c>
      <c r="G289" s="46">
        <v>4426533.33</v>
      </c>
      <c r="H289" s="10" t="s">
        <v>51</v>
      </c>
    </row>
    <row r="290" spans="2:8">
      <c r="B290" s="6" t="s">
        <v>273</v>
      </c>
      <c r="D290" t="s">
        <v>5</v>
      </c>
      <c r="E290" t="s">
        <v>286</v>
      </c>
      <c r="G290" s="46">
        <v>6926333.3300000001</v>
      </c>
      <c r="H290" s="10" t="s">
        <v>51</v>
      </c>
    </row>
    <row r="291" spans="2:8">
      <c r="B291" s="6" t="s">
        <v>273</v>
      </c>
      <c r="D291" t="s">
        <v>5</v>
      </c>
      <c r="E291" t="s">
        <v>287</v>
      </c>
      <c r="G291" s="46">
        <v>8746933.3300000001</v>
      </c>
      <c r="H291" s="10" t="s">
        <v>51</v>
      </c>
    </row>
    <row r="292" spans="2:8">
      <c r="B292" s="6" t="s">
        <v>273</v>
      </c>
      <c r="D292" t="s">
        <v>5</v>
      </c>
      <c r="E292" t="s">
        <v>288</v>
      </c>
      <c r="G292" s="46">
        <v>7814800</v>
      </c>
      <c r="H292" s="10" t="s">
        <v>51</v>
      </c>
    </row>
    <row r="293" spans="2:8">
      <c r="B293" s="6" t="s">
        <v>273</v>
      </c>
      <c r="D293" t="s">
        <v>5</v>
      </c>
      <c r="E293" t="s">
        <v>289</v>
      </c>
      <c r="G293" s="46">
        <v>8274866.669999999</v>
      </c>
      <c r="H293" s="10" t="s">
        <v>51</v>
      </c>
    </row>
    <row r="294" spans="2:8">
      <c r="B294" s="6" t="s">
        <v>273</v>
      </c>
      <c r="D294" t="s">
        <v>5</v>
      </c>
      <c r="E294" t="s">
        <v>290</v>
      </c>
      <c r="G294" s="46">
        <v>8360666.6700000009</v>
      </c>
      <c r="H294" s="10" t="s">
        <v>51</v>
      </c>
    </row>
    <row r="295" spans="2:8">
      <c r="B295" s="6" t="s">
        <v>273</v>
      </c>
      <c r="D295" t="s">
        <v>279</v>
      </c>
      <c r="E295">
        <v>2025</v>
      </c>
      <c r="G295" s="46">
        <v>4450266.67</v>
      </c>
      <c r="H295" s="10" t="s">
        <v>51</v>
      </c>
    </row>
    <row r="296" spans="2:8">
      <c r="B296" s="6" t="s">
        <v>273</v>
      </c>
      <c r="D296" t="s">
        <v>279</v>
      </c>
      <c r="E296" t="s">
        <v>281</v>
      </c>
      <c r="G296" s="46">
        <v>3879066.67</v>
      </c>
      <c r="H296" s="10" t="s">
        <v>51</v>
      </c>
    </row>
    <row r="297" spans="2:8">
      <c r="B297" s="6" t="s">
        <v>273</v>
      </c>
      <c r="D297" t="s">
        <v>279</v>
      </c>
      <c r="E297" t="s">
        <v>282</v>
      </c>
      <c r="G297" s="46">
        <v>3677733.33</v>
      </c>
      <c r="H297" s="10" t="s">
        <v>51</v>
      </c>
    </row>
    <row r="298" spans="2:8">
      <c r="B298" s="6" t="s">
        <v>273</v>
      </c>
      <c r="D298" t="s">
        <v>279</v>
      </c>
      <c r="E298" t="s">
        <v>283</v>
      </c>
      <c r="G298" s="46">
        <v>4271400</v>
      </c>
      <c r="H298" s="10" t="s">
        <v>51</v>
      </c>
    </row>
    <row r="299" spans="2:8">
      <c r="B299" s="6" t="s">
        <v>273</v>
      </c>
      <c r="D299" t="s">
        <v>279</v>
      </c>
      <c r="E299" t="s">
        <v>284</v>
      </c>
      <c r="G299" s="46">
        <v>3928200</v>
      </c>
      <c r="H299" s="10" t="s">
        <v>51</v>
      </c>
    </row>
    <row r="300" spans="2:8">
      <c r="B300" s="6" t="s">
        <v>273</v>
      </c>
      <c r="D300" t="s">
        <v>279</v>
      </c>
      <c r="E300" t="s">
        <v>285</v>
      </c>
      <c r="G300" s="46">
        <v>3839733.33</v>
      </c>
      <c r="H300" s="10" t="s">
        <v>51</v>
      </c>
    </row>
    <row r="301" spans="2:8">
      <c r="B301" s="6" t="s">
        <v>273</v>
      </c>
      <c r="D301" t="s">
        <v>279</v>
      </c>
      <c r="E301" t="s">
        <v>286</v>
      </c>
      <c r="G301" s="46">
        <v>6291200</v>
      </c>
      <c r="H301" s="10" t="s">
        <v>51</v>
      </c>
    </row>
    <row r="302" spans="2:8">
      <c r="B302" s="6" t="s">
        <v>273</v>
      </c>
      <c r="D302" t="s">
        <v>279</v>
      </c>
      <c r="E302" t="s">
        <v>287</v>
      </c>
      <c r="G302" s="46">
        <v>7980533.3300000001</v>
      </c>
      <c r="H302" s="10" t="s">
        <v>51</v>
      </c>
    </row>
    <row r="303" spans="2:8">
      <c r="B303" s="6" t="s">
        <v>273</v>
      </c>
      <c r="D303" t="s">
        <v>279</v>
      </c>
      <c r="E303" t="s">
        <v>288</v>
      </c>
      <c r="G303" s="46">
        <v>7064266.6699999999</v>
      </c>
      <c r="H303" s="10" t="s">
        <v>51</v>
      </c>
    </row>
    <row r="304" spans="2:8">
      <c r="B304" s="6" t="s">
        <v>273</v>
      </c>
      <c r="D304" t="s">
        <v>279</v>
      </c>
      <c r="E304" t="s">
        <v>289</v>
      </c>
      <c r="G304" s="46">
        <v>7588133.3300000001</v>
      </c>
      <c r="H304" s="10" t="s">
        <v>51</v>
      </c>
    </row>
    <row r="305" spans="2:8">
      <c r="B305" s="6" t="s">
        <v>273</v>
      </c>
      <c r="D305" t="s">
        <v>279</v>
      </c>
      <c r="E305" t="s">
        <v>290</v>
      </c>
      <c r="G305" s="46">
        <v>7666466.6699999999</v>
      </c>
      <c r="H305" s="10" t="s">
        <v>51</v>
      </c>
    </row>
    <row r="306" spans="2:8">
      <c r="B306" s="6" t="s">
        <v>273</v>
      </c>
      <c r="D306" t="s">
        <v>239</v>
      </c>
      <c r="E306">
        <v>2025</v>
      </c>
      <c r="G306" s="46">
        <v>0</v>
      </c>
      <c r="H306" s="10" t="s">
        <v>51</v>
      </c>
    </row>
    <row r="307" spans="2:8">
      <c r="B307" s="6" t="s">
        <v>273</v>
      </c>
      <c r="D307" t="s">
        <v>239</v>
      </c>
      <c r="E307" t="s">
        <v>281</v>
      </c>
      <c r="G307" s="46">
        <v>0</v>
      </c>
      <c r="H307" s="10" t="s">
        <v>51</v>
      </c>
    </row>
    <row r="308" spans="2:8">
      <c r="B308" s="6" t="s">
        <v>273</v>
      </c>
      <c r="D308" t="s">
        <v>239</v>
      </c>
      <c r="E308" t="s">
        <v>282</v>
      </c>
      <c r="G308" s="46">
        <v>1060066.67</v>
      </c>
      <c r="H308" s="10" t="s">
        <v>51</v>
      </c>
    </row>
    <row r="309" spans="2:8">
      <c r="B309" s="6" t="s">
        <v>273</v>
      </c>
      <c r="D309" t="s">
        <v>239</v>
      </c>
      <c r="E309" t="s">
        <v>283</v>
      </c>
      <c r="G309" s="46">
        <v>514666.66999999993</v>
      </c>
      <c r="H309" s="10" t="s">
        <v>51</v>
      </c>
    </row>
    <row r="310" spans="2:8">
      <c r="B310" s="6" t="s">
        <v>273</v>
      </c>
      <c r="D310" t="s">
        <v>239</v>
      </c>
      <c r="E310" t="s">
        <v>284</v>
      </c>
      <c r="G310" s="46">
        <v>613066.67000000004</v>
      </c>
      <c r="H310" s="10" t="s">
        <v>51</v>
      </c>
    </row>
    <row r="311" spans="2:8">
      <c r="B311" s="6" t="s">
        <v>273</v>
      </c>
      <c r="D311" t="s">
        <v>239</v>
      </c>
      <c r="E311" t="s">
        <v>285</v>
      </c>
      <c r="G311" s="46">
        <v>502066.67</v>
      </c>
      <c r="H311" s="10" t="s">
        <v>51</v>
      </c>
    </row>
    <row r="312" spans="2:8">
      <c r="B312" s="6" t="s">
        <v>273</v>
      </c>
      <c r="D312" t="s">
        <v>239</v>
      </c>
      <c r="E312" t="s">
        <v>286</v>
      </c>
      <c r="G312" s="46">
        <v>553800</v>
      </c>
      <c r="H312" s="10" t="s">
        <v>51</v>
      </c>
    </row>
    <row r="313" spans="2:8">
      <c r="B313" s="6" t="s">
        <v>273</v>
      </c>
      <c r="D313" t="s">
        <v>239</v>
      </c>
      <c r="E313" t="s">
        <v>287</v>
      </c>
      <c r="G313" s="46">
        <v>745666.66999999993</v>
      </c>
      <c r="H313" s="10" t="s">
        <v>51</v>
      </c>
    </row>
    <row r="314" spans="2:8">
      <c r="B314" s="6" t="s">
        <v>273</v>
      </c>
      <c r="D314" t="s">
        <v>239</v>
      </c>
      <c r="E314" t="s">
        <v>288</v>
      </c>
      <c r="G314" s="46">
        <v>610066.67000000004</v>
      </c>
      <c r="H314" s="10" t="s">
        <v>51</v>
      </c>
    </row>
    <row r="315" spans="2:8">
      <c r="B315" s="6" t="s">
        <v>273</v>
      </c>
      <c r="D315" t="s">
        <v>239</v>
      </c>
      <c r="E315" t="s">
        <v>289</v>
      </c>
      <c r="G315" s="46">
        <v>670533.32999999996</v>
      </c>
      <c r="H315" s="10" t="s">
        <v>51</v>
      </c>
    </row>
    <row r="316" spans="2:8">
      <c r="B316" s="6" t="s">
        <v>273</v>
      </c>
      <c r="D316" t="s">
        <v>239</v>
      </c>
      <c r="E316" t="s">
        <v>290</v>
      </c>
      <c r="G316" s="46">
        <v>942933.33</v>
      </c>
      <c r="H316" s="10" t="s">
        <v>51</v>
      </c>
    </row>
    <row r="317" spans="2:8">
      <c r="B317" s="6" t="s">
        <v>273</v>
      </c>
      <c r="D317" t="s">
        <v>7</v>
      </c>
      <c r="E317">
        <v>2024</v>
      </c>
      <c r="G317" s="46">
        <v>16989864</v>
      </c>
      <c r="H317" s="10" t="s">
        <v>51</v>
      </c>
    </row>
    <row r="318" spans="2:8">
      <c r="B318" s="6" t="s">
        <v>273</v>
      </c>
      <c r="D318" t="s">
        <v>7</v>
      </c>
      <c r="E318">
        <v>2025</v>
      </c>
      <c r="G318" s="46">
        <v>17826800</v>
      </c>
      <c r="H318" s="10" t="s">
        <v>51</v>
      </c>
    </row>
    <row r="319" spans="2:8">
      <c r="B319" s="6" t="s">
        <v>273</v>
      </c>
      <c r="D319" t="s">
        <v>7</v>
      </c>
      <c r="E319" t="s">
        <v>281</v>
      </c>
      <c r="G319" s="46">
        <v>20332533.329999998</v>
      </c>
      <c r="H319" s="10" t="s">
        <v>51</v>
      </c>
    </row>
    <row r="320" spans="2:8">
      <c r="B320" s="6" t="s">
        <v>273</v>
      </c>
      <c r="D320" t="s">
        <v>7</v>
      </c>
      <c r="E320" t="s">
        <v>282</v>
      </c>
      <c r="G320" s="46">
        <v>21537533.329999998</v>
      </c>
      <c r="H320" s="10" t="s">
        <v>51</v>
      </c>
    </row>
    <row r="321" spans="1:41">
      <c r="B321" s="6" t="s">
        <v>273</v>
      </c>
      <c r="D321" t="s">
        <v>7</v>
      </c>
      <c r="E321" t="s">
        <v>283</v>
      </c>
      <c r="G321" s="46">
        <v>21427866.669999998</v>
      </c>
      <c r="H321" s="10" t="s">
        <v>51</v>
      </c>
    </row>
    <row r="322" spans="1:41">
      <c r="B322" s="6" t="s">
        <v>273</v>
      </c>
      <c r="D322" t="s">
        <v>7</v>
      </c>
      <c r="E322" t="s">
        <v>284</v>
      </c>
      <c r="G322" s="46">
        <v>20228333.330000002</v>
      </c>
      <c r="H322" s="10" t="s">
        <v>51</v>
      </c>
    </row>
    <row r="323" spans="1:41">
      <c r="B323" s="6" t="s">
        <v>273</v>
      </c>
      <c r="D323" t="s">
        <v>7</v>
      </c>
      <c r="E323" t="s">
        <v>285</v>
      </c>
      <c r="G323" s="46">
        <v>18536733.329999998</v>
      </c>
      <c r="H323" s="10" t="s">
        <v>51</v>
      </c>
    </row>
    <row r="324" spans="1:41">
      <c r="B324" s="6" t="s">
        <v>273</v>
      </c>
      <c r="D324" t="s">
        <v>7</v>
      </c>
      <c r="E324" t="s">
        <v>286</v>
      </c>
      <c r="G324" s="46">
        <v>20220466.670000002</v>
      </c>
      <c r="H324" s="10" t="s">
        <v>51</v>
      </c>
    </row>
    <row r="325" spans="1:41">
      <c r="B325" s="6" t="s">
        <v>273</v>
      </c>
      <c r="D325" t="s">
        <v>7</v>
      </c>
      <c r="E325" t="s">
        <v>287</v>
      </c>
      <c r="G325" s="46">
        <v>23636333.330000002</v>
      </c>
      <c r="H325" s="10" t="s">
        <v>51</v>
      </c>
    </row>
    <row r="326" spans="1:41">
      <c r="B326" s="6" t="s">
        <v>273</v>
      </c>
      <c r="D326" t="s">
        <v>7</v>
      </c>
      <c r="E326" t="s">
        <v>288</v>
      </c>
      <c r="G326" s="46">
        <v>21899200</v>
      </c>
      <c r="H326" s="10" t="s">
        <v>51</v>
      </c>
    </row>
    <row r="327" spans="1:41">
      <c r="B327" s="6" t="s">
        <v>273</v>
      </c>
      <c r="D327" t="s">
        <v>7</v>
      </c>
      <c r="E327" t="s">
        <v>289</v>
      </c>
      <c r="G327" s="46">
        <v>22427866.669999998</v>
      </c>
      <c r="H327" s="10" t="s">
        <v>51</v>
      </c>
    </row>
    <row r="328" spans="1:41">
      <c r="B328" s="6" t="s">
        <v>273</v>
      </c>
      <c r="D328" t="s">
        <v>7</v>
      </c>
      <c r="E328" t="s">
        <v>290</v>
      </c>
      <c r="G328" s="46">
        <v>20749800</v>
      </c>
      <c r="H328" s="10" t="s">
        <v>51</v>
      </c>
    </row>
    <row r="329" spans="1:41">
      <c r="B329" s="6" t="s">
        <v>273</v>
      </c>
      <c r="D329" t="s">
        <v>280</v>
      </c>
      <c r="E329">
        <v>2025</v>
      </c>
      <c r="G329" s="46">
        <v>3956066.67</v>
      </c>
      <c r="H329" s="10" t="s">
        <v>51</v>
      </c>
    </row>
    <row r="330" spans="1:41">
      <c r="B330" s="6" t="s">
        <v>273</v>
      </c>
      <c r="D330" t="s">
        <v>17</v>
      </c>
      <c r="E330">
        <v>2025</v>
      </c>
      <c r="G330" s="46">
        <v>7324866.6699999999</v>
      </c>
      <c r="H330" s="10" t="s">
        <v>51</v>
      </c>
    </row>
    <row r="332" spans="1:41" s="13" customFormat="1" ht="14.4" customHeight="1">
      <c r="A332" s="11"/>
      <c r="B332" s="11"/>
      <c r="C332" s="12" t="s">
        <v>302</v>
      </c>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row>
    <row r="334" spans="1:41">
      <c r="B334" s="6" t="s">
        <v>344</v>
      </c>
      <c r="D334" t="s">
        <v>340</v>
      </c>
      <c r="E334">
        <v>2025</v>
      </c>
      <c r="G334" s="46">
        <v>11.45</v>
      </c>
      <c r="H334" s="10" t="s">
        <v>343</v>
      </c>
    </row>
    <row r="336" spans="1:41" s="13" customFormat="1" ht="14.4" customHeight="1">
      <c r="A336" s="11"/>
      <c r="B336" s="11"/>
      <c r="C336" s="12" t="s">
        <v>2</v>
      </c>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D1387-B0F1-479F-AA18-B171838D97C0}">
  <sheetPr>
    <tabColor theme="8" tint="0.79998168889431442"/>
  </sheetPr>
  <dimension ref="A1:F17"/>
  <sheetViews>
    <sheetView showGridLines="0" zoomScale="80" zoomScaleNormal="80" workbookViewId="0"/>
  </sheetViews>
  <sheetFormatPr defaultRowHeight="14.4"/>
  <cols>
    <col min="1" max="1" width="6" bestFit="1" customWidth="1"/>
    <col min="2" max="2" width="15.5546875" bestFit="1" customWidth="1"/>
    <col min="3" max="3" width="19" bestFit="1" customWidth="1"/>
    <col min="4" max="4" width="13.77734375" bestFit="1" customWidth="1"/>
    <col min="5" max="5" width="11.88671875" bestFit="1" customWidth="1"/>
    <col min="6" max="6" width="23.44140625" bestFit="1" customWidth="1"/>
  </cols>
  <sheetData>
    <row r="1" spans="1:6">
      <c r="A1" s="20" t="s">
        <v>40</v>
      </c>
      <c r="B1" s="21" t="s">
        <v>41</v>
      </c>
      <c r="C1" s="21" t="s">
        <v>42</v>
      </c>
      <c r="D1" s="21" t="s">
        <v>28</v>
      </c>
      <c r="E1" s="21" t="s">
        <v>43</v>
      </c>
      <c r="F1" s="22" t="s">
        <v>44</v>
      </c>
    </row>
    <row r="2" spans="1:6">
      <c r="A2" s="25" t="s">
        <v>31</v>
      </c>
      <c r="B2" s="18">
        <v>7.6000000000000005</v>
      </c>
      <c r="C2" s="18">
        <v>6.1</v>
      </c>
      <c r="D2" s="15" t="s">
        <v>25</v>
      </c>
      <c r="E2" s="15" t="s">
        <v>45</v>
      </c>
      <c r="F2" s="30">
        <v>3.3</v>
      </c>
    </row>
    <row r="3" spans="1:6">
      <c r="A3" s="25" t="s">
        <v>32</v>
      </c>
      <c r="B3" s="18">
        <v>7.1000000000000005</v>
      </c>
      <c r="C3" s="18">
        <v>5.7</v>
      </c>
      <c r="D3" s="15" t="s">
        <v>26</v>
      </c>
      <c r="E3" s="15" t="s">
        <v>46</v>
      </c>
      <c r="F3" s="30">
        <v>4.1999999999999993</v>
      </c>
    </row>
    <row r="4" spans="1:6">
      <c r="A4" s="25" t="s">
        <v>33</v>
      </c>
      <c r="B4" s="18">
        <v>8.25</v>
      </c>
      <c r="C4" s="18">
        <v>6.8999999999999995</v>
      </c>
      <c r="D4" s="15" t="s">
        <v>27</v>
      </c>
      <c r="E4" s="15" t="s">
        <v>47</v>
      </c>
      <c r="F4" s="30">
        <v>2.8999999999999995</v>
      </c>
    </row>
    <row r="5" spans="1:6">
      <c r="A5" s="25" t="s">
        <v>34</v>
      </c>
      <c r="B5" s="18">
        <v>6.3</v>
      </c>
      <c r="C5" s="18">
        <v>4.8999999999999995</v>
      </c>
      <c r="D5" s="15" t="s">
        <v>25</v>
      </c>
      <c r="E5" s="15" t="s">
        <v>45</v>
      </c>
      <c r="F5" s="30">
        <v>2.2000000000000002</v>
      </c>
    </row>
    <row r="6" spans="1:6">
      <c r="A6" s="25" t="s">
        <v>35</v>
      </c>
      <c r="B6" s="18">
        <v>7.8999999999999995</v>
      </c>
      <c r="C6" s="18">
        <v>6.3</v>
      </c>
      <c r="D6" s="15" t="s">
        <v>26</v>
      </c>
      <c r="E6" s="15" t="s">
        <v>46</v>
      </c>
      <c r="F6" s="30">
        <v>2.4999999999999996</v>
      </c>
    </row>
    <row r="7" spans="1:6">
      <c r="A7" s="25" t="s">
        <v>36</v>
      </c>
      <c r="B7" s="18">
        <v>9.6000000000000014</v>
      </c>
      <c r="C7" s="18">
        <v>8.1</v>
      </c>
      <c r="D7" s="15" t="s">
        <v>25</v>
      </c>
      <c r="E7" s="15" t="s">
        <v>45</v>
      </c>
      <c r="F7" s="30">
        <v>3.5999999999999996</v>
      </c>
    </row>
    <row r="8" spans="1:6">
      <c r="A8" s="25" t="s">
        <v>37</v>
      </c>
      <c r="B8" s="18">
        <v>6.7</v>
      </c>
      <c r="C8" s="18">
        <v>5.3</v>
      </c>
      <c r="D8" s="15" t="s">
        <v>26</v>
      </c>
      <c r="E8" s="15" t="s">
        <v>46</v>
      </c>
      <c r="F8" s="30">
        <v>4.8</v>
      </c>
    </row>
    <row r="9" spans="1:6">
      <c r="A9" s="29" t="s">
        <v>38</v>
      </c>
      <c r="B9" s="18">
        <v>9.2000000000000011</v>
      </c>
      <c r="C9" s="18">
        <v>7.7</v>
      </c>
      <c r="D9" s="15" t="s">
        <v>27</v>
      </c>
      <c r="E9" s="15" t="s">
        <v>47</v>
      </c>
      <c r="F9" s="30">
        <v>3.0999999999999996</v>
      </c>
    </row>
    <row r="10" spans="1:6" ht="15" thickBot="1">
      <c r="A10" s="26" t="s">
        <v>39</v>
      </c>
      <c r="B10" s="31">
        <v>2.4</v>
      </c>
      <c r="C10" s="31">
        <v>1.2</v>
      </c>
      <c r="D10" s="34" t="s">
        <v>26</v>
      </c>
      <c r="E10" s="34" t="s">
        <v>45</v>
      </c>
      <c r="F10" s="32">
        <v>1.1000000000000001</v>
      </c>
    </row>
    <row r="11" spans="1:6">
      <c r="A11" s="27"/>
      <c r="B11" s="28"/>
      <c r="C11" s="28"/>
      <c r="D11" s="28"/>
      <c r="E11" s="28"/>
      <c r="F11" s="28"/>
    </row>
    <row r="12" spans="1:6">
      <c r="B12" s="27"/>
      <c r="C12" s="27"/>
      <c r="F12" s="27"/>
    </row>
    <row r="15" spans="1:6">
      <c r="C15" s="27"/>
    </row>
    <row r="17" spans="3:3">
      <c r="C17" s="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4C57A-EDEC-4167-8261-769A2E7D63A5}">
  <sheetPr>
    <tabColor theme="8" tint="0.79998168889431442"/>
  </sheetPr>
  <dimension ref="A1:K14"/>
  <sheetViews>
    <sheetView showGridLines="0" zoomScale="80" zoomScaleNormal="80" workbookViewId="0"/>
  </sheetViews>
  <sheetFormatPr defaultRowHeight="14.4"/>
  <cols>
    <col min="1" max="1" width="13.77734375" bestFit="1" customWidth="1"/>
    <col min="2" max="2" width="13.77734375" customWidth="1"/>
    <col min="3" max="11" width="9.109375" bestFit="1" customWidth="1"/>
  </cols>
  <sheetData>
    <row r="1" spans="1:11">
      <c r="A1" s="20" t="s">
        <v>24</v>
      </c>
      <c r="B1" s="21">
        <v>2026</v>
      </c>
      <c r="C1" s="21">
        <v>2027</v>
      </c>
      <c r="D1" s="21">
        <v>2028</v>
      </c>
      <c r="E1" s="21">
        <v>2029</v>
      </c>
      <c r="F1" s="21">
        <v>2030</v>
      </c>
      <c r="G1" s="21">
        <v>2031</v>
      </c>
      <c r="H1" s="21">
        <v>2032</v>
      </c>
      <c r="I1" s="21">
        <v>2033</v>
      </c>
      <c r="J1" s="21">
        <v>2034</v>
      </c>
      <c r="K1" s="22">
        <v>2035</v>
      </c>
    </row>
    <row r="2" spans="1:11">
      <c r="A2" s="23" t="s">
        <v>25</v>
      </c>
      <c r="B2" s="15">
        <v>2609</v>
      </c>
      <c r="C2" s="15">
        <v>2622</v>
      </c>
      <c r="D2" s="15">
        <v>2577</v>
      </c>
      <c r="E2" s="15">
        <v>2436</v>
      </c>
      <c r="F2" s="15">
        <v>2520</v>
      </c>
      <c r="G2" s="15">
        <v>2509</v>
      </c>
      <c r="H2" s="15">
        <v>2600</v>
      </c>
      <c r="I2" s="15">
        <v>2425</v>
      </c>
      <c r="J2" s="15">
        <v>2504</v>
      </c>
      <c r="K2" s="33">
        <v>2434</v>
      </c>
    </row>
    <row r="3" spans="1:11">
      <c r="A3" s="23" t="s">
        <v>26</v>
      </c>
      <c r="B3" s="15">
        <v>35781</v>
      </c>
      <c r="C3" s="15">
        <v>40338</v>
      </c>
      <c r="D3" s="15">
        <v>40805</v>
      </c>
      <c r="E3" s="15">
        <v>35502</v>
      </c>
      <c r="F3" s="15">
        <v>41166</v>
      </c>
      <c r="G3" s="15">
        <v>40970</v>
      </c>
      <c r="H3" s="15">
        <v>31900</v>
      </c>
      <c r="I3" s="15">
        <v>31989</v>
      </c>
      <c r="J3" s="15">
        <v>40517</v>
      </c>
      <c r="K3" s="33">
        <v>37207</v>
      </c>
    </row>
    <row r="4" spans="1:11" ht="15" thickBot="1">
      <c r="A4" s="24" t="s">
        <v>27</v>
      </c>
      <c r="B4" s="34">
        <v>2281</v>
      </c>
      <c r="C4" s="34">
        <v>1850</v>
      </c>
      <c r="D4" s="34">
        <v>1786</v>
      </c>
      <c r="E4" s="34">
        <v>1993</v>
      </c>
      <c r="F4" s="34">
        <v>2263</v>
      </c>
      <c r="G4" s="34">
        <v>2115</v>
      </c>
      <c r="H4" s="34">
        <v>2017</v>
      </c>
      <c r="I4" s="34">
        <v>1719</v>
      </c>
      <c r="J4" s="34">
        <v>2070</v>
      </c>
      <c r="K4" s="35">
        <v>2240</v>
      </c>
    </row>
    <row r="5" spans="1:11" ht="15" thickBot="1"/>
    <row r="6" spans="1:11">
      <c r="A6" s="20" t="s">
        <v>28</v>
      </c>
      <c r="B6" s="22" t="s">
        <v>29</v>
      </c>
    </row>
    <row r="7" spans="1:11">
      <c r="A7" s="23" t="s">
        <v>25</v>
      </c>
      <c r="B7" s="30">
        <v>7.9</v>
      </c>
    </row>
    <row r="8" spans="1:11">
      <c r="A8" s="23" t="s">
        <v>26</v>
      </c>
      <c r="B8" s="30">
        <v>8.19</v>
      </c>
    </row>
    <row r="9" spans="1:11" ht="15" thickBot="1">
      <c r="A9" s="24" t="s">
        <v>27</v>
      </c>
      <c r="B9" s="32">
        <v>2.7</v>
      </c>
    </row>
    <row r="14" spans="1:11">
      <c r="F14" s="2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8D386-C5E4-4C53-ABEF-71364A87CE14}">
  <sheetPr>
    <tabColor theme="8" tint="0.79998168889431442"/>
  </sheetPr>
  <dimension ref="A1:DQ22"/>
  <sheetViews>
    <sheetView showGridLines="0" zoomScale="80" zoomScaleNormal="80" workbookViewId="0"/>
  </sheetViews>
  <sheetFormatPr defaultRowHeight="14.4"/>
  <cols>
    <col min="2" max="3" width="10.109375" bestFit="1" customWidth="1"/>
    <col min="4" max="11" width="10.21875" bestFit="1" customWidth="1"/>
  </cols>
  <sheetData>
    <row r="1" spans="1:121">
      <c r="A1" s="20"/>
      <c r="B1" s="21">
        <v>1</v>
      </c>
      <c r="C1" s="21">
        <v>2</v>
      </c>
      <c r="D1" s="21">
        <v>3</v>
      </c>
      <c r="E1" s="21">
        <v>4</v>
      </c>
      <c r="F1" s="21">
        <v>5</v>
      </c>
      <c r="G1" s="21">
        <v>6</v>
      </c>
      <c r="H1" s="21">
        <v>7</v>
      </c>
      <c r="I1" s="21">
        <v>8</v>
      </c>
      <c r="J1" s="21">
        <v>9</v>
      </c>
      <c r="K1" s="21">
        <v>10</v>
      </c>
      <c r="L1" s="21">
        <v>11</v>
      </c>
      <c r="M1" s="21">
        <v>12</v>
      </c>
      <c r="N1" s="21">
        <v>1</v>
      </c>
      <c r="O1" s="21">
        <v>2</v>
      </c>
      <c r="P1" s="21">
        <v>3</v>
      </c>
      <c r="Q1" s="21">
        <v>4</v>
      </c>
      <c r="R1" s="21">
        <v>5</v>
      </c>
      <c r="S1" s="21">
        <v>6</v>
      </c>
      <c r="T1" s="21">
        <v>7</v>
      </c>
      <c r="U1" s="21">
        <v>8</v>
      </c>
      <c r="V1" s="21">
        <v>9</v>
      </c>
      <c r="W1" s="21">
        <v>10</v>
      </c>
      <c r="X1" s="21">
        <v>11</v>
      </c>
      <c r="Y1" s="21">
        <v>12</v>
      </c>
      <c r="Z1" s="21">
        <v>1</v>
      </c>
      <c r="AA1" s="21">
        <v>2</v>
      </c>
      <c r="AB1" s="21">
        <v>3</v>
      </c>
      <c r="AC1" s="21">
        <v>4</v>
      </c>
      <c r="AD1" s="21">
        <v>5</v>
      </c>
      <c r="AE1" s="21">
        <v>6</v>
      </c>
      <c r="AF1" s="21">
        <v>7</v>
      </c>
      <c r="AG1" s="21">
        <v>8</v>
      </c>
      <c r="AH1" s="21">
        <v>9</v>
      </c>
      <c r="AI1" s="21">
        <v>10</v>
      </c>
      <c r="AJ1" s="21">
        <v>11</v>
      </c>
      <c r="AK1" s="21">
        <v>12</v>
      </c>
      <c r="AL1" s="21">
        <v>1</v>
      </c>
      <c r="AM1" s="21">
        <v>2</v>
      </c>
      <c r="AN1" s="21">
        <v>3</v>
      </c>
      <c r="AO1" s="21">
        <v>4</v>
      </c>
      <c r="AP1" s="21">
        <v>5</v>
      </c>
      <c r="AQ1" s="21">
        <v>6</v>
      </c>
      <c r="AR1" s="21">
        <v>7</v>
      </c>
      <c r="AS1" s="21">
        <v>8</v>
      </c>
      <c r="AT1" s="21">
        <v>9</v>
      </c>
      <c r="AU1" s="21">
        <v>10</v>
      </c>
      <c r="AV1" s="21">
        <v>11</v>
      </c>
      <c r="AW1" s="21">
        <v>12</v>
      </c>
      <c r="AX1" s="21">
        <v>1</v>
      </c>
      <c r="AY1" s="21">
        <v>2</v>
      </c>
      <c r="AZ1" s="21">
        <v>3</v>
      </c>
      <c r="BA1" s="21">
        <v>4</v>
      </c>
      <c r="BB1" s="21">
        <v>5</v>
      </c>
      <c r="BC1" s="21">
        <v>6</v>
      </c>
      <c r="BD1" s="21">
        <v>7</v>
      </c>
      <c r="BE1" s="21">
        <v>8</v>
      </c>
      <c r="BF1" s="21">
        <v>9</v>
      </c>
      <c r="BG1" s="21">
        <v>10</v>
      </c>
      <c r="BH1" s="21">
        <v>11</v>
      </c>
      <c r="BI1" s="21">
        <v>12</v>
      </c>
      <c r="BJ1" s="21">
        <v>1</v>
      </c>
      <c r="BK1" s="21">
        <v>2</v>
      </c>
      <c r="BL1" s="21">
        <v>3</v>
      </c>
      <c r="BM1" s="21">
        <v>4</v>
      </c>
      <c r="BN1" s="21">
        <v>5</v>
      </c>
      <c r="BO1" s="21">
        <v>6</v>
      </c>
      <c r="BP1" s="21">
        <v>7</v>
      </c>
      <c r="BQ1" s="21">
        <v>8</v>
      </c>
      <c r="BR1" s="21">
        <v>9</v>
      </c>
      <c r="BS1" s="21">
        <v>10</v>
      </c>
      <c r="BT1" s="21">
        <v>11</v>
      </c>
      <c r="BU1" s="21">
        <v>12</v>
      </c>
      <c r="BV1" s="21">
        <v>1</v>
      </c>
      <c r="BW1" s="21">
        <v>2</v>
      </c>
      <c r="BX1" s="21">
        <v>3</v>
      </c>
      <c r="BY1" s="21">
        <v>4</v>
      </c>
      <c r="BZ1" s="21">
        <v>5</v>
      </c>
      <c r="CA1" s="21">
        <v>6</v>
      </c>
      <c r="CB1" s="21">
        <v>7</v>
      </c>
      <c r="CC1" s="21">
        <v>8</v>
      </c>
      <c r="CD1" s="21">
        <v>9</v>
      </c>
      <c r="CE1" s="21">
        <v>10</v>
      </c>
      <c r="CF1" s="21">
        <v>11</v>
      </c>
      <c r="CG1" s="21">
        <v>12</v>
      </c>
      <c r="CH1" s="21">
        <v>1</v>
      </c>
      <c r="CI1" s="21">
        <v>2</v>
      </c>
      <c r="CJ1" s="21">
        <v>3</v>
      </c>
      <c r="CK1" s="21">
        <v>4</v>
      </c>
      <c r="CL1" s="21">
        <v>5</v>
      </c>
      <c r="CM1" s="21">
        <v>6</v>
      </c>
      <c r="CN1" s="21">
        <v>7</v>
      </c>
      <c r="CO1" s="21">
        <v>8</v>
      </c>
      <c r="CP1" s="21">
        <v>9</v>
      </c>
      <c r="CQ1" s="21">
        <v>10</v>
      </c>
      <c r="CR1" s="21">
        <v>11</v>
      </c>
      <c r="CS1" s="21">
        <v>12</v>
      </c>
      <c r="CT1" s="21">
        <v>1</v>
      </c>
      <c r="CU1" s="21">
        <v>2</v>
      </c>
      <c r="CV1" s="21">
        <v>3</v>
      </c>
      <c r="CW1" s="21">
        <v>4</v>
      </c>
      <c r="CX1" s="21">
        <v>5</v>
      </c>
      <c r="CY1" s="21">
        <v>6</v>
      </c>
      <c r="CZ1" s="21">
        <v>7</v>
      </c>
      <c r="DA1" s="21">
        <v>8</v>
      </c>
      <c r="DB1" s="21">
        <v>9</v>
      </c>
      <c r="DC1" s="21">
        <v>10</v>
      </c>
      <c r="DD1" s="21">
        <v>11</v>
      </c>
      <c r="DE1" s="21">
        <v>12</v>
      </c>
      <c r="DF1" s="21">
        <v>1</v>
      </c>
      <c r="DG1" s="21">
        <v>2</v>
      </c>
      <c r="DH1" s="21">
        <v>3</v>
      </c>
      <c r="DI1" s="21">
        <v>4</v>
      </c>
      <c r="DJ1" s="21">
        <v>5</v>
      </c>
      <c r="DK1" s="21">
        <v>6</v>
      </c>
      <c r="DL1" s="21">
        <v>7</v>
      </c>
      <c r="DM1" s="21">
        <v>8</v>
      </c>
      <c r="DN1" s="21">
        <v>9</v>
      </c>
      <c r="DO1" s="21">
        <v>10</v>
      </c>
      <c r="DP1" s="21">
        <v>11</v>
      </c>
      <c r="DQ1" s="22">
        <v>12</v>
      </c>
    </row>
    <row r="2" spans="1:121">
      <c r="A2" s="23" t="s">
        <v>30</v>
      </c>
      <c r="B2" s="42">
        <v>2026</v>
      </c>
      <c r="C2" s="40">
        <v>2026</v>
      </c>
      <c r="D2" s="40">
        <v>2026</v>
      </c>
      <c r="E2" s="40">
        <v>2026</v>
      </c>
      <c r="F2" s="40">
        <v>2026</v>
      </c>
      <c r="G2" s="40">
        <v>2026</v>
      </c>
      <c r="H2" s="40">
        <v>2026</v>
      </c>
      <c r="I2" s="40">
        <v>2026</v>
      </c>
      <c r="J2" s="40">
        <v>2026</v>
      </c>
      <c r="K2" s="40">
        <v>2026</v>
      </c>
      <c r="L2" s="40">
        <v>2026</v>
      </c>
      <c r="M2" s="40">
        <v>2026</v>
      </c>
      <c r="N2" s="40">
        <v>2027</v>
      </c>
      <c r="O2" s="40">
        <v>2027</v>
      </c>
      <c r="P2" s="40">
        <v>2027</v>
      </c>
      <c r="Q2" s="40">
        <v>2027</v>
      </c>
      <c r="R2" s="40">
        <v>2027</v>
      </c>
      <c r="S2" s="40">
        <v>2027</v>
      </c>
      <c r="T2" s="40">
        <v>2027</v>
      </c>
      <c r="U2" s="40">
        <v>2027</v>
      </c>
      <c r="V2" s="40">
        <v>2027</v>
      </c>
      <c r="W2" s="40">
        <v>2027</v>
      </c>
      <c r="X2" s="40">
        <v>2027</v>
      </c>
      <c r="Y2" s="40">
        <v>2027</v>
      </c>
      <c r="Z2" s="40">
        <v>2028</v>
      </c>
      <c r="AA2" s="40">
        <v>2028</v>
      </c>
      <c r="AB2" s="40">
        <v>2028</v>
      </c>
      <c r="AC2" s="40">
        <v>2028</v>
      </c>
      <c r="AD2" s="40">
        <v>2028</v>
      </c>
      <c r="AE2" s="40">
        <v>2028</v>
      </c>
      <c r="AF2" s="40">
        <v>2028</v>
      </c>
      <c r="AG2" s="40">
        <v>2028</v>
      </c>
      <c r="AH2" s="40">
        <v>2028</v>
      </c>
      <c r="AI2" s="40">
        <v>2028</v>
      </c>
      <c r="AJ2" s="40">
        <v>2028</v>
      </c>
      <c r="AK2" s="40">
        <v>2028</v>
      </c>
      <c r="AL2" s="40">
        <v>2029</v>
      </c>
      <c r="AM2" s="40">
        <v>2029</v>
      </c>
      <c r="AN2" s="40">
        <v>2029</v>
      </c>
      <c r="AO2" s="40">
        <v>2029</v>
      </c>
      <c r="AP2" s="40">
        <v>2029</v>
      </c>
      <c r="AQ2" s="40">
        <v>2029</v>
      </c>
      <c r="AR2" s="40">
        <v>2029</v>
      </c>
      <c r="AS2" s="40">
        <v>2029</v>
      </c>
      <c r="AT2" s="40">
        <v>2029</v>
      </c>
      <c r="AU2" s="40">
        <v>2029</v>
      </c>
      <c r="AV2" s="40">
        <v>2029</v>
      </c>
      <c r="AW2" s="40">
        <v>2029</v>
      </c>
      <c r="AX2" s="40">
        <v>2030</v>
      </c>
      <c r="AY2" s="40">
        <v>2030</v>
      </c>
      <c r="AZ2" s="40">
        <v>2030</v>
      </c>
      <c r="BA2" s="40">
        <v>2030</v>
      </c>
      <c r="BB2" s="40">
        <v>2030</v>
      </c>
      <c r="BC2" s="40">
        <v>2030</v>
      </c>
      <c r="BD2" s="40">
        <v>2030</v>
      </c>
      <c r="BE2" s="40">
        <v>2030</v>
      </c>
      <c r="BF2" s="40">
        <v>2030</v>
      </c>
      <c r="BG2" s="40">
        <v>2030</v>
      </c>
      <c r="BH2" s="40">
        <v>2030</v>
      </c>
      <c r="BI2" s="40">
        <v>2030</v>
      </c>
      <c r="BJ2" s="40">
        <v>2031</v>
      </c>
      <c r="BK2" s="40">
        <v>2031</v>
      </c>
      <c r="BL2" s="40">
        <v>2031</v>
      </c>
      <c r="BM2" s="40">
        <v>2031</v>
      </c>
      <c r="BN2" s="40">
        <v>2031</v>
      </c>
      <c r="BO2" s="40">
        <v>2031</v>
      </c>
      <c r="BP2" s="40">
        <v>2031</v>
      </c>
      <c r="BQ2" s="40">
        <v>2031</v>
      </c>
      <c r="BR2" s="40">
        <v>2031</v>
      </c>
      <c r="BS2" s="40">
        <v>2031</v>
      </c>
      <c r="BT2" s="40">
        <v>2031</v>
      </c>
      <c r="BU2" s="40">
        <v>2031</v>
      </c>
      <c r="BV2" s="40">
        <v>2032</v>
      </c>
      <c r="BW2" s="40">
        <v>2032</v>
      </c>
      <c r="BX2" s="40">
        <v>2032</v>
      </c>
      <c r="BY2" s="40">
        <v>2032</v>
      </c>
      <c r="BZ2" s="40">
        <v>2032</v>
      </c>
      <c r="CA2" s="40">
        <v>2032</v>
      </c>
      <c r="CB2" s="40">
        <v>2032</v>
      </c>
      <c r="CC2" s="40">
        <v>2032</v>
      </c>
      <c r="CD2" s="40">
        <v>2032</v>
      </c>
      <c r="CE2" s="40">
        <v>2032</v>
      </c>
      <c r="CF2" s="40">
        <v>2032</v>
      </c>
      <c r="CG2" s="40">
        <v>2032</v>
      </c>
      <c r="CH2" s="40">
        <v>2033</v>
      </c>
      <c r="CI2" s="40">
        <v>2033</v>
      </c>
      <c r="CJ2" s="40">
        <v>2033</v>
      </c>
      <c r="CK2" s="40">
        <v>2033</v>
      </c>
      <c r="CL2" s="40">
        <v>2033</v>
      </c>
      <c r="CM2" s="40">
        <v>2033</v>
      </c>
      <c r="CN2" s="40">
        <v>2033</v>
      </c>
      <c r="CO2" s="40">
        <v>2033</v>
      </c>
      <c r="CP2" s="40">
        <v>2033</v>
      </c>
      <c r="CQ2" s="40">
        <v>2033</v>
      </c>
      <c r="CR2" s="40">
        <v>2033</v>
      </c>
      <c r="CS2" s="40">
        <v>2033</v>
      </c>
      <c r="CT2" s="40">
        <v>2034</v>
      </c>
      <c r="CU2" s="40">
        <v>2034</v>
      </c>
      <c r="CV2" s="40">
        <v>2034</v>
      </c>
      <c r="CW2" s="40">
        <v>2034</v>
      </c>
      <c r="CX2" s="40">
        <v>2034</v>
      </c>
      <c r="CY2" s="40">
        <v>2034</v>
      </c>
      <c r="CZ2" s="40">
        <v>2034</v>
      </c>
      <c r="DA2" s="40">
        <v>2034</v>
      </c>
      <c r="DB2" s="40">
        <v>2034</v>
      </c>
      <c r="DC2" s="40">
        <v>2034</v>
      </c>
      <c r="DD2" s="40">
        <v>2034</v>
      </c>
      <c r="DE2" s="40">
        <v>2034</v>
      </c>
      <c r="DF2" s="40">
        <v>2035</v>
      </c>
      <c r="DG2" s="40">
        <v>2035</v>
      </c>
      <c r="DH2" s="40">
        <v>2035</v>
      </c>
      <c r="DI2" s="40">
        <v>2035</v>
      </c>
      <c r="DJ2" s="40">
        <v>2035</v>
      </c>
      <c r="DK2" s="40">
        <v>2035</v>
      </c>
      <c r="DL2" s="40">
        <v>2035</v>
      </c>
      <c r="DM2" s="40">
        <v>2035</v>
      </c>
      <c r="DN2" s="40">
        <v>2035</v>
      </c>
      <c r="DO2" s="40">
        <v>2035</v>
      </c>
      <c r="DP2" s="40">
        <v>2035</v>
      </c>
      <c r="DQ2" s="41">
        <v>2035</v>
      </c>
    </row>
    <row r="3" spans="1:121">
      <c r="A3" s="25" t="s">
        <v>31</v>
      </c>
      <c r="B3" s="15">
        <v>33623</v>
      </c>
      <c r="C3" s="15">
        <v>40629</v>
      </c>
      <c r="D3" s="15">
        <v>29471</v>
      </c>
      <c r="E3" s="15">
        <v>46216</v>
      </c>
      <c r="F3" s="15">
        <v>44324</v>
      </c>
      <c r="G3" s="15">
        <v>37335</v>
      </c>
      <c r="H3" s="15">
        <v>39626</v>
      </c>
      <c r="I3" s="15">
        <v>41340</v>
      </c>
      <c r="J3" s="15">
        <v>49765</v>
      </c>
      <c r="K3" s="15">
        <v>45562</v>
      </c>
      <c r="L3" s="15">
        <v>36814</v>
      </c>
      <c r="M3" s="15">
        <v>41059</v>
      </c>
      <c r="N3" s="15">
        <v>42670</v>
      </c>
      <c r="O3" s="15">
        <v>39089</v>
      </c>
      <c r="P3" s="15">
        <v>49332</v>
      </c>
      <c r="Q3" s="15">
        <v>44062</v>
      </c>
      <c r="R3" s="15">
        <v>43758</v>
      </c>
      <c r="S3" s="15">
        <v>44934</v>
      </c>
      <c r="T3" s="15">
        <v>48221</v>
      </c>
      <c r="U3" s="15">
        <v>45387</v>
      </c>
      <c r="V3" s="15">
        <v>37638</v>
      </c>
      <c r="W3" s="15">
        <v>47587</v>
      </c>
      <c r="X3" s="15">
        <v>29087</v>
      </c>
      <c r="Y3" s="15">
        <v>40769</v>
      </c>
      <c r="Z3" s="15">
        <v>47001</v>
      </c>
      <c r="AA3" s="15">
        <v>46632</v>
      </c>
      <c r="AB3" s="15">
        <v>54478</v>
      </c>
      <c r="AC3" s="15">
        <v>58255</v>
      </c>
      <c r="AD3" s="15">
        <v>51759</v>
      </c>
      <c r="AE3" s="15">
        <v>56209</v>
      </c>
      <c r="AF3" s="15">
        <v>53942</v>
      </c>
      <c r="AG3" s="15">
        <v>42890</v>
      </c>
      <c r="AH3" s="15">
        <v>48324</v>
      </c>
      <c r="AI3" s="15">
        <v>54555</v>
      </c>
      <c r="AJ3" s="15">
        <v>56132</v>
      </c>
      <c r="AK3" s="15">
        <v>49220</v>
      </c>
      <c r="AL3" s="15">
        <v>56967</v>
      </c>
      <c r="AM3" s="15">
        <v>41372</v>
      </c>
      <c r="AN3" s="15">
        <v>48595</v>
      </c>
      <c r="AO3" s="15">
        <v>40947</v>
      </c>
      <c r="AP3" s="15">
        <v>53844</v>
      </c>
      <c r="AQ3" s="15">
        <v>42671</v>
      </c>
      <c r="AR3" s="15">
        <v>57637</v>
      </c>
      <c r="AS3" s="15">
        <v>55180</v>
      </c>
      <c r="AT3" s="15">
        <v>34606</v>
      </c>
      <c r="AU3" s="15">
        <v>51359</v>
      </c>
      <c r="AV3" s="15">
        <v>48056</v>
      </c>
      <c r="AW3" s="15">
        <v>41188</v>
      </c>
      <c r="AX3" s="15">
        <v>49836</v>
      </c>
      <c r="AY3" s="15">
        <v>54817</v>
      </c>
      <c r="AZ3" s="15">
        <v>60114</v>
      </c>
      <c r="BA3" s="15">
        <v>59154</v>
      </c>
      <c r="BB3" s="15">
        <v>41767</v>
      </c>
      <c r="BC3" s="15">
        <v>42529</v>
      </c>
      <c r="BD3" s="15">
        <v>53197</v>
      </c>
      <c r="BE3" s="15">
        <v>38501</v>
      </c>
      <c r="BF3" s="15">
        <v>54391</v>
      </c>
      <c r="BG3" s="15">
        <v>57602</v>
      </c>
      <c r="BH3" s="15">
        <v>32959</v>
      </c>
      <c r="BI3" s="15">
        <v>53109</v>
      </c>
      <c r="BJ3" s="15">
        <v>52524</v>
      </c>
      <c r="BK3" s="15">
        <v>51484</v>
      </c>
      <c r="BL3" s="15">
        <v>42696</v>
      </c>
      <c r="BM3" s="15">
        <v>59938</v>
      </c>
      <c r="BN3" s="15">
        <v>61266</v>
      </c>
      <c r="BO3" s="15">
        <v>41882</v>
      </c>
      <c r="BP3" s="15">
        <v>55797</v>
      </c>
      <c r="BQ3" s="15">
        <v>44267</v>
      </c>
      <c r="BR3" s="15">
        <v>55620</v>
      </c>
      <c r="BS3" s="15">
        <v>47094</v>
      </c>
      <c r="BT3" s="15">
        <v>51823</v>
      </c>
      <c r="BU3" s="15">
        <v>44673</v>
      </c>
      <c r="BV3" s="15">
        <v>37524</v>
      </c>
      <c r="BW3" s="15">
        <v>44610</v>
      </c>
      <c r="BX3" s="15">
        <v>56203</v>
      </c>
      <c r="BY3" s="15">
        <v>36903</v>
      </c>
      <c r="BZ3" s="15">
        <v>45988</v>
      </c>
      <c r="CA3" s="15">
        <v>50418</v>
      </c>
      <c r="CB3" s="15">
        <v>36243</v>
      </c>
      <c r="CC3" s="15">
        <v>62290</v>
      </c>
      <c r="CD3" s="15">
        <v>52682</v>
      </c>
      <c r="CE3" s="15">
        <v>59123</v>
      </c>
      <c r="CF3" s="15">
        <v>42854</v>
      </c>
      <c r="CG3" s="15">
        <v>61817</v>
      </c>
      <c r="CH3" s="15">
        <v>56490</v>
      </c>
      <c r="CI3" s="15">
        <v>56320</v>
      </c>
      <c r="CJ3" s="15">
        <v>60752</v>
      </c>
      <c r="CK3" s="15">
        <v>37288</v>
      </c>
      <c r="CL3" s="15">
        <v>38586</v>
      </c>
      <c r="CM3" s="15">
        <v>43833</v>
      </c>
      <c r="CN3" s="15">
        <v>50619</v>
      </c>
      <c r="CO3" s="15">
        <v>58031</v>
      </c>
      <c r="CP3" s="15">
        <v>34937</v>
      </c>
      <c r="CQ3" s="15">
        <v>43156</v>
      </c>
      <c r="CR3" s="15">
        <v>44865</v>
      </c>
      <c r="CS3" s="15">
        <v>58002</v>
      </c>
      <c r="CT3" s="15">
        <v>52931</v>
      </c>
      <c r="CU3" s="15">
        <v>80272</v>
      </c>
      <c r="CV3" s="15">
        <v>78303</v>
      </c>
      <c r="CW3" s="15">
        <v>71525</v>
      </c>
      <c r="CX3" s="15">
        <v>84629</v>
      </c>
      <c r="CY3" s="15">
        <v>61291</v>
      </c>
      <c r="CZ3" s="15">
        <v>62180</v>
      </c>
      <c r="DA3" s="15">
        <v>88781</v>
      </c>
      <c r="DB3" s="15">
        <v>63016</v>
      </c>
      <c r="DC3" s="15">
        <v>69790</v>
      </c>
      <c r="DD3" s="15">
        <v>57969</v>
      </c>
      <c r="DE3" s="15">
        <v>59279</v>
      </c>
      <c r="DF3" s="15">
        <v>84739</v>
      </c>
      <c r="DG3" s="15">
        <v>107207</v>
      </c>
      <c r="DH3" s="15">
        <v>67496</v>
      </c>
      <c r="DI3" s="15">
        <v>78320</v>
      </c>
      <c r="DJ3" s="15">
        <v>91598</v>
      </c>
      <c r="DK3" s="15">
        <v>64487</v>
      </c>
      <c r="DL3" s="15">
        <v>81194</v>
      </c>
      <c r="DM3" s="15">
        <v>67205</v>
      </c>
      <c r="DN3" s="15">
        <v>102546</v>
      </c>
      <c r="DO3" s="15">
        <v>79036</v>
      </c>
      <c r="DP3" s="15">
        <v>84904</v>
      </c>
      <c r="DQ3" s="15">
        <v>92752</v>
      </c>
    </row>
    <row r="4" spans="1:121">
      <c r="A4" s="25" t="s">
        <v>32</v>
      </c>
      <c r="B4" s="15">
        <v>24560</v>
      </c>
      <c r="C4" s="15">
        <v>34313</v>
      </c>
      <c r="D4" s="15">
        <v>28338</v>
      </c>
      <c r="E4" s="15">
        <v>24684</v>
      </c>
      <c r="F4" s="15">
        <v>22834</v>
      </c>
      <c r="G4" s="15">
        <v>33995</v>
      </c>
      <c r="H4" s="15">
        <v>34012</v>
      </c>
      <c r="I4" s="15">
        <v>33870</v>
      </c>
      <c r="J4" s="15">
        <v>26864</v>
      </c>
      <c r="K4" s="15">
        <v>26235</v>
      </c>
      <c r="L4" s="15">
        <v>26524</v>
      </c>
      <c r="M4" s="15">
        <v>20857</v>
      </c>
      <c r="N4" s="15">
        <v>30346</v>
      </c>
      <c r="O4" s="15">
        <v>19373</v>
      </c>
      <c r="P4" s="15">
        <v>33694</v>
      </c>
      <c r="Q4" s="15">
        <v>22805</v>
      </c>
      <c r="R4" s="15">
        <v>28637</v>
      </c>
      <c r="S4" s="15">
        <v>24895</v>
      </c>
      <c r="T4" s="15">
        <v>28088</v>
      </c>
      <c r="U4" s="15">
        <v>33371</v>
      </c>
      <c r="V4" s="15">
        <v>20993</v>
      </c>
      <c r="W4" s="15">
        <v>28775</v>
      </c>
      <c r="X4" s="15">
        <v>22745</v>
      </c>
      <c r="Y4" s="15">
        <v>21859</v>
      </c>
      <c r="Z4" s="15">
        <v>25414</v>
      </c>
      <c r="AA4" s="15">
        <v>36163</v>
      </c>
      <c r="AB4" s="15">
        <v>22682</v>
      </c>
      <c r="AC4" s="15">
        <v>29700</v>
      </c>
      <c r="AD4" s="15">
        <v>33477</v>
      </c>
      <c r="AE4" s="15">
        <v>33310</v>
      </c>
      <c r="AF4" s="15">
        <v>36315</v>
      </c>
      <c r="AG4" s="15">
        <v>24530</v>
      </c>
      <c r="AH4" s="15">
        <v>38219</v>
      </c>
      <c r="AI4" s="15">
        <v>34371</v>
      </c>
      <c r="AJ4" s="15">
        <v>37702</v>
      </c>
      <c r="AK4" s="15">
        <v>29650</v>
      </c>
      <c r="AL4" s="15">
        <v>26588</v>
      </c>
      <c r="AM4" s="15">
        <v>37846</v>
      </c>
      <c r="AN4" s="15">
        <v>35334</v>
      </c>
      <c r="AO4" s="15">
        <v>36805</v>
      </c>
      <c r="AP4" s="15">
        <v>39131</v>
      </c>
      <c r="AQ4" s="15">
        <v>38027</v>
      </c>
      <c r="AR4" s="15">
        <v>32365</v>
      </c>
      <c r="AS4" s="15">
        <v>22305</v>
      </c>
      <c r="AT4" s="15">
        <v>22366</v>
      </c>
      <c r="AU4" s="15">
        <v>21736</v>
      </c>
      <c r="AV4" s="15">
        <v>26744</v>
      </c>
      <c r="AW4" s="15">
        <v>24693</v>
      </c>
      <c r="AX4" s="15">
        <v>29263</v>
      </c>
      <c r="AY4" s="15">
        <v>26904</v>
      </c>
      <c r="AZ4" s="15">
        <v>27822</v>
      </c>
      <c r="BA4" s="15">
        <v>33962</v>
      </c>
      <c r="BB4" s="15">
        <v>33149</v>
      </c>
      <c r="BC4" s="15">
        <v>23098</v>
      </c>
      <c r="BD4" s="15">
        <v>36805</v>
      </c>
      <c r="BE4" s="15">
        <v>35580</v>
      </c>
      <c r="BF4" s="15">
        <v>30887</v>
      </c>
      <c r="BG4" s="15">
        <v>25605</v>
      </c>
      <c r="BH4" s="15">
        <v>37770</v>
      </c>
      <c r="BI4" s="15">
        <v>35566</v>
      </c>
      <c r="BJ4" s="15">
        <v>38558</v>
      </c>
      <c r="BK4" s="15">
        <v>24855</v>
      </c>
      <c r="BL4" s="15">
        <v>32270</v>
      </c>
      <c r="BM4" s="15">
        <v>32475</v>
      </c>
      <c r="BN4" s="15">
        <v>40906</v>
      </c>
      <c r="BO4" s="15">
        <v>33622</v>
      </c>
      <c r="BP4" s="15">
        <v>25607</v>
      </c>
      <c r="BQ4" s="15">
        <v>30847</v>
      </c>
      <c r="BR4" s="15">
        <v>33048</v>
      </c>
      <c r="BS4" s="15">
        <v>29114</v>
      </c>
      <c r="BT4" s="15">
        <v>23171</v>
      </c>
      <c r="BU4" s="15">
        <v>35152</v>
      </c>
      <c r="BV4" s="15">
        <v>22788</v>
      </c>
      <c r="BW4" s="15">
        <v>33949</v>
      </c>
      <c r="BX4" s="15">
        <v>29375</v>
      </c>
      <c r="BY4" s="15">
        <v>29042</v>
      </c>
      <c r="BZ4" s="15">
        <v>29622</v>
      </c>
      <c r="CA4" s="15">
        <v>31147</v>
      </c>
      <c r="CB4" s="15">
        <v>38957</v>
      </c>
      <c r="CC4" s="15">
        <v>38707</v>
      </c>
      <c r="CD4" s="15">
        <v>23477</v>
      </c>
      <c r="CE4" s="15">
        <v>40884</v>
      </c>
      <c r="CF4" s="15">
        <v>25589</v>
      </c>
      <c r="CG4" s="15">
        <v>39022</v>
      </c>
      <c r="CH4" s="15">
        <v>34639</v>
      </c>
      <c r="CI4" s="15">
        <v>41449</v>
      </c>
      <c r="CJ4" s="15">
        <v>27448</v>
      </c>
      <c r="CK4" s="15">
        <v>23360</v>
      </c>
      <c r="CL4" s="15">
        <v>34797</v>
      </c>
      <c r="CM4" s="15">
        <v>32872</v>
      </c>
      <c r="CN4" s="15">
        <v>34996</v>
      </c>
      <c r="CO4" s="15">
        <v>28851</v>
      </c>
      <c r="CP4" s="15">
        <v>22855</v>
      </c>
      <c r="CQ4" s="15">
        <v>28605</v>
      </c>
      <c r="CR4" s="15">
        <v>32486</v>
      </c>
      <c r="CS4" s="15">
        <v>38002</v>
      </c>
      <c r="CT4" s="15">
        <v>39290</v>
      </c>
      <c r="CU4" s="15">
        <v>59073</v>
      </c>
      <c r="CV4" s="15">
        <v>36410</v>
      </c>
      <c r="CW4" s="15">
        <v>54416</v>
      </c>
      <c r="CX4" s="15">
        <v>40499</v>
      </c>
      <c r="CY4" s="15">
        <v>47254</v>
      </c>
      <c r="CZ4" s="15">
        <v>53826</v>
      </c>
      <c r="DA4" s="15">
        <v>52783</v>
      </c>
      <c r="DB4" s="15">
        <v>42768</v>
      </c>
      <c r="DC4" s="15">
        <v>50872</v>
      </c>
      <c r="DD4" s="15">
        <v>36116</v>
      </c>
      <c r="DE4" s="15">
        <v>57701</v>
      </c>
      <c r="DF4" s="15">
        <v>48829</v>
      </c>
      <c r="DG4" s="15">
        <v>71317</v>
      </c>
      <c r="DH4" s="15">
        <v>50790</v>
      </c>
      <c r="DI4" s="15">
        <v>41118</v>
      </c>
      <c r="DJ4" s="15">
        <v>49225</v>
      </c>
      <c r="DK4" s="15">
        <v>49453</v>
      </c>
      <c r="DL4" s="15">
        <v>52732</v>
      </c>
      <c r="DM4" s="15">
        <v>43857</v>
      </c>
      <c r="DN4" s="15">
        <v>67478</v>
      </c>
      <c r="DO4" s="15">
        <v>50212</v>
      </c>
      <c r="DP4" s="15">
        <v>46988</v>
      </c>
      <c r="DQ4" s="33">
        <v>53929</v>
      </c>
    </row>
    <row r="5" spans="1:121">
      <c r="A5" s="25" t="s">
        <v>33</v>
      </c>
      <c r="B5" s="15">
        <v>7361</v>
      </c>
      <c r="C5" s="15">
        <v>7934</v>
      </c>
      <c r="D5" s="15">
        <v>7747</v>
      </c>
      <c r="E5" s="15">
        <v>6755</v>
      </c>
      <c r="F5" s="15">
        <v>6963</v>
      </c>
      <c r="G5" s="15">
        <v>7133</v>
      </c>
      <c r="H5" s="15">
        <v>8268</v>
      </c>
      <c r="I5" s="15">
        <v>8087</v>
      </c>
      <c r="J5" s="15">
        <v>5586</v>
      </c>
      <c r="K5" s="15">
        <v>5706</v>
      </c>
      <c r="L5" s="15">
        <v>6834</v>
      </c>
      <c r="M5" s="15">
        <v>6004</v>
      </c>
      <c r="N5" s="15">
        <v>8296</v>
      </c>
      <c r="O5" s="15">
        <v>8161</v>
      </c>
      <c r="P5" s="15">
        <v>8723</v>
      </c>
      <c r="Q5" s="15">
        <v>6906</v>
      </c>
      <c r="R5" s="15">
        <v>7346</v>
      </c>
      <c r="S5" s="15">
        <v>7609</v>
      </c>
      <c r="T5" s="15">
        <v>4798</v>
      </c>
      <c r="U5" s="15">
        <v>5854</v>
      </c>
      <c r="V5" s="15">
        <v>6824</v>
      </c>
      <c r="W5" s="15">
        <v>6062</v>
      </c>
      <c r="X5" s="15">
        <v>6882</v>
      </c>
      <c r="Y5" s="15">
        <v>8689</v>
      </c>
      <c r="Z5" s="15">
        <v>5277</v>
      </c>
      <c r="AA5" s="15">
        <v>5723</v>
      </c>
      <c r="AB5" s="15">
        <v>8104</v>
      </c>
      <c r="AC5" s="15">
        <v>6972</v>
      </c>
      <c r="AD5" s="15">
        <v>8721</v>
      </c>
      <c r="AE5" s="15">
        <v>5728</v>
      </c>
      <c r="AF5" s="15">
        <v>9037</v>
      </c>
      <c r="AG5" s="15">
        <v>7136</v>
      </c>
      <c r="AH5" s="15">
        <v>8667</v>
      </c>
      <c r="AI5" s="15">
        <v>5402</v>
      </c>
      <c r="AJ5" s="15">
        <v>5854</v>
      </c>
      <c r="AK5" s="15">
        <v>7681</v>
      </c>
      <c r="AL5" s="15">
        <v>9816</v>
      </c>
      <c r="AM5" s="15">
        <v>8204</v>
      </c>
      <c r="AN5" s="15">
        <v>6894</v>
      </c>
      <c r="AO5" s="15">
        <v>8051</v>
      </c>
      <c r="AP5" s="15">
        <v>6166</v>
      </c>
      <c r="AQ5" s="15">
        <v>8600</v>
      </c>
      <c r="AR5" s="15">
        <v>6133</v>
      </c>
      <c r="AS5" s="15">
        <v>7492</v>
      </c>
      <c r="AT5" s="15">
        <v>7935</v>
      </c>
      <c r="AU5" s="15">
        <v>7408</v>
      </c>
      <c r="AV5" s="15">
        <v>7783</v>
      </c>
      <c r="AW5" s="15">
        <v>7770</v>
      </c>
      <c r="AX5" s="15">
        <v>7853</v>
      </c>
      <c r="AY5" s="15">
        <v>5967</v>
      </c>
      <c r="AZ5" s="15">
        <v>6214</v>
      </c>
      <c r="BA5" s="15">
        <v>7735</v>
      </c>
      <c r="BB5" s="15">
        <v>6986</v>
      </c>
      <c r="BC5" s="15">
        <v>9908</v>
      </c>
      <c r="BD5" s="15">
        <v>8145</v>
      </c>
      <c r="BE5" s="15">
        <v>7673</v>
      </c>
      <c r="BF5" s="15">
        <v>6686</v>
      </c>
      <c r="BG5" s="15">
        <v>7191</v>
      </c>
      <c r="BH5" s="15">
        <v>9947</v>
      </c>
      <c r="BI5" s="15">
        <v>7234</v>
      </c>
      <c r="BJ5" s="15">
        <v>5711</v>
      </c>
      <c r="BK5" s="15">
        <v>6942</v>
      </c>
      <c r="BL5" s="15">
        <v>6046</v>
      </c>
      <c r="BM5" s="15">
        <v>6454</v>
      </c>
      <c r="BN5" s="15">
        <v>9484</v>
      </c>
      <c r="BO5" s="15">
        <v>7808</v>
      </c>
      <c r="BP5" s="15">
        <v>6790</v>
      </c>
      <c r="BQ5" s="15">
        <v>7429</v>
      </c>
      <c r="BR5" s="15">
        <v>8451</v>
      </c>
      <c r="BS5" s="15">
        <v>9253</v>
      </c>
      <c r="BT5" s="15">
        <v>9375</v>
      </c>
      <c r="BU5" s="15">
        <v>9308</v>
      </c>
      <c r="BV5" s="15">
        <v>9338</v>
      </c>
      <c r="BW5" s="15">
        <v>9290</v>
      </c>
      <c r="BX5" s="15">
        <v>9533</v>
      </c>
      <c r="BY5" s="15">
        <v>6526</v>
      </c>
      <c r="BZ5" s="15">
        <v>8112</v>
      </c>
      <c r="CA5" s="15">
        <v>7163</v>
      </c>
      <c r="CB5" s="15">
        <v>6279</v>
      </c>
      <c r="CC5" s="15">
        <v>10010</v>
      </c>
      <c r="CD5" s="15">
        <v>10138</v>
      </c>
      <c r="CE5" s="15">
        <v>7108</v>
      </c>
      <c r="CF5" s="15">
        <v>8541</v>
      </c>
      <c r="CG5" s="15">
        <v>9007</v>
      </c>
      <c r="CH5" s="15">
        <v>6807</v>
      </c>
      <c r="CI5" s="15">
        <v>6750</v>
      </c>
      <c r="CJ5" s="15">
        <v>9111</v>
      </c>
      <c r="CK5" s="15">
        <v>7128</v>
      </c>
      <c r="CL5" s="15">
        <v>6084</v>
      </c>
      <c r="CM5" s="15">
        <v>8982</v>
      </c>
      <c r="CN5" s="15">
        <v>10293</v>
      </c>
      <c r="CO5" s="15">
        <v>10227</v>
      </c>
      <c r="CP5" s="15">
        <v>7104</v>
      </c>
      <c r="CQ5" s="15">
        <v>6522</v>
      </c>
      <c r="CR5" s="15">
        <v>7188</v>
      </c>
      <c r="CS5" s="15">
        <v>8156</v>
      </c>
      <c r="CT5" s="15">
        <v>15626</v>
      </c>
      <c r="CU5" s="15">
        <v>9046</v>
      </c>
      <c r="CV5" s="15">
        <v>13167</v>
      </c>
      <c r="CW5" s="15">
        <v>12473</v>
      </c>
      <c r="CX5" s="15">
        <v>15396</v>
      </c>
      <c r="CY5" s="15">
        <v>12866</v>
      </c>
      <c r="CZ5" s="15">
        <v>9054</v>
      </c>
      <c r="DA5" s="15">
        <v>15302</v>
      </c>
      <c r="DB5" s="15">
        <v>10860</v>
      </c>
      <c r="DC5" s="15">
        <v>11850</v>
      </c>
      <c r="DD5" s="15">
        <v>13383</v>
      </c>
      <c r="DE5" s="15">
        <v>10158</v>
      </c>
      <c r="DF5" s="15">
        <v>12436</v>
      </c>
      <c r="DG5" s="15">
        <v>13996</v>
      </c>
      <c r="DH5" s="15">
        <v>10431</v>
      </c>
      <c r="DI5" s="15">
        <v>10451</v>
      </c>
      <c r="DJ5" s="15">
        <v>17578</v>
      </c>
      <c r="DK5" s="15">
        <v>13944</v>
      </c>
      <c r="DL5" s="15">
        <v>17682</v>
      </c>
      <c r="DM5" s="15">
        <v>14758</v>
      </c>
      <c r="DN5" s="15">
        <v>14259</v>
      </c>
      <c r="DO5" s="15">
        <v>11469</v>
      </c>
      <c r="DP5" s="15">
        <v>15218</v>
      </c>
      <c r="DQ5" s="33">
        <v>13805</v>
      </c>
    </row>
    <row r="6" spans="1:121">
      <c r="A6" s="25" t="s">
        <v>34</v>
      </c>
      <c r="B6" s="15">
        <v>13293</v>
      </c>
      <c r="C6" s="15">
        <v>14722</v>
      </c>
      <c r="D6" s="15">
        <v>13368</v>
      </c>
      <c r="E6" s="15">
        <v>12169</v>
      </c>
      <c r="F6" s="15">
        <v>10068</v>
      </c>
      <c r="G6" s="15">
        <v>13043</v>
      </c>
      <c r="H6" s="15">
        <v>15233</v>
      </c>
      <c r="I6" s="15">
        <v>16408</v>
      </c>
      <c r="J6" s="15">
        <v>10269</v>
      </c>
      <c r="K6" s="15">
        <v>14765</v>
      </c>
      <c r="L6" s="15">
        <v>11072</v>
      </c>
      <c r="M6" s="15">
        <v>16966</v>
      </c>
      <c r="N6" s="15">
        <v>10611</v>
      </c>
      <c r="O6" s="15">
        <v>15042</v>
      </c>
      <c r="P6" s="15">
        <v>11856</v>
      </c>
      <c r="Q6" s="15">
        <v>12951</v>
      </c>
      <c r="R6" s="15">
        <v>14336</v>
      </c>
      <c r="S6" s="15">
        <v>16750</v>
      </c>
      <c r="T6" s="15">
        <v>15215</v>
      </c>
      <c r="U6" s="15">
        <v>13631</v>
      </c>
      <c r="V6" s="15">
        <v>10936</v>
      </c>
      <c r="W6" s="15">
        <v>15882</v>
      </c>
      <c r="X6" s="15">
        <v>12666</v>
      </c>
      <c r="Y6" s="15">
        <v>11102</v>
      </c>
      <c r="Z6" s="15">
        <v>14085</v>
      </c>
      <c r="AA6" s="15">
        <v>13506</v>
      </c>
      <c r="AB6" s="15">
        <v>13387</v>
      </c>
      <c r="AC6" s="15">
        <v>10734</v>
      </c>
      <c r="AD6" s="15">
        <v>10666</v>
      </c>
      <c r="AE6" s="15">
        <v>16445</v>
      </c>
      <c r="AF6" s="15">
        <v>13521</v>
      </c>
      <c r="AG6" s="15">
        <v>18021</v>
      </c>
      <c r="AH6" s="15">
        <v>18340</v>
      </c>
      <c r="AI6" s="15">
        <v>12548</v>
      </c>
      <c r="AJ6" s="15">
        <v>10975</v>
      </c>
      <c r="AK6" s="15">
        <v>13302</v>
      </c>
      <c r="AL6" s="15">
        <v>19121</v>
      </c>
      <c r="AM6" s="15">
        <v>15466</v>
      </c>
      <c r="AN6" s="15">
        <v>18808</v>
      </c>
      <c r="AO6" s="15">
        <v>18631</v>
      </c>
      <c r="AP6" s="15">
        <v>10551</v>
      </c>
      <c r="AQ6" s="15">
        <v>13092</v>
      </c>
      <c r="AR6" s="15">
        <v>16184</v>
      </c>
      <c r="AS6" s="15">
        <v>10557</v>
      </c>
      <c r="AT6" s="15">
        <v>15903</v>
      </c>
      <c r="AU6" s="15">
        <v>12588</v>
      </c>
      <c r="AV6" s="15">
        <v>15106</v>
      </c>
      <c r="AW6" s="15">
        <v>18479</v>
      </c>
      <c r="AX6" s="15">
        <v>15277</v>
      </c>
      <c r="AY6" s="15">
        <v>19055</v>
      </c>
      <c r="AZ6" s="15">
        <v>13335</v>
      </c>
      <c r="BA6" s="15">
        <v>17016</v>
      </c>
      <c r="BB6" s="15">
        <v>14286</v>
      </c>
      <c r="BC6" s="15">
        <v>14943</v>
      </c>
      <c r="BD6" s="15">
        <v>18129</v>
      </c>
      <c r="BE6" s="15">
        <v>17880</v>
      </c>
      <c r="BF6" s="15">
        <v>12827</v>
      </c>
      <c r="BG6" s="15">
        <v>16319</v>
      </c>
      <c r="BH6" s="15">
        <v>11765</v>
      </c>
      <c r="BI6" s="15">
        <v>19830</v>
      </c>
      <c r="BJ6" s="15">
        <v>13561</v>
      </c>
      <c r="BK6" s="15">
        <v>13764</v>
      </c>
      <c r="BL6" s="15">
        <v>17348</v>
      </c>
      <c r="BM6" s="15">
        <v>12121</v>
      </c>
      <c r="BN6" s="15">
        <v>11871</v>
      </c>
      <c r="BO6" s="15">
        <v>14151</v>
      </c>
      <c r="BP6" s="15">
        <v>13553</v>
      </c>
      <c r="BQ6" s="15">
        <v>11144</v>
      </c>
      <c r="BR6" s="15">
        <v>17186</v>
      </c>
      <c r="BS6" s="15">
        <v>11842</v>
      </c>
      <c r="BT6" s="15">
        <v>16347</v>
      </c>
      <c r="BU6" s="15">
        <v>19913</v>
      </c>
      <c r="BV6" s="15">
        <v>14610</v>
      </c>
      <c r="BW6" s="15">
        <v>17931</v>
      </c>
      <c r="BX6" s="15">
        <v>14495</v>
      </c>
      <c r="BY6" s="15">
        <v>19189</v>
      </c>
      <c r="BZ6" s="15">
        <v>12674</v>
      </c>
      <c r="CA6" s="15">
        <v>14344</v>
      </c>
      <c r="CB6" s="15">
        <v>15400</v>
      </c>
      <c r="CC6" s="15">
        <v>13499</v>
      </c>
      <c r="CD6" s="15">
        <v>18339</v>
      </c>
      <c r="CE6" s="15">
        <v>16671</v>
      </c>
      <c r="CF6" s="15">
        <v>12675</v>
      </c>
      <c r="CG6" s="15">
        <v>18517</v>
      </c>
      <c r="CH6" s="15">
        <v>15129</v>
      </c>
      <c r="CI6" s="15">
        <v>11791</v>
      </c>
      <c r="CJ6" s="15">
        <v>17265</v>
      </c>
      <c r="CK6" s="15">
        <v>19203</v>
      </c>
      <c r="CL6" s="15">
        <v>16471</v>
      </c>
      <c r="CM6" s="15">
        <v>19378</v>
      </c>
      <c r="CN6" s="15">
        <v>14124</v>
      </c>
      <c r="CO6" s="15">
        <v>12248</v>
      </c>
      <c r="CP6" s="15">
        <v>11628</v>
      </c>
      <c r="CQ6" s="15">
        <v>11918</v>
      </c>
      <c r="CR6" s="15">
        <v>15794</v>
      </c>
      <c r="CS6" s="15">
        <v>17176</v>
      </c>
      <c r="CT6" s="15">
        <v>25073</v>
      </c>
      <c r="CU6" s="15">
        <v>23277</v>
      </c>
      <c r="CV6" s="15">
        <v>27354</v>
      </c>
      <c r="CW6" s="15">
        <v>26109</v>
      </c>
      <c r="CX6" s="15">
        <v>30022</v>
      </c>
      <c r="CY6" s="15">
        <v>27776</v>
      </c>
      <c r="CZ6" s="15">
        <v>30952</v>
      </c>
      <c r="DA6" s="15">
        <v>22474</v>
      </c>
      <c r="DB6" s="15">
        <v>29260</v>
      </c>
      <c r="DC6" s="15">
        <v>22368</v>
      </c>
      <c r="DD6" s="15">
        <v>18211</v>
      </c>
      <c r="DE6" s="15">
        <v>20532</v>
      </c>
      <c r="DF6" s="15">
        <v>31587</v>
      </c>
      <c r="DG6" s="15">
        <v>27041</v>
      </c>
      <c r="DH6" s="15">
        <v>37208</v>
      </c>
      <c r="DI6" s="15">
        <v>23814</v>
      </c>
      <c r="DJ6" s="15">
        <v>23526</v>
      </c>
      <c r="DK6" s="15">
        <v>36311</v>
      </c>
      <c r="DL6" s="15">
        <v>20403</v>
      </c>
      <c r="DM6" s="15">
        <v>35315</v>
      </c>
      <c r="DN6" s="15">
        <v>30754</v>
      </c>
      <c r="DO6" s="15">
        <v>21236</v>
      </c>
      <c r="DP6" s="15">
        <v>35270</v>
      </c>
      <c r="DQ6" s="33">
        <v>33992</v>
      </c>
    </row>
    <row r="7" spans="1:121">
      <c r="A7" s="25" t="s">
        <v>35</v>
      </c>
      <c r="B7" s="15">
        <v>20463</v>
      </c>
      <c r="C7" s="15">
        <v>19725</v>
      </c>
      <c r="D7" s="15">
        <v>18483</v>
      </c>
      <c r="E7" s="15">
        <v>19784</v>
      </c>
      <c r="F7" s="15">
        <v>14557</v>
      </c>
      <c r="G7" s="15">
        <v>20364</v>
      </c>
      <c r="H7" s="15">
        <v>18193</v>
      </c>
      <c r="I7" s="15">
        <v>23762</v>
      </c>
      <c r="J7" s="15">
        <v>18576</v>
      </c>
      <c r="K7" s="15">
        <v>22965</v>
      </c>
      <c r="L7" s="15">
        <v>22276</v>
      </c>
      <c r="M7" s="15">
        <v>20707</v>
      </c>
      <c r="N7" s="15">
        <v>15474</v>
      </c>
      <c r="O7" s="15">
        <v>14430</v>
      </c>
      <c r="P7" s="15">
        <v>18877</v>
      </c>
      <c r="Q7" s="15">
        <v>18377</v>
      </c>
      <c r="R7" s="15">
        <v>19339</v>
      </c>
      <c r="S7" s="15">
        <v>24895</v>
      </c>
      <c r="T7" s="15">
        <v>25588</v>
      </c>
      <c r="U7" s="15">
        <v>24834</v>
      </c>
      <c r="V7" s="15">
        <v>20983</v>
      </c>
      <c r="W7" s="15">
        <v>23949</v>
      </c>
      <c r="X7" s="15">
        <v>18621</v>
      </c>
      <c r="Y7" s="15">
        <v>17209</v>
      </c>
      <c r="Z7" s="15">
        <v>15887</v>
      </c>
      <c r="AA7" s="15">
        <v>19539</v>
      </c>
      <c r="AB7" s="15">
        <v>17957</v>
      </c>
      <c r="AC7" s="15">
        <v>21205</v>
      </c>
      <c r="AD7" s="15">
        <v>28097</v>
      </c>
      <c r="AE7" s="15">
        <v>19083</v>
      </c>
      <c r="AF7" s="15">
        <v>20149</v>
      </c>
      <c r="AG7" s="15">
        <v>15898</v>
      </c>
      <c r="AH7" s="15">
        <v>17990</v>
      </c>
      <c r="AI7" s="15">
        <v>22758</v>
      </c>
      <c r="AJ7" s="15">
        <v>23871</v>
      </c>
      <c r="AK7" s="15">
        <v>17392</v>
      </c>
      <c r="AL7" s="15">
        <v>16921</v>
      </c>
      <c r="AM7" s="15">
        <v>20126</v>
      </c>
      <c r="AN7" s="15">
        <v>16617</v>
      </c>
      <c r="AO7" s="15">
        <v>27052</v>
      </c>
      <c r="AP7" s="15">
        <v>18920</v>
      </c>
      <c r="AQ7" s="15">
        <v>25251</v>
      </c>
      <c r="AR7" s="15">
        <v>18829</v>
      </c>
      <c r="AS7" s="15">
        <v>27966</v>
      </c>
      <c r="AT7" s="15">
        <v>25200</v>
      </c>
      <c r="AU7" s="15">
        <v>24845</v>
      </c>
      <c r="AV7" s="15">
        <v>25738</v>
      </c>
      <c r="AW7" s="15">
        <v>28511</v>
      </c>
      <c r="AX7" s="15">
        <v>22546</v>
      </c>
      <c r="AY7" s="15">
        <v>16452</v>
      </c>
      <c r="AZ7" s="15">
        <v>24939</v>
      </c>
      <c r="BA7" s="15">
        <v>18918</v>
      </c>
      <c r="BB7" s="15">
        <v>26220</v>
      </c>
      <c r="BC7" s="15">
        <v>21289</v>
      </c>
      <c r="BD7" s="15">
        <v>19648</v>
      </c>
      <c r="BE7" s="15">
        <v>22165</v>
      </c>
      <c r="BF7" s="15">
        <v>24724</v>
      </c>
      <c r="BG7" s="15">
        <v>19478</v>
      </c>
      <c r="BH7" s="15">
        <v>23418</v>
      </c>
      <c r="BI7" s="15">
        <v>19100</v>
      </c>
      <c r="BJ7" s="15">
        <v>26165</v>
      </c>
      <c r="BK7" s="15">
        <v>29202</v>
      </c>
      <c r="BL7" s="15">
        <v>17010</v>
      </c>
      <c r="BM7" s="15">
        <v>19457</v>
      </c>
      <c r="BN7" s="15">
        <v>19133</v>
      </c>
      <c r="BO7" s="15">
        <v>27348</v>
      </c>
      <c r="BP7" s="15">
        <v>29958</v>
      </c>
      <c r="BQ7" s="15">
        <v>30358</v>
      </c>
      <c r="BR7" s="15">
        <v>22712</v>
      </c>
      <c r="BS7" s="15">
        <v>27660</v>
      </c>
      <c r="BT7" s="15">
        <v>28474</v>
      </c>
      <c r="BU7" s="15">
        <v>28484</v>
      </c>
      <c r="BV7" s="15">
        <v>28780</v>
      </c>
      <c r="BW7" s="15">
        <v>26945</v>
      </c>
      <c r="BX7" s="15">
        <v>24225</v>
      </c>
      <c r="BY7" s="15">
        <v>28407</v>
      </c>
      <c r="BZ7" s="15">
        <v>18220</v>
      </c>
      <c r="CA7" s="15">
        <v>21302</v>
      </c>
      <c r="CB7" s="15">
        <v>28303</v>
      </c>
      <c r="CC7" s="15">
        <v>20810</v>
      </c>
      <c r="CD7" s="15">
        <v>19295</v>
      </c>
      <c r="CE7" s="15">
        <v>17684</v>
      </c>
      <c r="CF7" s="15">
        <v>26793</v>
      </c>
      <c r="CG7" s="15">
        <v>22722</v>
      </c>
      <c r="CH7" s="15">
        <v>17658</v>
      </c>
      <c r="CI7" s="15">
        <v>18886</v>
      </c>
      <c r="CJ7" s="15">
        <v>18299</v>
      </c>
      <c r="CK7" s="15">
        <v>21859</v>
      </c>
      <c r="CL7" s="15">
        <v>22811</v>
      </c>
      <c r="CM7" s="15">
        <v>21712</v>
      </c>
      <c r="CN7" s="15">
        <v>29711</v>
      </c>
      <c r="CO7" s="15">
        <v>22003</v>
      </c>
      <c r="CP7" s="15">
        <v>22833</v>
      </c>
      <c r="CQ7" s="15">
        <v>17879</v>
      </c>
      <c r="CR7" s="15">
        <v>24304</v>
      </c>
      <c r="CS7" s="15">
        <v>22325</v>
      </c>
      <c r="CT7" s="15">
        <v>30917</v>
      </c>
      <c r="CU7" s="15">
        <v>43206</v>
      </c>
      <c r="CV7" s="15">
        <v>35681</v>
      </c>
      <c r="CW7" s="15">
        <v>35561</v>
      </c>
      <c r="CX7" s="15">
        <v>31677</v>
      </c>
      <c r="CY7" s="15">
        <v>46686</v>
      </c>
      <c r="CZ7" s="15">
        <v>34132</v>
      </c>
      <c r="DA7" s="15">
        <v>36701</v>
      </c>
      <c r="DB7" s="15">
        <v>43527</v>
      </c>
      <c r="DC7" s="15">
        <v>40197</v>
      </c>
      <c r="DD7" s="15">
        <v>36371</v>
      </c>
      <c r="DE7" s="15">
        <v>35362</v>
      </c>
      <c r="DF7" s="15">
        <v>33197</v>
      </c>
      <c r="DG7" s="15">
        <v>54168</v>
      </c>
      <c r="DH7" s="15">
        <v>45628</v>
      </c>
      <c r="DI7" s="15">
        <v>44618</v>
      </c>
      <c r="DJ7" s="15">
        <v>39281</v>
      </c>
      <c r="DK7" s="15">
        <v>54370</v>
      </c>
      <c r="DL7" s="15">
        <v>49095</v>
      </c>
      <c r="DM7" s="15">
        <v>41078</v>
      </c>
      <c r="DN7" s="15">
        <v>54189</v>
      </c>
      <c r="DO7" s="15">
        <v>53743</v>
      </c>
      <c r="DP7" s="15">
        <v>39944</v>
      </c>
      <c r="DQ7" s="33">
        <v>44475</v>
      </c>
    </row>
    <row r="8" spans="1:121">
      <c r="A8" s="25" t="s">
        <v>36</v>
      </c>
      <c r="B8" s="15">
        <v>22293</v>
      </c>
      <c r="C8" s="15">
        <v>36325</v>
      </c>
      <c r="D8" s="15">
        <v>20507</v>
      </c>
      <c r="E8" s="15">
        <v>22842</v>
      </c>
      <c r="F8" s="15">
        <v>30421</v>
      </c>
      <c r="G8" s="15">
        <v>35016</v>
      </c>
      <c r="H8" s="15">
        <v>29470</v>
      </c>
      <c r="I8" s="15">
        <v>33007</v>
      </c>
      <c r="J8" s="15">
        <v>25533</v>
      </c>
      <c r="K8" s="15">
        <v>35130</v>
      </c>
      <c r="L8" s="15">
        <v>34717</v>
      </c>
      <c r="M8" s="15">
        <v>33081</v>
      </c>
      <c r="N8" s="15">
        <v>34417</v>
      </c>
      <c r="O8" s="15">
        <v>32460</v>
      </c>
      <c r="P8" s="15">
        <v>37166</v>
      </c>
      <c r="Q8" s="15">
        <v>25392</v>
      </c>
      <c r="R8" s="15">
        <v>26272</v>
      </c>
      <c r="S8" s="15">
        <v>26345</v>
      </c>
      <c r="T8" s="15">
        <v>30376</v>
      </c>
      <c r="U8" s="15">
        <v>26613</v>
      </c>
      <c r="V8" s="15">
        <v>26474</v>
      </c>
      <c r="W8" s="15">
        <v>35252</v>
      </c>
      <c r="X8" s="15">
        <v>34133</v>
      </c>
      <c r="Y8" s="15">
        <v>33536</v>
      </c>
      <c r="Z8" s="15">
        <v>29678</v>
      </c>
      <c r="AA8" s="15">
        <v>33461</v>
      </c>
      <c r="AB8" s="15">
        <v>41232</v>
      </c>
      <c r="AC8" s="15">
        <v>26871</v>
      </c>
      <c r="AD8" s="15">
        <v>40752</v>
      </c>
      <c r="AE8" s="15">
        <v>32928</v>
      </c>
      <c r="AF8" s="15">
        <v>33136</v>
      </c>
      <c r="AG8" s="15">
        <v>23754</v>
      </c>
      <c r="AH8" s="15">
        <v>26082</v>
      </c>
      <c r="AI8" s="15">
        <v>27086</v>
      </c>
      <c r="AJ8" s="15">
        <v>29762</v>
      </c>
      <c r="AK8" s="15">
        <v>23070</v>
      </c>
      <c r="AL8" s="15">
        <v>27243</v>
      </c>
      <c r="AM8" s="15">
        <v>26602</v>
      </c>
      <c r="AN8" s="15">
        <v>39162</v>
      </c>
      <c r="AO8" s="15">
        <v>37914</v>
      </c>
      <c r="AP8" s="15">
        <v>28703</v>
      </c>
      <c r="AQ8" s="15">
        <v>39681</v>
      </c>
      <c r="AR8" s="15">
        <v>26479</v>
      </c>
      <c r="AS8" s="15">
        <v>38031</v>
      </c>
      <c r="AT8" s="15">
        <v>36790</v>
      </c>
      <c r="AU8" s="15">
        <v>27861</v>
      </c>
      <c r="AV8" s="15">
        <v>38457</v>
      </c>
      <c r="AW8" s="15">
        <v>32593</v>
      </c>
      <c r="AX8" s="15">
        <v>29618</v>
      </c>
      <c r="AY8" s="15">
        <v>37429</v>
      </c>
      <c r="AZ8" s="15">
        <v>28374</v>
      </c>
      <c r="BA8" s="15">
        <v>31507</v>
      </c>
      <c r="BB8" s="15">
        <v>24740</v>
      </c>
      <c r="BC8" s="15">
        <v>38884</v>
      </c>
      <c r="BD8" s="15">
        <v>40763</v>
      </c>
      <c r="BE8" s="15">
        <v>29531</v>
      </c>
      <c r="BF8" s="15">
        <v>32406</v>
      </c>
      <c r="BG8" s="15">
        <v>27817</v>
      </c>
      <c r="BH8" s="15">
        <v>34654</v>
      </c>
      <c r="BI8" s="15">
        <v>41752</v>
      </c>
      <c r="BJ8" s="15">
        <v>27628</v>
      </c>
      <c r="BK8" s="15">
        <v>42801</v>
      </c>
      <c r="BL8" s="15">
        <v>39177</v>
      </c>
      <c r="BM8" s="15">
        <v>26039</v>
      </c>
      <c r="BN8" s="15">
        <v>24756</v>
      </c>
      <c r="BO8" s="15">
        <v>39074</v>
      </c>
      <c r="BP8" s="15">
        <v>39028</v>
      </c>
      <c r="BQ8" s="15">
        <v>43374</v>
      </c>
      <c r="BR8" s="15">
        <v>27158</v>
      </c>
      <c r="BS8" s="15">
        <v>30683</v>
      </c>
      <c r="BT8" s="15">
        <v>27923</v>
      </c>
      <c r="BU8" s="15">
        <v>23972</v>
      </c>
      <c r="BV8" s="15">
        <v>31226</v>
      </c>
      <c r="BW8" s="15">
        <v>25461</v>
      </c>
      <c r="BX8" s="15">
        <v>24739</v>
      </c>
      <c r="BY8" s="15">
        <v>43320</v>
      </c>
      <c r="BZ8" s="15">
        <v>27676</v>
      </c>
      <c r="CA8" s="15">
        <v>37156</v>
      </c>
      <c r="CB8" s="15">
        <v>40739</v>
      </c>
      <c r="CC8" s="15">
        <v>40879</v>
      </c>
      <c r="CD8" s="15">
        <v>37058</v>
      </c>
      <c r="CE8" s="15">
        <v>33320</v>
      </c>
      <c r="CF8" s="15">
        <v>34923</v>
      </c>
      <c r="CG8" s="15">
        <v>42065</v>
      </c>
      <c r="CH8" s="15">
        <v>37252</v>
      </c>
      <c r="CI8" s="15">
        <v>24438</v>
      </c>
      <c r="CJ8" s="15">
        <v>44727</v>
      </c>
      <c r="CK8" s="15">
        <v>39100</v>
      </c>
      <c r="CL8" s="15">
        <v>26267</v>
      </c>
      <c r="CM8" s="15">
        <v>38293</v>
      </c>
      <c r="CN8" s="15">
        <v>29920</v>
      </c>
      <c r="CO8" s="15">
        <v>28214</v>
      </c>
      <c r="CP8" s="15">
        <v>32872</v>
      </c>
      <c r="CQ8" s="15">
        <v>32403</v>
      </c>
      <c r="CR8" s="15">
        <v>30632</v>
      </c>
      <c r="CS8" s="15">
        <v>44519</v>
      </c>
      <c r="CT8" s="15">
        <v>54449</v>
      </c>
      <c r="CU8" s="15">
        <v>42331</v>
      </c>
      <c r="CV8" s="15">
        <v>65391</v>
      </c>
      <c r="CW8" s="15">
        <v>59931</v>
      </c>
      <c r="CX8" s="15">
        <v>43071</v>
      </c>
      <c r="CY8" s="15">
        <v>61584</v>
      </c>
      <c r="CZ8" s="15">
        <v>60352</v>
      </c>
      <c r="DA8" s="15">
        <v>57588</v>
      </c>
      <c r="DB8" s="15">
        <v>64742</v>
      </c>
      <c r="DC8" s="15">
        <v>60580</v>
      </c>
      <c r="DD8" s="15">
        <v>57712</v>
      </c>
      <c r="DE8" s="15">
        <v>66905</v>
      </c>
      <c r="DF8" s="15">
        <v>68678</v>
      </c>
      <c r="DG8" s="15">
        <v>56866</v>
      </c>
      <c r="DH8" s="15">
        <v>47750</v>
      </c>
      <c r="DI8" s="15">
        <v>61029</v>
      </c>
      <c r="DJ8" s="15">
        <v>51244</v>
      </c>
      <c r="DK8" s="15">
        <v>74269</v>
      </c>
      <c r="DL8" s="15">
        <v>67440</v>
      </c>
      <c r="DM8" s="15">
        <v>79483</v>
      </c>
      <c r="DN8" s="15">
        <v>49576</v>
      </c>
      <c r="DO8" s="15">
        <v>67713</v>
      </c>
      <c r="DP8" s="15">
        <v>73504</v>
      </c>
      <c r="DQ8" s="33">
        <v>70899</v>
      </c>
    </row>
    <row r="9" spans="1:121">
      <c r="A9" s="25" t="s">
        <v>37</v>
      </c>
      <c r="B9" s="15">
        <v>22528</v>
      </c>
      <c r="C9" s="15">
        <v>17179</v>
      </c>
      <c r="D9" s="15">
        <v>26750</v>
      </c>
      <c r="E9" s="15">
        <v>29124</v>
      </c>
      <c r="F9" s="15">
        <v>17318</v>
      </c>
      <c r="G9" s="15">
        <v>20655</v>
      </c>
      <c r="H9" s="15">
        <v>19070</v>
      </c>
      <c r="I9" s="15">
        <v>20107</v>
      </c>
      <c r="J9" s="15">
        <v>26383</v>
      </c>
      <c r="K9" s="15">
        <v>16831</v>
      </c>
      <c r="L9" s="15">
        <v>27805</v>
      </c>
      <c r="M9" s="15">
        <v>26319</v>
      </c>
      <c r="N9" s="15">
        <v>22677</v>
      </c>
      <c r="O9" s="15">
        <v>28113</v>
      </c>
      <c r="P9" s="15">
        <v>26617</v>
      </c>
      <c r="Q9" s="15">
        <v>16414</v>
      </c>
      <c r="R9" s="15">
        <v>18467</v>
      </c>
      <c r="S9" s="15">
        <v>29435</v>
      </c>
      <c r="T9" s="15">
        <v>17436</v>
      </c>
      <c r="U9" s="15">
        <v>25499</v>
      </c>
      <c r="V9" s="15">
        <v>22975</v>
      </c>
      <c r="W9" s="15">
        <v>19151</v>
      </c>
      <c r="X9" s="15">
        <v>28155</v>
      </c>
      <c r="Y9" s="15">
        <v>22780</v>
      </c>
      <c r="Z9" s="15">
        <v>29476</v>
      </c>
      <c r="AA9" s="15">
        <v>26438</v>
      </c>
      <c r="AB9" s="15">
        <v>33164</v>
      </c>
      <c r="AC9" s="15">
        <v>32796</v>
      </c>
      <c r="AD9" s="15">
        <v>25253</v>
      </c>
      <c r="AE9" s="15">
        <v>26503</v>
      </c>
      <c r="AF9" s="15">
        <v>27720</v>
      </c>
      <c r="AG9" s="15">
        <v>27332</v>
      </c>
      <c r="AH9" s="15">
        <v>21519</v>
      </c>
      <c r="AI9" s="15">
        <v>20991</v>
      </c>
      <c r="AJ9" s="15">
        <v>32115</v>
      </c>
      <c r="AK9" s="15">
        <v>23012</v>
      </c>
      <c r="AL9" s="15">
        <v>23866</v>
      </c>
      <c r="AM9" s="15">
        <v>21889</v>
      </c>
      <c r="AN9" s="15">
        <v>23498</v>
      </c>
      <c r="AO9" s="15">
        <v>22025</v>
      </c>
      <c r="AP9" s="15">
        <v>23067</v>
      </c>
      <c r="AQ9" s="15">
        <v>31484</v>
      </c>
      <c r="AR9" s="15">
        <v>34141</v>
      </c>
      <c r="AS9" s="15">
        <v>21633</v>
      </c>
      <c r="AT9" s="15">
        <v>27408</v>
      </c>
      <c r="AU9" s="15">
        <v>26325</v>
      </c>
      <c r="AV9" s="15">
        <v>20073</v>
      </c>
      <c r="AW9" s="15">
        <v>24868</v>
      </c>
      <c r="AX9" s="15">
        <v>31744</v>
      </c>
      <c r="AY9" s="15">
        <v>19814</v>
      </c>
      <c r="AZ9" s="15">
        <v>21624</v>
      </c>
      <c r="BA9" s="15">
        <v>22815</v>
      </c>
      <c r="BB9" s="15">
        <v>29248</v>
      </c>
      <c r="BC9" s="15">
        <v>29361</v>
      </c>
      <c r="BD9" s="15">
        <v>23440</v>
      </c>
      <c r="BE9" s="15">
        <v>19200</v>
      </c>
      <c r="BF9" s="15">
        <v>22735</v>
      </c>
      <c r="BG9" s="15">
        <v>19165</v>
      </c>
      <c r="BH9" s="15">
        <v>26394</v>
      </c>
      <c r="BI9" s="15">
        <v>35012</v>
      </c>
      <c r="BJ9" s="15">
        <v>30458</v>
      </c>
      <c r="BK9" s="15">
        <v>24639</v>
      </c>
      <c r="BL9" s="15">
        <v>24957</v>
      </c>
      <c r="BM9" s="15">
        <v>33521</v>
      </c>
      <c r="BN9" s="15">
        <v>31736</v>
      </c>
      <c r="BO9" s="15">
        <v>23578</v>
      </c>
      <c r="BP9" s="15">
        <v>22961</v>
      </c>
      <c r="BQ9" s="15">
        <v>29386</v>
      </c>
      <c r="BR9" s="15">
        <v>31711</v>
      </c>
      <c r="BS9" s="15">
        <v>24478</v>
      </c>
      <c r="BT9" s="15">
        <v>22123</v>
      </c>
      <c r="BU9" s="15">
        <v>30472</v>
      </c>
      <c r="BV9" s="15">
        <v>27982</v>
      </c>
      <c r="BW9" s="15">
        <v>34415</v>
      </c>
      <c r="BX9" s="15">
        <v>32913</v>
      </c>
      <c r="BY9" s="15">
        <v>32712</v>
      </c>
      <c r="BZ9" s="15">
        <v>32519</v>
      </c>
      <c r="CA9" s="15">
        <v>27150</v>
      </c>
      <c r="CB9" s="15">
        <v>21866</v>
      </c>
      <c r="CC9" s="15">
        <v>24393</v>
      </c>
      <c r="CD9" s="15">
        <v>27362</v>
      </c>
      <c r="CE9" s="15">
        <v>33204</v>
      </c>
      <c r="CF9" s="15">
        <v>35283</v>
      </c>
      <c r="CG9" s="15">
        <v>30203</v>
      </c>
      <c r="CH9" s="15">
        <v>28271</v>
      </c>
      <c r="CI9" s="15">
        <v>27898</v>
      </c>
      <c r="CJ9" s="15">
        <v>21657</v>
      </c>
      <c r="CK9" s="15">
        <v>33909</v>
      </c>
      <c r="CL9" s="15">
        <v>31853</v>
      </c>
      <c r="CM9" s="15">
        <v>20934</v>
      </c>
      <c r="CN9" s="15">
        <v>20642</v>
      </c>
      <c r="CO9" s="15">
        <v>27733</v>
      </c>
      <c r="CP9" s="15">
        <v>32917</v>
      </c>
      <c r="CQ9" s="15">
        <v>21002</v>
      </c>
      <c r="CR9" s="15">
        <v>28705</v>
      </c>
      <c r="CS9" s="15">
        <v>23827</v>
      </c>
      <c r="CT9" s="15">
        <v>35336</v>
      </c>
      <c r="CU9" s="15">
        <v>55362</v>
      </c>
      <c r="CV9" s="15">
        <v>53499</v>
      </c>
      <c r="CW9" s="15">
        <v>40374</v>
      </c>
      <c r="CX9" s="15">
        <v>33920</v>
      </c>
      <c r="CY9" s="15">
        <v>39336</v>
      </c>
      <c r="CZ9" s="15">
        <v>46168</v>
      </c>
      <c r="DA9" s="15">
        <v>44978</v>
      </c>
      <c r="DB9" s="15">
        <v>34606</v>
      </c>
      <c r="DC9" s="15">
        <v>54222</v>
      </c>
      <c r="DD9" s="15">
        <v>44150</v>
      </c>
      <c r="DE9" s="15">
        <v>33387</v>
      </c>
      <c r="DF9" s="15">
        <v>64016</v>
      </c>
      <c r="DG9" s="15">
        <v>60454</v>
      </c>
      <c r="DH9" s="15">
        <v>56610</v>
      </c>
      <c r="DI9" s="15">
        <v>50800</v>
      </c>
      <c r="DJ9" s="15">
        <v>56526</v>
      </c>
      <c r="DK9" s="15">
        <v>48321</v>
      </c>
      <c r="DL9" s="15">
        <v>55964</v>
      </c>
      <c r="DM9" s="15">
        <v>52205</v>
      </c>
      <c r="DN9" s="15">
        <v>63440</v>
      </c>
      <c r="DO9" s="15">
        <v>61020</v>
      </c>
      <c r="DP9" s="15">
        <v>51545</v>
      </c>
      <c r="DQ9" s="33">
        <v>58561</v>
      </c>
    </row>
    <row r="10" spans="1:121">
      <c r="A10" s="29" t="s">
        <v>38</v>
      </c>
      <c r="B10" s="15">
        <v>6971</v>
      </c>
      <c r="C10" s="15">
        <v>5404</v>
      </c>
      <c r="D10" s="15">
        <v>7457</v>
      </c>
      <c r="E10" s="15">
        <v>7026</v>
      </c>
      <c r="F10" s="15">
        <v>5500</v>
      </c>
      <c r="G10" s="15">
        <v>7150</v>
      </c>
      <c r="H10" s="15">
        <v>5308</v>
      </c>
      <c r="I10" s="15">
        <v>7189</v>
      </c>
      <c r="J10" s="15">
        <v>7957</v>
      </c>
      <c r="K10" s="15">
        <v>6023</v>
      </c>
      <c r="L10" s="15">
        <v>5887</v>
      </c>
      <c r="M10" s="15">
        <v>4917</v>
      </c>
      <c r="N10" s="15">
        <v>6905</v>
      </c>
      <c r="O10" s="15">
        <v>6555</v>
      </c>
      <c r="P10" s="15">
        <v>6768</v>
      </c>
      <c r="Q10" s="15">
        <v>7540</v>
      </c>
      <c r="R10" s="15">
        <v>6850</v>
      </c>
      <c r="S10" s="15">
        <v>7501</v>
      </c>
      <c r="T10" s="15">
        <v>4607</v>
      </c>
      <c r="U10" s="15">
        <v>5760</v>
      </c>
      <c r="V10" s="15">
        <v>6051</v>
      </c>
      <c r="W10" s="15">
        <v>5289</v>
      </c>
      <c r="X10" s="15">
        <v>7697</v>
      </c>
      <c r="Y10" s="15">
        <v>8035</v>
      </c>
      <c r="Z10" s="15">
        <v>5496</v>
      </c>
      <c r="AA10" s="15">
        <v>8685</v>
      </c>
      <c r="AB10" s="15">
        <v>6695</v>
      </c>
      <c r="AC10" s="15">
        <v>7620</v>
      </c>
      <c r="AD10" s="15">
        <v>8886</v>
      </c>
      <c r="AE10" s="15">
        <v>6346</v>
      </c>
      <c r="AF10" s="15">
        <v>5528</v>
      </c>
      <c r="AG10" s="15">
        <v>7617</v>
      </c>
      <c r="AH10" s="15">
        <v>8267</v>
      </c>
      <c r="AI10" s="15">
        <v>5511</v>
      </c>
      <c r="AJ10" s="15">
        <v>5398</v>
      </c>
      <c r="AK10" s="15">
        <v>7702</v>
      </c>
      <c r="AL10" s="15">
        <v>5434</v>
      </c>
      <c r="AM10" s="15">
        <v>6457</v>
      </c>
      <c r="AN10" s="15">
        <v>6824</v>
      </c>
      <c r="AO10" s="15">
        <v>7327</v>
      </c>
      <c r="AP10" s="15">
        <v>7092</v>
      </c>
      <c r="AQ10" s="15">
        <v>6860</v>
      </c>
      <c r="AR10" s="15">
        <v>7529</v>
      </c>
      <c r="AS10" s="15">
        <v>5208</v>
      </c>
      <c r="AT10" s="15">
        <v>8071</v>
      </c>
      <c r="AU10" s="15">
        <v>5943</v>
      </c>
      <c r="AV10" s="15">
        <v>6142</v>
      </c>
      <c r="AW10" s="15">
        <v>5222</v>
      </c>
      <c r="AX10" s="15">
        <v>5639</v>
      </c>
      <c r="AY10" s="15">
        <v>5055</v>
      </c>
      <c r="AZ10" s="15">
        <v>5990</v>
      </c>
      <c r="BA10" s="15">
        <v>7263</v>
      </c>
      <c r="BB10" s="15">
        <v>9109</v>
      </c>
      <c r="BC10" s="15">
        <v>6923</v>
      </c>
      <c r="BD10" s="15">
        <v>7724</v>
      </c>
      <c r="BE10" s="15">
        <v>7773</v>
      </c>
      <c r="BF10" s="15">
        <v>6446</v>
      </c>
      <c r="BG10" s="15">
        <v>8831</v>
      </c>
      <c r="BH10" s="15">
        <v>6041</v>
      </c>
      <c r="BI10" s="15">
        <v>8624</v>
      </c>
      <c r="BJ10" s="15">
        <v>5564</v>
      </c>
      <c r="BK10" s="15">
        <v>7452</v>
      </c>
      <c r="BL10" s="15">
        <v>7942</v>
      </c>
      <c r="BM10" s="15">
        <v>8816</v>
      </c>
      <c r="BN10" s="15">
        <v>8268</v>
      </c>
      <c r="BO10" s="15">
        <v>5330</v>
      </c>
      <c r="BP10" s="15">
        <v>9305</v>
      </c>
      <c r="BQ10" s="15">
        <v>5976</v>
      </c>
      <c r="BR10" s="15">
        <v>7337</v>
      </c>
      <c r="BS10" s="15">
        <v>5583</v>
      </c>
      <c r="BT10" s="15">
        <v>5185</v>
      </c>
      <c r="BU10" s="15">
        <v>5572</v>
      </c>
      <c r="BV10" s="15">
        <v>6818</v>
      </c>
      <c r="BW10" s="15">
        <v>7481</v>
      </c>
      <c r="BX10" s="15">
        <v>9562</v>
      </c>
      <c r="BY10" s="15">
        <v>9240</v>
      </c>
      <c r="BZ10" s="15">
        <v>8332</v>
      </c>
      <c r="CA10" s="15">
        <v>8401</v>
      </c>
      <c r="CB10" s="15">
        <v>8486</v>
      </c>
      <c r="CC10" s="15">
        <v>6707</v>
      </c>
      <c r="CD10" s="15">
        <v>5435</v>
      </c>
      <c r="CE10" s="15">
        <v>7262</v>
      </c>
      <c r="CF10" s="15">
        <v>5518</v>
      </c>
      <c r="CG10" s="15">
        <v>9275</v>
      </c>
      <c r="CH10" s="15">
        <v>6954</v>
      </c>
      <c r="CI10" s="15">
        <v>5380</v>
      </c>
      <c r="CJ10" s="15">
        <v>8144</v>
      </c>
      <c r="CK10" s="15">
        <v>5922</v>
      </c>
      <c r="CL10" s="15">
        <v>8771</v>
      </c>
      <c r="CM10" s="15">
        <v>8121</v>
      </c>
      <c r="CN10" s="15">
        <v>8356</v>
      </c>
      <c r="CO10" s="15">
        <v>7470</v>
      </c>
      <c r="CP10" s="15">
        <v>9338</v>
      </c>
      <c r="CQ10" s="15">
        <v>8146</v>
      </c>
      <c r="CR10" s="15">
        <v>9560</v>
      </c>
      <c r="CS10" s="15">
        <v>8488</v>
      </c>
      <c r="CT10" s="15">
        <v>14387</v>
      </c>
      <c r="CU10" s="15">
        <v>11687</v>
      </c>
      <c r="CV10" s="15">
        <v>8255</v>
      </c>
      <c r="CW10" s="15">
        <v>10603</v>
      </c>
      <c r="CX10" s="15">
        <v>9311</v>
      </c>
      <c r="CY10" s="15">
        <v>9808</v>
      </c>
      <c r="CZ10" s="15">
        <v>10294</v>
      </c>
      <c r="DA10" s="15">
        <v>12893</v>
      </c>
      <c r="DB10" s="15">
        <v>9970</v>
      </c>
      <c r="DC10" s="15">
        <v>8231</v>
      </c>
      <c r="DD10" s="15">
        <v>10703</v>
      </c>
      <c r="DE10" s="15">
        <v>10818</v>
      </c>
      <c r="DF10" s="15">
        <v>14868</v>
      </c>
      <c r="DG10" s="15">
        <v>14792</v>
      </c>
      <c r="DH10" s="15">
        <v>16850</v>
      </c>
      <c r="DI10" s="15">
        <v>11534</v>
      </c>
      <c r="DJ10" s="15">
        <v>16266</v>
      </c>
      <c r="DK10" s="15">
        <v>14714</v>
      </c>
      <c r="DL10" s="15">
        <v>14483</v>
      </c>
      <c r="DM10" s="15">
        <v>15035</v>
      </c>
      <c r="DN10" s="15">
        <v>13777</v>
      </c>
      <c r="DO10" s="15">
        <v>11629</v>
      </c>
      <c r="DP10" s="15">
        <v>11561</v>
      </c>
      <c r="DQ10" s="33">
        <v>14774</v>
      </c>
    </row>
    <row r="11" spans="1:121" ht="15" thickBot="1">
      <c r="A11" s="26" t="s">
        <v>39</v>
      </c>
      <c r="B11" s="34">
        <v>9756</v>
      </c>
      <c r="C11" s="34">
        <v>13778</v>
      </c>
      <c r="D11" s="34">
        <v>15649</v>
      </c>
      <c r="E11" s="34">
        <v>10998</v>
      </c>
      <c r="F11" s="34">
        <v>10208</v>
      </c>
      <c r="G11" s="34">
        <v>10377</v>
      </c>
      <c r="H11" s="34">
        <v>8747</v>
      </c>
      <c r="I11" s="34">
        <v>11111</v>
      </c>
      <c r="J11" s="34">
        <v>12550</v>
      </c>
      <c r="K11" s="34">
        <v>9109</v>
      </c>
      <c r="L11" s="34">
        <v>11883</v>
      </c>
      <c r="M11" s="34">
        <v>13219</v>
      </c>
      <c r="N11" s="34">
        <v>14045</v>
      </c>
      <c r="O11" s="34">
        <v>12891</v>
      </c>
      <c r="P11" s="34">
        <v>9797</v>
      </c>
      <c r="Q11" s="34">
        <v>10893</v>
      </c>
      <c r="R11" s="34">
        <v>10987</v>
      </c>
      <c r="S11" s="34">
        <v>13542</v>
      </c>
      <c r="T11" s="34">
        <v>10156</v>
      </c>
      <c r="U11" s="34">
        <v>12323</v>
      </c>
      <c r="V11" s="34">
        <v>12859</v>
      </c>
      <c r="W11" s="34">
        <v>11836</v>
      </c>
      <c r="X11" s="34">
        <v>10341</v>
      </c>
      <c r="Y11" s="34">
        <v>10697</v>
      </c>
      <c r="Z11" s="34">
        <v>10745</v>
      </c>
      <c r="AA11" s="34">
        <v>12276</v>
      </c>
      <c r="AB11" s="34">
        <v>17181</v>
      </c>
      <c r="AC11" s="34">
        <v>17846</v>
      </c>
      <c r="AD11" s="34">
        <v>13095</v>
      </c>
      <c r="AE11" s="34">
        <v>9837</v>
      </c>
      <c r="AF11" s="34">
        <v>17533</v>
      </c>
      <c r="AG11" s="34">
        <v>10879</v>
      </c>
      <c r="AH11" s="34">
        <v>14074</v>
      </c>
      <c r="AI11" s="34">
        <v>13214</v>
      </c>
      <c r="AJ11" s="34">
        <v>11210</v>
      </c>
      <c r="AK11" s="34">
        <v>13508</v>
      </c>
      <c r="AL11" s="34">
        <v>12079</v>
      </c>
      <c r="AM11" s="34">
        <v>11354</v>
      </c>
      <c r="AN11" s="34">
        <v>12013</v>
      </c>
      <c r="AO11" s="34">
        <v>14827</v>
      </c>
      <c r="AP11" s="34">
        <v>15275</v>
      </c>
      <c r="AQ11" s="34">
        <v>14657</v>
      </c>
      <c r="AR11" s="34">
        <v>14428</v>
      </c>
      <c r="AS11" s="34">
        <v>13057</v>
      </c>
      <c r="AT11" s="34">
        <v>13571</v>
      </c>
      <c r="AU11" s="34">
        <v>16176</v>
      </c>
      <c r="AV11" s="34">
        <v>17950</v>
      </c>
      <c r="AW11" s="34">
        <v>13223</v>
      </c>
      <c r="AX11" s="34">
        <v>10261</v>
      </c>
      <c r="AY11" s="34">
        <v>16725</v>
      </c>
      <c r="AZ11" s="34">
        <v>11530</v>
      </c>
      <c r="BA11" s="34">
        <v>14095</v>
      </c>
      <c r="BB11" s="34">
        <v>10586</v>
      </c>
      <c r="BC11" s="34">
        <v>11384</v>
      </c>
      <c r="BD11" s="34">
        <v>12937</v>
      </c>
      <c r="BE11" s="34">
        <v>14621</v>
      </c>
      <c r="BF11" s="34">
        <v>14553</v>
      </c>
      <c r="BG11" s="34">
        <v>15908</v>
      </c>
      <c r="BH11" s="34">
        <v>15625</v>
      </c>
      <c r="BI11" s="34">
        <v>11888</v>
      </c>
      <c r="BJ11" s="34">
        <v>11879</v>
      </c>
      <c r="BK11" s="34">
        <v>14268</v>
      </c>
      <c r="BL11" s="34">
        <v>16130</v>
      </c>
      <c r="BM11" s="34">
        <v>15016</v>
      </c>
      <c r="BN11" s="34">
        <v>14506</v>
      </c>
      <c r="BO11" s="34">
        <v>14523</v>
      </c>
      <c r="BP11" s="34">
        <v>14551</v>
      </c>
      <c r="BQ11" s="34">
        <v>18117</v>
      </c>
      <c r="BR11" s="34">
        <v>13225</v>
      </c>
      <c r="BS11" s="34">
        <v>16393</v>
      </c>
      <c r="BT11" s="34">
        <v>17895</v>
      </c>
      <c r="BU11" s="34">
        <v>10998</v>
      </c>
      <c r="BV11" s="34">
        <v>13783</v>
      </c>
      <c r="BW11" s="34">
        <v>18910</v>
      </c>
      <c r="BX11" s="34">
        <v>13522</v>
      </c>
      <c r="BY11" s="34">
        <v>16856</v>
      </c>
      <c r="BZ11" s="34">
        <v>11529</v>
      </c>
      <c r="CA11" s="34">
        <v>13936</v>
      </c>
      <c r="CB11" s="34">
        <v>12004</v>
      </c>
      <c r="CC11" s="34">
        <v>18508</v>
      </c>
      <c r="CD11" s="34">
        <v>15802</v>
      </c>
      <c r="CE11" s="34">
        <v>13936</v>
      </c>
      <c r="CF11" s="34">
        <v>14957</v>
      </c>
      <c r="CG11" s="34">
        <v>12914</v>
      </c>
      <c r="CH11" s="34">
        <v>14757</v>
      </c>
      <c r="CI11" s="34">
        <v>13298</v>
      </c>
      <c r="CJ11" s="34">
        <v>19318</v>
      </c>
      <c r="CK11" s="34">
        <v>17260</v>
      </c>
      <c r="CL11" s="34">
        <v>12580</v>
      </c>
      <c r="CM11" s="34">
        <v>10662</v>
      </c>
      <c r="CN11" s="34">
        <v>18346</v>
      </c>
      <c r="CO11" s="34">
        <v>19399</v>
      </c>
      <c r="CP11" s="34">
        <v>18628</v>
      </c>
      <c r="CQ11" s="34">
        <v>17571</v>
      </c>
      <c r="CR11" s="34">
        <v>14197</v>
      </c>
      <c r="CS11" s="34">
        <v>19088</v>
      </c>
      <c r="CT11" s="34">
        <v>22962</v>
      </c>
      <c r="CU11" s="34">
        <v>20984</v>
      </c>
      <c r="CV11" s="34">
        <v>17337</v>
      </c>
      <c r="CW11" s="34">
        <v>23177</v>
      </c>
      <c r="CX11" s="34">
        <v>29466</v>
      </c>
      <c r="CY11" s="34">
        <v>21543</v>
      </c>
      <c r="CZ11" s="34">
        <v>27687</v>
      </c>
      <c r="DA11" s="34">
        <v>19003</v>
      </c>
      <c r="DB11" s="34">
        <v>20369</v>
      </c>
      <c r="DC11" s="34">
        <v>18104</v>
      </c>
      <c r="DD11" s="34">
        <v>27481</v>
      </c>
      <c r="DE11" s="34">
        <v>28306</v>
      </c>
      <c r="DF11" s="34">
        <v>35348</v>
      </c>
      <c r="DG11" s="34">
        <v>24023</v>
      </c>
      <c r="DH11" s="34">
        <v>25043</v>
      </c>
      <c r="DI11" s="34">
        <v>27260</v>
      </c>
      <c r="DJ11" s="34">
        <v>24267</v>
      </c>
      <c r="DK11" s="34">
        <v>29084</v>
      </c>
      <c r="DL11" s="34">
        <v>19634</v>
      </c>
      <c r="DM11" s="34">
        <v>22253</v>
      </c>
      <c r="DN11" s="34">
        <v>33704</v>
      </c>
      <c r="DO11" s="34">
        <v>20096</v>
      </c>
      <c r="DP11" s="34">
        <v>28565</v>
      </c>
      <c r="DQ11" s="35">
        <v>28684</v>
      </c>
    </row>
    <row r="12" spans="1:121" ht="15" thickBot="1">
      <c r="A12" s="27"/>
      <c r="B12" s="28"/>
      <c r="C12" s="28"/>
      <c r="D12" s="28"/>
      <c r="E12" s="28"/>
      <c r="F12" s="28"/>
      <c r="G12" s="28"/>
      <c r="H12" s="28"/>
      <c r="I12" s="28"/>
      <c r="J12" s="28"/>
      <c r="K12" s="28"/>
    </row>
    <row r="13" spans="1:121">
      <c r="A13" s="20" t="s">
        <v>40</v>
      </c>
      <c r="B13" s="37" t="s">
        <v>80</v>
      </c>
    </row>
    <row r="14" spans="1:121">
      <c r="A14" s="25" t="s">
        <v>31</v>
      </c>
      <c r="B14" s="30">
        <v>1.0549999999999999</v>
      </c>
      <c r="D14" s="27"/>
    </row>
    <row r="15" spans="1:121">
      <c r="A15" s="25" t="s">
        <v>32</v>
      </c>
      <c r="B15" s="30">
        <v>5.4550000000000001</v>
      </c>
    </row>
    <row r="16" spans="1:121">
      <c r="A16" s="25" t="s">
        <v>33</v>
      </c>
      <c r="B16" s="30">
        <v>1.08</v>
      </c>
    </row>
    <row r="17" spans="1:2">
      <c r="A17" s="25" t="s">
        <v>34</v>
      </c>
      <c r="B17" s="30">
        <v>1.0649999999999999</v>
      </c>
    </row>
    <row r="18" spans="1:2">
      <c r="A18" s="25" t="s">
        <v>35</v>
      </c>
      <c r="B18" s="30">
        <v>10.455</v>
      </c>
    </row>
    <row r="19" spans="1:2">
      <c r="A19" s="25" t="s">
        <v>36</v>
      </c>
      <c r="B19" s="30">
        <v>1.9550000000000001</v>
      </c>
    </row>
    <row r="20" spans="1:2">
      <c r="A20" s="25" t="s">
        <v>37</v>
      </c>
      <c r="B20" s="30">
        <v>12.955</v>
      </c>
    </row>
    <row r="21" spans="1:2">
      <c r="A21" s="29" t="s">
        <v>38</v>
      </c>
      <c r="B21" s="30">
        <v>2.4550000000000001</v>
      </c>
    </row>
    <row r="22" spans="1:2" ht="15" thickBot="1">
      <c r="A22" s="26" t="s">
        <v>39</v>
      </c>
      <c r="B22" s="32">
        <v>0.95499999999999996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799C3-5946-4902-B887-45444C6875DA}">
  <sheetPr>
    <tabColor theme="8" tint="0.79998168889431442"/>
  </sheetPr>
  <dimension ref="A1:L15"/>
  <sheetViews>
    <sheetView zoomScale="80" zoomScaleNormal="80" workbookViewId="0"/>
  </sheetViews>
  <sheetFormatPr defaultRowHeight="14.4"/>
  <cols>
    <col min="4" max="4" width="10.109375" bestFit="1" customWidth="1"/>
  </cols>
  <sheetData>
    <row r="1" spans="1:12">
      <c r="A1" s="51"/>
      <c r="B1" s="51"/>
      <c r="C1" s="51"/>
      <c r="D1" s="51" t="s">
        <v>305</v>
      </c>
      <c r="E1" s="51" t="s">
        <v>5</v>
      </c>
      <c r="F1" s="51" t="s">
        <v>6</v>
      </c>
      <c r="G1" s="51" t="s">
        <v>146</v>
      </c>
      <c r="H1" s="51" t="s">
        <v>306</v>
      </c>
      <c r="I1" s="51"/>
      <c r="J1" s="51" t="s">
        <v>307</v>
      </c>
      <c r="K1" s="51"/>
      <c r="L1" s="51"/>
    </row>
    <row r="2" spans="1:12">
      <c r="A2" s="51" t="s">
        <v>308</v>
      </c>
      <c r="B2" s="51"/>
      <c r="C2" s="51" t="s">
        <v>309</v>
      </c>
      <c r="D2" s="51"/>
      <c r="E2" s="51"/>
      <c r="F2" s="51"/>
      <c r="G2" s="51"/>
      <c r="H2" s="51"/>
      <c r="I2" s="51" t="s">
        <v>310</v>
      </c>
      <c r="J2" s="51"/>
      <c r="K2" s="51" t="s">
        <v>311</v>
      </c>
      <c r="L2" s="51"/>
    </row>
    <row r="3" spans="1:12">
      <c r="A3" s="51" t="s">
        <v>312</v>
      </c>
      <c r="B3" s="51" t="s">
        <v>313</v>
      </c>
      <c r="C3" s="51" t="s">
        <v>314</v>
      </c>
      <c r="D3" s="51" t="s">
        <v>315</v>
      </c>
      <c r="E3" s="51" t="s">
        <v>315</v>
      </c>
      <c r="F3" s="51" t="s">
        <v>315</v>
      </c>
      <c r="G3" s="51" t="s">
        <v>315</v>
      </c>
      <c r="H3" s="51" t="s">
        <v>315</v>
      </c>
      <c r="I3" s="51" t="s">
        <v>316</v>
      </c>
      <c r="J3" s="51" t="s">
        <v>63</v>
      </c>
      <c r="K3" s="51"/>
      <c r="L3" s="51" t="s">
        <v>317</v>
      </c>
    </row>
    <row r="4" spans="1:12">
      <c r="A4" s="51" t="s">
        <v>3</v>
      </c>
      <c r="B4" s="51"/>
      <c r="C4" s="51"/>
      <c r="D4" s="51" t="s">
        <v>341</v>
      </c>
      <c r="E4" s="51" t="s">
        <v>341</v>
      </c>
      <c r="F4" s="51" t="s">
        <v>341</v>
      </c>
      <c r="G4" s="51" t="s">
        <v>341</v>
      </c>
      <c r="H4" s="51" t="s">
        <v>341</v>
      </c>
      <c r="I4" s="51" t="s">
        <v>341</v>
      </c>
      <c r="J4" s="51" t="s">
        <v>342</v>
      </c>
      <c r="K4" s="51" t="s">
        <v>318</v>
      </c>
      <c r="L4" s="51" t="s">
        <v>341</v>
      </c>
    </row>
    <row r="5" spans="1:12">
      <c r="A5" s="58" t="s">
        <v>373</v>
      </c>
      <c r="B5" s="58" t="s">
        <v>212</v>
      </c>
      <c r="C5" s="58" t="s">
        <v>319</v>
      </c>
      <c r="D5" s="59">
        <v>44.444000000000003</v>
      </c>
      <c r="E5" s="60">
        <v>11.12</v>
      </c>
      <c r="F5" s="60">
        <v>10.23344</v>
      </c>
      <c r="G5" s="60">
        <v>5.5555000000000003</v>
      </c>
      <c r="H5" s="60">
        <v>8.7479999999999993</v>
      </c>
      <c r="I5" s="60">
        <v>44</v>
      </c>
      <c r="J5" s="59"/>
      <c r="K5" s="60"/>
      <c r="L5" s="60">
        <v>44</v>
      </c>
    </row>
    <row r="6" spans="1:12">
      <c r="A6" s="52" t="s">
        <v>350</v>
      </c>
      <c r="B6" s="52" t="s">
        <v>351</v>
      </c>
      <c r="C6" s="52" t="s">
        <v>352</v>
      </c>
      <c r="D6" s="53">
        <v>19609.793000000001</v>
      </c>
      <c r="E6" s="54">
        <v>4190.8419999999996</v>
      </c>
      <c r="F6" s="54">
        <v>3544.9</v>
      </c>
      <c r="G6" s="54">
        <v>2375.0830000000001</v>
      </c>
      <c r="H6" s="54">
        <v>1814.26</v>
      </c>
      <c r="I6" s="54">
        <v>65534.709874</v>
      </c>
      <c r="J6" s="53">
        <v>3365.73999</v>
      </c>
      <c r="K6" s="54">
        <v>16.47682</v>
      </c>
      <c r="L6" s="54">
        <v>65534.709874</v>
      </c>
    </row>
    <row r="7" spans="1:12">
      <c r="A7" s="55" t="s">
        <v>353</v>
      </c>
      <c r="B7" s="55" t="s">
        <v>354</v>
      </c>
      <c r="C7" s="55" t="s">
        <v>320</v>
      </c>
      <c r="D7" s="56">
        <v>18205.607</v>
      </c>
      <c r="E7" s="57">
        <v>4085.1210000000001</v>
      </c>
      <c r="F7" s="57">
        <v>3560.7539999999999</v>
      </c>
      <c r="G7" s="57">
        <v>2385.7051799999999</v>
      </c>
      <c r="H7" s="57">
        <v>1822.38</v>
      </c>
      <c r="I7" s="57">
        <v>82326.899067000006</v>
      </c>
      <c r="J7" s="56">
        <v>91.739998</v>
      </c>
      <c r="K7" s="57">
        <v>828.71508800000004</v>
      </c>
      <c r="L7" s="57">
        <v>82326.899067000006</v>
      </c>
    </row>
    <row r="8" spans="1:12">
      <c r="A8" s="52" t="s">
        <v>355</v>
      </c>
      <c r="B8" s="52" t="s">
        <v>356</v>
      </c>
      <c r="C8" s="52" t="s">
        <v>319</v>
      </c>
      <c r="D8" s="53">
        <v>8601</v>
      </c>
      <c r="E8" s="54">
        <v>445</v>
      </c>
      <c r="F8" s="54">
        <v>173</v>
      </c>
      <c r="G8" s="54">
        <v>115.91000000000001</v>
      </c>
      <c r="H8" s="54">
        <v>88.54</v>
      </c>
      <c r="I8" s="54">
        <v>3422.617925</v>
      </c>
      <c r="J8" s="53">
        <v>50.599997999999999</v>
      </c>
      <c r="K8" s="54">
        <v>60.329208000000001</v>
      </c>
      <c r="L8" s="54">
        <v>3422.617925</v>
      </c>
    </row>
    <row r="9" spans="1:12">
      <c r="A9" s="55" t="s">
        <v>357</v>
      </c>
      <c r="B9" s="55" t="s">
        <v>358</v>
      </c>
      <c r="C9" s="55" t="s">
        <v>320</v>
      </c>
      <c r="D9" s="56">
        <v>24699.011999999999</v>
      </c>
      <c r="E9" s="57">
        <v>1769.5160000000001</v>
      </c>
      <c r="F9" s="57">
        <v>1215.9000000000001</v>
      </c>
      <c r="G9" s="57">
        <v>814.65300000000013</v>
      </c>
      <c r="H9" s="57">
        <v>622.29</v>
      </c>
      <c r="I9" s="57">
        <v>17614.065987999998</v>
      </c>
      <c r="J9" s="56">
        <v>93.169998000000007</v>
      </c>
      <c r="K9" s="57">
        <v>137.62454199999999</v>
      </c>
      <c r="L9" s="57">
        <v>17614.065987999998</v>
      </c>
    </row>
    <row r="10" spans="1:12">
      <c r="A10" s="52" t="s">
        <v>359</v>
      </c>
      <c r="B10" s="52" t="s">
        <v>360</v>
      </c>
      <c r="C10" s="52" t="s">
        <v>361</v>
      </c>
      <c r="D10" s="53">
        <v>532.10799999999995</v>
      </c>
      <c r="E10" s="54">
        <v>-15.935</v>
      </c>
      <c r="F10" s="54">
        <v>-35.384</v>
      </c>
      <c r="G10" s="54">
        <v>-141.536</v>
      </c>
      <c r="H10" s="54">
        <v>-108.12</v>
      </c>
      <c r="I10" s="54">
        <v>44.970213000000001</v>
      </c>
      <c r="J10" s="53">
        <v>0.66110000000000002</v>
      </c>
      <c r="K10" s="54">
        <v>80.578056000000004</v>
      </c>
      <c r="L10" s="54">
        <v>44.970213000000001</v>
      </c>
    </row>
    <row r="11" spans="1:12">
      <c r="A11" s="55" t="s">
        <v>362</v>
      </c>
      <c r="B11" s="55" t="s">
        <v>363</v>
      </c>
      <c r="C11" s="55" t="s">
        <v>320</v>
      </c>
      <c r="D11" s="56">
        <v>1839.1635679999999</v>
      </c>
      <c r="E11" s="57">
        <v>142.08909</v>
      </c>
      <c r="F11" s="57">
        <v>36.603810000000003</v>
      </c>
      <c r="G11" s="57">
        <v>24.524552700000005</v>
      </c>
      <c r="H11" s="57">
        <v>18.73</v>
      </c>
      <c r="I11" s="57">
        <v>1178.2769020000001</v>
      </c>
      <c r="J11" s="56">
        <v>3.3509549999999999</v>
      </c>
      <c r="K11" s="57">
        <v>223.14442399999999</v>
      </c>
      <c r="L11" s="57">
        <v>1178.2769020000001</v>
      </c>
    </row>
    <row r="12" spans="1:12">
      <c r="A12" s="52" t="s">
        <v>364</v>
      </c>
      <c r="B12" s="52" t="s">
        <v>365</v>
      </c>
      <c r="C12" s="52" t="s">
        <v>320</v>
      </c>
      <c r="D12" s="53">
        <v>14334</v>
      </c>
      <c r="E12" s="54">
        <v>2110</v>
      </c>
      <c r="F12" s="54">
        <v>1401</v>
      </c>
      <c r="G12" s="54">
        <v>938.67000000000007</v>
      </c>
      <c r="H12" s="54">
        <v>717.03</v>
      </c>
      <c r="I12" s="54">
        <v>14657.596992999999</v>
      </c>
      <c r="J12" s="53">
        <v>61.82</v>
      </c>
      <c r="K12" s="54">
        <v>205.11494400000001</v>
      </c>
      <c r="L12" s="54">
        <v>14657.596992999999</v>
      </c>
    </row>
    <row r="13" spans="1:12">
      <c r="A13" s="55" t="s">
        <v>366</v>
      </c>
      <c r="B13" s="55" t="s">
        <v>367</v>
      </c>
      <c r="C13" s="55" t="s">
        <v>320</v>
      </c>
      <c r="D13" s="56">
        <v>13922</v>
      </c>
      <c r="E13" s="57">
        <v>1487</v>
      </c>
      <c r="F13" s="57">
        <v>1072</v>
      </c>
      <c r="G13" s="57">
        <v>718.24</v>
      </c>
      <c r="H13" s="57">
        <v>548.65</v>
      </c>
      <c r="I13" s="57">
        <v>9844.9287999999997</v>
      </c>
      <c r="J13" s="56">
        <v>24.790001</v>
      </c>
      <c r="K13" s="57">
        <v>254.79083299999999</v>
      </c>
      <c r="L13" s="57">
        <v>9844.9287999999997</v>
      </c>
    </row>
    <row r="14" spans="1:12">
      <c r="A14" s="52" t="s">
        <v>368</v>
      </c>
      <c r="B14" s="52" t="s">
        <v>369</v>
      </c>
      <c r="C14" s="52" t="s">
        <v>370</v>
      </c>
      <c r="D14" s="53">
        <v>2276.8148860000001</v>
      </c>
      <c r="E14" s="54">
        <v>145.58975000000001</v>
      </c>
      <c r="F14" s="54">
        <v>-25.85361</v>
      </c>
      <c r="G14" s="54">
        <v>-103.41444</v>
      </c>
      <c r="H14" s="54">
        <v>-79</v>
      </c>
      <c r="I14" s="54">
        <v>471.73179900000002</v>
      </c>
      <c r="J14" s="53">
        <v>2.1350829999999998</v>
      </c>
      <c r="K14" s="54">
        <v>218.928741</v>
      </c>
      <c r="L14" s="54">
        <v>471.73179900000002</v>
      </c>
    </row>
    <row r="15" spans="1:12">
      <c r="A15" s="55" t="s">
        <v>371</v>
      </c>
      <c r="B15" s="55" t="s">
        <v>372</v>
      </c>
      <c r="C15" s="55" t="s">
        <v>321</v>
      </c>
      <c r="D15" s="56">
        <v>1248.6356820000001</v>
      </c>
      <c r="E15" s="57">
        <v>80.027199999999993</v>
      </c>
      <c r="F15" s="57">
        <v>19.283799999999999</v>
      </c>
      <c r="G15" s="57">
        <v>12.920146000000001</v>
      </c>
      <c r="H15" s="57">
        <v>9.8699999999999992</v>
      </c>
      <c r="I15" s="57">
        <v>431.72105399999998</v>
      </c>
      <c r="J15" s="56">
        <v>0.26486500000000002</v>
      </c>
      <c r="K15" s="57">
        <v>672.75305200000003</v>
      </c>
      <c r="L15" s="57">
        <v>431.72105399999998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824B8-6DD9-4DAD-B9D1-07E788A0C7ED}">
  <sheetPr>
    <tabColor theme="8" tint="0.79998168889431442"/>
  </sheetPr>
  <dimension ref="A1:L13"/>
  <sheetViews>
    <sheetView zoomScale="80" zoomScaleNormal="80" workbookViewId="0"/>
  </sheetViews>
  <sheetFormatPr defaultRowHeight="14.4"/>
  <cols>
    <col min="4" max="4" width="10.109375" bestFit="1" customWidth="1"/>
  </cols>
  <sheetData>
    <row r="1" spans="1:12">
      <c r="A1" s="51"/>
      <c r="B1" s="51"/>
      <c r="C1" s="51"/>
      <c r="D1" s="51" t="s">
        <v>305</v>
      </c>
      <c r="E1" s="51" t="s">
        <v>5</v>
      </c>
      <c r="F1" s="51" t="s">
        <v>6</v>
      </c>
      <c r="G1" s="51" t="s">
        <v>146</v>
      </c>
      <c r="H1" s="51" t="s">
        <v>306</v>
      </c>
      <c r="I1" s="51"/>
      <c r="J1" s="51" t="s">
        <v>307</v>
      </c>
      <c r="K1" s="51"/>
      <c r="L1" s="51"/>
    </row>
    <row r="2" spans="1:12">
      <c r="A2" s="51" t="s">
        <v>308</v>
      </c>
      <c r="B2" s="51"/>
      <c r="C2" s="51" t="s">
        <v>309</v>
      </c>
      <c r="D2" s="51"/>
      <c r="E2" s="51"/>
      <c r="F2" s="51"/>
      <c r="G2" s="51"/>
      <c r="H2" s="51"/>
      <c r="I2" s="51" t="s">
        <v>310</v>
      </c>
      <c r="J2" s="51"/>
      <c r="K2" s="51" t="s">
        <v>311</v>
      </c>
      <c r="L2" s="51"/>
    </row>
    <row r="3" spans="1:12">
      <c r="A3" s="51" t="s">
        <v>312</v>
      </c>
      <c r="B3" s="51" t="s">
        <v>313</v>
      </c>
      <c r="C3" s="51" t="s">
        <v>314</v>
      </c>
      <c r="D3" s="51" t="s">
        <v>315</v>
      </c>
      <c r="E3" s="51" t="s">
        <v>315</v>
      </c>
      <c r="F3" s="51" t="s">
        <v>315</v>
      </c>
      <c r="G3" s="51" t="s">
        <v>315</v>
      </c>
      <c r="H3" s="51" t="s">
        <v>315</v>
      </c>
      <c r="I3" s="51" t="s">
        <v>316</v>
      </c>
      <c r="J3" s="51" t="s">
        <v>63</v>
      </c>
      <c r="K3" s="51"/>
      <c r="L3" s="51" t="s">
        <v>317</v>
      </c>
    </row>
    <row r="4" spans="1:12">
      <c r="A4" s="51" t="s">
        <v>3</v>
      </c>
      <c r="B4" s="51"/>
      <c r="C4" s="51"/>
      <c r="D4" s="51" t="s">
        <v>341</v>
      </c>
      <c r="E4" s="51" t="s">
        <v>341</v>
      </c>
      <c r="F4" s="51" t="s">
        <v>341</v>
      </c>
      <c r="G4" s="51" t="s">
        <v>341</v>
      </c>
      <c r="H4" s="51" t="s">
        <v>341</v>
      </c>
      <c r="I4" s="51" t="s">
        <v>341</v>
      </c>
      <c r="J4" s="51" t="s">
        <v>342</v>
      </c>
      <c r="K4" s="51" t="s">
        <v>318</v>
      </c>
      <c r="L4" s="51" t="s">
        <v>341</v>
      </c>
    </row>
    <row r="5" spans="1:12">
      <c r="A5" s="58" t="s">
        <v>302</v>
      </c>
      <c r="B5" s="58" t="s">
        <v>212</v>
      </c>
      <c r="C5" s="58" t="s">
        <v>319</v>
      </c>
      <c r="D5" s="59">
        <v>55.555</v>
      </c>
      <c r="E5" s="60">
        <v>4.875</v>
      </c>
      <c r="F5" s="60">
        <v>4.0119999999999996</v>
      </c>
      <c r="G5" s="60">
        <v>2.556</v>
      </c>
      <c r="H5" s="60">
        <v>4.4443999999999999</v>
      </c>
      <c r="I5" s="60">
        <v>34</v>
      </c>
      <c r="J5" s="59"/>
      <c r="K5" s="60"/>
      <c r="L5" s="60">
        <v>34</v>
      </c>
    </row>
    <row r="6" spans="1:12">
      <c r="A6" s="52" t="s">
        <v>322</v>
      </c>
      <c r="B6" s="52" t="s">
        <v>323</v>
      </c>
      <c r="C6" s="52" t="s">
        <v>320</v>
      </c>
      <c r="D6" s="53">
        <v>25333</v>
      </c>
      <c r="E6" s="54">
        <v>2500</v>
      </c>
      <c r="F6" s="54">
        <v>1692</v>
      </c>
      <c r="G6" s="54">
        <v>846</v>
      </c>
      <c r="H6" s="54">
        <v>1706.87</v>
      </c>
      <c r="I6" s="54">
        <v>16711.463614</v>
      </c>
      <c r="J6" s="53">
        <v>111.900002</v>
      </c>
      <c r="K6" s="54">
        <v>108.961403</v>
      </c>
      <c r="L6" s="54">
        <v>16711.463614</v>
      </c>
    </row>
    <row r="7" spans="1:12">
      <c r="A7" s="55" t="s">
        <v>324</v>
      </c>
      <c r="B7" s="55" t="s">
        <v>325</v>
      </c>
      <c r="C7" s="55" t="s">
        <v>319</v>
      </c>
      <c r="D7" s="56">
        <v>53959.121346</v>
      </c>
      <c r="E7" s="57">
        <v>5124.7329600000003</v>
      </c>
      <c r="F7" s="57">
        <v>3674.75452</v>
      </c>
      <c r="G7" s="57">
        <v>1837.37726</v>
      </c>
      <c r="H7" s="57">
        <v>3707.05</v>
      </c>
      <c r="I7" s="57">
        <v>39264.505860999998</v>
      </c>
      <c r="J7" s="56">
        <v>390.71261600000003</v>
      </c>
      <c r="K7" s="57">
        <v>90.442093</v>
      </c>
      <c r="L7" s="57">
        <v>39264.505860999998</v>
      </c>
    </row>
    <row r="8" spans="1:12">
      <c r="A8" s="52" t="s">
        <v>326</v>
      </c>
      <c r="B8" s="52" t="s">
        <v>327</v>
      </c>
      <c r="C8" s="52" t="s">
        <v>320</v>
      </c>
      <c r="D8" s="53">
        <v>31854</v>
      </c>
      <c r="E8" s="54">
        <v>4683</v>
      </c>
      <c r="F8" s="54">
        <v>3172</v>
      </c>
      <c r="G8" s="54">
        <v>1586</v>
      </c>
      <c r="H8" s="54">
        <v>3199.88</v>
      </c>
      <c r="I8" s="54">
        <v>47040.083763000002</v>
      </c>
      <c r="J8" s="53">
        <v>124.599998</v>
      </c>
      <c r="K8" s="54">
        <v>332.251892</v>
      </c>
      <c r="L8" s="54">
        <v>47040.083763000002</v>
      </c>
    </row>
    <row r="9" spans="1:12">
      <c r="A9" s="55" t="s">
        <v>328</v>
      </c>
      <c r="B9" s="55" t="s">
        <v>329</v>
      </c>
      <c r="C9" s="55" t="s">
        <v>320</v>
      </c>
      <c r="D9" s="56">
        <v>77969.255942000003</v>
      </c>
      <c r="E9" s="57">
        <v>6789.4983700000003</v>
      </c>
      <c r="F9" s="57">
        <v>4749.12752</v>
      </c>
      <c r="G9" s="57">
        <v>2474.56376</v>
      </c>
      <c r="H9" s="57">
        <v>4992.63</v>
      </c>
      <c r="I9" s="57">
        <v>90882.179044000004</v>
      </c>
      <c r="J9" s="56">
        <v>586.61291500000004</v>
      </c>
      <c r="K9" s="57">
        <v>162.71556100000001</v>
      </c>
      <c r="L9" s="57">
        <v>90882.179044000004</v>
      </c>
    </row>
    <row r="10" spans="1:12">
      <c r="A10" s="52" t="s">
        <v>330</v>
      </c>
      <c r="B10" s="52" t="s">
        <v>331</v>
      </c>
      <c r="C10" s="52" t="s">
        <v>332</v>
      </c>
      <c r="D10" s="53">
        <v>48411.074951000002</v>
      </c>
      <c r="E10" s="54">
        <v>6211.4293699999998</v>
      </c>
      <c r="F10" s="54">
        <v>5676.1344099999997</v>
      </c>
      <c r="G10" s="54">
        <v>2838.0672049999998</v>
      </c>
      <c r="H10" s="54">
        <v>5726.02</v>
      </c>
      <c r="I10" s="54">
        <v>73050.663090000002</v>
      </c>
      <c r="J10" s="53">
        <v>256.50161700000001</v>
      </c>
      <c r="K10" s="54">
        <v>259.52468900000002</v>
      </c>
      <c r="L10" s="54">
        <v>73050.663090000002</v>
      </c>
    </row>
    <row r="11" spans="1:12">
      <c r="A11" s="55" t="s">
        <v>333</v>
      </c>
      <c r="B11" s="55" t="s">
        <v>334</v>
      </c>
      <c r="C11" s="55" t="s">
        <v>335</v>
      </c>
      <c r="D11" s="56">
        <v>124203.573899</v>
      </c>
      <c r="E11" s="57">
        <v>8271.9545199999993</v>
      </c>
      <c r="F11" s="57">
        <v>6047.12896</v>
      </c>
      <c r="G11" s="57">
        <v>3323.56448</v>
      </c>
      <c r="H11" s="57">
        <v>6705.55</v>
      </c>
      <c r="I11" s="57">
        <v>151746.15830800001</v>
      </c>
      <c r="J11" s="56">
        <v>1068.6157229999999</v>
      </c>
      <c r="K11" s="57">
        <v>118.080879</v>
      </c>
      <c r="L11" s="57">
        <v>151746.15830800001</v>
      </c>
    </row>
    <row r="12" spans="1:12">
      <c r="A12" s="52" t="s">
        <v>336</v>
      </c>
      <c r="B12" s="52" t="s">
        <v>337</v>
      </c>
      <c r="C12" s="52" t="s">
        <v>320</v>
      </c>
      <c r="D12" s="53">
        <v>150834.38475999999</v>
      </c>
      <c r="E12" s="54">
        <v>12041.32475</v>
      </c>
      <c r="F12" s="54">
        <v>10120.161980000001</v>
      </c>
      <c r="G12" s="54">
        <v>4560.0809900000004</v>
      </c>
      <c r="H12" s="54">
        <v>9200.32</v>
      </c>
      <c r="I12" s="54">
        <v>104169.766518</v>
      </c>
      <c r="J12" s="53">
        <v>672.43493699999999</v>
      </c>
      <c r="K12" s="54">
        <v>128.522919</v>
      </c>
      <c r="L12" s="54">
        <v>104169.766518</v>
      </c>
    </row>
    <row r="13" spans="1:12">
      <c r="A13" s="55" t="s">
        <v>338</v>
      </c>
      <c r="B13" s="55" t="s">
        <v>339</v>
      </c>
      <c r="C13" s="55" t="s">
        <v>320</v>
      </c>
      <c r="D13" s="56">
        <v>56583.818196</v>
      </c>
      <c r="E13" s="57">
        <v>7820.2723999999998</v>
      </c>
      <c r="F13" s="57">
        <v>5307.95442</v>
      </c>
      <c r="G13" s="57">
        <v>2653.97721</v>
      </c>
      <c r="H13" s="57">
        <v>5354.61</v>
      </c>
      <c r="I13" s="57">
        <v>93409.206936999995</v>
      </c>
      <c r="J13" s="56">
        <v>728.23510699999997</v>
      </c>
      <c r="K13" s="57">
        <v>114.06699399999999</v>
      </c>
      <c r="L13" s="57">
        <v>93409.206936999995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28C5-4B81-4411-8B81-A42617545EC2}">
  <sheetPr>
    <tabColor theme="8" tint="0.79998168889431442"/>
  </sheetPr>
  <dimension ref="A1:D167"/>
  <sheetViews>
    <sheetView zoomScale="80" zoomScaleNormal="80" workbookViewId="0"/>
  </sheetViews>
  <sheetFormatPr defaultRowHeight="15.6"/>
  <cols>
    <col min="1" max="1" width="110.5546875" style="8" customWidth="1"/>
    <col min="2" max="2" width="22.109375" style="8" customWidth="1"/>
    <col min="3" max="3" width="16.33203125" style="8" customWidth="1"/>
    <col min="4" max="16384" width="8.88671875" style="8"/>
  </cols>
  <sheetData>
    <row r="1" spans="1:4">
      <c r="A1" s="7" t="s">
        <v>151</v>
      </c>
      <c r="B1" s="7" t="s">
        <v>381</v>
      </c>
      <c r="C1" s="7" t="s">
        <v>0</v>
      </c>
      <c r="D1" s="7" t="s">
        <v>3</v>
      </c>
    </row>
    <row r="2" spans="1:4">
      <c r="A2" s="3" t="s">
        <v>378</v>
      </c>
      <c r="B2" s="3" t="s">
        <v>180</v>
      </c>
      <c r="C2" s="38"/>
      <c r="D2" s="16" t="s">
        <v>15</v>
      </c>
    </row>
    <row r="3" spans="1:4">
      <c r="A3" s="3" t="s">
        <v>378</v>
      </c>
      <c r="B3" s="3" t="s">
        <v>264</v>
      </c>
      <c r="C3" s="38"/>
      <c r="D3" s="16" t="s">
        <v>15</v>
      </c>
    </row>
    <row r="4" spans="1:4">
      <c r="A4" s="3" t="s">
        <v>378</v>
      </c>
      <c r="B4" s="3" t="s">
        <v>291</v>
      </c>
      <c r="C4" s="61"/>
      <c r="D4" s="16" t="s">
        <v>15</v>
      </c>
    </row>
    <row r="5" spans="1:4">
      <c r="A5" s="3" t="s">
        <v>379</v>
      </c>
      <c r="B5" s="3" t="s">
        <v>180</v>
      </c>
      <c r="C5" s="9"/>
      <c r="D5" s="16" t="s">
        <v>51</v>
      </c>
    </row>
    <row r="6" spans="1:4">
      <c r="A6" s="3" t="s">
        <v>379</v>
      </c>
      <c r="B6" s="3" t="s">
        <v>264</v>
      </c>
      <c r="C6" s="9"/>
      <c r="D6" s="16" t="s">
        <v>51</v>
      </c>
    </row>
    <row r="7" spans="1:4">
      <c r="A7" s="3" t="s">
        <v>379</v>
      </c>
      <c r="B7" s="3" t="s">
        <v>291</v>
      </c>
      <c r="C7" s="9"/>
      <c r="D7" s="16" t="s">
        <v>51</v>
      </c>
    </row>
    <row r="8" spans="1:4">
      <c r="A8" s="3" t="s">
        <v>380</v>
      </c>
      <c r="B8" s="3" t="s">
        <v>382</v>
      </c>
      <c r="C8" s="9"/>
      <c r="D8" s="16" t="s">
        <v>51</v>
      </c>
    </row>
    <row r="9" spans="1:4">
      <c r="A9" s="3" t="s">
        <v>383</v>
      </c>
      <c r="B9" s="3" t="s">
        <v>180</v>
      </c>
      <c r="C9" s="9"/>
      <c r="D9" s="16" t="s">
        <v>51</v>
      </c>
    </row>
    <row r="10" spans="1:4">
      <c r="A10" s="3" t="s">
        <v>384</v>
      </c>
      <c r="B10" s="3" t="s">
        <v>180</v>
      </c>
      <c r="C10" s="9"/>
      <c r="D10" s="16" t="s">
        <v>51</v>
      </c>
    </row>
    <row r="11" spans="1:4">
      <c r="A11" s="3" t="s">
        <v>385</v>
      </c>
      <c r="B11" s="3" t="s">
        <v>180</v>
      </c>
      <c r="C11" s="9"/>
      <c r="D11" s="16" t="s">
        <v>51</v>
      </c>
    </row>
    <row r="12" spans="1:4">
      <c r="A12" s="3" t="s">
        <v>386</v>
      </c>
      <c r="B12" s="3" t="s">
        <v>180</v>
      </c>
      <c r="C12" s="9"/>
      <c r="D12" s="16" t="s">
        <v>51</v>
      </c>
    </row>
    <row r="13" spans="1:4">
      <c r="A13" s="3" t="s">
        <v>387</v>
      </c>
      <c r="B13" s="3" t="s">
        <v>180</v>
      </c>
      <c r="C13" s="9"/>
      <c r="D13" s="16" t="s">
        <v>51</v>
      </c>
    </row>
    <row r="14" spans="1:4">
      <c r="A14" s="3" t="s">
        <v>388</v>
      </c>
      <c r="B14" s="3" t="s">
        <v>180</v>
      </c>
      <c r="C14" s="9"/>
      <c r="D14" s="16" t="s">
        <v>51</v>
      </c>
    </row>
    <row r="15" spans="1:4">
      <c r="A15" s="3" t="s">
        <v>389</v>
      </c>
      <c r="B15" s="3" t="s">
        <v>180</v>
      </c>
      <c r="C15" s="9"/>
      <c r="D15" s="16" t="s">
        <v>51</v>
      </c>
    </row>
    <row r="16" spans="1:4">
      <c r="A16" s="3" t="s">
        <v>390</v>
      </c>
      <c r="B16" s="3" t="s">
        <v>180</v>
      </c>
      <c r="C16" s="9"/>
      <c r="D16" s="16" t="s">
        <v>51</v>
      </c>
    </row>
    <row r="17" spans="1:4">
      <c r="A17" s="3" t="s">
        <v>391</v>
      </c>
      <c r="B17" s="3" t="s">
        <v>180</v>
      </c>
      <c r="C17" s="9"/>
      <c r="D17" s="16" t="s">
        <v>51</v>
      </c>
    </row>
    <row r="18" spans="1:4">
      <c r="A18" s="3" t="s">
        <v>392</v>
      </c>
      <c r="B18" s="3" t="s">
        <v>180</v>
      </c>
      <c r="C18" s="9"/>
      <c r="D18" s="16" t="s">
        <v>51</v>
      </c>
    </row>
    <row r="19" spans="1:4">
      <c r="A19" s="3" t="s">
        <v>393</v>
      </c>
      <c r="B19" s="3" t="s">
        <v>180</v>
      </c>
      <c r="C19" s="9"/>
      <c r="D19" s="16" t="s">
        <v>51</v>
      </c>
    </row>
    <row r="20" spans="1:4">
      <c r="A20" s="3" t="s">
        <v>394</v>
      </c>
      <c r="B20" s="3" t="s">
        <v>180</v>
      </c>
      <c r="C20" s="9"/>
      <c r="D20" s="16" t="s">
        <v>51</v>
      </c>
    </row>
    <row r="21" spans="1:4">
      <c r="A21" s="3" t="s">
        <v>395</v>
      </c>
      <c r="B21" s="3" t="s">
        <v>180</v>
      </c>
      <c r="C21" s="9"/>
      <c r="D21" s="16" t="s">
        <v>51</v>
      </c>
    </row>
    <row r="22" spans="1:4">
      <c r="A22" s="3" t="s">
        <v>396</v>
      </c>
      <c r="B22" s="3" t="s">
        <v>180</v>
      </c>
      <c r="C22" s="9"/>
      <c r="D22" s="16" t="s">
        <v>51</v>
      </c>
    </row>
    <row r="23" spans="1:4">
      <c r="A23" s="3" t="s">
        <v>397</v>
      </c>
      <c r="B23" s="3" t="s">
        <v>180</v>
      </c>
      <c r="C23" s="9"/>
      <c r="D23" s="16" t="s">
        <v>51</v>
      </c>
    </row>
    <row r="24" spans="1:4">
      <c r="A24" s="3" t="s">
        <v>398</v>
      </c>
      <c r="B24" s="3" t="s">
        <v>180</v>
      </c>
      <c r="C24" s="9"/>
      <c r="D24" s="16" t="s">
        <v>51</v>
      </c>
    </row>
    <row r="25" spans="1:4">
      <c r="A25" s="3" t="s">
        <v>399</v>
      </c>
      <c r="B25" s="3" t="s">
        <v>180</v>
      </c>
      <c r="C25" s="9"/>
      <c r="D25" s="16" t="s">
        <v>51</v>
      </c>
    </row>
    <row r="26" spans="1:4">
      <c r="A26" s="3" t="s">
        <v>400</v>
      </c>
      <c r="B26" s="3" t="s">
        <v>180</v>
      </c>
      <c r="C26" s="9"/>
      <c r="D26" s="16" t="s">
        <v>51</v>
      </c>
    </row>
    <row r="27" spans="1:4">
      <c r="A27" s="3" t="s">
        <v>401</v>
      </c>
      <c r="B27" s="3" t="s">
        <v>180</v>
      </c>
      <c r="C27" s="9"/>
      <c r="D27" s="16" t="s">
        <v>51</v>
      </c>
    </row>
    <row r="28" spans="1:4">
      <c r="A28" s="3" t="s">
        <v>402</v>
      </c>
      <c r="B28" s="3" t="s">
        <v>180</v>
      </c>
      <c r="C28" s="9"/>
      <c r="D28" s="16" t="s">
        <v>51</v>
      </c>
    </row>
    <row r="29" spans="1:4">
      <c r="A29" s="3" t="s">
        <v>403</v>
      </c>
      <c r="B29" s="3" t="s">
        <v>180</v>
      </c>
      <c r="C29" s="9"/>
      <c r="D29" s="16" t="s">
        <v>51</v>
      </c>
    </row>
    <row r="30" spans="1:4">
      <c r="A30" s="3" t="s">
        <v>404</v>
      </c>
      <c r="B30" s="3" t="s">
        <v>180</v>
      </c>
      <c r="C30" s="9"/>
      <c r="D30" s="16" t="s">
        <v>51</v>
      </c>
    </row>
    <row r="31" spans="1:4">
      <c r="A31" s="3" t="s">
        <v>405</v>
      </c>
      <c r="B31" s="3" t="s">
        <v>180</v>
      </c>
      <c r="C31" s="9"/>
      <c r="D31" s="16" t="s">
        <v>51</v>
      </c>
    </row>
    <row r="32" spans="1:4">
      <c r="A32" s="3" t="s">
        <v>406</v>
      </c>
      <c r="B32" s="3" t="s">
        <v>180</v>
      </c>
      <c r="C32" s="9"/>
      <c r="D32" s="16" t="s">
        <v>51</v>
      </c>
    </row>
    <row r="33" spans="1:4">
      <c r="A33" s="3" t="s">
        <v>407</v>
      </c>
      <c r="B33" s="3" t="s">
        <v>180</v>
      </c>
      <c r="C33" s="9"/>
      <c r="D33" s="16" t="s">
        <v>51</v>
      </c>
    </row>
    <row r="34" spans="1:4">
      <c r="A34" s="3" t="s">
        <v>408</v>
      </c>
      <c r="B34" s="3" t="s">
        <v>180</v>
      </c>
      <c r="C34" s="9"/>
      <c r="D34" s="16" t="s">
        <v>51</v>
      </c>
    </row>
    <row r="35" spans="1:4">
      <c r="A35" s="3" t="s">
        <v>409</v>
      </c>
      <c r="B35" s="3" t="s">
        <v>180</v>
      </c>
      <c r="C35" s="9"/>
      <c r="D35" s="16" t="s">
        <v>51</v>
      </c>
    </row>
    <row r="36" spans="1:4">
      <c r="A36" s="3" t="s">
        <v>410</v>
      </c>
      <c r="B36" s="3" t="s">
        <v>180</v>
      </c>
      <c r="C36" s="9"/>
      <c r="D36" s="16" t="s">
        <v>51</v>
      </c>
    </row>
    <row r="37" spans="1:4">
      <c r="A37" s="3" t="s">
        <v>411</v>
      </c>
      <c r="B37" s="3" t="s">
        <v>180</v>
      </c>
      <c r="C37" s="9"/>
      <c r="D37" s="16" t="s">
        <v>51</v>
      </c>
    </row>
    <row r="38" spans="1:4">
      <c r="A38" s="3" t="s">
        <v>412</v>
      </c>
      <c r="B38" s="3" t="s">
        <v>180</v>
      </c>
      <c r="C38" s="9"/>
      <c r="D38" s="16" t="s">
        <v>51</v>
      </c>
    </row>
    <row r="39" spans="1:4">
      <c r="A39" s="3" t="s">
        <v>413</v>
      </c>
      <c r="B39" s="3" t="s">
        <v>180</v>
      </c>
      <c r="C39" s="9"/>
      <c r="D39" s="16" t="s">
        <v>51</v>
      </c>
    </row>
    <row r="40" spans="1:4">
      <c r="A40" s="3" t="s">
        <v>414</v>
      </c>
      <c r="B40" s="3" t="s">
        <v>180</v>
      </c>
      <c r="C40" s="9"/>
      <c r="D40" s="16" t="s">
        <v>51</v>
      </c>
    </row>
    <row r="41" spans="1:4">
      <c r="A41" s="3" t="s">
        <v>415</v>
      </c>
      <c r="B41" s="3" t="s">
        <v>180</v>
      </c>
      <c r="C41" s="9"/>
      <c r="D41" s="16" t="s">
        <v>51</v>
      </c>
    </row>
    <row r="42" spans="1:4">
      <c r="A42" s="3" t="s">
        <v>416</v>
      </c>
      <c r="B42" s="3" t="s">
        <v>180</v>
      </c>
      <c r="C42" s="9"/>
      <c r="D42" s="16" t="s">
        <v>51</v>
      </c>
    </row>
    <row r="43" spans="1:4">
      <c r="A43" s="3" t="s">
        <v>417</v>
      </c>
      <c r="B43" s="3" t="s">
        <v>180</v>
      </c>
      <c r="C43" s="9"/>
      <c r="D43" s="16" t="s">
        <v>51</v>
      </c>
    </row>
    <row r="44" spans="1:4">
      <c r="A44" s="3" t="s">
        <v>418</v>
      </c>
      <c r="B44" s="3" t="s">
        <v>180</v>
      </c>
      <c r="C44" s="9"/>
      <c r="D44" s="16" t="s">
        <v>51</v>
      </c>
    </row>
    <row r="45" spans="1:4">
      <c r="A45" s="3" t="s">
        <v>419</v>
      </c>
      <c r="B45" s="3" t="s">
        <v>180</v>
      </c>
      <c r="C45" s="9"/>
      <c r="D45" s="16" t="s">
        <v>51</v>
      </c>
    </row>
    <row r="46" spans="1:4">
      <c r="A46" s="3" t="s">
        <v>420</v>
      </c>
      <c r="B46" s="3" t="s">
        <v>180</v>
      </c>
      <c r="C46" s="9"/>
      <c r="D46" s="16" t="s">
        <v>51</v>
      </c>
    </row>
    <row r="47" spans="1:4">
      <c r="A47" s="3" t="s">
        <v>421</v>
      </c>
      <c r="B47" s="3" t="s">
        <v>180</v>
      </c>
      <c r="C47" s="9"/>
      <c r="D47" s="16" t="s">
        <v>51</v>
      </c>
    </row>
    <row r="48" spans="1:4">
      <c r="A48" s="3" t="s">
        <v>422</v>
      </c>
      <c r="B48" s="3" t="s">
        <v>180</v>
      </c>
      <c r="C48" s="9"/>
      <c r="D48" s="16" t="s">
        <v>51</v>
      </c>
    </row>
    <row r="49" spans="1:4">
      <c r="A49" s="3" t="s">
        <v>423</v>
      </c>
      <c r="B49" s="3" t="s">
        <v>180</v>
      </c>
      <c r="C49" s="9"/>
      <c r="D49" s="16" t="s">
        <v>51</v>
      </c>
    </row>
    <row r="50" spans="1:4">
      <c r="A50" s="3" t="s">
        <v>424</v>
      </c>
      <c r="B50" s="3" t="s">
        <v>180</v>
      </c>
      <c r="C50" s="9"/>
      <c r="D50" s="16" t="s">
        <v>51</v>
      </c>
    </row>
    <row r="51" spans="1:4">
      <c r="A51" s="3" t="s">
        <v>425</v>
      </c>
      <c r="B51" s="3" t="s">
        <v>180</v>
      </c>
      <c r="C51" s="9"/>
      <c r="D51" s="16" t="s">
        <v>51</v>
      </c>
    </row>
    <row r="52" spans="1:4">
      <c r="A52" s="3" t="s">
        <v>426</v>
      </c>
      <c r="B52" s="3" t="s">
        <v>180</v>
      </c>
      <c r="C52" s="9"/>
      <c r="D52" s="16" t="s">
        <v>51</v>
      </c>
    </row>
    <row r="53" spans="1:4">
      <c r="A53" s="3" t="s">
        <v>427</v>
      </c>
      <c r="B53" s="3" t="s">
        <v>180</v>
      </c>
      <c r="C53" s="9"/>
      <c r="D53" s="16" t="s">
        <v>51</v>
      </c>
    </row>
    <row r="54" spans="1:4">
      <c r="A54" s="3" t="s">
        <v>428</v>
      </c>
      <c r="B54" s="3" t="s">
        <v>180</v>
      </c>
      <c r="C54" s="9"/>
      <c r="D54" s="16" t="s">
        <v>51</v>
      </c>
    </row>
    <row r="55" spans="1:4">
      <c r="A55" s="3" t="s">
        <v>429</v>
      </c>
      <c r="B55" s="3" t="s">
        <v>180</v>
      </c>
      <c r="C55" s="9"/>
      <c r="D55" s="16" t="s">
        <v>51</v>
      </c>
    </row>
    <row r="56" spans="1:4">
      <c r="A56" s="3" t="s">
        <v>430</v>
      </c>
      <c r="B56" s="3" t="s">
        <v>180</v>
      </c>
      <c r="C56" s="9"/>
      <c r="D56" s="16" t="s">
        <v>51</v>
      </c>
    </row>
    <row r="57" spans="1:4">
      <c r="A57" s="3" t="s">
        <v>431</v>
      </c>
      <c r="B57" s="3" t="s">
        <v>180</v>
      </c>
      <c r="C57" s="9"/>
      <c r="D57" s="16" t="s">
        <v>51</v>
      </c>
    </row>
    <row r="58" spans="1:4">
      <c r="A58" s="3" t="s">
        <v>432</v>
      </c>
      <c r="B58" s="3" t="s">
        <v>180</v>
      </c>
      <c r="C58" s="9"/>
      <c r="D58" s="16" t="s">
        <v>51</v>
      </c>
    </row>
    <row r="59" spans="1:4">
      <c r="A59" s="3" t="s">
        <v>433</v>
      </c>
      <c r="B59" s="3" t="s">
        <v>180</v>
      </c>
      <c r="C59" s="9"/>
      <c r="D59" s="16" t="s">
        <v>51</v>
      </c>
    </row>
    <row r="60" spans="1:4">
      <c r="A60" s="3" t="s">
        <v>434</v>
      </c>
      <c r="B60" s="3" t="s">
        <v>180</v>
      </c>
      <c r="C60" s="9"/>
      <c r="D60" s="16" t="s">
        <v>51</v>
      </c>
    </row>
    <row r="61" spans="1:4">
      <c r="A61" s="3" t="s">
        <v>435</v>
      </c>
      <c r="B61" s="3" t="s">
        <v>180</v>
      </c>
      <c r="C61" s="9"/>
      <c r="D61" s="16" t="s">
        <v>51</v>
      </c>
    </row>
    <row r="62" spans="1:4">
      <c r="A62" s="3" t="s">
        <v>436</v>
      </c>
      <c r="B62" s="3" t="s">
        <v>180</v>
      </c>
      <c r="C62" s="9"/>
      <c r="D62" s="16" t="s">
        <v>51</v>
      </c>
    </row>
    <row r="63" spans="1:4">
      <c r="A63" s="3" t="s">
        <v>437</v>
      </c>
      <c r="B63" s="3" t="s">
        <v>180</v>
      </c>
      <c r="C63" s="9"/>
      <c r="D63" s="16" t="s">
        <v>51</v>
      </c>
    </row>
    <row r="64" spans="1:4">
      <c r="A64" s="3" t="s">
        <v>438</v>
      </c>
      <c r="B64" s="3" t="s">
        <v>180</v>
      </c>
      <c r="C64" s="9"/>
      <c r="D64" s="16" t="s">
        <v>51</v>
      </c>
    </row>
    <row r="65" spans="1:4">
      <c r="A65" s="3" t="s">
        <v>439</v>
      </c>
      <c r="B65" s="3" t="s">
        <v>180</v>
      </c>
      <c r="C65" s="9"/>
      <c r="D65" s="16" t="s">
        <v>51</v>
      </c>
    </row>
    <row r="66" spans="1:4">
      <c r="A66" s="3" t="s">
        <v>440</v>
      </c>
      <c r="B66" s="3" t="s">
        <v>180</v>
      </c>
      <c r="C66" s="9"/>
      <c r="D66" s="16" t="s">
        <v>51</v>
      </c>
    </row>
    <row r="67" spans="1:4">
      <c r="A67" s="3" t="s">
        <v>441</v>
      </c>
      <c r="B67" s="3" t="s">
        <v>180</v>
      </c>
      <c r="C67" s="9"/>
      <c r="D67" s="16" t="s">
        <v>51</v>
      </c>
    </row>
    <row r="68" spans="1:4">
      <c r="A68" s="3" t="s">
        <v>442</v>
      </c>
      <c r="B68" s="3" t="s">
        <v>180</v>
      </c>
      <c r="C68" s="9"/>
      <c r="D68" s="16" t="s">
        <v>51</v>
      </c>
    </row>
    <row r="69" spans="1:4">
      <c r="A69" s="3" t="s">
        <v>443</v>
      </c>
      <c r="B69" s="3" t="s">
        <v>180</v>
      </c>
      <c r="C69" s="9"/>
      <c r="D69" s="16" t="s">
        <v>51</v>
      </c>
    </row>
    <row r="70" spans="1:4">
      <c r="A70" s="3" t="s">
        <v>444</v>
      </c>
      <c r="B70" s="3" t="s">
        <v>180</v>
      </c>
      <c r="C70" s="9"/>
      <c r="D70" s="16" t="s">
        <v>51</v>
      </c>
    </row>
    <row r="71" spans="1:4">
      <c r="A71" s="3" t="s">
        <v>445</v>
      </c>
      <c r="B71" s="3" t="s">
        <v>180</v>
      </c>
      <c r="C71" s="9"/>
      <c r="D71" s="16" t="s">
        <v>51</v>
      </c>
    </row>
    <row r="72" spans="1:4">
      <c r="A72" s="3" t="s">
        <v>446</v>
      </c>
      <c r="B72" s="3" t="s">
        <v>180</v>
      </c>
      <c r="C72" s="9"/>
      <c r="D72" s="16" t="s">
        <v>51</v>
      </c>
    </row>
    <row r="73" spans="1:4">
      <c r="A73" s="3" t="s">
        <v>447</v>
      </c>
      <c r="B73" s="3" t="s">
        <v>180</v>
      </c>
      <c r="C73" s="9"/>
      <c r="D73" s="16" t="s">
        <v>51</v>
      </c>
    </row>
    <row r="74" spans="1:4">
      <c r="A74" s="3" t="s">
        <v>448</v>
      </c>
      <c r="B74" s="3" t="s">
        <v>180</v>
      </c>
      <c r="C74" s="9"/>
      <c r="D74" s="16" t="s">
        <v>51</v>
      </c>
    </row>
    <row r="75" spans="1:4">
      <c r="A75" s="3" t="s">
        <v>449</v>
      </c>
      <c r="B75" s="3" t="s">
        <v>180</v>
      </c>
      <c r="C75" s="9"/>
      <c r="D75" s="16" t="s">
        <v>51</v>
      </c>
    </row>
    <row r="76" spans="1:4">
      <c r="A76" s="3" t="s">
        <v>450</v>
      </c>
      <c r="B76" s="3" t="s">
        <v>180</v>
      </c>
      <c r="C76" s="9"/>
      <c r="D76" s="16" t="s">
        <v>51</v>
      </c>
    </row>
    <row r="77" spans="1:4">
      <c r="A77" s="3" t="s">
        <v>451</v>
      </c>
      <c r="B77" s="3" t="s">
        <v>180</v>
      </c>
      <c r="C77" s="9"/>
      <c r="D77" s="16" t="s">
        <v>51</v>
      </c>
    </row>
    <row r="78" spans="1:4">
      <c r="A78" s="3" t="s">
        <v>452</v>
      </c>
      <c r="B78" s="3" t="s">
        <v>180</v>
      </c>
      <c r="C78" s="9"/>
      <c r="D78" s="16" t="s">
        <v>51</v>
      </c>
    </row>
    <row r="79" spans="1:4">
      <c r="A79" s="3" t="s">
        <v>453</v>
      </c>
      <c r="B79" s="3" t="s">
        <v>180</v>
      </c>
      <c r="C79" s="9"/>
      <c r="D79" s="16" t="s">
        <v>51</v>
      </c>
    </row>
    <row r="80" spans="1:4">
      <c r="A80" s="3" t="s">
        <v>454</v>
      </c>
      <c r="B80" s="3" t="s">
        <v>180</v>
      </c>
      <c r="C80" s="9"/>
      <c r="D80" s="16" t="s">
        <v>51</v>
      </c>
    </row>
    <row r="81" spans="1:4">
      <c r="A81" s="3" t="s">
        <v>455</v>
      </c>
      <c r="B81" s="3" t="s">
        <v>180</v>
      </c>
      <c r="C81" s="9"/>
      <c r="D81" s="16" t="s">
        <v>51</v>
      </c>
    </row>
    <row r="82" spans="1:4">
      <c r="A82" s="3" t="s">
        <v>456</v>
      </c>
      <c r="B82" s="3" t="s">
        <v>180</v>
      </c>
      <c r="C82" s="9"/>
      <c r="D82" s="16" t="s">
        <v>51</v>
      </c>
    </row>
    <row r="83" spans="1:4">
      <c r="A83" s="3" t="s">
        <v>457</v>
      </c>
      <c r="B83" s="3" t="s">
        <v>180</v>
      </c>
      <c r="C83" s="9"/>
      <c r="D83" s="16" t="s">
        <v>51</v>
      </c>
    </row>
    <row r="84" spans="1:4">
      <c r="A84" s="3" t="s">
        <v>458</v>
      </c>
      <c r="B84" s="3" t="s">
        <v>180</v>
      </c>
      <c r="C84" s="9"/>
      <c r="D84" s="16" t="s">
        <v>51</v>
      </c>
    </row>
    <row r="85" spans="1:4">
      <c r="A85" s="3" t="s">
        <v>459</v>
      </c>
      <c r="B85" s="3" t="s">
        <v>180</v>
      </c>
      <c r="C85" s="9"/>
      <c r="D85" s="16" t="s">
        <v>51</v>
      </c>
    </row>
    <row r="86" spans="1:4">
      <c r="A86" s="3" t="s">
        <v>460</v>
      </c>
      <c r="B86" s="3" t="s">
        <v>180</v>
      </c>
      <c r="C86" s="9"/>
      <c r="D86" s="16" t="s">
        <v>51</v>
      </c>
    </row>
    <row r="87" spans="1:4">
      <c r="A87" s="3" t="s">
        <v>461</v>
      </c>
      <c r="B87" s="3" t="s">
        <v>180</v>
      </c>
      <c r="C87" s="9"/>
      <c r="D87" s="16" t="s">
        <v>51</v>
      </c>
    </row>
    <row r="88" spans="1:4">
      <c r="A88" s="3" t="s">
        <v>462</v>
      </c>
      <c r="B88" s="3" t="s">
        <v>180</v>
      </c>
      <c r="C88" s="9"/>
      <c r="D88" s="16" t="s">
        <v>51</v>
      </c>
    </row>
    <row r="89" spans="1:4">
      <c r="A89" s="3" t="s">
        <v>463</v>
      </c>
      <c r="B89" s="3" t="s">
        <v>180</v>
      </c>
      <c r="C89" s="9"/>
      <c r="D89" s="16" t="s">
        <v>51</v>
      </c>
    </row>
    <row r="90" spans="1:4">
      <c r="A90" s="3" t="s">
        <v>464</v>
      </c>
      <c r="B90" s="3" t="s">
        <v>180</v>
      </c>
      <c r="C90" s="9"/>
      <c r="D90" s="16" t="s">
        <v>51</v>
      </c>
    </row>
    <row r="91" spans="1:4">
      <c r="A91" s="3" t="s">
        <v>465</v>
      </c>
      <c r="B91" s="3" t="s">
        <v>180</v>
      </c>
      <c r="C91" s="9"/>
      <c r="D91" s="16" t="s">
        <v>51</v>
      </c>
    </row>
    <row r="92" spans="1:4">
      <c r="A92" s="3" t="s">
        <v>466</v>
      </c>
      <c r="B92" s="3" t="s">
        <v>180</v>
      </c>
      <c r="C92" s="9"/>
      <c r="D92" s="16" t="s">
        <v>51</v>
      </c>
    </row>
    <row r="93" spans="1:4">
      <c r="A93" s="3" t="s">
        <v>467</v>
      </c>
      <c r="B93" s="3" t="s">
        <v>180</v>
      </c>
      <c r="C93" s="9"/>
      <c r="D93" s="16" t="s">
        <v>51</v>
      </c>
    </row>
    <row r="94" spans="1:4">
      <c r="A94" s="3" t="s">
        <v>468</v>
      </c>
      <c r="B94" s="3" t="s">
        <v>264</v>
      </c>
      <c r="C94" s="9"/>
      <c r="D94" s="16" t="s">
        <v>51</v>
      </c>
    </row>
    <row r="95" spans="1:4">
      <c r="A95" s="3" t="s">
        <v>469</v>
      </c>
      <c r="B95" s="3" t="s">
        <v>264</v>
      </c>
      <c r="C95" s="9"/>
      <c r="D95" s="16" t="s">
        <v>51</v>
      </c>
    </row>
    <row r="96" spans="1:4">
      <c r="A96" s="3" t="s">
        <v>470</v>
      </c>
      <c r="B96" s="3" t="s">
        <v>264</v>
      </c>
      <c r="C96" s="9"/>
      <c r="D96" s="16" t="s">
        <v>51</v>
      </c>
    </row>
    <row r="97" spans="1:4">
      <c r="A97" s="3" t="s">
        <v>471</v>
      </c>
      <c r="B97" s="3" t="s">
        <v>264</v>
      </c>
      <c r="C97" s="9"/>
      <c r="D97" s="16" t="s">
        <v>51</v>
      </c>
    </row>
    <row r="98" spans="1:4">
      <c r="A98" s="3" t="s">
        <v>472</v>
      </c>
      <c r="B98" s="3" t="s">
        <v>264</v>
      </c>
      <c r="C98" s="9"/>
      <c r="D98" s="16" t="s">
        <v>51</v>
      </c>
    </row>
    <row r="99" spans="1:4">
      <c r="A99" s="3" t="s">
        <v>473</v>
      </c>
      <c r="B99" s="3" t="s">
        <v>264</v>
      </c>
      <c r="C99" s="9"/>
      <c r="D99" s="16" t="s">
        <v>51</v>
      </c>
    </row>
    <row r="100" spans="1:4">
      <c r="A100" s="3" t="s">
        <v>474</v>
      </c>
      <c r="B100" s="3" t="s">
        <v>264</v>
      </c>
      <c r="C100" s="9"/>
      <c r="D100" s="16" t="s">
        <v>51</v>
      </c>
    </row>
    <row r="101" spans="1:4">
      <c r="A101" s="3" t="s">
        <v>475</v>
      </c>
      <c r="B101" s="3" t="s">
        <v>264</v>
      </c>
      <c r="C101" s="9"/>
      <c r="D101" s="16" t="s">
        <v>51</v>
      </c>
    </row>
    <row r="102" spans="1:4">
      <c r="A102" s="3" t="s">
        <v>476</v>
      </c>
      <c r="B102" s="3" t="s">
        <v>264</v>
      </c>
      <c r="C102" s="9"/>
      <c r="D102" s="16" t="s">
        <v>51</v>
      </c>
    </row>
    <row r="103" spans="1:4">
      <c r="A103" s="3" t="s">
        <v>477</v>
      </c>
      <c r="B103" s="3" t="s">
        <v>264</v>
      </c>
      <c r="C103" s="9"/>
      <c r="D103" s="16" t="s">
        <v>51</v>
      </c>
    </row>
    <row r="104" spans="1:4">
      <c r="A104" s="3" t="s">
        <v>478</v>
      </c>
      <c r="B104" s="3" t="s">
        <v>264</v>
      </c>
      <c r="C104" s="9"/>
      <c r="D104" s="16" t="s">
        <v>51</v>
      </c>
    </row>
    <row r="105" spans="1:4">
      <c r="A105" s="3" t="s">
        <v>479</v>
      </c>
      <c r="B105" s="3" t="s">
        <v>264</v>
      </c>
      <c r="C105" s="9"/>
      <c r="D105" s="16" t="s">
        <v>51</v>
      </c>
    </row>
    <row r="106" spans="1:4">
      <c r="A106" s="3" t="s">
        <v>480</v>
      </c>
      <c r="B106" s="3" t="s">
        <v>264</v>
      </c>
      <c r="C106" s="9"/>
      <c r="D106" s="16" t="s">
        <v>51</v>
      </c>
    </row>
    <row r="107" spans="1:4">
      <c r="A107" s="3" t="s">
        <v>481</v>
      </c>
      <c r="B107" s="3" t="s">
        <v>264</v>
      </c>
      <c r="C107" s="9"/>
      <c r="D107" s="16" t="s">
        <v>51</v>
      </c>
    </row>
    <row r="108" spans="1:4">
      <c r="A108" s="3" t="s">
        <v>482</v>
      </c>
      <c r="B108" s="3" t="s">
        <v>264</v>
      </c>
      <c r="C108" s="9"/>
      <c r="D108" s="16" t="s">
        <v>51</v>
      </c>
    </row>
    <row r="109" spans="1:4">
      <c r="A109" s="3" t="s">
        <v>483</v>
      </c>
      <c r="B109" s="3" t="s">
        <v>264</v>
      </c>
      <c r="C109" s="9"/>
      <c r="D109" s="16" t="s">
        <v>51</v>
      </c>
    </row>
    <row r="110" spans="1:4">
      <c r="A110" s="3" t="s">
        <v>484</v>
      </c>
      <c r="B110" s="3" t="s">
        <v>264</v>
      </c>
      <c r="C110" s="9"/>
      <c r="D110" s="16" t="s">
        <v>51</v>
      </c>
    </row>
    <row r="111" spans="1:4">
      <c r="A111" s="3" t="s">
        <v>485</v>
      </c>
      <c r="B111" s="3" t="s">
        <v>264</v>
      </c>
      <c r="C111" s="9"/>
      <c r="D111" s="16" t="s">
        <v>51</v>
      </c>
    </row>
    <row r="112" spans="1:4">
      <c r="A112" s="3" t="s">
        <v>486</v>
      </c>
      <c r="B112" s="3" t="s">
        <v>264</v>
      </c>
      <c r="C112" s="9"/>
      <c r="D112" s="16" t="s">
        <v>51</v>
      </c>
    </row>
    <row r="113" spans="1:4">
      <c r="A113" s="3" t="s">
        <v>487</v>
      </c>
      <c r="B113" s="3" t="s">
        <v>264</v>
      </c>
      <c r="C113" s="9"/>
      <c r="D113" s="16" t="s">
        <v>51</v>
      </c>
    </row>
    <row r="114" spans="1:4">
      <c r="A114" s="3" t="s">
        <v>488</v>
      </c>
      <c r="B114" s="3" t="s">
        <v>264</v>
      </c>
      <c r="C114" s="9"/>
      <c r="D114" s="16" t="s">
        <v>51</v>
      </c>
    </row>
    <row r="115" spans="1:4">
      <c r="A115" s="3" t="s">
        <v>489</v>
      </c>
      <c r="B115" s="3" t="s">
        <v>264</v>
      </c>
      <c r="C115" s="9"/>
      <c r="D115" s="16" t="s">
        <v>51</v>
      </c>
    </row>
    <row r="116" spans="1:4">
      <c r="A116" s="3" t="s">
        <v>490</v>
      </c>
      <c r="B116" s="3" t="s">
        <v>264</v>
      </c>
      <c r="C116" s="9"/>
      <c r="D116" s="16" t="s">
        <v>51</v>
      </c>
    </row>
    <row r="117" spans="1:4">
      <c r="A117" s="3" t="s">
        <v>491</v>
      </c>
      <c r="B117" s="3" t="s">
        <v>264</v>
      </c>
      <c r="C117" s="9"/>
      <c r="D117" s="16" t="s">
        <v>51</v>
      </c>
    </row>
    <row r="118" spans="1:4">
      <c r="A118" s="3" t="s">
        <v>492</v>
      </c>
      <c r="B118" s="3" t="s">
        <v>264</v>
      </c>
      <c r="C118" s="9"/>
      <c r="D118" s="16" t="s">
        <v>51</v>
      </c>
    </row>
    <row r="119" spans="1:4">
      <c r="A119" s="3" t="s">
        <v>493</v>
      </c>
      <c r="B119" s="3" t="s">
        <v>264</v>
      </c>
      <c r="C119" s="9"/>
      <c r="D119" s="16" t="s">
        <v>51</v>
      </c>
    </row>
    <row r="120" spans="1:4">
      <c r="A120" s="3" t="s">
        <v>494</v>
      </c>
      <c r="B120" s="3" t="s">
        <v>264</v>
      </c>
      <c r="C120" s="9"/>
      <c r="D120" s="16" t="s">
        <v>51</v>
      </c>
    </row>
    <row r="121" spans="1:4">
      <c r="A121" s="3" t="s">
        <v>495</v>
      </c>
      <c r="B121" s="3" t="s">
        <v>264</v>
      </c>
      <c r="C121" s="9"/>
      <c r="D121" s="16" t="s">
        <v>51</v>
      </c>
    </row>
    <row r="122" spans="1:4">
      <c r="A122" s="3" t="s">
        <v>496</v>
      </c>
      <c r="B122" s="3" t="s">
        <v>264</v>
      </c>
      <c r="C122" s="9"/>
      <c r="D122" s="16" t="s">
        <v>51</v>
      </c>
    </row>
    <row r="123" spans="1:4">
      <c r="A123" s="3" t="s">
        <v>497</v>
      </c>
      <c r="B123" s="3" t="s">
        <v>264</v>
      </c>
      <c r="C123" s="9"/>
      <c r="D123" s="16" t="s">
        <v>51</v>
      </c>
    </row>
    <row r="124" spans="1:4">
      <c r="A124" s="3" t="s">
        <v>498</v>
      </c>
      <c r="B124" s="3" t="s">
        <v>264</v>
      </c>
      <c r="C124" s="9"/>
      <c r="D124" s="16" t="s">
        <v>51</v>
      </c>
    </row>
    <row r="125" spans="1:4">
      <c r="A125" s="3" t="s">
        <v>499</v>
      </c>
      <c r="B125" s="3" t="s">
        <v>264</v>
      </c>
      <c r="C125" s="9"/>
      <c r="D125" s="16" t="s">
        <v>51</v>
      </c>
    </row>
    <row r="126" spans="1:4">
      <c r="A126" s="3" t="s">
        <v>500</v>
      </c>
      <c r="B126" s="3" t="s">
        <v>264</v>
      </c>
      <c r="C126" s="9"/>
      <c r="D126" s="16" t="s">
        <v>51</v>
      </c>
    </row>
    <row r="127" spans="1:4">
      <c r="A127" s="3" t="s">
        <v>501</v>
      </c>
      <c r="B127" s="3" t="s">
        <v>264</v>
      </c>
      <c r="C127" s="9"/>
      <c r="D127" s="16" t="s">
        <v>51</v>
      </c>
    </row>
    <row r="128" spans="1:4">
      <c r="A128" s="3" t="s">
        <v>502</v>
      </c>
      <c r="B128" s="3" t="s">
        <v>264</v>
      </c>
      <c r="C128" s="9"/>
      <c r="D128" s="16" t="s">
        <v>51</v>
      </c>
    </row>
    <row r="129" spans="1:4">
      <c r="A129" s="3" t="s">
        <v>503</v>
      </c>
      <c r="B129" s="3" t="s">
        <v>264</v>
      </c>
      <c r="C129" s="9"/>
      <c r="D129" s="16" t="s">
        <v>51</v>
      </c>
    </row>
    <row r="130" spans="1:4">
      <c r="A130" s="3" t="s">
        <v>504</v>
      </c>
      <c r="B130" s="3" t="s">
        <v>264</v>
      </c>
      <c r="C130" s="9"/>
      <c r="D130" s="16" t="s">
        <v>51</v>
      </c>
    </row>
    <row r="131" spans="1:4">
      <c r="A131" s="3" t="s">
        <v>505</v>
      </c>
      <c r="B131" s="3" t="s">
        <v>264</v>
      </c>
      <c r="C131" s="9"/>
      <c r="D131" s="16" t="s">
        <v>51</v>
      </c>
    </row>
    <row r="132" spans="1:4">
      <c r="A132" s="3" t="s">
        <v>506</v>
      </c>
      <c r="B132" s="3" t="s">
        <v>264</v>
      </c>
      <c r="C132" s="9"/>
      <c r="D132" s="16" t="s">
        <v>51</v>
      </c>
    </row>
    <row r="133" spans="1:4">
      <c r="A133" s="3" t="s">
        <v>507</v>
      </c>
      <c r="B133" s="3" t="s">
        <v>264</v>
      </c>
      <c r="C133" s="9"/>
      <c r="D133" s="16" t="s">
        <v>51</v>
      </c>
    </row>
    <row r="134" spans="1:4">
      <c r="A134" s="3" t="s">
        <v>508</v>
      </c>
      <c r="B134" s="3" t="s">
        <v>264</v>
      </c>
      <c r="C134" s="9"/>
      <c r="D134" s="16" t="s">
        <v>51</v>
      </c>
    </row>
    <row r="135" spans="1:4">
      <c r="A135" s="3" t="s">
        <v>509</v>
      </c>
      <c r="B135" s="3" t="s">
        <v>264</v>
      </c>
      <c r="C135" s="9"/>
      <c r="D135" s="16" t="s">
        <v>51</v>
      </c>
    </row>
    <row r="136" spans="1:4">
      <c r="A136" s="3" t="s">
        <v>510</v>
      </c>
      <c r="B136" s="3" t="s">
        <v>264</v>
      </c>
      <c r="C136" s="9"/>
      <c r="D136" s="16" t="s">
        <v>51</v>
      </c>
    </row>
    <row r="137" spans="1:4">
      <c r="A137" s="3" t="s">
        <v>511</v>
      </c>
      <c r="B137" s="3" t="s">
        <v>264</v>
      </c>
      <c r="C137" s="9"/>
      <c r="D137" s="16" t="s">
        <v>51</v>
      </c>
    </row>
    <row r="138" spans="1:4">
      <c r="A138" s="3" t="s">
        <v>512</v>
      </c>
      <c r="B138" s="3" t="s">
        <v>264</v>
      </c>
      <c r="C138" s="9"/>
      <c r="D138" s="16" t="s">
        <v>51</v>
      </c>
    </row>
    <row r="139" spans="1:4">
      <c r="A139" s="3" t="s">
        <v>513</v>
      </c>
      <c r="B139" s="3" t="s">
        <v>264</v>
      </c>
      <c r="C139" s="9"/>
      <c r="D139" s="16" t="s">
        <v>51</v>
      </c>
    </row>
    <row r="140" spans="1:4">
      <c r="A140" s="3" t="s">
        <v>514</v>
      </c>
      <c r="B140" s="3" t="s">
        <v>264</v>
      </c>
      <c r="C140" s="9"/>
      <c r="D140" s="16" t="s">
        <v>51</v>
      </c>
    </row>
    <row r="141" spans="1:4">
      <c r="A141" s="3" t="s">
        <v>515</v>
      </c>
      <c r="B141" s="3" t="s">
        <v>264</v>
      </c>
      <c r="C141" s="9"/>
      <c r="D141" s="16" t="s">
        <v>51</v>
      </c>
    </row>
    <row r="142" spans="1:4">
      <c r="A142" s="3" t="s">
        <v>516</v>
      </c>
      <c r="B142" s="3" t="s">
        <v>264</v>
      </c>
      <c r="C142" s="9"/>
      <c r="D142" s="16" t="s">
        <v>51</v>
      </c>
    </row>
    <row r="143" spans="1:4">
      <c r="A143" s="3" t="s">
        <v>517</v>
      </c>
      <c r="B143" s="3" t="s">
        <v>264</v>
      </c>
      <c r="C143" s="9"/>
      <c r="D143" s="16" t="s">
        <v>51</v>
      </c>
    </row>
    <row r="144" spans="1:4">
      <c r="A144" s="3" t="s">
        <v>520</v>
      </c>
      <c r="B144" s="3" t="s">
        <v>264</v>
      </c>
      <c r="C144" s="9"/>
      <c r="D144" s="16" t="s">
        <v>51</v>
      </c>
    </row>
    <row r="145" spans="1:4">
      <c r="A145" s="3" t="s">
        <v>521</v>
      </c>
      <c r="B145" s="3" t="s">
        <v>264</v>
      </c>
      <c r="C145" s="9"/>
      <c r="D145" s="16" t="s">
        <v>51</v>
      </c>
    </row>
    <row r="146" spans="1:4">
      <c r="A146" s="3" t="s">
        <v>522</v>
      </c>
      <c r="B146" s="3" t="s">
        <v>264</v>
      </c>
      <c r="C146" s="9"/>
      <c r="D146" s="16" t="s">
        <v>51</v>
      </c>
    </row>
    <row r="147" spans="1:4">
      <c r="A147" s="3" t="s">
        <v>523</v>
      </c>
      <c r="B147" s="3" t="s">
        <v>264</v>
      </c>
      <c r="C147" s="9"/>
      <c r="D147" s="16" t="s">
        <v>51</v>
      </c>
    </row>
    <row r="148" spans="1:4">
      <c r="A148" s="3" t="s">
        <v>524</v>
      </c>
      <c r="B148" s="3" t="s">
        <v>264</v>
      </c>
      <c r="C148" s="9"/>
      <c r="D148" s="16" t="s">
        <v>51</v>
      </c>
    </row>
    <row r="149" spans="1:4">
      <c r="A149" s="3" t="s">
        <v>525</v>
      </c>
      <c r="B149" s="3" t="s">
        <v>264</v>
      </c>
      <c r="C149" s="9"/>
      <c r="D149" s="16" t="s">
        <v>51</v>
      </c>
    </row>
    <row r="150" spans="1:4">
      <c r="A150" s="3" t="s">
        <v>526</v>
      </c>
      <c r="B150" s="3" t="s">
        <v>264</v>
      </c>
      <c r="C150" s="9"/>
      <c r="D150" s="16" t="s">
        <v>51</v>
      </c>
    </row>
    <row r="151" spans="1:4">
      <c r="A151" s="3" t="s">
        <v>527</v>
      </c>
      <c r="B151" s="3" t="s">
        <v>264</v>
      </c>
      <c r="C151" s="9"/>
      <c r="D151" s="16" t="s">
        <v>51</v>
      </c>
    </row>
    <row r="152" spans="1:4">
      <c r="A152" s="3" t="s">
        <v>528</v>
      </c>
      <c r="B152" s="3" t="s">
        <v>264</v>
      </c>
      <c r="C152" s="9"/>
      <c r="D152" s="16" t="s">
        <v>51</v>
      </c>
    </row>
    <row r="153" spans="1:4">
      <c r="A153" s="3" t="s">
        <v>529</v>
      </c>
      <c r="B153" s="3" t="s">
        <v>264</v>
      </c>
      <c r="C153" s="9"/>
      <c r="D153" s="16" t="s">
        <v>51</v>
      </c>
    </row>
    <row r="154" spans="1:4">
      <c r="A154" s="3" t="s">
        <v>518</v>
      </c>
      <c r="B154" s="3" t="s">
        <v>373</v>
      </c>
      <c r="C154" s="9"/>
      <c r="D154" s="16" t="s">
        <v>51</v>
      </c>
    </row>
    <row r="155" spans="1:4">
      <c r="A155" s="3" t="s">
        <v>519</v>
      </c>
      <c r="B155" s="3" t="s">
        <v>373</v>
      </c>
      <c r="C155" s="9"/>
      <c r="D155" s="16" t="s">
        <v>51</v>
      </c>
    </row>
    <row r="156" spans="1:4">
      <c r="A156" s="3" t="s">
        <v>530</v>
      </c>
      <c r="B156" s="3" t="s">
        <v>291</v>
      </c>
      <c r="C156" s="9"/>
      <c r="D156" s="16" t="s">
        <v>51</v>
      </c>
    </row>
    <row r="157" spans="1:4">
      <c r="A157" s="3" t="s">
        <v>531</v>
      </c>
      <c r="B157" s="3" t="s">
        <v>291</v>
      </c>
      <c r="C157" s="9"/>
      <c r="D157" s="16" t="s">
        <v>51</v>
      </c>
    </row>
    <row r="158" spans="1:4">
      <c r="A158" s="3" t="s">
        <v>532</v>
      </c>
      <c r="B158" s="3" t="s">
        <v>291</v>
      </c>
      <c r="C158" s="9"/>
      <c r="D158" s="16" t="s">
        <v>51</v>
      </c>
    </row>
    <row r="159" spans="1:4">
      <c r="A159" s="3" t="s">
        <v>533</v>
      </c>
      <c r="B159" s="3" t="s">
        <v>291</v>
      </c>
      <c r="C159" s="9"/>
      <c r="D159" s="16" t="s">
        <v>51</v>
      </c>
    </row>
    <row r="160" spans="1:4">
      <c r="A160" s="3" t="s">
        <v>534</v>
      </c>
      <c r="B160" s="3" t="s">
        <v>291</v>
      </c>
      <c r="C160" s="9"/>
      <c r="D160" s="16" t="s">
        <v>51</v>
      </c>
    </row>
    <row r="161" spans="1:4">
      <c r="A161" s="3" t="s">
        <v>535</v>
      </c>
      <c r="B161" s="3" t="s">
        <v>291</v>
      </c>
      <c r="C161" s="9"/>
      <c r="D161" s="16" t="s">
        <v>51</v>
      </c>
    </row>
    <row r="162" spans="1:4">
      <c r="A162" s="3" t="s">
        <v>536</v>
      </c>
      <c r="B162" s="3" t="s">
        <v>291</v>
      </c>
      <c r="C162" s="9"/>
      <c r="D162" s="16" t="s">
        <v>51</v>
      </c>
    </row>
    <row r="163" spans="1:4">
      <c r="A163" s="3" t="s">
        <v>537</v>
      </c>
      <c r="B163" s="3" t="s">
        <v>291</v>
      </c>
      <c r="C163" s="9"/>
      <c r="D163" s="16" t="s">
        <v>51</v>
      </c>
    </row>
    <row r="164" spans="1:4">
      <c r="A164" s="3" t="s">
        <v>538</v>
      </c>
      <c r="B164" s="3" t="s">
        <v>291</v>
      </c>
      <c r="C164" s="9"/>
      <c r="D164" s="16" t="s">
        <v>51</v>
      </c>
    </row>
    <row r="165" spans="1:4">
      <c r="A165" s="3" t="s">
        <v>539</v>
      </c>
      <c r="B165" s="3" t="s">
        <v>291</v>
      </c>
      <c r="C165" s="9"/>
      <c r="D165" s="16" t="s">
        <v>51</v>
      </c>
    </row>
    <row r="166" spans="1:4">
      <c r="A166" s="3" t="s">
        <v>518</v>
      </c>
      <c r="B166" s="3" t="s">
        <v>302</v>
      </c>
      <c r="C166" s="9"/>
      <c r="D166" s="16" t="s">
        <v>51</v>
      </c>
    </row>
    <row r="167" spans="1:4">
      <c r="A167" s="3" t="s">
        <v>519</v>
      </c>
      <c r="B167" s="3" t="s">
        <v>302</v>
      </c>
      <c r="C167" s="9"/>
      <c r="D167" s="16" t="s">
        <v>51</v>
      </c>
    </row>
  </sheetData>
  <dataValidations count="1">
    <dataValidation type="list" allowBlank="1" showInputMessage="1" showErrorMessage="1" sqref="B2:B7 B9:B1048576" xr:uid="{64D8F243-6716-4E97-958F-E399B0713083}">
      <formula1>"Fixings, Plastic Parts, Auto Parts Sales, General Car Sales, Automotive R&amp;D"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Assumption</vt:lpstr>
      <vt:lpstr>1 - Screws</vt:lpstr>
      <vt:lpstr>1 - Material prices</vt:lpstr>
      <vt:lpstr>1 - Sales info</vt:lpstr>
      <vt:lpstr>3 - Comp</vt:lpstr>
      <vt:lpstr>5 - Comp</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2026-05-20T21:33:48Z</dcterms:modified>
</cp:coreProperties>
</file>