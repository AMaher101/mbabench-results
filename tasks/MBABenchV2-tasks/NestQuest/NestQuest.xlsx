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ent vs. Buy Analysis\NestQuest\starting_files\"/>
    </mc:Choice>
  </mc:AlternateContent>
  <xr:revisionPtr revIDLastSave="0" documentId="13_ncr:1_{5719E54F-F582-43D2-912A-26D50A3EB422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4" i="9" l="1"/>
  <c r="A1" i="9" l="1"/>
</calcChain>
</file>

<file path=xl/sharedStrings.xml><?xml version="1.0" encoding="utf-8"?>
<sst xmlns="http://schemas.openxmlformats.org/spreadsheetml/2006/main" count="253" uniqueCount="150">
  <si>
    <t>[$]</t>
  </si>
  <si>
    <t>[years]</t>
  </si>
  <si>
    <t>End Sheet</t>
  </si>
  <si>
    <t>Assumptions sheet may be also in the text on the Instructions tab - please use the assumptions on this sheet for your model</t>
  </si>
  <si>
    <t>Questions (please round your answers to two decimal places)</t>
  </si>
  <si>
    <t>Answers</t>
  </si>
  <si>
    <t>Unit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</si>
  <si>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</si>
  <si>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</si>
  <si>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</si>
  <si>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</si>
  <si>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</si>
  <si>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</si>
  <si>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</si>
  <si>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</si>
  <si>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</si>
  <si>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Monthly</t>
  </si>
  <si>
    <t>Loan Type</t>
  </si>
  <si>
    <t>Remaining Amount in the end</t>
  </si>
  <si>
    <t>Loan terms are defined as follows:</t>
  </si>
  <si>
    <t>Task:</t>
  </si>
  <si>
    <t>Wealth Management Task</t>
  </si>
  <si>
    <t>End of the period</t>
  </si>
  <si>
    <t>Build a model for the person buying the home.</t>
  </si>
  <si>
    <t>Build a model for the person renting instead.</t>
  </si>
  <si>
    <t>Your model should be fully dynamic and capable of adapting to changes.</t>
  </si>
  <si>
    <t>Answer the questions with the results from your model or overview.</t>
  </si>
  <si>
    <t>1. Buying a home:</t>
  </si>
  <si>
    <t>- Home purchase price</t>
  </si>
  <si>
    <t>- Additional closing costs to pay</t>
  </si>
  <si>
    <t>Payments are due at the end of each period.</t>
  </si>
  <si>
    <t>2. Renting instead of buying:</t>
  </si>
  <si>
    <t>- You always pay rent and never own a home</t>
  </si>
  <si>
    <t>- You do not have to pay down the loan</t>
  </si>
  <si>
    <t>General Model Information</t>
  </si>
  <si>
    <t>Start date</t>
  </si>
  <si>
    <t>Model duration</t>
  </si>
  <si>
    <t>Purchase price</t>
  </si>
  <si>
    <t>Closing costs</t>
  </si>
  <si>
    <t>[%]</t>
  </si>
  <si>
    <t>(as percentage of purchase price)</t>
  </si>
  <si>
    <t>Annual running costs of home ownership</t>
  </si>
  <si>
    <t>Months per year</t>
  </si>
  <si>
    <t>Inflation of annual running costs</t>
  </si>
  <si>
    <t>Home value appreciation</t>
  </si>
  <si>
    <t>Assumed annual return on cash</t>
  </si>
  <si>
    <t>House Information</t>
  </si>
  <si>
    <t>Renting Information</t>
  </si>
  <si>
    <t>Investing Information</t>
  </si>
  <si>
    <t>Assumed rental price inflation</t>
  </si>
  <si>
    <t>(annual)</t>
  </si>
  <si>
    <t>EAR - monthly</t>
  </si>
  <si>
    <t>- Running cost (think of tax, insurance, maintenance, …)</t>
  </si>
  <si>
    <t>paid monthly</t>
  </si>
  <si>
    <t>For financing the home you take the equity (in form of cash - assume the remaining amount between home purchase price + closing costs and loan amount is down payment &amp; closing costs) you have as well as a loan.</t>
  </si>
  <si>
    <t>First rent payment date</t>
  </si>
  <si>
    <t>- You invest the monthly cash saved if renting instead of owning (as long as it is a saving)</t>
  </si>
  <si>
    <t>At the later stage (when you do not have to repay the loan), you will invest the monthly cash saved if owning instead of renting</t>
  </si>
  <si>
    <t>Your model should include all necessary calculations to answer the questions.</t>
  </si>
  <si>
    <t>Build a yearly summary comparing the net worth over time for both approaches.</t>
  </si>
  <si>
    <t>Model</t>
  </si>
  <si>
    <t>Owning model</t>
  </si>
  <si>
    <t>Renting model</t>
  </si>
  <si>
    <t>Summary</t>
  </si>
  <si>
    <t>Costs of renting a similar home</t>
  </si>
  <si>
    <t xml:space="preserve"> </t>
  </si>
  <si>
    <t>Rent vs. Buy Analysis - Nest Quest</t>
  </si>
  <si>
    <t>Annuity Loan</t>
  </si>
  <si>
    <t>The loan is structured as an annuity loan, with payments made on a monthly basis and interest compounded on a monthly basis as well.</t>
  </si>
  <si>
    <t>Income Tax</t>
  </si>
  <si>
    <t>Income Range (€)</t>
  </si>
  <si>
    <t>Tax Rate</t>
  </si>
  <si>
    <t>0 – 12,348</t>
  </si>
  <si>
    <t>12,348.01 – 14,000</t>
  </si>
  <si>
    <t>14,000.01 – 16,000</t>
  </si>
  <si>
    <t>16,000.01 – 17,799</t>
  </si>
  <si>
    <t>17,799.01 – 20,000</t>
  </si>
  <si>
    <t>20,000.01 – 23,000</t>
  </si>
  <si>
    <t>23,000.01 – 26,000</t>
  </si>
  <si>
    <t>26,000.01 – 30,000</t>
  </si>
  <si>
    <t>30,000.01 – 35,000</t>
  </si>
  <si>
    <t>35,000.01 – 40,000</t>
  </si>
  <si>
    <t>40,000.01 – 45,000</t>
  </si>
  <si>
    <t>45,000.01 – 50,000</t>
  </si>
  <si>
    <t>50,000.01 – 55,000</t>
  </si>
  <si>
    <t>55,000.01 – 60,000</t>
  </si>
  <si>
    <t>60,000.01 – 65,000</t>
  </si>
  <si>
    <t>65,000.01 – 69,879</t>
  </si>
  <si>
    <t>Solidarity - surcharge Tax-free allowance (single)</t>
  </si>
  <si>
    <t>Income Tax-based</t>
  </si>
  <si>
    <t>Solidarity - surcharge Tax-free allowance (married)</t>
  </si>
  <si>
    <t>Solidarity - surcharge rate</t>
  </si>
  <si>
    <t>of Income tax</t>
  </si>
  <si>
    <t>Brackets if both are married</t>
  </si>
  <si>
    <t>Factor</t>
  </si>
  <si>
    <t>Tax rate</t>
  </si>
  <si>
    <t>of Investment tax (no allowance)</t>
  </si>
  <si>
    <t>Investment tax</t>
  </si>
  <si>
    <t>The tax rate on Investments (on cash investments) is only paid when cashing out - but consider it on an constant basis for comparison purposes.</t>
  </si>
  <si>
    <t>married</t>
  </si>
  <si>
    <t>Couple (status)</t>
  </si>
  <si>
    <t>Inflation of tax brackets</t>
  </si>
  <si>
    <t>Taxation:</t>
  </si>
  <si>
    <t>Inflation figures are applied every January (applied first 2027).</t>
  </si>
  <si>
    <t>If your income tax is over certain tresholds, you have to pay additional solidarity surcharge (based on the whole income tax payable).</t>
  </si>
  <si>
    <t>You have to pay regular income tax on the net gain of a home sale - it is also only paid when selling - but consider it on an constant basis for comparison purposes.</t>
  </si>
  <si>
    <t>If you are married you will file taxes together - your tax is calculated based on doubled tax brackets.</t>
  </si>
  <si>
    <t>Assume, that there is no other income.</t>
  </si>
  <si>
    <t>for Income brackets and Solidarity Surcharge tresholds</t>
  </si>
  <si>
    <t>69,879.01 – 287,825</t>
  </si>
  <si>
    <t>287,825.01 and above</t>
  </si>
  <si>
    <t>What will be the Net worth difference (renting vs. owning) for the year 2029?</t>
  </si>
  <si>
    <t>What will be the Net worth difference (renting vs. owning) for the year 2032?</t>
  </si>
  <si>
    <t>What will be the Net worth difference (renting vs. owning) for the year 2072?</t>
  </si>
  <si>
    <t>What will be the Net worth difference (renting vs. owning) for the year 2082?</t>
  </si>
  <si>
    <t>What will be the Net worth difference (renting vs. owning) for the year 2084?</t>
  </si>
  <si>
    <t>What will the Interest on the Loan be on 06/01/2036?</t>
  </si>
  <si>
    <t>What will the Loan Balance be on 02/01/2037?</t>
  </si>
  <si>
    <t>What will the Payment Due on the Loan be on 12/01/2029?</t>
  </si>
  <si>
    <t>What will the Loan Balance be on 06/01/2039?</t>
  </si>
  <si>
    <t>What will the Loan Balance be on 11/01/2042?</t>
  </si>
  <si>
    <t>What will the Amount invested additionally be for 04-2081?</t>
  </si>
  <si>
    <t>What will the Investment ending balance be for 01-2051?</t>
  </si>
  <si>
    <t>What will the Investment ending balance be for 11-2051?</t>
  </si>
  <si>
    <t>What will the Investment return (running) be for 09-2071?</t>
  </si>
  <si>
    <t>What will the Net investments (running) be for 10-2063?</t>
  </si>
  <si>
    <t>What will the Net worth be for 03-2027?</t>
  </si>
  <si>
    <t>What will the Net worth be for 05-2074?</t>
  </si>
  <si>
    <t>What will the Rent be for 04-2041?</t>
  </si>
  <si>
    <t>What will the Rent be for 05-2064?</t>
  </si>
  <si>
    <t>What will the Rent be for 08-2075?</t>
  </si>
  <si>
    <t>What will the Amount invested additionally be for 04-2046?</t>
  </si>
  <si>
    <t>What will the Amount invested additionally be for 12-2044?</t>
  </si>
  <si>
    <t>What will the Home ownership costs be for 08-2031?</t>
  </si>
  <si>
    <t>What will the Home ownership costs be for 09-2045?</t>
  </si>
  <si>
    <t>What will the Home value (brt.) be for 01-2040?</t>
  </si>
  <si>
    <t>What will the Home value (net) be for 05-2032?</t>
  </si>
  <si>
    <t>What will the Investment ending balance be for 01-2028?</t>
  </si>
  <si>
    <t>What will the Investment interest be for 05-2048?</t>
  </si>
  <si>
    <t>What will the Net investments (running) be for 08-2045?</t>
  </si>
  <si>
    <t>What will the Net worth be for 11-2043?</t>
  </si>
  <si>
    <t>What will the Owning costs be for 03-2045?</t>
  </si>
  <si>
    <t>What will the Investment interest be for 07-2070?</t>
  </si>
  <si>
    <t>What will the Investment opening balance be for 06-2076?</t>
  </si>
  <si>
    <t>What will the Investment return (running) be for 12-2078?</t>
  </si>
  <si>
    <t>What will the Running amount invested additionaly be for 03-2082?</t>
  </si>
  <si>
    <t xml:space="preserve">The loan has a principal amount of $610,000.00 with no remaining balance at maturity. </t>
  </si>
  <si>
    <t xml:space="preserve">The first payment date is January 1, 2026. </t>
  </si>
  <si>
    <t xml:space="preserve">The annual nominal interest rate is 4.125% p.a. over a total duration of 17.50 years. </t>
  </si>
  <si>
    <t>Closing costs are not part of the tax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</si>
</sst>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30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5" fillId="0" borderId="0" xfId="0" quotePrefix="1" applyFont="1" applyAlignment="1">
      <alignment vertical="center"/>
    </xf>
    <xf numFmtId="3" fontId="5" fillId="2" borderId="2" xfId="0" applyNumberFormat="1" applyFont="1" applyFill="1" applyBorder="1"/>
    <xf numFmtId="0" fontId="17" fillId="0" borderId="0" xfId="0" quotePrefix="1" applyFont="1" applyAlignment="1">
      <alignment vertical="center"/>
    </xf>
    <xf numFmtId="4" fontId="3" fillId="0" borderId="0" xfId="2" applyNumberFormat="1"/>
    <xf numFmtId="4" fontId="0" fillId="0" borderId="0" xfId="0" applyNumberFormat="1"/>
    <xf numFmtId="0" fontId="11" fillId="0" borderId="0" xfId="1" quotePrefix="1" applyFont="1" applyAlignment="1">
      <alignment horizontal="left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66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5" t="s">
        <v>21</v>
      </c>
      <c r="C2" s="26"/>
      <c r="D2" s="26"/>
      <c r="E2" s="26"/>
      <c r="F2" s="26"/>
      <c r="G2" s="26"/>
      <c r="H2" s="26"/>
      <c r="I2" s="26"/>
      <c r="J2" s="26"/>
      <c r="K2" s="27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8" t="s">
        <v>66</v>
      </c>
      <c r="C4" s="29"/>
      <c r="D4" s="29"/>
      <c r="E4" s="29"/>
      <c r="F4" s="29"/>
      <c r="G4" s="29"/>
      <c r="H4" s="29"/>
      <c r="I4" s="29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 ht="15.6">
      <c r="B6" s="21" t="s">
        <v>27</v>
      </c>
    </row>
    <row r="7" spans="2:11" ht="15.6">
      <c r="B7" s="19" t="s">
        <v>28</v>
      </c>
    </row>
    <row r="8" spans="2:11" ht="15.6">
      <c r="B8" s="19" t="s">
        <v>29</v>
      </c>
    </row>
    <row r="9" spans="2:11" ht="15.6">
      <c r="B9" s="19" t="s">
        <v>52</v>
      </c>
    </row>
    <row r="10" spans="2:11" ht="15.6">
      <c r="B10" s="19" t="s">
        <v>54</v>
      </c>
    </row>
    <row r="11" spans="2:11" ht="15.6">
      <c r="B11" s="19" t="s">
        <v>19</v>
      </c>
    </row>
    <row r="12" spans="2:11" ht="15.6">
      <c r="B12" s="19" t="s">
        <v>146</v>
      </c>
    </row>
    <row r="13" spans="2:11" ht="15.6">
      <c r="B13" s="19" t="s">
        <v>148</v>
      </c>
    </row>
    <row r="14" spans="2:11" ht="15.6">
      <c r="B14" s="19" t="s">
        <v>147</v>
      </c>
    </row>
    <row r="15" spans="2:11" ht="15.6">
      <c r="B15" s="19" t="s">
        <v>68</v>
      </c>
    </row>
    <row r="16" spans="2:11" ht="15.6">
      <c r="B16" s="19" t="s">
        <v>30</v>
      </c>
    </row>
    <row r="17" spans="2:2" ht="15.6">
      <c r="B17" s="19" t="s">
        <v>57</v>
      </c>
    </row>
    <row r="18" spans="2:2" ht="15.6">
      <c r="B18" s="19"/>
    </row>
    <row r="19" spans="2:2" ht="15.6">
      <c r="B19" s="21" t="s">
        <v>31</v>
      </c>
    </row>
    <row r="20" spans="2:2" ht="15.6">
      <c r="B20" s="19" t="s">
        <v>32</v>
      </c>
    </row>
    <row r="21" spans="2:2" ht="15.6">
      <c r="B21" s="19" t="s">
        <v>33</v>
      </c>
    </row>
    <row r="22" spans="2:2" ht="15.6">
      <c r="B22" s="19" t="s">
        <v>56</v>
      </c>
    </row>
    <row r="23" spans="2:2" ht="15.6">
      <c r="B23" s="19"/>
    </row>
    <row r="24" spans="2:2" ht="15.6">
      <c r="B24" s="21" t="s">
        <v>102</v>
      </c>
    </row>
    <row r="25" spans="2:2" ht="15.6">
      <c r="B25" s="12" t="s">
        <v>98</v>
      </c>
    </row>
    <row r="26" spans="2:2" ht="15.6">
      <c r="B26" s="12" t="s">
        <v>105</v>
      </c>
    </row>
    <row r="27" spans="2:2" ht="15.6">
      <c r="B27" s="12" t="s">
        <v>149</v>
      </c>
    </row>
    <row r="28" spans="2:2" ht="15.6">
      <c r="B28" s="12" t="s">
        <v>106</v>
      </c>
    </row>
    <row r="29" spans="2:2" ht="15.6">
      <c r="B29" s="12" t="s">
        <v>104</v>
      </c>
    </row>
    <row r="30" spans="2:2" ht="15.6">
      <c r="B30" s="12" t="s">
        <v>107</v>
      </c>
    </row>
    <row r="31" spans="2:2" ht="15.6">
      <c r="B31" s="19"/>
    </row>
    <row r="32" spans="2:2" ht="15.6">
      <c r="B32" s="21" t="s">
        <v>20</v>
      </c>
    </row>
    <row r="33" spans="2:2" ht="15.6">
      <c r="B33" s="19" t="s">
        <v>23</v>
      </c>
    </row>
    <row r="34" spans="2:2" ht="15.6">
      <c r="B34" s="19" t="s">
        <v>24</v>
      </c>
    </row>
    <row r="35" spans="2:2" ht="15.6">
      <c r="B35" s="19" t="s">
        <v>59</v>
      </c>
    </row>
    <row r="36" spans="2:2" ht="15.6">
      <c r="B36" s="19" t="s">
        <v>25</v>
      </c>
    </row>
    <row r="37" spans="2:2" ht="15.6">
      <c r="B37" s="19" t="s">
        <v>58</v>
      </c>
    </row>
    <row r="38" spans="2:2" ht="15.6">
      <c r="B38" s="19" t="s">
        <v>26</v>
      </c>
    </row>
    <row r="39" spans="2:2" ht="15.6">
      <c r="B39" s="12" t="s">
        <v>103</v>
      </c>
    </row>
    <row r="40" spans="2:2" ht="15.6">
      <c r="B40" s="12"/>
    </row>
    <row r="41" spans="2:2" ht="15.6">
      <c r="B41" s="12"/>
    </row>
    <row r="42" spans="2:2" ht="15.6">
      <c r="B42" s="12"/>
    </row>
    <row r="43" spans="2:2" ht="15.6">
      <c r="B43" s="12"/>
    </row>
    <row r="44" spans="2:2" ht="15.6">
      <c r="B44" s="12"/>
    </row>
    <row r="45" spans="2:2" ht="15.6">
      <c r="B45" s="12"/>
    </row>
    <row r="46" spans="2:2" ht="15.6">
      <c r="B46" s="12"/>
    </row>
    <row r="47" spans="2:2" ht="15.6">
      <c r="B47" s="12"/>
    </row>
    <row r="48" spans="2:2" ht="15.6">
      <c r="B48" s="12"/>
    </row>
    <row r="49" spans="2:2" ht="15.6">
      <c r="B49" s="12"/>
    </row>
    <row r="50" spans="2:2" ht="15.6">
      <c r="B50" s="12"/>
    </row>
    <row r="51" spans="2:2" ht="15.6">
      <c r="B51" s="12"/>
    </row>
    <row r="52" spans="2:2" ht="15.6">
      <c r="B52" s="12"/>
    </row>
    <row r="53" spans="2:2" ht="15.6">
      <c r="B53" s="12"/>
    </row>
    <row r="54" spans="2:2" ht="15.6">
      <c r="B54" s="12"/>
    </row>
    <row r="55" spans="2:2" ht="15.6">
      <c r="B55" s="12"/>
    </row>
    <row r="56" spans="2:2" ht="15.6">
      <c r="B56" s="12"/>
    </row>
    <row r="57" spans="2:2" ht="15.6">
      <c r="B57" s="12"/>
    </row>
    <row r="58" spans="2:2" ht="15.6">
      <c r="B58" s="12"/>
    </row>
    <row r="59" spans="2:2" ht="15.6">
      <c r="B59" s="12"/>
    </row>
    <row r="60" spans="2:2" ht="15.6">
      <c r="B60" s="12"/>
    </row>
    <row r="61" spans="2:2" ht="15.6">
      <c r="B61" s="12"/>
    </row>
    <row r="62" spans="2:2" ht="15.6">
      <c r="B62" s="12"/>
    </row>
    <row r="63" spans="2:2" ht="15.6">
      <c r="B63" s="12"/>
    </row>
    <row r="64" spans="2:2" ht="15.6">
      <c r="B64" s="12"/>
    </row>
    <row r="65" spans="2:2" ht="15.6">
      <c r="B65" s="12"/>
    </row>
    <row r="66" spans="2:2" ht="15.6">
      <c r="B66" s="12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G76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6" width="10.6640625" customWidth="1"/>
    <col min="7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Wealth Management Task: Rent vs. Buy Analysis - Nest Quest</v>
      </c>
    </row>
    <row r="2" spans="1:6">
      <c r="A2" s="1" t="s">
        <v>3</v>
      </c>
    </row>
    <row r="4" spans="1:6" s="3" customFormat="1" ht="14.4" customHeight="1">
      <c r="B4" s="4" t="s">
        <v>34</v>
      </c>
    </row>
    <row r="6" spans="1:6">
      <c r="C6" t="s">
        <v>35</v>
      </c>
      <c r="D6" s="6">
        <v>46023</v>
      </c>
    </row>
    <row r="7" spans="1:6">
      <c r="C7" t="s">
        <v>36</v>
      </c>
      <c r="D7" s="2">
        <v>60</v>
      </c>
      <c r="E7" s="16" t="s">
        <v>1</v>
      </c>
    </row>
    <row r="8" spans="1:6">
      <c r="C8" t="s">
        <v>42</v>
      </c>
      <c r="D8" s="20">
        <v>12</v>
      </c>
      <c r="E8" s="16"/>
    </row>
    <row r="9" spans="1:6">
      <c r="C9" t="s">
        <v>100</v>
      </c>
      <c r="D9" s="20" t="s">
        <v>99</v>
      </c>
      <c r="E9" s="16"/>
    </row>
    <row r="11" spans="1:6" s="3" customFormat="1" ht="14.4" customHeight="1">
      <c r="B11" s="4" t="s">
        <v>46</v>
      </c>
    </row>
    <row r="13" spans="1:6">
      <c r="C13" t="s">
        <v>37</v>
      </c>
      <c r="D13" s="2">
        <v>775000</v>
      </c>
      <c r="E13" s="16" t="s">
        <v>0</v>
      </c>
    </row>
    <row r="14" spans="1:6">
      <c r="C14" t="s">
        <v>38</v>
      </c>
      <c r="D14" s="17">
        <v>0.08</v>
      </c>
      <c r="E14" s="16" t="s">
        <v>39</v>
      </c>
      <c r="F14" t="s">
        <v>40</v>
      </c>
    </row>
    <row r="15" spans="1:6">
      <c r="C15" t="s">
        <v>41</v>
      </c>
      <c r="D15" s="2">
        <v>5555.5550000000003</v>
      </c>
      <c r="E15" s="16" t="s">
        <v>0</v>
      </c>
      <c r="F15" t="s">
        <v>53</v>
      </c>
    </row>
    <row r="16" spans="1:6">
      <c r="C16" t="s">
        <v>43</v>
      </c>
      <c r="D16" s="17">
        <v>0.02</v>
      </c>
      <c r="E16" s="16" t="s">
        <v>11</v>
      </c>
    </row>
    <row r="17" spans="2:6">
      <c r="C17" t="s">
        <v>44</v>
      </c>
      <c r="D17" s="17">
        <v>3.5999999999999997E-2</v>
      </c>
      <c r="E17" s="16" t="s">
        <v>11</v>
      </c>
      <c r="F17" t="s">
        <v>51</v>
      </c>
    </row>
    <row r="19" spans="2:6" s="3" customFormat="1" ht="14.4" customHeight="1">
      <c r="B19" s="4" t="s">
        <v>7</v>
      </c>
    </row>
    <row r="21" spans="2:6">
      <c r="C21" t="s">
        <v>8</v>
      </c>
      <c r="D21" s="6">
        <v>46023</v>
      </c>
      <c r="E21" s="7"/>
    </row>
    <row r="22" spans="2:6">
      <c r="C22" t="s">
        <v>9</v>
      </c>
      <c r="D22" s="2">
        <v>610000</v>
      </c>
      <c r="E22" s="16" t="s">
        <v>0</v>
      </c>
    </row>
    <row r="23" spans="2:6">
      <c r="C23" t="s">
        <v>18</v>
      </c>
      <c r="D23" s="2">
        <v>0</v>
      </c>
      <c r="E23" s="16" t="s">
        <v>0</v>
      </c>
    </row>
    <row r="24" spans="2:6">
      <c r="C24" t="s">
        <v>10</v>
      </c>
      <c r="D24" s="17">
        <v>4.1250000000000002E-2</v>
      </c>
      <c r="E24" s="16" t="s">
        <v>11</v>
      </c>
    </row>
    <row r="25" spans="2:6">
      <c r="C25" t="s">
        <v>12</v>
      </c>
      <c r="D25" s="2">
        <v>17.5</v>
      </c>
      <c r="E25" s="16" t="s">
        <v>1</v>
      </c>
    </row>
    <row r="26" spans="2:6">
      <c r="C26" t="s">
        <v>17</v>
      </c>
      <c r="D26" s="2" t="s">
        <v>67</v>
      </c>
      <c r="E26" s="16"/>
    </row>
    <row r="27" spans="2:6">
      <c r="C27" t="s">
        <v>13</v>
      </c>
      <c r="D27" s="2" t="s">
        <v>16</v>
      </c>
      <c r="E27" s="7"/>
    </row>
    <row r="28" spans="2:6">
      <c r="C28" t="s">
        <v>14</v>
      </c>
      <c r="D28" s="2" t="s">
        <v>16</v>
      </c>
      <c r="E28" s="7"/>
    </row>
    <row r="29" spans="2:6">
      <c r="C29" t="s">
        <v>15</v>
      </c>
      <c r="D29" s="2" t="s">
        <v>22</v>
      </c>
      <c r="E29" s="7"/>
    </row>
    <row r="31" spans="2:6" s="3" customFormat="1" ht="14.4" customHeight="1">
      <c r="B31" s="4" t="s">
        <v>47</v>
      </c>
    </row>
    <row r="33" spans="2:7">
      <c r="C33" t="s">
        <v>64</v>
      </c>
      <c r="D33" s="2">
        <v>24500</v>
      </c>
      <c r="E33" s="16" t="s">
        <v>0</v>
      </c>
      <c r="F33" t="s">
        <v>50</v>
      </c>
    </row>
    <row r="34" spans="2:7">
      <c r="C34" t="s">
        <v>49</v>
      </c>
      <c r="D34" s="17">
        <v>3.3000000000000002E-2</v>
      </c>
      <c r="E34" s="16" t="s">
        <v>11</v>
      </c>
    </row>
    <row r="35" spans="2:7">
      <c r="C35" t="s">
        <v>55</v>
      </c>
      <c r="D35" s="6">
        <v>46023</v>
      </c>
      <c r="E35" s="16"/>
    </row>
    <row r="37" spans="2:7" s="3" customFormat="1" ht="14.4" customHeight="1">
      <c r="B37" s="4" t="s">
        <v>48</v>
      </c>
    </row>
    <row r="39" spans="2:7">
      <c r="C39" t="s">
        <v>45</v>
      </c>
      <c r="D39" s="17">
        <v>6.9500000000000006E-2</v>
      </c>
      <c r="E39" s="16" t="s">
        <v>11</v>
      </c>
      <c r="F39" t="s">
        <v>51</v>
      </c>
    </row>
    <row r="41" spans="2:7" s="3" customFormat="1" ht="14.4" customHeight="1">
      <c r="B41" s="4" t="s">
        <v>69</v>
      </c>
    </row>
    <row r="42" spans="2:7">
      <c r="E42" s="16"/>
    </row>
    <row r="43" spans="2:7">
      <c r="C43" s="1" t="s">
        <v>70</v>
      </c>
      <c r="D43" s="1" t="s">
        <v>71</v>
      </c>
      <c r="E43" s="16"/>
    </row>
    <row r="44" spans="2:7">
      <c r="C44" t="s">
        <v>72</v>
      </c>
      <c r="D44" s="17">
        <v>0</v>
      </c>
      <c r="E44" s="16" t="s">
        <v>39</v>
      </c>
      <c r="F44" s="23">
        <v>0</v>
      </c>
    </row>
    <row r="45" spans="2:7">
      <c r="C45" t="s">
        <v>73</v>
      </c>
      <c r="D45" s="17">
        <v>0.14000000000000001</v>
      </c>
      <c r="E45" s="16" t="s">
        <v>39</v>
      </c>
      <c r="F45" s="23">
        <v>12348.01</v>
      </c>
    </row>
    <row r="46" spans="2:7">
      <c r="C46" t="s">
        <v>74</v>
      </c>
      <c r="D46" s="17">
        <v>0.16</v>
      </c>
      <c r="E46" s="16" t="s">
        <v>39</v>
      </c>
      <c r="F46" s="23">
        <v>14000.01</v>
      </c>
      <c r="G46" s="23"/>
    </row>
    <row r="47" spans="2:7">
      <c r="C47" t="s">
        <v>75</v>
      </c>
      <c r="D47" s="17">
        <v>0.18</v>
      </c>
      <c r="E47" s="16" t="s">
        <v>39</v>
      </c>
      <c r="F47" s="23">
        <v>16000.01</v>
      </c>
    </row>
    <row r="48" spans="2:7">
      <c r="C48" t="s">
        <v>76</v>
      </c>
      <c r="D48" s="17">
        <v>0.2</v>
      </c>
      <c r="E48" s="16" t="s">
        <v>39</v>
      </c>
      <c r="F48" s="23">
        <v>17799.009999999998</v>
      </c>
    </row>
    <row r="49" spans="3:6">
      <c r="C49" t="s">
        <v>77</v>
      </c>
      <c r="D49" s="17">
        <v>0.22</v>
      </c>
      <c r="E49" s="16" t="s">
        <v>39</v>
      </c>
      <c r="F49" s="23">
        <v>20000.009999999998</v>
      </c>
    </row>
    <row r="50" spans="3:6">
      <c r="C50" t="s">
        <v>78</v>
      </c>
      <c r="D50" s="17">
        <v>0.24</v>
      </c>
      <c r="E50" s="16" t="s">
        <v>39</v>
      </c>
      <c r="F50" s="23">
        <v>23000.01</v>
      </c>
    </row>
    <row r="51" spans="3:6">
      <c r="C51" t="s">
        <v>79</v>
      </c>
      <c r="D51" s="17">
        <v>0.26</v>
      </c>
      <c r="E51" s="16" t="s">
        <v>39</v>
      </c>
      <c r="F51" s="23">
        <v>26000.01</v>
      </c>
    </row>
    <row r="52" spans="3:6">
      <c r="C52" t="s">
        <v>80</v>
      </c>
      <c r="D52" s="17">
        <v>0.28000000000000003</v>
      </c>
      <c r="E52" s="16" t="s">
        <v>39</v>
      </c>
      <c r="F52" s="23">
        <v>30000.01</v>
      </c>
    </row>
    <row r="53" spans="3:6">
      <c r="C53" t="s">
        <v>81</v>
      </c>
      <c r="D53" s="17">
        <v>0.3</v>
      </c>
      <c r="E53" s="16" t="s">
        <v>39</v>
      </c>
      <c r="F53" s="23">
        <v>35000.01</v>
      </c>
    </row>
    <row r="54" spans="3:6">
      <c r="C54" t="s">
        <v>82</v>
      </c>
      <c r="D54" s="17">
        <v>0.32</v>
      </c>
      <c r="E54" s="16" t="s">
        <v>39</v>
      </c>
      <c r="F54" s="23">
        <v>40000.01</v>
      </c>
    </row>
    <row r="55" spans="3:6">
      <c r="C55" t="s">
        <v>83</v>
      </c>
      <c r="D55" s="17">
        <v>0.34</v>
      </c>
      <c r="E55" s="16" t="s">
        <v>39</v>
      </c>
      <c r="F55" s="23">
        <v>45000.01</v>
      </c>
    </row>
    <row r="56" spans="3:6">
      <c r="C56" t="s">
        <v>84</v>
      </c>
      <c r="D56" s="17">
        <v>0.36</v>
      </c>
      <c r="E56" s="16" t="s">
        <v>39</v>
      </c>
      <c r="F56" s="23">
        <v>50000.01</v>
      </c>
    </row>
    <row r="57" spans="3:6">
      <c r="C57" t="s">
        <v>85</v>
      </c>
      <c r="D57" s="17">
        <v>0.38</v>
      </c>
      <c r="E57" s="16" t="s">
        <v>39</v>
      </c>
      <c r="F57" s="23">
        <v>55000.01</v>
      </c>
    </row>
    <row r="58" spans="3:6">
      <c r="C58" t="s">
        <v>86</v>
      </c>
      <c r="D58" s="17">
        <v>0.4</v>
      </c>
      <c r="E58" s="16" t="s">
        <v>39</v>
      </c>
      <c r="F58" s="23">
        <v>60000.01</v>
      </c>
    </row>
    <row r="59" spans="3:6">
      <c r="C59" t="s">
        <v>87</v>
      </c>
      <c r="D59" s="17">
        <v>0.41499999999999998</v>
      </c>
      <c r="E59" s="16" t="s">
        <v>39</v>
      </c>
      <c r="F59" s="23">
        <v>65000.01</v>
      </c>
    </row>
    <row r="60" spans="3:6">
      <c r="C60" t="s">
        <v>109</v>
      </c>
      <c r="D60" s="17">
        <v>0.42</v>
      </c>
      <c r="E60" s="16" t="s">
        <v>39</v>
      </c>
      <c r="F60" s="23">
        <v>69879.009999999995</v>
      </c>
    </row>
    <row r="61" spans="3:6">
      <c r="C61" t="s">
        <v>110</v>
      </c>
      <c r="D61" s="17">
        <v>0.45</v>
      </c>
      <c r="E61" s="16" t="s">
        <v>39</v>
      </c>
      <c r="F61" s="23">
        <v>287825.01</v>
      </c>
    </row>
    <row r="62" spans="3:6">
      <c r="E62" s="16"/>
    </row>
    <row r="63" spans="3:6">
      <c r="C63" t="s">
        <v>88</v>
      </c>
      <c r="D63" s="2">
        <v>19950</v>
      </c>
      <c r="E63" s="16"/>
      <c r="F63" s="23" t="s">
        <v>89</v>
      </c>
    </row>
    <row r="64" spans="3:6">
      <c r="C64" t="s">
        <v>90</v>
      </c>
      <c r="D64" s="2">
        <f>D63*2</f>
        <v>39900</v>
      </c>
      <c r="E64" s="16"/>
      <c r="F64" s="23" t="s">
        <v>89</v>
      </c>
    </row>
    <row r="65" spans="2:6">
      <c r="C65" t="s">
        <v>91</v>
      </c>
      <c r="D65" s="17">
        <v>5.5E-2</v>
      </c>
      <c r="E65" s="16" t="s">
        <v>39</v>
      </c>
      <c r="F65" t="s">
        <v>92</v>
      </c>
    </row>
    <row r="66" spans="2:6">
      <c r="E66" s="16"/>
    </row>
    <row r="67" spans="2:6">
      <c r="C67" t="s">
        <v>93</v>
      </c>
      <c r="D67" s="2">
        <v>2</v>
      </c>
      <c r="E67" s="16"/>
      <c r="F67" t="s">
        <v>94</v>
      </c>
    </row>
    <row r="68" spans="2:6">
      <c r="E68" s="16"/>
    </row>
    <row r="69" spans="2:6">
      <c r="C69" t="s">
        <v>101</v>
      </c>
      <c r="D69" s="17">
        <v>0.02</v>
      </c>
      <c r="E69" s="16" t="s">
        <v>11</v>
      </c>
      <c r="F69" t="s">
        <v>108</v>
      </c>
    </row>
    <row r="70" spans="2:6">
      <c r="E70" s="16"/>
    </row>
    <row r="71" spans="2:6" s="3" customFormat="1" ht="14.4" customHeight="1">
      <c r="B71" s="4" t="s">
        <v>97</v>
      </c>
    </row>
    <row r="72" spans="2:6">
      <c r="E72" s="16"/>
    </row>
    <row r="73" spans="2:6">
      <c r="C73" t="s">
        <v>95</v>
      </c>
      <c r="D73" s="17">
        <v>0.25</v>
      </c>
      <c r="E73" s="16" t="s">
        <v>39</v>
      </c>
    </row>
    <row r="74" spans="2:6">
      <c r="C74" t="s">
        <v>91</v>
      </c>
      <c r="D74" s="17">
        <v>5.5E-2</v>
      </c>
      <c r="E74" s="16" t="s">
        <v>39</v>
      </c>
      <c r="F74" t="s">
        <v>96</v>
      </c>
    </row>
    <row r="75" spans="2:6">
      <c r="E75" s="16"/>
    </row>
    <row r="76" spans="2:6" s="3" customFormat="1" ht="14.4" customHeight="1">
      <c r="B76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E39"/>
  <sheetViews>
    <sheetView zoomScale="77" workbookViewId="0"/>
  </sheetViews>
  <sheetFormatPr defaultRowHeight="15.6"/>
  <cols>
    <col min="1" max="1" width="74.109375" style="14" bestFit="1" customWidth="1"/>
    <col min="2" max="2" width="17" style="14" customWidth="1"/>
    <col min="3" max="3" width="16.33203125" style="22" customWidth="1"/>
    <col min="4" max="16384" width="8.88671875" style="14"/>
  </cols>
  <sheetData>
    <row r="1" spans="1:5">
      <c r="A1" s="13" t="s">
        <v>4</v>
      </c>
      <c r="B1" s="13" t="s">
        <v>60</v>
      </c>
      <c r="C1" s="13" t="s">
        <v>5</v>
      </c>
      <c r="D1" s="13" t="s">
        <v>6</v>
      </c>
    </row>
    <row r="2" spans="1:5">
      <c r="A2" s="15" t="s">
        <v>116</v>
      </c>
      <c r="B2" s="15" t="s">
        <v>61</v>
      </c>
      <c r="C2" s="18"/>
      <c r="D2" s="5" t="s">
        <v>0</v>
      </c>
    </row>
    <row r="3" spans="1:5">
      <c r="A3" s="15" t="s">
        <v>117</v>
      </c>
      <c r="B3" s="15" t="s">
        <v>61</v>
      </c>
      <c r="C3" s="18"/>
      <c r="D3" s="5" t="s">
        <v>0</v>
      </c>
    </row>
    <row r="4" spans="1:5">
      <c r="A4" s="15" t="s">
        <v>119</v>
      </c>
      <c r="B4" s="15" t="s">
        <v>61</v>
      </c>
      <c r="C4" s="18"/>
      <c r="D4" s="5" t="s">
        <v>0</v>
      </c>
    </row>
    <row r="5" spans="1:5">
      <c r="A5" s="15" t="s">
        <v>120</v>
      </c>
      <c r="B5" s="15" t="s">
        <v>61</v>
      </c>
      <c r="C5" s="18"/>
      <c r="D5" s="5" t="s">
        <v>0</v>
      </c>
    </row>
    <row r="6" spans="1:5">
      <c r="A6" s="15" t="s">
        <v>118</v>
      </c>
      <c r="B6" s="15" t="s">
        <v>61</v>
      </c>
      <c r="C6" s="18"/>
      <c r="D6" s="5" t="s">
        <v>0</v>
      </c>
    </row>
    <row r="7" spans="1:5">
      <c r="A7" s="15" t="s">
        <v>131</v>
      </c>
      <c r="B7" s="15" t="s">
        <v>61</v>
      </c>
      <c r="C7" s="18"/>
      <c r="D7" s="5" t="s">
        <v>0</v>
      </c>
    </row>
    <row r="8" spans="1:5">
      <c r="A8" s="15" t="s">
        <v>132</v>
      </c>
      <c r="B8" s="15" t="s">
        <v>61</v>
      </c>
      <c r="C8" s="18"/>
      <c r="D8" s="5" t="s">
        <v>0</v>
      </c>
    </row>
    <row r="9" spans="1:5">
      <c r="A9" s="15" t="s">
        <v>133</v>
      </c>
      <c r="B9" s="15" t="s">
        <v>61</v>
      </c>
      <c r="C9" s="18"/>
      <c r="D9" s="5" t="s">
        <v>0</v>
      </c>
    </row>
    <row r="10" spans="1:5">
      <c r="A10" s="15" t="s">
        <v>134</v>
      </c>
      <c r="B10" s="15" t="s">
        <v>61</v>
      </c>
      <c r="C10" s="18"/>
      <c r="D10" s="5" t="s">
        <v>0</v>
      </c>
    </row>
    <row r="11" spans="1:5">
      <c r="A11" s="15" t="s">
        <v>135</v>
      </c>
      <c r="B11" s="15" t="s">
        <v>61</v>
      </c>
      <c r="C11" s="18"/>
      <c r="D11" s="5" t="s">
        <v>0</v>
      </c>
    </row>
    <row r="12" spans="1:5">
      <c r="A12" s="15" t="s">
        <v>136</v>
      </c>
      <c r="B12" s="15" t="s">
        <v>61</v>
      </c>
      <c r="C12" s="18"/>
      <c r="D12" s="5" t="s">
        <v>0</v>
      </c>
    </row>
    <row r="13" spans="1:5">
      <c r="A13" s="15" t="s">
        <v>137</v>
      </c>
      <c r="B13" s="15" t="s">
        <v>61</v>
      </c>
      <c r="C13" s="18"/>
      <c r="D13" s="5" t="s">
        <v>0</v>
      </c>
      <c r="E13" s="14" t="s">
        <v>65</v>
      </c>
    </row>
    <row r="14" spans="1:5">
      <c r="A14" s="15" t="s">
        <v>138</v>
      </c>
      <c r="B14" s="15" t="s">
        <v>61</v>
      </c>
      <c r="C14" s="18"/>
      <c r="D14" s="5" t="s">
        <v>0</v>
      </c>
    </row>
    <row r="15" spans="1:5">
      <c r="A15" s="15" t="s">
        <v>142</v>
      </c>
      <c r="B15" s="15" t="s">
        <v>61</v>
      </c>
      <c r="C15" s="18"/>
      <c r="D15" s="5" t="s">
        <v>0</v>
      </c>
    </row>
    <row r="16" spans="1:5">
      <c r="A16" s="15" t="s">
        <v>143</v>
      </c>
      <c r="B16" s="15" t="s">
        <v>61</v>
      </c>
      <c r="C16" s="18"/>
      <c r="D16" s="5" t="s">
        <v>0</v>
      </c>
    </row>
    <row r="17" spans="1:4">
      <c r="A17" s="15" t="s">
        <v>144</v>
      </c>
      <c r="B17" s="15" t="s">
        <v>61</v>
      </c>
      <c r="C17" s="18"/>
      <c r="D17" s="5" t="s">
        <v>0</v>
      </c>
    </row>
    <row r="18" spans="1:4">
      <c r="A18" s="15" t="s">
        <v>139</v>
      </c>
      <c r="B18" s="15" t="s">
        <v>61</v>
      </c>
      <c r="C18" s="18"/>
      <c r="D18" s="5" t="s">
        <v>0</v>
      </c>
    </row>
    <row r="19" spans="1:4">
      <c r="A19" s="15" t="s">
        <v>140</v>
      </c>
      <c r="B19" s="15" t="s">
        <v>61</v>
      </c>
      <c r="C19" s="18"/>
      <c r="D19" s="5" t="s">
        <v>0</v>
      </c>
    </row>
    <row r="20" spans="1:4">
      <c r="A20" s="15" t="s">
        <v>141</v>
      </c>
      <c r="B20" s="15" t="s">
        <v>61</v>
      </c>
      <c r="C20" s="18"/>
      <c r="D20" s="5" t="s">
        <v>0</v>
      </c>
    </row>
    <row r="21" spans="1:4">
      <c r="A21" s="15" t="s">
        <v>145</v>
      </c>
      <c r="B21" s="15" t="s">
        <v>61</v>
      </c>
      <c r="C21" s="18"/>
      <c r="D21" s="5" t="s">
        <v>0</v>
      </c>
    </row>
    <row r="22" spans="1:4">
      <c r="A22" s="24" t="s">
        <v>121</v>
      </c>
      <c r="B22" s="15" t="s">
        <v>62</v>
      </c>
      <c r="C22" s="18"/>
      <c r="D22" s="5" t="s">
        <v>0</v>
      </c>
    </row>
    <row r="23" spans="1:4">
      <c r="A23" s="15" t="s">
        <v>122</v>
      </c>
      <c r="B23" s="15" t="s">
        <v>62</v>
      </c>
      <c r="C23" s="18"/>
      <c r="D23" s="5" t="s">
        <v>0</v>
      </c>
    </row>
    <row r="24" spans="1:4">
      <c r="A24" s="15" t="s">
        <v>123</v>
      </c>
      <c r="B24" s="15" t="s">
        <v>62</v>
      </c>
      <c r="C24" s="18"/>
      <c r="D24" s="5" t="s">
        <v>0</v>
      </c>
    </row>
    <row r="25" spans="1:4">
      <c r="A25" s="15" t="s">
        <v>124</v>
      </c>
      <c r="B25" s="15" t="s">
        <v>62</v>
      </c>
      <c r="C25" s="18"/>
      <c r="D25" s="5" t="s">
        <v>0</v>
      </c>
    </row>
    <row r="26" spans="1:4">
      <c r="A26" s="15" t="s">
        <v>125</v>
      </c>
      <c r="B26" s="15" t="s">
        <v>62</v>
      </c>
      <c r="C26" s="18"/>
      <c r="D26" s="5" t="s">
        <v>0</v>
      </c>
    </row>
    <row r="27" spans="1:4">
      <c r="A27" s="15" t="s">
        <v>126</v>
      </c>
      <c r="B27" s="15" t="s">
        <v>62</v>
      </c>
      <c r="C27" s="18"/>
      <c r="D27" s="5" t="s">
        <v>0</v>
      </c>
    </row>
    <row r="28" spans="1:4">
      <c r="A28" s="15" t="s">
        <v>127</v>
      </c>
      <c r="B28" s="15" t="s">
        <v>62</v>
      </c>
      <c r="C28" s="18"/>
      <c r="D28" s="5" t="s">
        <v>0</v>
      </c>
    </row>
    <row r="29" spans="1:4">
      <c r="A29" s="15" t="s">
        <v>128</v>
      </c>
      <c r="B29" s="15" t="s">
        <v>62</v>
      </c>
      <c r="C29" s="18"/>
      <c r="D29" s="5" t="s">
        <v>0</v>
      </c>
    </row>
    <row r="30" spans="1:4">
      <c r="A30" s="15" t="s">
        <v>129</v>
      </c>
      <c r="B30" s="15" t="s">
        <v>62</v>
      </c>
      <c r="C30" s="18"/>
      <c r="D30" s="5" t="s">
        <v>0</v>
      </c>
    </row>
    <row r="31" spans="1:4">
      <c r="A31" s="15" t="s">
        <v>130</v>
      </c>
      <c r="B31" s="15" t="s">
        <v>62</v>
      </c>
      <c r="C31" s="18"/>
      <c r="D31" s="5" t="s">
        <v>0</v>
      </c>
    </row>
    <row r="32" spans="1:4">
      <c r="A32" s="15" t="s">
        <v>111</v>
      </c>
      <c r="B32" s="15" t="s">
        <v>63</v>
      </c>
      <c r="C32" s="18"/>
      <c r="D32" s="5" t="s">
        <v>0</v>
      </c>
    </row>
    <row r="33" spans="1:4">
      <c r="A33" s="15" t="s">
        <v>112</v>
      </c>
      <c r="B33" s="15" t="s">
        <v>63</v>
      </c>
      <c r="C33" s="18"/>
      <c r="D33" s="5" t="s">
        <v>0</v>
      </c>
    </row>
    <row r="34" spans="1:4">
      <c r="A34" s="15" t="s">
        <v>113</v>
      </c>
      <c r="B34" s="15" t="s">
        <v>63</v>
      </c>
      <c r="C34" s="18"/>
      <c r="D34" s="5" t="s">
        <v>0</v>
      </c>
    </row>
    <row r="35" spans="1:4">
      <c r="A35" s="15" t="s">
        <v>114</v>
      </c>
      <c r="B35" s="15" t="s">
        <v>63</v>
      </c>
      <c r="C35" s="18"/>
      <c r="D35" s="5" t="s">
        <v>0</v>
      </c>
    </row>
    <row r="36" spans="1:4">
      <c r="A36" s="15" t="s">
        <v>115</v>
      </c>
      <c r="B36" s="15" t="s">
        <v>63</v>
      </c>
      <c r="C36" s="18"/>
      <c r="D36" s="5" t="s">
        <v>0</v>
      </c>
    </row>
    <row r="39" spans="1:4">
      <c r="A39" s="14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2026-04-09T23:39:44Z</dcterms:modified>
</cp:coreProperties>
</file>