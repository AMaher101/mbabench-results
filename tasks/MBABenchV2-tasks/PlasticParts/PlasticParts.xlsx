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 New Models\3-Statement Model\PlasticParts\starting_files\"/>
    </mc:Choice>
  </mc:AlternateContent>
  <xr:revisionPtr revIDLastSave="0" documentId="13_ncr:1_{97447C5F-6696-48CA-8A8A-53D7AA06B33B}" xr6:coauthVersionLast="47" xr6:coauthVersionMax="47" xr10:uidLastSave="{00000000-0000-0000-0000-000000000000}"/>
  <bookViews>
    <workbookView xWindow="-108" yWindow="-108" windowWidth="23256" windowHeight="12456" xr2:uid="{9D050BFD-007E-4C38-9D7B-ED1AFA0D54D5}"/>
  </bookViews>
  <sheets>
    <sheet name="Instructions" sheetId="2" r:id="rId1"/>
    <sheet name="Assumptions" sheetId="9" r:id="rId2"/>
    <sheet name="Questions" sheetId="6" r:id="rId3"/>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<sst xmlns="http://schemas.openxmlformats.org/spreadsheetml/2006/main" count="689" uniqueCount="361">
  <si>
    <t>Other production input:</t>
  </si>
  <si>
    <t>Energy:</t>
  </si>
  <si>
    <t>Production Staff:</t>
  </si>
  <si>
    <t>Machine hall and office building:</t>
  </si>
  <si>
    <t>Tax:</t>
  </si>
  <si>
    <t>Equity:</t>
  </si>
  <si>
    <t>Inflation:</t>
  </si>
  <si>
    <t>Raw material</t>
  </si>
  <si>
    <t>Energy</t>
  </si>
  <si>
    <t>Other production costs</t>
  </si>
  <si>
    <t>SG&amp;A</t>
  </si>
  <si>
    <t>Accounts Receivable</t>
  </si>
  <si>
    <t>Accounts Payable</t>
  </si>
  <si>
    <t>Tax Payable</t>
  </si>
  <si>
    <t>Equity Capital</t>
  </si>
  <si>
    <t>Retained Earnings</t>
  </si>
  <si>
    <t>Answers</t>
  </si>
  <si>
    <t>Financing:</t>
  </si>
  <si>
    <t>Non-current Financial Liabilities</t>
  </si>
  <si>
    <t>Interest</t>
  </si>
  <si>
    <t>Useful life</t>
  </si>
  <si>
    <t>annually</t>
  </si>
  <si>
    <t>Prices</t>
  </si>
  <si>
    <t>Machines</t>
  </si>
  <si>
    <t>Inventory - Raw materials</t>
  </si>
  <si>
    <t>Tax payment</t>
  </si>
  <si>
    <t>Cash and Cash Equivalents</t>
  </si>
  <si>
    <t>Product</t>
  </si>
  <si>
    <t>Raw materials:</t>
  </si>
  <si>
    <t>Initially, the founder contributed $3m as equity capital.</t>
  </si>
  <si>
    <t>Inflation is assumed to be 2% annually.</t>
  </si>
  <si>
    <t>[$]</t>
  </si>
  <si>
    <t>Energy consumption</t>
  </si>
  <si>
    <t>[years]</t>
  </si>
  <si>
    <t>Maximum Utilization</t>
  </si>
  <si>
    <t>[%]</t>
  </si>
  <si>
    <t>All machines</t>
  </si>
  <si>
    <t>Energy costs</t>
  </si>
  <si>
    <t>[$/kWh]</t>
  </si>
  <si>
    <t>Payment</t>
  </si>
  <si>
    <t>[.th of the following month]</t>
  </si>
  <si>
    <t>Production staff</t>
  </si>
  <si>
    <t>Work hours</t>
  </si>
  <si>
    <t>Production days</t>
  </si>
  <si>
    <t>Production hours</t>
  </si>
  <si>
    <t>[per week]</t>
  </si>
  <si>
    <t>[per day]</t>
  </si>
  <si>
    <t>Production Employee costs</t>
  </si>
  <si>
    <t>Machine handling</t>
  </si>
  <si>
    <t xml:space="preserve">Once purchased, the machines remain with the company. </t>
  </si>
  <si>
    <t>You cannot purchase fractions of machines.</t>
  </si>
  <si>
    <t>G&amp;A is assumed to be 10% of net revenue.</t>
  </si>
  <si>
    <t>There are existing machines given - see Assumptions tab.</t>
  </si>
  <si>
    <t>Buildings</t>
  </si>
  <si>
    <t>Initial costs</t>
  </si>
  <si>
    <t>The buildings were build in 2020 (ready to move in 01/01/2020).</t>
  </si>
  <si>
    <t>The useful life of buildings is 50 years.</t>
  </si>
  <si>
    <t>Move in date</t>
  </si>
  <si>
    <t>Main Building</t>
  </si>
  <si>
    <t>Additional building</t>
  </si>
  <si>
    <t>costs</t>
  </si>
  <si>
    <t>All buildings</t>
  </si>
  <si>
    <t>G&amp;A</t>
  </si>
  <si>
    <t>Marketing expenses</t>
  </si>
  <si>
    <t>of net revenue</t>
  </si>
  <si>
    <t>per year</t>
  </si>
  <si>
    <t>(of net revenue)</t>
  </si>
  <si>
    <t>Tax</t>
  </si>
  <si>
    <t>Tax rate</t>
  </si>
  <si>
    <t>Equity</t>
  </si>
  <si>
    <t>Task:</t>
  </si>
  <si>
    <t>Profit distribution part</t>
  </si>
  <si>
    <t>Financing</t>
  </si>
  <si>
    <t>Amount</t>
  </si>
  <si>
    <t>Term</t>
  </si>
  <si>
    <t>CCC (Cash Conversion Cycle):</t>
  </si>
  <si>
    <t>DSO</t>
  </si>
  <si>
    <t>[days]</t>
  </si>
  <si>
    <t>DIO</t>
  </si>
  <si>
    <t>DPO</t>
  </si>
  <si>
    <t>Selling prices are only increased by 1% per year.</t>
  </si>
  <si>
    <t>Selling Prices</t>
  </si>
  <si>
    <t>End Sheet</t>
  </si>
  <si>
    <t>Inflation is applying every January - no mid-year inflation.</t>
  </si>
  <si>
    <t>SG&amp;A (Selling, General &amp; Administrative Expenses):</t>
  </si>
  <si>
    <t>FP&amp;A Task</t>
  </si>
  <si>
    <t>[pcs.]</t>
  </si>
  <si>
    <t>[per employee]</t>
  </si>
  <si>
    <t>Machinery</t>
  </si>
  <si>
    <t>Starting date</t>
  </si>
  <si>
    <t>for the previous year</t>
  </si>
  <si>
    <t>Payments</t>
  </si>
  <si>
    <t>monthly</t>
  </si>
  <si>
    <t>yearly, linear, nominal rate</t>
  </si>
  <si>
    <t>Cash:</t>
  </si>
  <si>
    <t>Cash</t>
  </si>
  <si>
    <t>Negative Balance</t>
  </si>
  <si>
    <t>EAR</t>
  </si>
  <si>
    <t>Positive Balance</t>
  </si>
  <si>
    <t>Questions (please round your answers to two decimal places)</t>
  </si>
  <si>
    <t>Usage for production</t>
  </si>
  <si>
    <t>Usage for marketing</t>
  </si>
  <si>
    <t>Usage for administration</t>
  </si>
  <si>
    <t>What is the amount for/of Depreciation (production related) in 12/2028?</t>
  </si>
  <si>
    <t>Machine payments are not part of DPO calculation.</t>
  </si>
  <si>
    <t>Products</t>
  </si>
  <si>
    <t>3-Statement Model - Plastic Parts</t>
  </si>
  <si>
    <t>Product group</t>
  </si>
  <si>
    <t>Blower Wheel 100 mm</t>
  </si>
  <si>
    <t>Rotating parts</t>
  </si>
  <si>
    <t>PA6-GF30</t>
  </si>
  <si>
    <t>Blower Wheel 150 mm</t>
  </si>
  <si>
    <t>Stator Housing Shell</t>
  </si>
  <si>
    <t>Housings</t>
  </si>
  <si>
    <t>PBT-GF30</t>
  </si>
  <si>
    <t>Ventilation Grille Small</t>
  </si>
  <si>
    <t>Air guidance</t>
  </si>
  <si>
    <t>PP</t>
  </si>
  <si>
    <t>Ventilation Grille Large</t>
  </si>
  <si>
    <t>Fastening Clip (Motor)</t>
  </si>
  <si>
    <t>Fasteners</t>
  </si>
  <si>
    <t>Upper Fan Cowl</t>
  </si>
  <si>
    <t>Lower Fan Cowl</t>
  </si>
  <si>
    <t>Wire Harness Clip</t>
  </si>
  <si>
    <t>POM</t>
  </si>
  <si>
    <t>Damping Ring</t>
  </si>
  <si>
    <t>Sealing &amp; damping</t>
  </si>
  <si>
    <t>Control Unit Housing</t>
  </si>
  <si>
    <t>Gasket Support Frame</t>
  </si>
  <si>
    <t>Hall Sensor Mount</t>
  </si>
  <si>
    <t>Sensor &amp; electrical</t>
  </si>
  <si>
    <t>End Cap Rotor</t>
  </si>
  <si>
    <t>Shaft Bushing</t>
  </si>
  <si>
    <t>Bearings &amp; bushings</t>
  </si>
  <si>
    <t>Diffuser Inlet</t>
  </si>
  <si>
    <t>Lever Arm HVAC Flap</t>
  </si>
  <si>
    <t>Mechanisms</t>
  </si>
  <si>
    <t>Plug Housing 4-pin</t>
  </si>
  <si>
    <t>Shroud Extension Panel</t>
  </si>
  <si>
    <t>Acoustic Foam Carrier</t>
  </si>
  <si>
    <t>[s]</t>
  </si>
  <si>
    <t>[ccm]</t>
  </si>
  <si>
    <t>Volume raw</t>
  </si>
  <si>
    <t>Cycle time</t>
  </si>
  <si>
    <t>Sales price (2027)</t>
  </si>
  <si>
    <t>Sales (2027)</t>
  </si>
  <si>
    <t>[$/pcs.]</t>
  </si>
  <si>
    <t>Product category growth</t>
  </si>
  <si>
    <t>Model basics</t>
  </si>
  <si>
    <t>Start date</t>
  </si>
  <si>
    <t>Months per year</t>
  </si>
  <si>
    <t>Model duration</t>
  </si>
  <si>
    <t>(Sales Volume)</t>
  </si>
  <si>
    <t>HiDrive-100</t>
  </si>
  <si>
    <t>Max injection volume</t>
  </si>
  <si>
    <t>Buying price</t>
  </si>
  <si>
    <t>(2027)</t>
  </si>
  <si>
    <t>Plastic (raw material)</t>
  </si>
  <si>
    <t>Hours per day</t>
  </si>
  <si>
    <t>Minutes per hours</t>
  </si>
  <si>
    <t>Seconds per minute</t>
  </si>
  <si>
    <t>Price (original)</t>
  </si>
  <si>
    <t>In use since</t>
  </si>
  <si>
    <t>Form - Cavities</t>
  </si>
  <si>
    <t>HiDrive-250</t>
  </si>
  <si>
    <t>HiDrive-500</t>
  </si>
  <si>
    <t>HiDrive-1000</t>
  </si>
  <si>
    <t>Existing machines</t>
  </si>
  <si>
    <t>Activation date - existing machines</t>
  </si>
  <si>
    <t>Original price (per machine)</t>
  </si>
  <si>
    <t>[kWh/h]</t>
  </si>
  <si>
    <t>(based on runtime)</t>
  </si>
  <si>
    <t>(price at that time)</t>
  </si>
  <si>
    <t>[$/h runtime]</t>
  </si>
  <si>
    <t>Density</t>
  </si>
  <si>
    <t>[g/ccm]</t>
  </si>
  <si>
    <t>[$/t]</t>
  </si>
  <si>
    <t>g per t</t>
  </si>
  <si>
    <t>grams per ton</t>
  </si>
  <si>
    <t>All forms</t>
  </si>
  <si>
    <t>New price (2027)</t>
  </si>
  <si>
    <t>Number of forms</t>
  </si>
  <si>
    <t>R&amp;D</t>
  </si>
  <si>
    <t>R&amp;D expenses increase</t>
  </si>
  <si>
    <t>In 2027</t>
  </si>
  <si>
    <t>Closing Balance 2027:</t>
  </si>
  <si>
    <t>Forms</t>
  </si>
  <si>
    <t>Annuity Loan 1</t>
  </si>
  <si>
    <t>Annuity Loan 2</t>
  </si>
  <si>
    <t>July following year</t>
  </si>
  <si>
    <t>April following year</t>
  </si>
  <si>
    <t>Plastic parts:</t>
  </si>
  <si>
    <t>The products are outlined in the Assumptions tab.</t>
  </si>
  <si>
    <t>All products are produced on injection molding machines.</t>
  </si>
  <si>
    <t>The company has four different types of injection molding machines.</t>
  </si>
  <si>
    <t>The machines can be utilized up to a certain capacity - otherwise, new machines will need to be purchased (at the beginning of a month).</t>
  </si>
  <si>
    <t>What is the amount for/of Buildings in 10/2029?</t>
  </si>
  <si>
    <t>What is the amount for/of Buildings in 7/2029?</t>
  </si>
  <si>
    <t>What is the amount for/of CAPEX - PP&amp;E in 1/2031?</t>
  </si>
  <si>
    <t>What is the amount for/of Cash and Cash Equivalents in 5/2037?</t>
  </si>
  <si>
    <t>What is the amount for/of Cash and Cash Equivalents in 7/2033?</t>
  </si>
  <si>
    <t>What is the amount for/of Cashflow From Financing in 10/2036?</t>
  </si>
  <si>
    <t>What is the amount for/of Cashflow From Financing in 11/2032?</t>
  </si>
  <si>
    <t>What is the amount for/of Cashflow From Financing in 12/2032?</t>
  </si>
  <si>
    <t>What is the amount for/of Cashflow From Financing in 3/2033?</t>
  </si>
  <si>
    <t>What is the amount for/of Cashflow From Financing in 8/2031?</t>
  </si>
  <si>
    <t>What is the amount for/of Cashflow From Financing in 9/2029?</t>
  </si>
  <si>
    <t>What is the amount for/of Cashflow From Investments in 6/2029?</t>
  </si>
  <si>
    <t>What is the amount for/of Cashflow From Operations in 4/2037?</t>
  </si>
  <si>
    <t>What is the amount for/of Changes in Net Working Capital in 11/2036?</t>
  </si>
  <si>
    <t>What is the amount for/of Changes in Net Working Capital in 5/2035?</t>
  </si>
  <si>
    <t>What is the amount for/of Changes in Net Working Capital in 6/2034?</t>
  </si>
  <si>
    <t>What is the amount for/of Changes in Net Working Capital in 9/2035?</t>
  </si>
  <si>
    <t>What is the amount for/of Depreciation (general) in 10/2034?</t>
  </si>
  <si>
    <t>What is the amount for/of Depreciation (general) in 11/2033?</t>
  </si>
  <si>
    <t>What is the amount for/of Depreciation (general) in 12/2030?</t>
  </si>
  <si>
    <t>What is the amount for/of Depreciation in 11/2037?</t>
  </si>
  <si>
    <t>What is the amount for/of Depreciation in 7/2029?</t>
  </si>
  <si>
    <t>What is the amount for/of Depreciation in 9/2036?</t>
  </si>
  <si>
    <t>What is the amount for/of EBIT in 10/2033?</t>
  </si>
  <si>
    <t>What is the amount for/of EBIT in 5/2029?</t>
  </si>
  <si>
    <t>What is the amount for/of EBIT in 7/2031?</t>
  </si>
  <si>
    <t>What is the amount for/of EBITDA in 7/2034?</t>
  </si>
  <si>
    <t>What is the amount for/of EBITDA in 9/2032?</t>
  </si>
  <si>
    <t>What is the amount for/of Energy in 1/2037?</t>
  </si>
  <si>
    <t>What is the amount for/of Energy in 4/2034?</t>
  </si>
  <si>
    <t>What is the amount for/of Energy in 7/2030?</t>
  </si>
  <si>
    <t>What is the amount for/of Forms in 10/2028?</t>
  </si>
  <si>
    <t>What is the amount for/of Forms in 4/2035?</t>
  </si>
  <si>
    <t>What is the amount for/of Forms in 6/2037?</t>
  </si>
  <si>
    <t>What is the amount for/of G&amp;A in 10/2036?</t>
  </si>
  <si>
    <t>What is the amount for/of G&amp;A in 2/2030?</t>
  </si>
  <si>
    <t>What is the amount for/of G&amp;A in 3/2029?</t>
  </si>
  <si>
    <t>What is the amount for/of G&amp;A in 6/2029?</t>
  </si>
  <si>
    <t>What is the amount for/of Gross Profit in 7/2036?</t>
  </si>
  <si>
    <t>What is the amount for/of Inventory - Raw materials in 1/2036?</t>
  </si>
  <si>
    <t>What is the amount for/of Inventory - Raw materials in 6/2030?</t>
  </si>
  <si>
    <t>What is the amount for/of Machinery in 2/2033?</t>
  </si>
  <si>
    <t>What is the amount for/of Net Income in 10/2037?</t>
  </si>
  <si>
    <t>What is the amount for/of Net Income in 2/2031?</t>
  </si>
  <si>
    <t>What is the amount for/of Net Income in 3/2034?</t>
  </si>
  <si>
    <t>What is the amount for/of Net Income in 5/2030?</t>
  </si>
  <si>
    <t>What is the amount for/of Net Income in 6/2028?</t>
  </si>
  <si>
    <t>What is the amount for/of Non-current Financial Liabilities in 10/2034?</t>
  </si>
  <si>
    <t>What is the amount for/of Non-current Financial Liabilities in 5/2034?</t>
  </si>
  <si>
    <t>What is the amount for/of Other production costs in 5/2028?</t>
  </si>
  <si>
    <t>What is the amount for/of Production wages in 1/2033?</t>
  </si>
  <si>
    <t>What is the amount for/of Profit before taxes in 2/2029?</t>
  </si>
  <si>
    <t>What is the amount for/of Profit before taxes in 5/2029?</t>
  </si>
  <si>
    <t>What is the amount for/of Profit distributions in 8/2031?</t>
  </si>
  <si>
    <t>What is the amount for/of R&amp;D in 1/2034?</t>
  </si>
  <si>
    <t>What is the amount for/of R&amp;D in 11/2029?</t>
  </si>
  <si>
    <t>What is the amount for/of R&amp;D in 7/2037?</t>
  </si>
  <si>
    <t>What is the amount for/of Raw material in 11/2037?</t>
  </si>
  <si>
    <t>What is the amount for/of Raw material in 6/2029?</t>
  </si>
  <si>
    <t>What is the amount for/of Retained Earnings in 1/2028?</t>
  </si>
  <si>
    <t>What is the amount for/of Retained Earnings in 1/2036?</t>
  </si>
  <si>
    <t>What is the amount for/of Selling/Marketing in 8/2031?</t>
  </si>
  <si>
    <t>What is the amount for/of Selling/Marketing in 9/2034?</t>
  </si>
  <si>
    <t>What is the amount for/of Tax Payable in 10/2033?</t>
  </si>
  <si>
    <t>What is the amount for/of Tax Payable in 4/2031?</t>
  </si>
  <si>
    <t>What is the amount for/of Tax Payable in 6/2036?</t>
  </si>
  <si>
    <t>What is the amount for/of Tax Payable in 9/2029?</t>
  </si>
  <si>
    <t>What is the amount for/of Taxes in 11/2030?</t>
  </si>
  <si>
    <t>What is the amount for/of Taxes in 5/2028?</t>
  </si>
  <si>
    <t>What is the amount for/of Taxes in 9/2031?</t>
  </si>
  <si>
    <t>What is the amount for/of Total Assets in 1/2032?</t>
  </si>
  <si>
    <t>What is the amount for/of Total Costs of materials and services in 10/2029?</t>
  </si>
  <si>
    <t>What is the amount for/of Total Costs of materials and services in 2/2030?</t>
  </si>
  <si>
    <t>What is the amount for/of Total Costs of materials and services in 3/2037?</t>
  </si>
  <si>
    <t>What is the amount for/of Total Costs of materials and services in 6/2034?</t>
  </si>
  <si>
    <t>What is the amount for/of Total Current Assets in 4/2032?</t>
  </si>
  <si>
    <t>What is the amount for/of Total Current Assets in 4/2036?</t>
  </si>
  <si>
    <t>What is the amount for/of Total Current Assets in 8/2028?</t>
  </si>
  <si>
    <t>What is the amount for/of Total Current Liabilities in 12/2036?</t>
  </si>
  <si>
    <t>What is the amount for/of Total Current Liabilities in 8/2033?</t>
  </si>
  <si>
    <t>What is the amount for/of Total Liabilities in 9/2032?</t>
  </si>
  <si>
    <t>What is the amount for/of Total Long-Term Assets in 10/2036?</t>
  </si>
  <si>
    <t>What is the amount for/of Total Long-Term Assets in 11/2033?</t>
  </si>
  <si>
    <t>What is the amount for/of Total Long-Term Assets in 12/2036?</t>
  </si>
  <si>
    <t>What is the amount for/of Total Long-Term Assets in 2/2028?</t>
  </si>
  <si>
    <t>What is the amount for/of Total Long-Term Assets in 2/2035?</t>
  </si>
  <si>
    <t>What is the amount for/of Total Long-Term Assets in 6/2037?</t>
  </si>
  <si>
    <t>What is the amount for/of Total Non-Current Liabilities in 12/2029?</t>
  </si>
  <si>
    <t>What is the amount for/of Total Non-Current Liabilities in 12/2031?</t>
  </si>
  <si>
    <t>What is the amount for/of Total SG&amp;A in 10/2028?</t>
  </si>
  <si>
    <t>What is the amount for/of Total SG&amp;A in 7/2034?</t>
  </si>
  <si>
    <t>What is the amount for/of Cashflow From Investments in 2/2028?</t>
  </si>
  <si>
    <t>What is the amount for/of CAPEX - PP&amp;E in 2/2037?</t>
  </si>
  <si>
    <t>What is the amount for/of Profit distributions in 4/2028?</t>
  </si>
  <si>
    <t>What is the amount for/of Profit distributions in 4/2032?</t>
  </si>
  <si>
    <t>Forms:</t>
  </si>
  <si>
    <t>Based on the cavities that many products will be produced per cycle.</t>
  </si>
  <si>
    <t>For each product there is a specific tool that has to be used (called form).</t>
  </si>
  <si>
    <t>There are existing forms given - see Assumptions tab.</t>
  </si>
  <si>
    <t>Form payments are not part of DPO calculation.</t>
  </si>
  <si>
    <t xml:space="preserve">Once purchased, the forms remain with the company. </t>
  </si>
  <si>
    <t>You cannot purchase fractions of forms.</t>
  </si>
  <si>
    <t>The raw material used is dependent on the part produced.</t>
  </si>
  <si>
    <t>The energy consumption is based on the runtime of a machine.</t>
  </si>
  <si>
    <t>Energy is $0.32 per kWh in 2027.</t>
  </si>
  <si>
    <t>Raw material is given in a weight unit - products only raw volume per part is given, as well as density of the materials.</t>
  </si>
  <si>
    <t>Other production costs are based on the runtime of the machines (runtime = actual production time).</t>
  </si>
  <si>
    <t>Assume the following:</t>
  </si>
  <si>
    <t>Each production employee is calculated with $72k costs per year for 42 hours of work a week.</t>
  </si>
  <si>
    <t>Each employee can handle up to 8 machines simultaneously (independent of the machine type).</t>
  </si>
  <si>
    <t>Production setting + forecast:</t>
  </si>
  <si>
    <t>yearly production volume is forecasted by YoY growth starting from the 2027 data using a by product category assumption.</t>
  </si>
  <si>
    <t>The building costs were $7.5m.</t>
  </si>
  <si>
    <t>The building is used 78% for production purposes, 15% for administration and 7% for marketing/sales.</t>
  </si>
  <si>
    <t>In 2031 there was an addition build (turnkey and only used for production) for $2m - move in date 7/1/31.</t>
  </si>
  <si>
    <t>In 2036 there was an addition build (turnkey and only used for production) for $2.5m - move in date 9/1/36.</t>
  </si>
  <si>
    <t>Marketing is assumed to be 5% of net revenue.</t>
  </si>
  <si>
    <t>Payouts of dividends are done in April (following year).</t>
  </si>
  <si>
    <t>In addition the company has two annuity loans - details see Assumptions.</t>
  </si>
  <si>
    <t>Negative cash balances accrue interest at an effective annual rate of 25%, while positive cash balances exceeding $120,000 earn interest at an effective annual rate of 2.25%.</t>
  </si>
  <si>
    <t>DSO: 60 days</t>
  </si>
  <si>
    <t>DIO (only based on the raw material forecast): 50 days</t>
  </si>
  <si>
    <t>Finished goods are directly sold as JIT production.</t>
  </si>
  <si>
    <t>Build an integrated 3-Statement Model and answer the questions with the results from your model.</t>
  </si>
  <si>
    <t>All amounts not otherwise specified are assumed to be inflation dependent.</t>
  </si>
  <si>
    <t>DPO (based on all payment obligations [not otherwise specified], excluding wages/wage related expenses): 25 days</t>
  </si>
  <si>
    <t>A company is producing plastic products for the automotive industry.</t>
  </si>
  <si>
    <t>The company is producing plastic products for the automotive industry.</t>
  </si>
  <si>
    <t>New machines are purchased at the first of a month and are immediately ready to use.</t>
  </si>
  <si>
    <t>Additional forms are purchased at the first of a month and are immediately ready to use.</t>
  </si>
  <si>
    <t>Taxes are calculated on a monthly basis and paid in July the next year (Tax Payable June = Taxes for previous year + running year, Tax Payable July = Taxes running year).</t>
  </si>
  <si>
    <t>Yearly production volume forecast is equally split over 12 months (yearly forecast/12 = production every month).</t>
  </si>
  <si>
    <t>EAR, only on the amount above threshold</t>
  </si>
  <si>
    <t>threshold</t>
  </si>
  <si>
    <t>Profit distribution month</t>
  </si>
  <si>
    <t>The capacity is also accounting for tool changeovers and maintenance.</t>
  </si>
  <si>
    <t>The capacity is also accounting for changeovers and maintenance.</t>
  </si>
  <si>
    <t>Use the Assumptions tab as the source of truth for all inputs. Where a value also appears in the Instructions text, the Assumptions tab governs.</t>
  </si>
  <si>
    <t>CCC (based on act days):</t>
  </si>
  <si>
    <t>Accumulated tax liabilities from the prior calendar year are settled in full as a single cash outflow in July of the following year.</t>
  </si>
  <si>
    <t>for G&amp;A, marketing &amp; R&amp;D</t>
  </si>
  <si>
    <r>
      <t xml:space="preserve">SG&amp;A </t>
    </r>
    <r>
      <rPr>
        <b/>
        <sz val="11"/>
        <color theme="1"/>
        <rFont val="Aptos Narrow"/>
        <family val="2"/>
        <scheme val="minor"/>
      </rPr>
      <t>not</t>
    </r>
    <r>
      <rPr>
        <sz val="11"/>
        <color theme="1"/>
        <rFont val="Aptos Narrow"/>
        <family val="2"/>
        <scheme val="minor"/>
      </rPr>
      <t xml:space="preserve"> wage related share of expenses</t>
    </r>
  </si>
  <si>
    <t>!unrestricted!</t>
  </si>
  <si>
    <t>Model Information:</t>
  </si>
  <si>
    <t>You are allowed to calculate with fractions - except for machines and production employees.</t>
  </si>
  <si>
    <t>All payments are done at the last day of the month.</t>
  </si>
  <si>
    <t>Linear depreciation (both tax and regular).</t>
  </si>
  <si>
    <t>The forms can be utilized up to a certain capacity - otherwise, new forms will need to be purchased (at the beginning of a month).</t>
  </si>
  <si>
    <t>As the forms are suited to the machines (based on the total injection volume per cycle, i.e. the product's raw volume multiplied by the number of cavities in the form), only the according machine type can produce the product.</t>
  </si>
  <si>
    <t>In addition to that there is percentage of net revenue spend on R&amp;D - it's 2% in 2027 and increasing by 0.5 percentage points every year (from January on).</t>
  </si>
  <si>
    <t>But for the time calculation of machines, forms, production staff, you are using actual times.</t>
  </si>
  <si>
    <t>= disbursement date</t>
  </si>
  <si>
    <t>Energy payables are not part of the DPO calculation (as otherwise specified).</t>
  </si>
  <si>
    <t>Paid at the 10th of the following month.</t>
  </si>
  <si>
    <t>Assume that there is no payout for the year 2027.</t>
  </si>
  <si>
    <t>A 28.725% tax is applied to the pre-tax profit - no tax credits.</t>
  </si>
  <si>
    <t>The company operates production 7 days a week, 24 hours a day, using actual calendar days for time calculations.</t>
  </si>
  <si>
    <t>Do not round intermediate calculations - except where explicitly stated.</t>
  </si>
  <si>
    <t>85.5% of profits (calendar year's cumulative Net Income) are distributed.</t>
  </si>
  <si>
    <t>What is the amount for/of Interest (expenses) in 6/2035?</t>
  </si>
  <si>
    <t>What is the amount for/of Interest (expenses) in 6/2036?</t>
  </si>
  <si>
    <t>What is the amount for/of Interest income in 12/2031?</t>
  </si>
  <si>
    <t>What is the amount for/of Interest income in 4/2032?</t>
  </si>
  <si>
    <t>Unit</t>
  </si>
  <si>
    <t>EBITDA = Gross Profit - SG&amp;A. Note: Gross Profit is calculated after deducting all COGS including production-related depreciation - use this EBITDA definition, even if it is contrary to the normal 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</si>
</sst>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5">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Roboto"/>
    </font>
    <font>
      <sz val="11"/>
      <name val="Roboto"/>
    </font>
    <font>
      <sz val="12"/>
      <color theme="1"/>
      <name val="Aptos Narrow"/>
      <family val="2"/>
      <scheme val="minor"/>
    </font>
    <font>
      <b/>
      <sz val="48"/>
      <color theme="0"/>
      <name val="ROBOTECH GP"/>
      <family val="2"/>
    </font>
    <font>
      <b/>
      <sz val="24"/>
      <color theme="0"/>
      <name val="ROBOTECH GP"/>
      <family val="2"/>
    </font>
    <font>
      <b/>
      <sz val="11"/>
      <color theme="1"/>
      <name val="Roboto"/>
    </font>
    <font>
      <b/>
      <sz val="12"/>
      <color theme="1"/>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ptos Narrow"/>
      <family val="2"/>
      <scheme val="minor"/>
    </font>
    <font>
      <sz val="8"/>
      <name val="Aptos Narrow"/>
      <family val="2"/>
      <scheme val="minor"/>
    </font>
  </fonts>
  <fills count="7">
    <fill>
      <patternFill patternType="none"/>
    </fill>
    <fill>
      <patternFill patternType="gray125"/>
    </fill>
    <fill>
      <gradientFill>
        <stop position="0">
          <color rgb="FF007B00"/>
        </stop>
        <stop position="1">
          <color rgb="FF020024"/>
        </stop>
      </gradientFill>
    </fill>
    <fill>
      <patternFill patternType="solid">
        <fgColor theme="7" tint="0.79998168889431442"/>
        <bgColor indexed="64"/>
      </patternFill>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5" fillId="0" borderId="0"/>
    <xf numFmtId="9" fontId="1" fillId="0" borderId="0" applyFont="0" applyFill="0" applyBorder="0" applyAlignment="0" applyProtection="0"/>
    <xf numFmtId="4" fontId="11" fillId="5" borderId="2">
      <alignment horizontal="left"/>
    </xf>
  </cellStyleXfs>
  <cellXfs count="35">
    <xf numFmtId="0" fontId="0" fillId="0" borderId="0" xfId="0"/>
    <xf numFmtId="4" fontId="0" fillId="0" borderId="0" xfId="0" applyNumberFormat="1"/>
    <xf numFmtId="0" fontId="3" fillId="0" borderId="0" xfId="1" applyFont="1"/>
    <xf numFmtId="0" fontId="4" fillId="0" borderId="0" xfId="1" applyFont="1"/>
    <xf numFmtId="0" fontId="3" fillId="0" borderId="0" xfId="1" applyFont="1" applyAlignment="1">
      <alignment horizontal="left"/>
    </xf>
    <xf numFmtId="0" fontId="3" fillId="0" borderId="0" xfId="1" applyFont="1" applyAlignment="1">
      <alignment horizontal="center"/>
    </xf>
    <xf numFmtId="0" fontId="4" fillId="0" borderId="0" xfId="1" applyFont="1" applyAlignment="1">
      <alignment horizontal="center"/>
    </xf>
    <xf numFmtId="0" fontId="8" fillId="0" borderId="0" xfId="1" applyFont="1" applyAlignment="1">
      <alignment horizontal="left"/>
    </xf>
    <xf numFmtId="0" fontId="2" fillId="0" borderId="0" xfId="0" applyFont="1"/>
    <xf numFmtId="0" fontId="9" fillId="0" borderId="0" xfId="2" applyFont="1"/>
    <xf numFmtId="0" fontId="5" fillId="0" borderId="0" xfId="2"/>
    <xf numFmtId="4" fontId="3" fillId="3" borderId="5" xfId="1" applyNumberFormat="1" applyFont="1" applyFill="1" applyBorder="1" applyAlignment="1">
      <alignment horizontal="center"/>
    </xf>
    <xf numFmtId="16" fontId="4" fillId="0" borderId="0" xfId="1" applyNumberFormat="1" applyFont="1"/>
    <xf numFmtId="0" fontId="10" fillId="0" borderId="0" xfId="0" applyFont="1"/>
    <xf numFmtId="4" fontId="10" fillId="4" borderId="5" xfId="0" applyNumberFormat="1" applyFont="1" applyFill="1" applyBorder="1"/>
    <xf numFmtId="4" fontId="12" fillId="6" borderId="2" xfId="4" applyFont="1" applyFill="1">
      <alignment horizontal="left"/>
    </xf>
    <xf numFmtId="4" fontId="2" fillId="6" borderId="2" xfId="4" applyFont="1" applyFill="1">
      <alignment horizontal="left"/>
    </xf>
    <xf numFmtId="0" fontId="13" fillId="6" borderId="0" xfId="0" applyFont="1" applyFill="1"/>
    <xf numFmtId="10" fontId="10" fillId="4" borderId="5" xfId="3" applyNumberFormat="1" applyFont="1" applyFill="1" applyBorder="1"/>
    <xf numFmtId="4" fontId="10" fillId="4" borderId="5" xfId="3" applyNumberFormat="1" applyFont="1" applyFill="1" applyBorder="1"/>
    <xf numFmtId="3" fontId="10" fillId="4" borderId="5" xfId="3" applyNumberFormat="1" applyFont="1" applyFill="1" applyBorder="1"/>
    <xf numFmtId="14" fontId="10" fillId="4" borderId="5" xfId="3" applyNumberFormat="1" applyFont="1" applyFill="1" applyBorder="1"/>
    <xf numFmtId="14" fontId="10" fillId="4" borderId="5" xfId="0" applyNumberFormat="1" applyFont="1" applyFill="1" applyBorder="1"/>
    <xf numFmtId="14" fontId="0" fillId="0" borderId="0" xfId="0" applyNumberFormat="1"/>
    <xf numFmtId="9" fontId="10" fillId="4" borderId="5" xfId="3" applyFont="1" applyFill="1" applyBorder="1"/>
    <xf numFmtId="3" fontId="10" fillId="4" borderId="5" xfId="0" applyNumberFormat="1" applyFont="1" applyFill="1" applyBorder="1"/>
    <xf numFmtId="49" fontId="0" fillId="0" borderId="0" xfId="0" applyNumberFormat="1"/>
    <xf numFmtId="164" fontId="0" fillId="0" borderId="0" xfId="0" applyNumberFormat="1"/>
    <xf numFmtId="14" fontId="10" fillId="0" borderId="0" xfId="0" applyNumberFormat="1" applyFont="1"/>
    <xf numFmtId="0" fontId="0" fillId="0" borderId="0" xfId="0" quotePrefix="1"/>
    <xf numFmtId="0" fontId="6" fillId="2" borderId="1" xfId="2" applyFont="1" applyFill="1" applyBorder="1" applyAlignment="1">
      <alignment horizontal="center" vertical="center"/>
    </xf>
    <xf numFmtId="0" fontId="6" fillId="2" borderId="2" xfId="2" applyFont="1" applyFill="1" applyBorder="1" applyAlignment="1">
      <alignment horizontal="center" vertical="center"/>
    </xf>
    <xf numFmtId="0" fontId="6" fillId="2" borderId="3" xfId="2" applyFont="1" applyFill="1" applyBorder="1" applyAlignment="1">
      <alignment horizontal="center" vertical="center"/>
    </xf>
    <xf numFmtId="0" fontId="7" fillId="2" borderId="4" xfId="2" applyFont="1" applyFill="1" applyBorder="1" applyAlignment="1">
      <alignment horizontal="center" vertical="center"/>
    </xf>
    <xf numFmtId="0" fontId="7" fillId="2" borderId="0" xfId="2" applyFont="1" applyFill="1" applyAlignment="1">
      <alignment horizontal="center" vertical="center"/>
    </xf>
  </cellXfs>
  <cellStyles count="5">
    <cellStyle name="M Section Header" xfId="4" xr:uid="{F944F0E6-F034-49F8-8B3F-D0C9E50BA2F6}"/>
    <cellStyle name="Normal" xfId="0" builtinId="0"/>
    <cellStyle name="Normal 2" xfId="2" xr:uid="{037B3D13-DA10-4240-9E6B-55FD128391C9}"/>
    <cellStyle name="Normal 3" xfId="1" xr:uid="{1C87C372-71EA-4FEE-904D-475CC6E05479}"/>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176C-3579-4288-92CF-6D92740E33DD}">
  <sheetPr>
    <tabColor theme="8" tint="-0.249977111117893"/>
  </sheetPr>
  <dimension ref="A1:K262"/>
  <sheetViews>
    <sheetView showGridLines="0" tabSelected="1" zoomScale="79" zoomScaleNormal="80" zoomScaleSheetLayoutView="100" workbookViewId="0"/>
  </sheetViews>
  <sheetFormatPr defaultColWidth="5.21875" defaultRowHeight="14.4"/>
  <cols>
    <col min="1" max="1" width="1.88671875" style="2" customWidth="1"/>
    <col min="2" max="2" width="32.109375" style="5" customWidth="1"/>
    <col min="3" max="3" width="17.109375" style="5" bestFit="1" customWidth="1"/>
    <col min="4" max="4" width="20.88671875" style="5" bestFit="1" customWidth="1"/>
    <col min="5" max="5" width="24.109375" style="5" customWidth="1"/>
    <col min="6" max="6" width="21.5546875" style="5" customWidth="1"/>
    <col min="7" max="7" width="26.33203125" style="5" bestFit="1" customWidth="1"/>
    <col min="8" max="8" width="40.109375" style="5" customWidth="1"/>
    <col min="9" max="9" width="23.5546875" style="6" customWidth="1"/>
    <col min="10" max="10" width="23.5546875" style="3" customWidth="1"/>
    <col min="11" max="11" width="27.77734375" style="3" customWidth="1"/>
    <col min="12" max="12" width="20.5546875" style="3" customWidth="1"/>
    <col min="13" max="376" width="11.109375" style="3" bestFit="1" customWidth="1"/>
    <col min="377" max="377" width="5.21875" style="3"/>
    <col min="378" max="383" width="9.6640625" style="3" customWidth="1"/>
    <col min="384" max="384" width="5.21875" style="3"/>
    <col min="385" max="393" width="9.6640625" style="3" customWidth="1"/>
    <col min="394" max="16384" width="5.21875" style="3"/>
  </cols>
  <sheetData>
    <row r="1" spans="2:11" ht="15" customHeight="1">
      <c r="B1" s="2"/>
      <c r="C1" s="2"/>
      <c r="D1" s="2"/>
      <c r="E1" s="2"/>
      <c r="F1" s="2"/>
      <c r="G1" s="2"/>
      <c r="H1" s="2"/>
      <c r="I1" s="2"/>
      <c r="J1" s="2"/>
      <c r="K1" s="2"/>
    </row>
    <row r="2" spans="2:11" ht="60.75" customHeight="1">
      <c r="B2" s="30" t="s">
        <v>85</v>
      </c>
      <c r="C2" s="31"/>
      <c r="D2" s="31"/>
      <c r="E2" s="31"/>
      <c r="F2" s="31"/>
      <c r="G2" s="31"/>
      <c r="H2" s="31"/>
      <c r="I2" s="31"/>
      <c r="J2" s="31"/>
      <c r="K2" s="32"/>
    </row>
    <row r="3" spans="2:11" ht="15" customHeight="1">
      <c r="B3" s="2"/>
      <c r="C3" s="2"/>
      <c r="D3" s="2"/>
      <c r="E3" s="2"/>
      <c r="F3" s="2"/>
      <c r="G3" s="2"/>
      <c r="H3" s="2"/>
      <c r="I3" s="2"/>
      <c r="J3" s="2"/>
      <c r="K3" s="2"/>
    </row>
    <row r="4" spans="2:11" ht="33.75" customHeight="1">
      <c r="B4" s="33" t="s">
        <v>106</v>
      </c>
      <c r="C4" s="34"/>
      <c r="D4" s="34"/>
      <c r="E4" s="34"/>
      <c r="F4" s="34"/>
      <c r="G4" s="34"/>
      <c r="H4" s="34"/>
      <c r="I4" s="34"/>
      <c r="J4" s="2"/>
    </row>
    <row r="5" spans="2:11" ht="15" customHeight="1">
      <c r="B5" s="2"/>
      <c r="C5" s="2"/>
      <c r="D5" s="2"/>
      <c r="E5" s="2"/>
      <c r="F5" s="2"/>
      <c r="G5" s="2"/>
      <c r="H5" s="2"/>
      <c r="I5" s="2"/>
      <c r="J5" s="2"/>
      <c r="K5" s="2"/>
    </row>
    <row r="6" spans="2:11">
      <c r="B6" s="4" t="s">
        <v>322</v>
      </c>
    </row>
    <row r="7" spans="2:11">
      <c r="B7" s="4"/>
    </row>
    <row r="8" spans="2:11">
      <c r="B8" s="7" t="s">
        <v>191</v>
      </c>
    </row>
    <row r="9" spans="2:11">
      <c r="B9" s="4" t="s">
        <v>323</v>
      </c>
    </row>
    <row r="10" spans="2:11">
      <c r="B10" s="4" t="s">
        <v>192</v>
      </c>
    </row>
    <row r="11" spans="2:11">
      <c r="B11" s="4" t="s">
        <v>193</v>
      </c>
    </row>
    <row r="12" spans="2:11">
      <c r="B12" s="4" t="s">
        <v>194</v>
      </c>
    </row>
    <row r="13" spans="2:11">
      <c r="B13" s="4" t="s">
        <v>344</v>
      </c>
    </row>
    <row r="14" spans="2:11">
      <c r="B14" s="4" t="s">
        <v>195</v>
      </c>
    </row>
    <row r="15" spans="2:11">
      <c r="B15" s="4" t="s">
        <v>331</v>
      </c>
    </row>
    <row r="16" spans="2:11">
      <c r="B16" s="4" t="s">
        <v>324</v>
      </c>
    </row>
    <row r="17" spans="2:2">
      <c r="B17" s="4" t="s">
        <v>104</v>
      </c>
    </row>
    <row r="18" spans="2:2">
      <c r="B18" s="4" t="s">
        <v>49</v>
      </c>
    </row>
    <row r="19" spans="2:2">
      <c r="B19" s="4" t="s">
        <v>50</v>
      </c>
    </row>
    <row r="20" spans="2:2">
      <c r="B20" s="4" t="s">
        <v>52</v>
      </c>
    </row>
    <row r="21" spans="2:2">
      <c r="B21" s="4"/>
    </row>
    <row r="22" spans="2:2">
      <c r="B22" s="7" t="s">
        <v>291</v>
      </c>
    </row>
    <row r="23" spans="2:2">
      <c r="B23" s="4" t="s">
        <v>293</v>
      </c>
    </row>
    <row r="24" spans="2:2">
      <c r="B24" s="4" t="s">
        <v>292</v>
      </c>
    </row>
    <row r="25" spans="2:2">
      <c r="B25" s="4" t="s">
        <v>325</v>
      </c>
    </row>
    <row r="26" spans="2:2">
      <c r="B26" s="4" t="s">
        <v>294</v>
      </c>
    </row>
    <row r="27" spans="2:2">
      <c r="B27" s="4" t="s">
        <v>343</v>
      </c>
    </row>
    <row r="28" spans="2:2">
      <c r="B28" s="4" t="s">
        <v>332</v>
      </c>
    </row>
    <row r="29" spans="2:2">
      <c r="B29" s="4" t="s">
        <v>295</v>
      </c>
    </row>
    <row r="30" spans="2:2">
      <c r="B30" s="4" t="s">
        <v>296</v>
      </c>
    </row>
    <row r="31" spans="2:2">
      <c r="B31" s="4" t="s">
        <v>297</v>
      </c>
    </row>
    <row r="32" spans="2:2">
      <c r="B32" s="4"/>
    </row>
    <row r="33" spans="2:2">
      <c r="B33" s="7" t="s">
        <v>28</v>
      </c>
    </row>
    <row r="34" spans="2:2">
      <c r="B34" s="4" t="s">
        <v>298</v>
      </c>
    </row>
    <row r="35" spans="2:2">
      <c r="B35" s="4" t="s">
        <v>301</v>
      </c>
    </row>
    <row r="36" spans="2:2">
      <c r="B36" s="4"/>
    </row>
    <row r="37" spans="2:2">
      <c r="B37" s="7" t="s">
        <v>0</v>
      </c>
    </row>
    <row r="38" spans="2:2">
      <c r="B38" s="4" t="s">
        <v>302</v>
      </c>
    </row>
    <row r="39" spans="2:2">
      <c r="B39" s="4"/>
    </row>
    <row r="40" spans="2:2">
      <c r="B40" s="7" t="s">
        <v>1</v>
      </c>
    </row>
    <row r="41" spans="2:2">
      <c r="B41" s="4" t="s">
        <v>299</v>
      </c>
    </row>
    <row r="42" spans="2:2">
      <c r="B42" s="4" t="s">
        <v>300</v>
      </c>
    </row>
    <row r="43" spans="2:2">
      <c r="B43" s="4" t="s">
        <v>349</v>
      </c>
    </row>
    <row r="44" spans="2:2">
      <c r="B44" s="4"/>
    </row>
    <row r="45" spans="2:2">
      <c r="B45" s="7" t="s">
        <v>306</v>
      </c>
    </row>
    <row r="46" spans="2:2">
      <c r="B46" s="4" t="s">
        <v>303</v>
      </c>
    </row>
    <row r="47" spans="2:2">
      <c r="B47" s="4" t="s">
        <v>327</v>
      </c>
    </row>
    <row r="48" spans="2:2">
      <c r="B48" s="4" t="s">
        <v>307</v>
      </c>
    </row>
    <row r="49" spans="2:2">
      <c r="B49" s="4" t="s">
        <v>346</v>
      </c>
    </row>
    <row r="50" spans="2:2">
      <c r="B50" s="4"/>
    </row>
    <row r="51" spans="2:2">
      <c r="B51" s="7" t="s">
        <v>2</v>
      </c>
    </row>
    <row r="52" spans="2:2">
      <c r="B52" s="4" t="s">
        <v>352</v>
      </c>
    </row>
    <row r="53" spans="2:2">
      <c r="B53" s="4" t="s">
        <v>304</v>
      </c>
    </row>
    <row r="54" spans="2:2">
      <c r="B54" s="4" t="s">
        <v>305</v>
      </c>
    </row>
    <row r="55" spans="2:2">
      <c r="B55" s="4"/>
    </row>
    <row r="56" spans="2:2">
      <c r="B56" s="7" t="s">
        <v>3</v>
      </c>
    </row>
    <row r="57" spans="2:2">
      <c r="B57" s="4" t="s">
        <v>55</v>
      </c>
    </row>
    <row r="58" spans="2:2">
      <c r="B58" s="4" t="s">
        <v>308</v>
      </c>
    </row>
    <row r="59" spans="2:2">
      <c r="B59" s="4" t="s">
        <v>309</v>
      </c>
    </row>
    <row r="60" spans="2:2">
      <c r="B60" s="4" t="s">
        <v>310</v>
      </c>
    </row>
    <row r="61" spans="2:2">
      <c r="B61" s="4" t="s">
        <v>311</v>
      </c>
    </row>
    <row r="62" spans="2:2">
      <c r="B62" s="4" t="s">
        <v>56</v>
      </c>
    </row>
    <row r="63" spans="2:2">
      <c r="B63" s="4"/>
    </row>
    <row r="64" spans="2:2">
      <c r="B64" s="7" t="s">
        <v>84</v>
      </c>
    </row>
    <row r="65" spans="2:2">
      <c r="B65" s="4" t="s">
        <v>51</v>
      </c>
    </row>
    <row r="66" spans="2:2">
      <c r="B66" s="4" t="s">
        <v>312</v>
      </c>
    </row>
    <row r="67" spans="2:2">
      <c r="B67" s="4" t="s">
        <v>345</v>
      </c>
    </row>
    <row r="68" spans="2:2">
      <c r="B68" s="4"/>
    </row>
    <row r="69" spans="2:2">
      <c r="B69" s="7" t="s">
        <v>4</v>
      </c>
    </row>
    <row r="70" spans="2:2">
      <c r="B70" s="4" t="s">
        <v>351</v>
      </c>
    </row>
    <row r="71" spans="2:2">
      <c r="B71" s="4" t="s">
        <v>326</v>
      </c>
    </row>
    <row r="72" spans="2:2">
      <c r="B72" s="4" t="s">
        <v>335</v>
      </c>
    </row>
    <row r="73" spans="2:2">
      <c r="B73" s="4"/>
    </row>
    <row r="74" spans="2:2">
      <c r="B74" s="7" t="s">
        <v>5</v>
      </c>
    </row>
    <row r="75" spans="2:2">
      <c r="B75" s="4" t="s">
        <v>29</v>
      </c>
    </row>
    <row r="76" spans="2:2">
      <c r="B76" s="4" t="s">
        <v>354</v>
      </c>
    </row>
    <row r="77" spans="2:2">
      <c r="B77" s="4" t="s">
        <v>313</v>
      </c>
    </row>
    <row r="78" spans="2:2">
      <c r="B78" s="4" t="s">
        <v>350</v>
      </c>
    </row>
    <row r="79" spans="2:2">
      <c r="B79" s="4"/>
    </row>
    <row r="80" spans="2:2">
      <c r="B80" s="7" t="s">
        <v>17</v>
      </c>
    </row>
    <row r="81" spans="2:2">
      <c r="B81" s="4" t="s">
        <v>314</v>
      </c>
    </row>
    <row r="82" spans="2:2">
      <c r="B82" s="4"/>
    </row>
    <row r="83" spans="2:2">
      <c r="B83" s="7" t="s">
        <v>94</v>
      </c>
    </row>
    <row r="84" spans="2:2">
      <c r="B84" s="4" t="s">
        <v>315</v>
      </c>
    </row>
    <row r="85" spans="2:2">
      <c r="B85" s="4"/>
    </row>
    <row r="86" spans="2:2">
      <c r="B86" s="7" t="s">
        <v>334</v>
      </c>
    </row>
    <row r="87" spans="2:2">
      <c r="B87" s="4" t="s">
        <v>316</v>
      </c>
    </row>
    <row r="88" spans="2:2">
      <c r="B88" s="4" t="s">
        <v>317</v>
      </c>
    </row>
    <row r="89" spans="2:2">
      <c r="B89" s="4" t="s">
        <v>321</v>
      </c>
    </row>
    <row r="90" spans="2:2">
      <c r="B90" s="4" t="s">
        <v>348</v>
      </c>
    </row>
    <row r="91" spans="2:2">
      <c r="B91" s="4" t="s">
        <v>318</v>
      </c>
    </row>
    <row r="92" spans="2:2">
      <c r="B92" s="4"/>
    </row>
    <row r="93" spans="2:2">
      <c r="B93" s="7" t="s">
        <v>6</v>
      </c>
    </row>
    <row r="94" spans="2:2">
      <c r="B94" s="4" t="s">
        <v>320</v>
      </c>
    </row>
    <row r="95" spans="2:2">
      <c r="B95" s="4" t="s">
        <v>30</v>
      </c>
    </row>
    <row r="96" spans="2:2">
      <c r="B96" s="4" t="s">
        <v>80</v>
      </c>
    </row>
    <row r="97" spans="2:10">
      <c r="B97" s="4" t="s">
        <v>83</v>
      </c>
    </row>
    <row r="98" spans="2:10">
      <c r="B98" s="4"/>
      <c r="J98" s="12"/>
    </row>
    <row r="99" spans="2:10">
      <c r="B99" s="7" t="s">
        <v>339</v>
      </c>
    </row>
    <row r="100" spans="2:10">
      <c r="B100" s="4" t="s">
        <v>340</v>
      </c>
    </row>
    <row r="101" spans="2:10">
      <c r="B101" s="4" t="s">
        <v>341</v>
      </c>
    </row>
    <row r="102" spans="2:10">
      <c r="B102" s="4" t="s">
        <v>342</v>
      </c>
    </row>
    <row r="103" spans="2:10">
      <c r="B103" s="4" t="s">
        <v>353</v>
      </c>
    </row>
    <row r="104" spans="2:10">
      <c r="B104" s="4" t="s">
        <v>360</v>
      </c>
    </row>
    <row r="105" spans="2:10">
      <c r="B105" s="4"/>
    </row>
    <row r="106" spans="2:10">
      <c r="B106" s="7" t="s">
        <v>70</v>
      </c>
    </row>
    <row r="107" spans="2:10">
      <c r="B107" s="4" t="s">
        <v>319</v>
      </c>
    </row>
    <row r="108" spans="2:10">
      <c r="B108" s="4"/>
    </row>
    <row r="109" spans="2:10">
      <c r="B109" s="4"/>
    </row>
    <row r="110" spans="2:10">
      <c r="B110" s="4"/>
    </row>
    <row r="111" spans="2:10">
      <c r="B111" s="4"/>
    </row>
    <row r="112" spans="2:10">
      <c r="B112" s="4"/>
    </row>
    <row r="113" spans="2:2">
      <c r="B113" s="4"/>
    </row>
    <row r="114" spans="2:2">
      <c r="B114" s="4"/>
    </row>
    <row r="115" spans="2:2">
      <c r="B115" s="4"/>
    </row>
    <row r="116" spans="2:2">
      <c r="B116" s="4"/>
    </row>
    <row r="117" spans="2:2">
      <c r="B117" s="4"/>
    </row>
    <row r="118" spans="2:2">
      <c r="B118" s="4"/>
    </row>
    <row r="119" spans="2:2">
      <c r="B119" s="4"/>
    </row>
    <row r="120" spans="2:2">
      <c r="B120" s="4"/>
    </row>
    <row r="121" spans="2:2">
      <c r="B121" s="4"/>
    </row>
    <row r="122" spans="2:2">
      <c r="B122" s="4"/>
    </row>
    <row r="123" spans="2:2">
      <c r="B123" s="4"/>
    </row>
    <row r="124" spans="2:2">
      <c r="B124" s="4"/>
    </row>
    <row r="125" spans="2:2">
      <c r="B125" s="4"/>
    </row>
    <row r="126" spans="2:2">
      <c r="B126" s="4"/>
    </row>
    <row r="127" spans="2:2">
      <c r="B127" s="4"/>
    </row>
    <row r="128" spans="2:2">
      <c r="B128" s="4"/>
    </row>
    <row r="129" spans="2:2">
      <c r="B129" s="4"/>
    </row>
    <row r="130" spans="2:2">
      <c r="B130" s="4"/>
    </row>
    <row r="131" spans="2:2">
      <c r="B131" s="4"/>
    </row>
    <row r="132" spans="2:2">
      <c r="B132" s="4"/>
    </row>
    <row r="133" spans="2:2">
      <c r="B133" s="4"/>
    </row>
    <row r="134" spans="2:2">
      <c r="B134" s="4"/>
    </row>
    <row r="135" spans="2:2">
      <c r="B135" s="4"/>
    </row>
    <row r="136" spans="2:2">
      <c r="B136" s="4"/>
    </row>
    <row r="137" spans="2:2">
      <c r="B137" s="4"/>
    </row>
    <row r="138" spans="2:2">
      <c r="B138" s="4"/>
    </row>
    <row r="139" spans="2:2">
      <c r="B139" s="4"/>
    </row>
    <row r="140" spans="2:2">
      <c r="B140" s="4"/>
    </row>
    <row r="141" spans="2:2">
      <c r="B141" s="4"/>
    </row>
    <row r="142" spans="2:2">
      <c r="B142" s="4"/>
    </row>
    <row r="143" spans="2:2">
      <c r="B143" s="4"/>
    </row>
    <row r="144" spans="2:2">
      <c r="B144" s="4"/>
    </row>
    <row r="145" spans="2:2">
      <c r="B145" s="4"/>
    </row>
    <row r="146" spans="2:2">
      <c r="B146" s="4"/>
    </row>
    <row r="147" spans="2:2">
      <c r="B147" s="4"/>
    </row>
    <row r="148" spans="2:2">
      <c r="B148" s="4"/>
    </row>
    <row r="149" spans="2:2">
      <c r="B149" s="4"/>
    </row>
    <row r="150" spans="2:2">
      <c r="B150" s="4"/>
    </row>
    <row r="151" spans="2:2">
      <c r="B151" s="4"/>
    </row>
    <row r="152" spans="2:2">
      <c r="B152" s="4"/>
    </row>
    <row r="153" spans="2:2">
      <c r="B153" s="4"/>
    </row>
    <row r="154" spans="2:2">
      <c r="B154" s="4"/>
    </row>
    <row r="155" spans="2:2">
      <c r="B155" s="4"/>
    </row>
    <row r="156" spans="2:2">
      <c r="B156" s="4"/>
    </row>
    <row r="157" spans="2:2">
      <c r="B157" s="4"/>
    </row>
    <row r="158" spans="2:2">
      <c r="B158" s="4"/>
    </row>
    <row r="159" spans="2:2">
      <c r="B159" s="4"/>
    </row>
    <row r="160" spans="2:2">
      <c r="B160" s="4"/>
    </row>
    <row r="161" spans="2:2">
      <c r="B161" s="4"/>
    </row>
    <row r="162" spans="2:2">
      <c r="B162" s="4"/>
    </row>
    <row r="163" spans="2:2">
      <c r="B163" s="4"/>
    </row>
    <row r="164" spans="2:2">
      <c r="B164" s="4"/>
    </row>
    <row r="165" spans="2:2">
      <c r="B165" s="4"/>
    </row>
    <row r="166" spans="2:2">
      <c r="B166" s="4"/>
    </row>
    <row r="167" spans="2:2">
      <c r="B167" s="4"/>
    </row>
    <row r="168" spans="2:2">
      <c r="B168" s="4"/>
    </row>
    <row r="169" spans="2:2">
      <c r="B169" s="4"/>
    </row>
    <row r="170" spans="2:2">
      <c r="B170" s="4"/>
    </row>
    <row r="171" spans="2:2">
      <c r="B171" s="4"/>
    </row>
    <row r="172" spans="2:2">
      <c r="B172" s="4"/>
    </row>
    <row r="173" spans="2:2">
      <c r="B173" s="4"/>
    </row>
    <row r="174" spans="2:2">
      <c r="B174" s="4"/>
    </row>
    <row r="175" spans="2:2">
      <c r="B175" s="4"/>
    </row>
    <row r="176" spans="2:2">
      <c r="B176" s="4"/>
    </row>
    <row r="177" spans="2:2">
      <c r="B177" s="4"/>
    </row>
    <row r="178" spans="2:2">
      <c r="B178" s="4"/>
    </row>
    <row r="179" spans="2:2">
      <c r="B179" s="4"/>
    </row>
    <row r="180" spans="2:2">
      <c r="B180" s="4"/>
    </row>
    <row r="181" spans="2:2">
      <c r="B181" s="4"/>
    </row>
    <row r="182" spans="2:2">
      <c r="B182" s="4"/>
    </row>
    <row r="183" spans="2:2">
      <c r="B183" s="4"/>
    </row>
    <row r="184" spans="2:2">
      <c r="B184" s="4"/>
    </row>
    <row r="185" spans="2:2">
      <c r="B185" s="4"/>
    </row>
    <row r="186" spans="2:2">
      <c r="B186" s="4"/>
    </row>
    <row r="187" spans="2:2">
      <c r="B187" s="4"/>
    </row>
    <row r="188" spans="2:2">
      <c r="B188" s="4"/>
    </row>
    <row r="189" spans="2:2">
      <c r="B189" s="4"/>
    </row>
    <row r="190" spans="2:2">
      <c r="B190" s="4"/>
    </row>
    <row r="191" spans="2:2">
      <c r="B191" s="4"/>
    </row>
    <row r="192" spans="2:2">
      <c r="B192" s="4"/>
    </row>
    <row r="193" spans="2:2">
      <c r="B193" s="4"/>
    </row>
    <row r="194" spans="2:2">
      <c r="B194" s="4"/>
    </row>
    <row r="195" spans="2:2">
      <c r="B195" s="4"/>
    </row>
    <row r="196" spans="2:2">
      <c r="B196" s="4"/>
    </row>
    <row r="197" spans="2:2">
      <c r="B197" s="4"/>
    </row>
    <row r="198" spans="2:2">
      <c r="B198" s="4"/>
    </row>
    <row r="199" spans="2:2">
      <c r="B199" s="4"/>
    </row>
    <row r="200" spans="2:2">
      <c r="B200" s="4"/>
    </row>
    <row r="201" spans="2:2">
      <c r="B201" s="4"/>
    </row>
    <row r="202" spans="2:2">
      <c r="B202" s="4"/>
    </row>
    <row r="203" spans="2:2">
      <c r="B203" s="4"/>
    </row>
    <row r="204" spans="2:2">
      <c r="B204" s="4"/>
    </row>
    <row r="205" spans="2:2">
      <c r="B205" s="4"/>
    </row>
    <row r="206" spans="2:2">
      <c r="B206" s="4"/>
    </row>
    <row r="207" spans="2:2">
      <c r="B207" s="4"/>
    </row>
    <row r="208" spans="2:2">
      <c r="B208" s="4"/>
    </row>
    <row r="209" spans="2:2">
      <c r="B209" s="4"/>
    </row>
    <row r="210" spans="2:2">
      <c r="B210" s="4"/>
    </row>
    <row r="211" spans="2:2">
      <c r="B211" s="4"/>
    </row>
    <row r="212" spans="2:2">
      <c r="B212" s="4"/>
    </row>
    <row r="213" spans="2:2">
      <c r="B213" s="4"/>
    </row>
    <row r="214" spans="2:2">
      <c r="B214" s="4"/>
    </row>
    <row r="215" spans="2:2">
      <c r="B215" s="4"/>
    </row>
    <row r="216" spans="2:2">
      <c r="B216" s="4"/>
    </row>
    <row r="217" spans="2:2">
      <c r="B217" s="4"/>
    </row>
    <row r="218" spans="2:2">
      <c r="B218" s="4"/>
    </row>
    <row r="219" spans="2:2">
      <c r="B219" s="4"/>
    </row>
    <row r="220" spans="2:2">
      <c r="B220" s="4"/>
    </row>
    <row r="221" spans="2:2">
      <c r="B221" s="4"/>
    </row>
    <row r="222" spans="2:2">
      <c r="B222" s="4"/>
    </row>
    <row r="223" spans="2:2">
      <c r="B223" s="4"/>
    </row>
    <row r="224" spans="2:2">
      <c r="B224" s="4"/>
    </row>
    <row r="225" spans="2:2">
      <c r="B225" s="4"/>
    </row>
    <row r="226" spans="2:2">
      <c r="B226" s="4"/>
    </row>
    <row r="227" spans="2:2">
      <c r="B227" s="4"/>
    </row>
    <row r="228" spans="2:2">
      <c r="B228" s="4"/>
    </row>
    <row r="229" spans="2:2">
      <c r="B229" s="4"/>
    </row>
    <row r="230" spans="2:2">
      <c r="B230" s="4"/>
    </row>
    <row r="231" spans="2:2">
      <c r="B231" s="4"/>
    </row>
    <row r="232" spans="2:2">
      <c r="B232" s="4"/>
    </row>
    <row r="233" spans="2:2">
      <c r="B233" s="4"/>
    </row>
    <row r="234" spans="2:2">
      <c r="B234" s="4"/>
    </row>
    <row r="235" spans="2:2">
      <c r="B235" s="4"/>
    </row>
    <row r="236" spans="2:2">
      <c r="B236" s="4"/>
    </row>
    <row r="237" spans="2:2">
      <c r="B237" s="4"/>
    </row>
    <row r="238" spans="2:2">
      <c r="B238" s="4"/>
    </row>
    <row r="239" spans="2:2">
      <c r="B239" s="4"/>
    </row>
    <row r="240" spans="2:2">
      <c r="B240" s="4"/>
    </row>
    <row r="241" spans="2:2">
      <c r="B241" s="4"/>
    </row>
    <row r="242" spans="2:2">
      <c r="B242" s="4"/>
    </row>
    <row r="243" spans="2:2">
      <c r="B243" s="4"/>
    </row>
    <row r="244" spans="2:2">
      <c r="B244" s="4"/>
    </row>
    <row r="245" spans="2:2">
      <c r="B245" s="4"/>
    </row>
    <row r="246" spans="2:2">
      <c r="B246" s="4"/>
    </row>
    <row r="247" spans="2:2">
      <c r="B247" s="4"/>
    </row>
    <row r="248" spans="2:2">
      <c r="B248" s="4"/>
    </row>
    <row r="249" spans="2:2">
      <c r="B249" s="4"/>
    </row>
    <row r="250" spans="2:2">
      <c r="B250" s="4"/>
    </row>
    <row r="251" spans="2:2">
      <c r="B251" s="4"/>
    </row>
    <row r="252" spans="2:2">
      <c r="B252" s="4"/>
    </row>
    <row r="253" spans="2:2">
      <c r="B253" s="4"/>
    </row>
    <row r="254" spans="2:2">
      <c r="B254" s="4"/>
    </row>
    <row r="255" spans="2:2">
      <c r="B255" s="4"/>
    </row>
    <row r="256" spans="2:2">
      <c r="B256" s="4"/>
    </row>
    <row r="257" spans="2:2">
      <c r="B257" s="4"/>
    </row>
    <row r="258" spans="2:2">
      <c r="B258" s="4"/>
    </row>
    <row r="259" spans="2:2">
      <c r="B259" s="4"/>
    </row>
    <row r="260" spans="2:2">
      <c r="B260" s="4"/>
    </row>
    <row r="261" spans="2:2">
      <c r="B261" s="4"/>
    </row>
    <row r="262" spans="2:2">
      <c r="B262" s="4"/>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DF194"/>
  <sheetViews>
    <sheetView showGridLines="0" zoomScale="79" workbookViewId="0"/>
  </sheetViews>
  <sheetFormatPr defaultRowHeight="14.4"/>
  <cols>
    <col min="1" max="1" width="4.77734375" style="8" customWidth="1"/>
    <col min="2" max="2" width="5.33203125" style="8" customWidth="1"/>
    <col min="3" max="3" width="17.33203125" bestFit="1" customWidth="1"/>
    <col min="5" max="5" width="13.6640625" customWidth="1"/>
    <col min="6" max="6" width="18.109375" bestFit="1" customWidth="1"/>
    <col min="7" max="7" width="19.5546875" bestFit="1" customWidth="1"/>
    <col min="8" max="8" width="18.109375" customWidth="1"/>
    <col min="11" max="110" width="10.109375" bestFit="1" customWidth="1"/>
  </cols>
  <sheetData>
    <row r="1" spans="1:40">
      <c r="A1" s="8" t="str">
        <f>Instructions!B2&amp;": "&amp;Instructions!B4</f>
        <v>FP&amp;A Task: 3-Statement Model - Plastic Parts</v>
      </c>
    </row>
    <row r="2" spans="1:40">
      <c r="A2" s="8" t="s">
        <v>333</v>
      </c>
    </row>
    <row r="4" spans="1:40" s="17" customFormat="1" ht="14.4" customHeight="1">
      <c r="A4" s="15"/>
      <c r="B4" s="16" t="s">
        <v>148</v>
      </c>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row>
    <row r="6" spans="1:40">
      <c r="C6" t="s">
        <v>149</v>
      </c>
      <c r="F6" s="22">
        <v>46753</v>
      </c>
    </row>
    <row r="7" spans="1:40">
      <c r="C7" t="s">
        <v>150</v>
      </c>
      <c r="F7" s="25">
        <v>12</v>
      </c>
    </row>
    <row r="8" spans="1:40">
      <c r="C8" t="s">
        <v>158</v>
      </c>
      <c r="F8" s="25">
        <v>24</v>
      </c>
    </row>
    <row r="9" spans="1:40">
      <c r="C9" t="s">
        <v>159</v>
      </c>
      <c r="F9" s="25">
        <v>60</v>
      </c>
    </row>
    <row r="10" spans="1:40">
      <c r="C10" t="s">
        <v>160</v>
      </c>
      <c r="F10" s="25">
        <v>60</v>
      </c>
    </row>
    <row r="11" spans="1:40">
      <c r="C11" t="s">
        <v>151</v>
      </c>
      <c r="F11" s="25">
        <v>10</v>
      </c>
      <c r="G11" s="13" t="s">
        <v>33</v>
      </c>
    </row>
    <row r="12" spans="1:40">
      <c r="C12" t="s">
        <v>177</v>
      </c>
      <c r="F12" s="25">
        <v>1000000</v>
      </c>
      <c r="G12" s="13"/>
      <c r="H12" t="s">
        <v>178</v>
      </c>
    </row>
    <row r="14" spans="1:40" s="17" customFormat="1" ht="14.4" customHeight="1">
      <c r="A14" s="15"/>
      <c r="B14" s="16" t="s">
        <v>105</v>
      </c>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row>
    <row r="16" spans="1:40">
      <c r="C16" s="8" t="s">
        <v>27</v>
      </c>
      <c r="D16" s="8" t="s">
        <v>107</v>
      </c>
      <c r="E16" s="8" t="s">
        <v>142</v>
      </c>
      <c r="F16" s="8" t="s">
        <v>157</v>
      </c>
      <c r="G16" s="8" t="s">
        <v>143</v>
      </c>
      <c r="H16" s="8" t="s">
        <v>144</v>
      </c>
      <c r="I16" s="8" t="s">
        <v>145</v>
      </c>
      <c r="J16" s="8" t="s">
        <v>163</v>
      </c>
      <c r="K16" s="8" t="s">
        <v>181</v>
      </c>
      <c r="L16" s="8" t="s">
        <v>161</v>
      </c>
      <c r="M16" s="8" t="s">
        <v>162</v>
      </c>
      <c r="N16" s="8" t="s">
        <v>180</v>
      </c>
    </row>
    <row r="17" spans="3:14">
      <c r="E17" s="13" t="s">
        <v>141</v>
      </c>
      <c r="G17" s="13" t="s">
        <v>140</v>
      </c>
      <c r="H17" s="13" t="s">
        <v>146</v>
      </c>
      <c r="I17" s="13" t="s">
        <v>86</v>
      </c>
      <c r="L17" s="13" t="s">
        <v>146</v>
      </c>
      <c r="N17" s="13" t="s">
        <v>31</v>
      </c>
    </row>
    <row r="18" spans="3:14">
      <c r="C18" t="s">
        <v>108</v>
      </c>
      <c r="D18" s="14" t="s">
        <v>109</v>
      </c>
      <c r="E18" s="14">
        <v>135</v>
      </c>
      <c r="F18" s="14" t="s">
        <v>110</v>
      </c>
      <c r="G18" s="14">
        <v>380</v>
      </c>
      <c r="H18" s="14">
        <v>6.4</v>
      </c>
      <c r="I18" s="25">
        <v>142000</v>
      </c>
      <c r="J18" s="25">
        <v>6</v>
      </c>
      <c r="K18" s="25">
        <v>1</v>
      </c>
      <c r="L18" s="25">
        <v>201502</v>
      </c>
      <c r="M18" s="22">
        <v>43831</v>
      </c>
      <c r="N18" s="25">
        <v>236092</v>
      </c>
    </row>
    <row r="19" spans="3:14">
      <c r="C19" t="s">
        <v>111</v>
      </c>
      <c r="D19" s="14" t="s">
        <v>109</v>
      </c>
      <c r="E19" s="14">
        <v>220</v>
      </c>
      <c r="F19" s="14" t="s">
        <v>110</v>
      </c>
      <c r="G19" s="14">
        <v>450</v>
      </c>
      <c r="H19" s="14">
        <v>8.25</v>
      </c>
      <c r="I19" s="25">
        <v>485000</v>
      </c>
      <c r="J19" s="25">
        <v>4</v>
      </c>
      <c r="K19" s="25">
        <v>2</v>
      </c>
      <c r="L19" s="25">
        <v>337078</v>
      </c>
      <c r="M19" s="22">
        <v>44927</v>
      </c>
      <c r="N19" s="25">
        <v>372161</v>
      </c>
    </row>
    <row r="20" spans="3:14">
      <c r="C20" t="s">
        <v>112</v>
      </c>
      <c r="D20" s="14" t="s">
        <v>113</v>
      </c>
      <c r="E20" s="14">
        <v>105</v>
      </c>
      <c r="F20" s="14" t="s">
        <v>114</v>
      </c>
      <c r="G20" s="14">
        <v>390</v>
      </c>
      <c r="H20" s="14">
        <v>5.6</v>
      </c>
      <c r="I20" s="25">
        <v>529000</v>
      </c>
      <c r="J20" s="25">
        <v>8</v>
      </c>
      <c r="K20" s="25">
        <v>1</v>
      </c>
      <c r="L20" s="25">
        <v>295360</v>
      </c>
      <c r="M20" s="22">
        <v>44197</v>
      </c>
      <c r="N20" s="25">
        <v>339276</v>
      </c>
    </row>
    <row r="21" spans="3:14">
      <c r="C21" t="s">
        <v>115</v>
      </c>
      <c r="D21" s="14" t="s">
        <v>116</v>
      </c>
      <c r="E21" s="14">
        <v>70</v>
      </c>
      <c r="F21" s="14" t="s">
        <v>117</v>
      </c>
      <c r="G21" s="14">
        <v>290</v>
      </c>
      <c r="H21" s="14">
        <v>2.4500000000000002</v>
      </c>
      <c r="I21" s="25">
        <v>483000</v>
      </c>
      <c r="J21" s="25">
        <v>12</v>
      </c>
      <c r="K21" s="25">
        <v>1</v>
      </c>
      <c r="L21" s="25">
        <v>202242</v>
      </c>
      <c r="M21" s="22">
        <v>43831</v>
      </c>
      <c r="N21" s="25">
        <v>236959</v>
      </c>
    </row>
    <row r="22" spans="3:14">
      <c r="C22" t="s">
        <v>118</v>
      </c>
      <c r="D22" s="14" t="s">
        <v>116</v>
      </c>
      <c r="E22" s="14">
        <v>195</v>
      </c>
      <c r="F22" s="14" t="s">
        <v>117</v>
      </c>
      <c r="G22" s="14">
        <v>385</v>
      </c>
      <c r="H22" s="14">
        <v>3.9</v>
      </c>
      <c r="I22" s="25">
        <v>513000</v>
      </c>
      <c r="J22" s="25">
        <v>4</v>
      </c>
      <c r="K22" s="25">
        <v>2</v>
      </c>
      <c r="L22" s="25">
        <v>326115</v>
      </c>
      <c r="M22" s="22">
        <v>46023</v>
      </c>
      <c r="N22" s="25">
        <v>339290</v>
      </c>
    </row>
    <row r="23" spans="3:14">
      <c r="C23" t="s">
        <v>119</v>
      </c>
      <c r="D23" s="14" t="s">
        <v>120</v>
      </c>
      <c r="E23" s="14">
        <v>38</v>
      </c>
      <c r="F23" s="14" t="s">
        <v>110</v>
      </c>
      <c r="G23" s="14">
        <v>240</v>
      </c>
      <c r="H23" s="14">
        <v>1.6</v>
      </c>
      <c r="I23" s="25">
        <v>238000</v>
      </c>
      <c r="J23" s="25">
        <v>8</v>
      </c>
      <c r="K23" s="25">
        <v>1</v>
      </c>
      <c r="L23" s="25">
        <v>349968</v>
      </c>
      <c r="M23" s="22">
        <v>43831</v>
      </c>
      <c r="N23" s="25">
        <v>410043</v>
      </c>
    </row>
    <row r="24" spans="3:14">
      <c r="C24" t="s">
        <v>121</v>
      </c>
      <c r="D24" s="14" t="s">
        <v>116</v>
      </c>
      <c r="E24" s="14">
        <v>165</v>
      </c>
      <c r="F24" s="14" t="s">
        <v>117</v>
      </c>
      <c r="G24" s="14">
        <v>370</v>
      </c>
      <c r="H24" s="14">
        <v>3.45</v>
      </c>
      <c r="I24" s="25">
        <v>834000</v>
      </c>
      <c r="J24" s="25">
        <v>2</v>
      </c>
      <c r="K24" s="25">
        <v>6</v>
      </c>
      <c r="L24" s="25">
        <v>233700</v>
      </c>
      <c r="M24" s="22">
        <v>44927</v>
      </c>
      <c r="N24" s="25">
        <v>258024</v>
      </c>
    </row>
    <row r="25" spans="3:14">
      <c r="C25" t="s">
        <v>122</v>
      </c>
      <c r="D25" s="14" t="s">
        <v>116</v>
      </c>
      <c r="E25" s="14">
        <v>175</v>
      </c>
      <c r="F25" s="14" t="s">
        <v>117</v>
      </c>
      <c r="G25" s="14">
        <v>375</v>
      </c>
      <c r="H25" s="14">
        <v>3.55</v>
      </c>
      <c r="I25" s="25">
        <v>961000</v>
      </c>
      <c r="J25" s="25">
        <v>2</v>
      </c>
      <c r="K25" s="25">
        <v>7</v>
      </c>
      <c r="L25" s="25">
        <v>313847</v>
      </c>
      <c r="M25" s="22">
        <v>44562</v>
      </c>
      <c r="N25" s="25">
        <v>353443</v>
      </c>
    </row>
    <row r="26" spans="3:14">
      <c r="C26" t="s">
        <v>123</v>
      </c>
      <c r="D26" s="14" t="s">
        <v>120</v>
      </c>
      <c r="E26" s="14">
        <v>10</v>
      </c>
      <c r="F26" s="14" t="s">
        <v>124</v>
      </c>
      <c r="G26" s="14">
        <v>160</v>
      </c>
      <c r="H26" s="14">
        <v>0.7</v>
      </c>
      <c r="I26" s="25">
        <v>479000</v>
      </c>
      <c r="J26" s="25">
        <v>10</v>
      </c>
      <c r="K26" s="25">
        <v>1</v>
      </c>
      <c r="L26" s="25">
        <v>204261</v>
      </c>
      <c r="M26" s="22">
        <v>44927</v>
      </c>
      <c r="N26" s="25">
        <v>225521</v>
      </c>
    </row>
    <row r="27" spans="3:14">
      <c r="C27" t="s">
        <v>125</v>
      </c>
      <c r="D27" s="14" t="s">
        <v>126</v>
      </c>
      <c r="E27" s="14">
        <v>20</v>
      </c>
      <c r="F27" s="14" t="s">
        <v>124</v>
      </c>
      <c r="G27" s="14">
        <v>175</v>
      </c>
      <c r="H27" s="14">
        <v>0.85</v>
      </c>
      <c r="I27" s="25">
        <v>459000</v>
      </c>
      <c r="J27" s="25">
        <v>40</v>
      </c>
      <c r="K27" s="25">
        <v>1</v>
      </c>
      <c r="L27" s="25">
        <v>386492</v>
      </c>
      <c r="M27" s="22">
        <v>46388</v>
      </c>
      <c r="N27" s="25">
        <v>394222</v>
      </c>
    </row>
    <row r="28" spans="3:14">
      <c r="C28" t="s">
        <v>127</v>
      </c>
      <c r="D28" s="14" t="s">
        <v>113</v>
      </c>
      <c r="E28" s="14">
        <v>115</v>
      </c>
      <c r="F28" s="14" t="s">
        <v>114</v>
      </c>
      <c r="G28" s="14">
        <v>400</v>
      </c>
      <c r="H28" s="14">
        <v>6.2</v>
      </c>
      <c r="I28" s="25">
        <v>680000</v>
      </c>
      <c r="J28" s="25">
        <v>1</v>
      </c>
      <c r="K28" s="25">
        <v>11</v>
      </c>
      <c r="L28" s="25">
        <v>208045</v>
      </c>
      <c r="M28" s="22">
        <v>45658</v>
      </c>
      <c r="N28" s="25">
        <v>220779</v>
      </c>
    </row>
    <row r="29" spans="3:14">
      <c r="C29" t="s">
        <v>128</v>
      </c>
      <c r="D29" s="14" t="s">
        <v>126</v>
      </c>
      <c r="E29" s="14">
        <v>35</v>
      </c>
      <c r="F29" s="14" t="s">
        <v>114</v>
      </c>
      <c r="G29" s="14">
        <v>250</v>
      </c>
      <c r="H29" s="14">
        <v>1.8</v>
      </c>
      <c r="I29" s="25">
        <v>438000</v>
      </c>
      <c r="J29" s="25">
        <v>20</v>
      </c>
      <c r="K29" s="25">
        <v>1</v>
      </c>
      <c r="L29" s="25">
        <v>205221</v>
      </c>
      <c r="M29" s="22">
        <v>45658</v>
      </c>
      <c r="N29" s="25">
        <v>217782</v>
      </c>
    </row>
    <row r="30" spans="3:14">
      <c r="C30" t="s">
        <v>129</v>
      </c>
      <c r="D30" s="14" t="s">
        <v>130</v>
      </c>
      <c r="E30" s="14">
        <v>14</v>
      </c>
      <c r="F30" s="14" t="s">
        <v>124</v>
      </c>
      <c r="G30" s="14">
        <v>175</v>
      </c>
      <c r="H30" s="14">
        <v>0.9</v>
      </c>
      <c r="I30" s="25">
        <v>20000</v>
      </c>
      <c r="J30" s="25">
        <v>2</v>
      </c>
      <c r="K30" s="25">
        <v>1</v>
      </c>
      <c r="L30" s="25">
        <v>346324</v>
      </c>
      <c r="M30" s="22">
        <v>44197</v>
      </c>
      <c r="N30" s="25">
        <v>397817</v>
      </c>
    </row>
    <row r="31" spans="3:14">
      <c r="C31" t="s">
        <v>131</v>
      </c>
      <c r="D31" s="14" t="s">
        <v>109</v>
      </c>
      <c r="E31" s="14">
        <v>55</v>
      </c>
      <c r="F31" s="14" t="s">
        <v>110</v>
      </c>
      <c r="G31" s="14">
        <v>300</v>
      </c>
      <c r="H31" s="14">
        <v>2.2999999999999998</v>
      </c>
      <c r="I31" s="25">
        <v>634000</v>
      </c>
      <c r="J31" s="25">
        <v>2</v>
      </c>
      <c r="K31" s="25">
        <v>4</v>
      </c>
      <c r="L31" s="25">
        <v>357452</v>
      </c>
      <c r="M31" s="22">
        <v>44197</v>
      </c>
      <c r="N31" s="25">
        <v>410600</v>
      </c>
    </row>
    <row r="32" spans="3:14">
      <c r="C32" t="s">
        <v>132</v>
      </c>
      <c r="D32" s="14" t="s">
        <v>133</v>
      </c>
      <c r="E32" s="14">
        <v>9</v>
      </c>
      <c r="F32" s="14" t="s">
        <v>124</v>
      </c>
      <c r="G32" s="14">
        <v>155</v>
      </c>
      <c r="H32" s="14">
        <v>0.65</v>
      </c>
      <c r="I32" s="25">
        <v>694000</v>
      </c>
      <c r="J32" s="25">
        <v>2</v>
      </c>
      <c r="K32" s="25">
        <v>2</v>
      </c>
      <c r="L32" s="25">
        <v>347372</v>
      </c>
      <c r="M32" s="22">
        <v>44927</v>
      </c>
      <c r="N32" s="25">
        <v>383527</v>
      </c>
    </row>
    <row r="33" spans="1:40">
      <c r="C33" t="s">
        <v>134</v>
      </c>
      <c r="D33" s="14" t="s">
        <v>116</v>
      </c>
      <c r="E33" s="14">
        <v>245</v>
      </c>
      <c r="F33" s="14" t="s">
        <v>117</v>
      </c>
      <c r="G33" s="14">
        <v>460</v>
      </c>
      <c r="H33" s="14">
        <v>4.8499999999999996</v>
      </c>
      <c r="I33" s="25">
        <v>504000</v>
      </c>
      <c r="J33" s="25">
        <v>4</v>
      </c>
      <c r="K33" s="25">
        <v>2</v>
      </c>
      <c r="L33" s="25">
        <v>377287</v>
      </c>
      <c r="M33" s="22">
        <v>44197</v>
      </c>
      <c r="N33" s="25">
        <v>433384</v>
      </c>
    </row>
    <row r="34" spans="1:40">
      <c r="C34" t="s">
        <v>135</v>
      </c>
      <c r="D34" s="14" t="s">
        <v>136</v>
      </c>
      <c r="E34" s="14">
        <v>24</v>
      </c>
      <c r="F34" s="14" t="s">
        <v>124</v>
      </c>
      <c r="G34" s="14">
        <v>200</v>
      </c>
      <c r="H34" s="14">
        <v>1.05</v>
      </c>
      <c r="I34" s="25">
        <v>777000</v>
      </c>
      <c r="J34" s="25">
        <v>20</v>
      </c>
      <c r="K34" s="25">
        <v>1</v>
      </c>
      <c r="L34" s="25">
        <v>242778</v>
      </c>
      <c r="M34" s="22">
        <v>46753</v>
      </c>
      <c r="N34" s="25">
        <v>242778</v>
      </c>
    </row>
    <row r="35" spans="1:40">
      <c r="C35" t="s">
        <v>137</v>
      </c>
      <c r="D35" s="14" t="s">
        <v>130</v>
      </c>
      <c r="E35" s="14">
        <v>7</v>
      </c>
      <c r="F35" s="14" t="s">
        <v>110</v>
      </c>
      <c r="G35" s="14">
        <v>145</v>
      </c>
      <c r="H35" s="14">
        <v>0.6</v>
      </c>
      <c r="I35" s="25">
        <v>91000</v>
      </c>
      <c r="J35" s="25">
        <v>10</v>
      </c>
      <c r="K35" s="25">
        <v>1</v>
      </c>
      <c r="L35" s="25">
        <v>292018</v>
      </c>
      <c r="M35" s="22">
        <v>44197</v>
      </c>
      <c r="N35" s="25">
        <v>335437</v>
      </c>
    </row>
    <row r="36" spans="1:40">
      <c r="C36" t="s">
        <v>138</v>
      </c>
      <c r="D36" s="14" t="s">
        <v>116</v>
      </c>
      <c r="E36" s="14">
        <v>310</v>
      </c>
      <c r="F36" s="14" t="s">
        <v>117</v>
      </c>
      <c r="G36" s="14">
        <v>520</v>
      </c>
      <c r="H36" s="14">
        <v>5.9</v>
      </c>
      <c r="I36" s="25">
        <v>529000</v>
      </c>
      <c r="J36" s="25">
        <v>2</v>
      </c>
      <c r="K36" s="25">
        <v>5</v>
      </c>
      <c r="L36" s="25">
        <v>280792</v>
      </c>
      <c r="M36" s="22">
        <v>46023</v>
      </c>
      <c r="N36" s="25">
        <v>292136</v>
      </c>
    </row>
    <row r="37" spans="1:40">
      <c r="C37" t="s">
        <v>139</v>
      </c>
      <c r="D37" s="14" t="s">
        <v>126</v>
      </c>
      <c r="E37" s="14">
        <v>90</v>
      </c>
      <c r="F37" s="14" t="s">
        <v>117</v>
      </c>
      <c r="G37" s="14">
        <v>310</v>
      </c>
      <c r="H37" s="14">
        <v>2.2000000000000002</v>
      </c>
      <c r="I37" s="25">
        <v>857000</v>
      </c>
      <c r="J37" s="25">
        <v>1</v>
      </c>
      <c r="K37" s="25">
        <v>11</v>
      </c>
      <c r="L37" s="25">
        <v>320385</v>
      </c>
      <c r="M37" s="22">
        <v>44927</v>
      </c>
      <c r="N37" s="25">
        <v>353731</v>
      </c>
    </row>
    <row r="39" spans="1:40">
      <c r="C39" t="s">
        <v>20</v>
      </c>
      <c r="D39" t="s">
        <v>179</v>
      </c>
      <c r="F39" s="14">
        <v>20</v>
      </c>
      <c r="G39" s="13" t="s">
        <v>33</v>
      </c>
    </row>
    <row r="40" spans="1:40">
      <c r="C40" t="s">
        <v>34</v>
      </c>
      <c r="D40" t="s">
        <v>179</v>
      </c>
      <c r="F40" s="18">
        <v>0.8</v>
      </c>
      <c r="G40" s="13" t="s">
        <v>35</v>
      </c>
    </row>
    <row r="42" spans="1:40" s="17" customFormat="1" ht="14.4" customHeight="1">
      <c r="A42" s="15"/>
      <c r="B42" s="16" t="s">
        <v>147</v>
      </c>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row>
    <row r="44" spans="1:40">
      <c r="C44" t="s">
        <v>109</v>
      </c>
      <c r="D44" t="s">
        <v>152</v>
      </c>
      <c r="F44" s="18">
        <v>2.4E-2</v>
      </c>
      <c r="G44" s="13" t="s">
        <v>35</v>
      </c>
      <c r="H44" t="s">
        <v>65</v>
      </c>
    </row>
    <row r="45" spans="1:40">
      <c r="C45" t="s">
        <v>113</v>
      </c>
      <c r="D45" t="s">
        <v>152</v>
      </c>
      <c r="F45" s="18">
        <v>2.8000000000000001E-2</v>
      </c>
      <c r="G45" s="13" t="s">
        <v>35</v>
      </c>
      <c r="H45" t="s">
        <v>65</v>
      </c>
    </row>
    <row r="46" spans="1:40">
      <c r="C46" t="s">
        <v>116</v>
      </c>
      <c r="D46" t="s">
        <v>152</v>
      </c>
      <c r="F46" s="18">
        <v>0</v>
      </c>
      <c r="G46" s="13" t="s">
        <v>35</v>
      </c>
      <c r="H46" t="s">
        <v>65</v>
      </c>
    </row>
    <row r="47" spans="1:40">
      <c r="C47" t="s">
        <v>120</v>
      </c>
      <c r="D47" t="s">
        <v>152</v>
      </c>
      <c r="F47" s="18">
        <v>5.5999999999999994E-2</v>
      </c>
      <c r="G47" s="13" t="s">
        <v>35</v>
      </c>
      <c r="H47" t="s">
        <v>65</v>
      </c>
    </row>
    <row r="48" spans="1:40">
      <c r="C48" t="s">
        <v>126</v>
      </c>
      <c r="D48" t="s">
        <v>152</v>
      </c>
      <c r="F48" s="18">
        <v>4.3999999999999997E-2</v>
      </c>
      <c r="G48" s="13" t="s">
        <v>35</v>
      </c>
      <c r="H48" t="s">
        <v>65</v>
      </c>
    </row>
    <row r="49" spans="1:40">
      <c r="C49" t="s">
        <v>130</v>
      </c>
      <c r="D49" t="s">
        <v>152</v>
      </c>
      <c r="F49" s="18">
        <v>0.06</v>
      </c>
      <c r="G49" s="13" t="s">
        <v>35</v>
      </c>
      <c r="H49" t="s">
        <v>65</v>
      </c>
    </row>
    <row r="50" spans="1:40">
      <c r="C50" t="s">
        <v>133</v>
      </c>
      <c r="D50" t="s">
        <v>152</v>
      </c>
      <c r="F50" s="18">
        <v>-4.0000000000000001E-3</v>
      </c>
      <c r="G50" s="13" t="s">
        <v>35</v>
      </c>
      <c r="H50" t="s">
        <v>65</v>
      </c>
    </row>
    <row r="51" spans="1:40">
      <c r="C51" t="s">
        <v>136</v>
      </c>
      <c r="D51" t="s">
        <v>152</v>
      </c>
      <c r="F51" s="18">
        <v>-1.2E-2</v>
      </c>
      <c r="G51" s="13" t="s">
        <v>35</v>
      </c>
      <c r="H51" t="s">
        <v>65</v>
      </c>
    </row>
    <row r="53" spans="1:40" s="17" customFormat="1" ht="14.4" customHeight="1">
      <c r="A53" s="15"/>
      <c r="B53" s="16" t="s">
        <v>6</v>
      </c>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row>
    <row r="55" spans="1:40">
      <c r="C55" t="s">
        <v>22</v>
      </c>
      <c r="F55" s="18">
        <v>0.02</v>
      </c>
      <c r="G55" s="13" t="s">
        <v>35</v>
      </c>
      <c r="H55" t="s">
        <v>21</v>
      </c>
    </row>
    <row r="56" spans="1:40">
      <c r="C56" t="s">
        <v>81</v>
      </c>
      <c r="F56" s="18">
        <v>0.01</v>
      </c>
      <c r="G56" s="13" t="s">
        <v>35</v>
      </c>
      <c r="H56" t="s">
        <v>21</v>
      </c>
    </row>
    <row r="58" spans="1:40" s="17" customFormat="1" ht="14.4" customHeight="1">
      <c r="A58" s="15"/>
      <c r="B58" s="16" t="s">
        <v>23</v>
      </c>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row>
    <row r="60" spans="1:40">
      <c r="C60" t="s">
        <v>153</v>
      </c>
      <c r="D60" t="s">
        <v>154</v>
      </c>
      <c r="F60" s="14">
        <v>100</v>
      </c>
      <c r="G60" s="13" t="s">
        <v>141</v>
      </c>
    </row>
    <row r="61" spans="1:40">
      <c r="C61" t="s">
        <v>164</v>
      </c>
      <c r="D61" t="s">
        <v>154</v>
      </c>
      <c r="F61" s="14">
        <v>250</v>
      </c>
      <c r="G61" s="13" t="s">
        <v>141</v>
      </c>
    </row>
    <row r="62" spans="1:40">
      <c r="C62" t="s">
        <v>165</v>
      </c>
      <c r="D62" t="s">
        <v>154</v>
      </c>
      <c r="F62" s="14">
        <v>500</v>
      </c>
      <c r="G62" s="13" t="s">
        <v>141</v>
      </c>
    </row>
    <row r="63" spans="1:40">
      <c r="C63" t="s">
        <v>166</v>
      </c>
      <c r="D63" t="s">
        <v>154</v>
      </c>
      <c r="F63" s="14">
        <v>1000</v>
      </c>
      <c r="G63" s="13" t="s">
        <v>141</v>
      </c>
    </row>
    <row r="64" spans="1:40">
      <c r="C64" t="s">
        <v>153</v>
      </c>
      <c r="D64" t="s">
        <v>155</v>
      </c>
      <c r="F64" s="14">
        <v>225000</v>
      </c>
      <c r="G64" s="13" t="s">
        <v>31</v>
      </c>
      <c r="H64" s="26" t="s">
        <v>156</v>
      </c>
    </row>
    <row r="65" spans="3:8">
      <c r="C65" t="s">
        <v>164</v>
      </c>
      <c r="D65" t="s">
        <v>155</v>
      </c>
      <c r="F65" s="14">
        <v>289000</v>
      </c>
      <c r="G65" s="13" t="s">
        <v>31</v>
      </c>
      <c r="H65" s="26" t="s">
        <v>156</v>
      </c>
    </row>
    <row r="66" spans="3:8">
      <c r="C66" t="s">
        <v>165</v>
      </c>
      <c r="D66" t="s">
        <v>155</v>
      </c>
      <c r="F66" s="14">
        <v>376500</v>
      </c>
      <c r="G66" s="13" t="s">
        <v>31</v>
      </c>
      <c r="H66" s="26" t="s">
        <v>156</v>
      </c>
    </row>
    <row r="67" spans="3:8">
      <c r="C67" t="s">
        <v>166</v>
      </c>
      <c r="D67" t="s">
        <v>155</v>
      </c>
      <c r="F67" s="14">
        <v>476500</v>
      </c>
      <c r="G67" s="13" t="s">
        <v>31</v>
      </c>
      <c r="H67" s="26" t="s">
        <v>156</v>
      </c>
    </row>
    <row r="68" spans="3:8">
      <c r="C68" t="s">
        <v>153</v>
      </c>
      <c r="D68" t="s">
        <v>34</v>
      </c>
      <c r="F68" s="18">
        <v>0.875</v>
      </c>
      <c r="G68" s="13" t="s">
        <v>35</v>
      </c>
    </row>
    <row r="69" spans="3:8">
      <c r="C69" t="s">
        <v>164</v>
      </c>
      <c r="D69" t="s">
        <v>34</v>
      </c>
      <c r="F69" s="18">
        <v>0.82499999999999996</v>
      </c>
      <c r="G69" s="13" t="s">
        <v>35</v>
      </c>
    </row>
    <row r="70" spans="3:8">
      <c r="C70" t="s">
        <v>165</v>
      </c>
      <c r="D70" t="s">
        <v>34</v>
      </c>
      <c r="F70" s="18">
        <v>0.77500000000000002</v>
      </c>
      <c r="G70" s="13" t="s">
        <v>35</v>
      </c>
    </row>
    <row r="71" spans="3:8">
      <c r="C71" t="s">
        <v>166</v>
      </c>
      <c r="D71" t="s">
        <v>34</v>
      </c>
      <c r="F71" s="18">
        <v>0.75</v>
      </c>
      <c r="G71" s="13" t="s">
        <v>35</v>
      </c>
    </row>
    <row r="72" spans="3:8">
      <c r="C72" t="s">
        <v>153</v>
      </c>
      <c r="D72" t="s">
        <v>32</v>
      </c>
      <c r="F72" s="14">
        <v>10</v>
      </c>
      <c r="G72" s="13" t="s">
        <v>170</v>
      </c>
      <c r="H72" t="s">
        <v>171</v>
      </c>
    </row>
    <row r="73" spans="3:8">
      <c r="C73" t="s">
        <v>164</v>
      </c>
      <c r="D73" t="s">
        <v>32</v>
      </c>
      <c r="F73" s="14">
        <v>20</v>
      </c>
      <c r="G73" s="13" t="s">
        <v>170</v>
      </c>
      <c r="H73" t="s">
        <v>171</v>
      </c>
    </row>
    <row r="74" spans="3:8">
      <c r="C74" t="s">
        <v>165</v>
      </c>
      <c r="D74" t="s">
        <v>32</v>
      </c>
      <c r="F74" s="14">
        <v>25</v>
      </c>
      <c r="G74" s="13" t="s">
        <v>170</v>
      </c>
      <c r="H74" t="s">
        <v>171</v>
      </c>
    </row>
    <row r="75" spans="3:8">
      <c r="C75" t="s">
        <v>166</v>
      </c>
      <c r="D75" t="s">
        <v>32</v>
      </c>
      <c r="F75" s="14">
        <v>40</v>
      </c>
      <c r="G75" s="13" t="s">
        <v>170</v>
      </c>
      <c r="H75" t="s">
        <v>171</v>
      </c>
    </row>
    <row r="76" spans="3:8">
      <c r="G76" s="13"/>
    </row>
    <row r="77" spans="3:8">
      <c r="C77" t="s">
        <v>20</v>
      </c>
      <c r="D77" t="s">
        <v>36</v>
      </c>
      <c r="F77" s="14">
        <v>15.5</v>
      </c>
      <c r="G77" s="13" t="s">
        <v>33</v>
      </c>
    </row>
    <row r="78" spans="3:8">
      <c r="G78" s="13"/>
    </row>
    <row r="79" spans="3:8">
      <c r="C79" t="s">
        <v>153</v>
      </c>
      <c r="D79" t="s">
        <v>167</v>
      </c>
      <c r="F79" s="25">
        <v>13</v>
      </c>
      <c r="G79" s="13"/>
    </row>
    <row r="80" spans="3:8">
      <c r="C80" t="s">
        <v>164</v>
      </c>
      <c r="D80" t="s">
        <v>167</v>
      </c>
      <c r="F80" s="25">
        <v>14</v>
      </c>
      <c r="G80" s="13"/>
    </row>
    <row r="81" spans="1:40">
      <c r="C81" t="s">
        <v>165</v>
      </c>
      <c r="D81" t="s">
        <v>167</v>
      </c>
      <c r="F81" s="25">
        <v>14</v>
      </c>
      <c r="G81" s="13"/>
    </row>
    <row r="82" spans="1:40">
      <c r="C82" t="s">
        <v>166</v>
      </c>
      <c r="D82" t="s">
        <v>167</v>
      </c>
      <c r="F82" s="25">
        <v>14</v>
      </c>
      <c r="G82" s="13"/>
    </row>
    <row r="83" spans="1:40">
      <c r="C83" t="s">
        <v>153</v>
      </c>
      <c r="D83" t="s">
        <v>168</v>
      </c>
      <c r="F83" s="22">
        <v>44927</v>
      </c>
      <c r="G83" s="28"/>
    </row>
    <row r="84" spans="1:40">
      <c r="C84" t="s">
        <v>164</v>
      </c>
      <c r="D84" t="s">
        <v>168</v>
      </c>
      <c r="F84" s="22">
        <v>45292</v>
      </c>
      <c r="G84" s="13"/>
    </row>
    <row r="85" spans="1:40">
      <c r="C85" t="s">
        <v>165</v>
      </c>
      <c r="D85" t="s">
        <v>168</v>
      </c>
      <c r="F85" s="22">
        <v>45658</v>
      </c>
      <c r="G85" s="13"/>
    </row>
    <row r="86" spans="1:40">
      <c r="C86" t="s">
        <v>166</v>
      </c>
      <c r="D86" t="s">
        <v>168</v>
      </c>
      <c r="F86" s="22">
        <v>46204</v>
      </c>
      <c r="G86" s="13"/>
    </row>
    <row r="87" spans="1:40">
      <c r="C87" t="s">
        <v>153</v>
      </c>
      <c r="D87" t="s">
        <v>169</v>
      </c>
      <c r="F87" s="14">
        <v>203789.43221173107</v>
      </c>
      <c r="G87" s="13"/>
    </row>
    <row r="88" spans="1:40">
      <c r="C88" t="s">
        <v>164</v>
      </c>
      <c r="D88" t="s">
        <v>169</v>
      </c>
      <c r="F88" s="14">
        <v>266991.32812166261</v>
      </c>
      <c r="G88" s="13"/>
    </row>
    <row r="89" spans="1:40">
      <c r="C89" t="s">
        <v>165</v>
      </c>
      <c r="D89" t="s">
        <v>169</v>
      </c>
      <c r="F89" s="14">
        <v>354784.3589569623</v>
      </c>
      <c r="G89" s="13"/>
    </row>
    <row r="90" spans="1:40">
      <c r="C90" t="s">
        <v>166</v>
      </c>
      <c r="D90" t="s">
        <v>169</v>
      </c>
      <c r="F90" s="14">
        <v>457996.92425990006</v>
      </c>
      <c r="G90" s="13"/>
    </row>
    <row r="92" spans="1:40" s="17" customFormat="1" ht="14.4" customHeight="1">
      <c r="A92" s="15"/>
      <c r="B92" s="16" t="s">
        <v>53</v>
      </c>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row>
    <row r="94" spans="1:40">
      <c r="C94" t="s">
        <v>54</v>
      </c>
      <c r="F94" s="19">
        <v>7500000</v>
      </c>
      <c r="G94" s="13" t="s">
        <v>31</v>
      </c>
    </row>
    <row r="95" spans="1:40">
      <c r="C95" t="s">
        <v>57</v>
      </c>
      <c r="F95" s="21">
        <v>43831</v>
      </c>
      <c r="G95" s="13"/>
      <c r="H95" t="s">
        <v>58</v>
      </c>
    </row>
    <row r="96" spans="1:40">
      <c r="C96" t="s">
        <v>100</v>
      </c>
      <c r="F96" s="24">
        <v>0.78</v>
      </c>
      <c r="G96" s="13"/>
    </row>
    <row r="97" spans="1:40">
      <c r="C97" t="s">
        <v>102</v>
      </c>
      <c r="F97" s="24">
        <v>0.15</v>
      </c>
      <c r="G97" s="13"/>
    </row>
    <row r="98" spans="1:40">
      <c r="C98" t="s">
        <v>101</v>
      </c>
      <c r="F98" s="24">
        <v>7.0000000000000007E-2</v>
      </c>
      <c r="G98" s="13"/>
    </row>
    <row r="99" spans="1:40">
      <c r="C99" t="s">
        <v>59</v>
      </c>
      <c r="D99" t="s">
        <v>60</v>
      </c>
      <c r="F99" s="19">
        <v>2000000</v>
      </c>
      <c r="G99" s="13" t="s">
        <v>31</v>
      </c>
      <c r="H99" t="s">
        <v>172</v>
      </c>
    </row>
    <row r="100" spans="1:40">
      <c r="C100" t="s">
        <v>59</v>
      </c>
      <c r="D100" t="s">
        <v>100</v>
      </c>
      <c r="F100" s="24">
        <v>1</v>
      </c>
      <c r="G100" s="13"/>
    </row>
    <row r="101" spans="1:40">
      <c r="C101" t="s">
        <v>57</v>
      </c>
      <c r="F101" s="21">
        <v>48030</v>
      </c>
      <c r="G101" s="13"/>
    </row>
    <row r="102" spans="1:40">
      <c r="C102" t="s">
        <v>59</v>
      </c>
      <c r="D102" t="s">
        <v>60</v>
      </c>
      <c r="F102" s="19">
        <v>2500000</v>
      </c>
      <c r="G102" s="13" t="s">
        <v>31</v>
      </c>
      <c r="H102" t="s">
        <v>172</v>
      </c>
    </row>
    <row r="103" spans="1:40">
      <c r="C103" t="s">
        <v>59</v>
      </c>
      <c r="D103" t="s">
        <v>100</v>
      </c>
      <c r="F103" s="24">
        <v>1</v>
      </c>
      <c r="G103" s="13"/>
    </row>
    <row r="104" spans="1:40">
      <c r="C104" t="s">
        <v>57</v>
      </c>
      <c r="F104" s="21">
        <v>49919</v>
      </c>
      <c r="G104" s="13"/>
    </row>
    <row r="105" spans="1:40">
      <c r="C105" t="s">
        <v>20</v>
      </c>
      <c r="F105" s="14">
        <v>50</v>
      </c>
      <c r="G105" s="13" t="s">
        <v>33</v>
      </c>
      <c r="H105" t="s">
        <v>61</v>
      </c>
    </row>
    <row r="107" spans="1:40" s="17" customFormat="1" ht="14.4" customHeight="1">
      <c r="A107" s="15"/>
      <c r="B107" s="16" t="s">
        <v>8</v>
      </c>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row>
    <row r="109" spans="1:40">
      <c r="C109" t="s">
        <v>37</v>
      </c>
      <c r="F109" s="19">
        <v>0.32</v>
      </c>
      <c r="G109" s="13" t="s">
        <v>38</v>
      </c>
      <c r="H109" s="26" t="s">
        <v>156</v>
      </c>
    </row>
    <row r="110" spans="1:40">
      <c r="C110" t="s">
        <v>39</v>
      </c>
      <c r="F110" s="20">
        <v>10</v>
      </c>
      <c r="G110" s="13" t="s">
        <v>40</v>
      </c>
    </row>
    <row r="112" spans="1:40" s="17" customFormat="1" ht="14.4" customHeight="1">
      <c r="A112" s="15"/>
      <c r="B112" s="16" t="s">
        <v>9</v>
      </c>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row>
    <row r="114" spans="1:40">
      <c r="C114" t="s">
        <v>9</v>
      </c>
      <c r="F114" s="19">
        <v>15</v>
      </c>
      <c r="G114" s="13" t="s">
        <v>173</v>
      </c>
      <c r="H114" s="26" t="s">
        <v>156</v>
      </c>
    </row>
    <row r="116" spans="1:40" s="17" customFormat="1" ht="14.4" customHeight="1">
      <c r="A116" s="15"/>
      <c r="B116" s="16" t="s">
        <v>7</v>
      </c>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row>
    <row r="118" spans="1:40">
      <c r="C118" t="s">
        <v>110</v>
      </c>
      <c r="D118" t="s">
        <v>174</v>
      </c>
      <c r="F118" s="14">
        <v>1.35</v>
      </c>
      <c r="G118" s="13" t="s">
        <v>175</v>
      </c>
    </row>
    <row r="119" spans="1:40">
      <c r="C119" t="s">
        <v>114</v>
      </c>
      <c r="D119" t="s">
        <v>174</v>
      </c>
      <c r="F119" s="14">
        <v>1.49</v>
      </c>
      <c r="G119" s="13" t="s">
        <v>175</v>
      </c>
    </row>
    <row r="120" spans="1:40">
      <c r="C120" t="s">
        <v>117</v>
      </c>
      <c r="D120" t="s">
        <v>174</v>
      </c>
      <c r="F120" s="14">
        <v>0.91</v>
      </c>
      <c r="G120" s="13" t="s">
        <v>175</v>
      </c>
    </row>
    <row r="121" spans="1:40">
      <c r="C121" t="s">
        <v>124</v>
      </c>
      <c r="D121" t="s">
        <v>174</v>
      </c>
      <c r="F121" s="14">
        <v>1.42</v>
      </c>
      <c r="G121" s="13" t="s">
        <v>175</v>
      </c>
    </row>
    <row r="122" spans="1:40">
      <c r="C122" t="s">
        <v>110</v>
      </c>
      <c r="F122" s="14">
        <v>2906</v>
      </c>
      <c r="G122" s="13" t="s">
        <v>176</v>
      </c>
      <c r="H122" s="26" t="s">
        <v>156</v>
      </c>
    </row>
    <row r="123" spans="1:40">
      <c r="C123" t="s">
        <v>114</v>
      </c>
      <c r="F123" s="14">
        <v>1603</v>
      </c>
      <c r="G123" s="13" t="s">
        <v>176</v>
      </c>
      <c r="H123" s="26" t="s">
        <v>156</v>
      </c>
    </row>
    <row r="124" spans="1:40">
      <c r="C124" t="s">
        <v>117</v>
      </c>
      <c r="F124" s="14">
        <v>1016</v>
      </c>
      <c r="G124" s="13" t="s">
        <v>176</v>
      </c>
      <c r="H124" s="26" t="s">
        <v>156</v>
      </c>
    </row>
    <row r="125" spans="1:40">
      <c r="C125" t="s">
        <v>124</v>
      </c>
      <c r="F125" s="14">
        <v>4355</v>
      </c>
      <c r="G125" s="13" t="s">
        <v>176</v>
      </c>
      <c r="H125" s="26" t="s">
        <v>156</v>
      </c>
    </row>
    <row r="127" spans="1:40" s="17" customFormat="1" ht="14.4" customHeight="1">
      <c r="A127" s="15"/>
      <c r="B127" s="16" t="s">
        <v>41</v>
      </c>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row>
    <row r="129" spans="1:40">
      <c r="C129" t="s">
        <v>43</v>
      </c>
      <c r="F129" s="20">
        <v>7</v>
      </c>
      <c r="G129" s="13" t="s">
        <v>45</v>
      </c>
    </row>
    <row r="130" spans="1:40">
      <c r="C130" t="s">
        <v>44</v>
      </c>
      <c r="F130" s="20">
        <v>24</v>
      </c>
      <c r="G130" s="13" t="s">
        <v>46</v>
      </c>
    </row>
    <row r="131" spans="1:40">
      <c r="C131" t="s">
        <v>42</v>
      </c>
      <c r="F131" s="20">
        <v>42</v>
      </c>
      <c r="G131" s="13" t="s">
        <v>45</v>
      </c>
    </row>
    <row r="132" spans="1:40">
      <c r="C132" t="s">
        <v>47</v>
      </c>
      <c r="F132" s="19">
        <v>72000</v>
      </c>
      <c r="G132" s="13" t="s">
        <v>31</v>
      </c>
    </row>
    <row r="133" spans="1:40">
      <c r="C133" t="s">
        <v>48</v>
      </c>
      <c r="F133" s="20">
        <v>8</v>
      </c>
      <c r="G133" s="13" t="s">
        <v>87</v>
      </c>
    </row>
    <row r="135" spans="1:40" s="17" customFormat="1" ht="14.4" customHeight="1">
      <c r="A135" s="15"/>
      <c r="B135" s="16" t="s">
        <v>10</v>
      </c>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row>
    <row r="137" spans="1:40">
      <c r="C137" t="s">
        <v>62</v>
      </c>
      <c r="D137" t="s">
        <v>64</v>
      </c>
      <c r="F137" s="18">
        <v>0.1</v>
      </c>
      <c r="G137" s="13" t="s">
        <v>35</v>
      </c>
    </row>
    <row r="138" spans="1:40">
      <c r="C138" t="s">
        <v>63</v>
      </c>
      <c r="D138" t="s">
        <v>64</v>
      </c>
      <c r="F138" s="18">
        <v>0.05</v>
      </c>
      <c r="G138" s="13" t="s">
        <v>35</v>
      </c>
    </row>
    <row r="139" spans="1:40">
      <c r="C139" t="s">
        <v>182</v>
      </c>
      <c r="D139" t="s">
        <v>64</v>
      </c>
      <c r="F139" s="18">
        <v>0.02</v>
      </c>
      <c r="G139" s="13" t="s">
        <v>35</v>
      </c>
      <c r="H139" t="s">
        <v>184</v>
      </c>
    </row>
    <row r="140" spans="1:40">
      <c r="C140" t="s">
        <v>183</v>
      </c>
      <c r="F140" s="18">
        <v>5.0000000000000001E-3</v>
      </c>
      <c r="G140" s="13" t="s">
        <v>35</v>
      </c>
      <c r="H140" t="s">
        <v>65</v>
      </c>
      <c r="I140" t="s">
        <v>66</v>
      </c>
    </row>
    <row r="142" spans="1:40">
      <c r="C142" t="s">
        <v>337</v>
      </c>
      <c r="F142" s="18">
        <v>0.45</v>
      </c>
      <c r="G142" s="13" t="s">
        <v>35</v>
      </c>
      <c r="H142" t="s">
        <v>336</v>
      </c>
    </row>
    <row r="144" spans="1:40" s="17" customFormat="1" ht="14.4" customHeight="1">
      <c r="A144" s="15"/>
      <c r="B144" s="16" t="s">
        <v>67</v>
      </c>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row>
    <row r="146" spans="1:110">
      <c r="C146" t="s">
        <v>68</v>
      </c>
      <c r="F146" s="18">
        <v>0.28725000000000001</v>
      </c>
      <c r="G146" s="13" t="s">
        <v>35</v>
      </c>
    </row>
    <row r="147" spans="1:110">
      <c r="C147" t="s">
        <v>25</v>
      </c>
      <c r="F147" s="18" t="s">
        <v>189</v>
      </c>
      <c r="H147" t="s">
        <v>90</v>
      </c>
    </row>
    <row r="149" spans="1:110" s="17" customFormat="1" ht="14.4" customHeight="1">
      <c r="A149" s="15"/>
      <c r="B149" s="16" t="s">
        <v>69</v>
      </c>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row>
    <row r="151" spans="1:110">
      <c r="C151" t="s">
        <v>14</v>
      </c>
      <c r="F151" s="19">
        <v>3000000</v>
      </c>
      <c r="G151" s="13" t="s">
        <v>31</v>
      </c>
    </row>
    <row r="152" spans="1:110">
      <c r="C152" t="s">
        <v>71</v>
      </c>
      <c r="F152" s="18">
        <v>0.85499999999999998</v>
      </c>
      <c r="G152" s="13" t="s">
        <v>35</v>
      </c>
    </row>
    <row r="153" spans="1:110">
      <c r="C153" t="s">
        <v>330</v>
      </c>
      <c r="F153" s="18" t="s">
        <v>190</v>
      </c>
      <c r="G153" s="13"/>
    </row>
    <row r="155" spans="1:110" s="17" customFormat="1" ht="14.4" customHeight="1">
      <c r="A155" s="15"/>
      <c r="B155" s="16" t="s">
        <v>72</v>
      </c>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row>
    <row r="157" spans="1:110">
      <c r="C157" t="s">
        <v>73</v>
      </c>
      <c r="D157" t="s">
        <v>187</v>
      </c>
      <c r="F157" s="19">
        <v>55000000</v>
      </c>
      <c r="G157" s="13" t="s">
        <v>31</v>
      </c>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row>
    <row r="158" spans="1:110">
      <c r="C158" t="s">
        <v>19</v>
      </c>
      <c r="D158" t="s">
        <v>187</v>
      </c>
      <c r="F158" s="18">
        <v>0.08</v>
      </c>
      <c r="G158" s="13" t="s">
        <v>35</v>
      </c>
      <c r="H158" t="s">
        <v>93</v>
      </c>
    </row>
    <row r="159" spans="1:110">
      <c r="C159" t="s">
        <v>74</v>
      </c>
      <c r="D159" t="s">
        <v>187</v>
      </c>
      <c r="F159" s="19">
        <v>20</v>
      </c>
      <c r="G159" s="13" t="s">
        <v>33</v>
      </c>
    </row>
    <row r="160" spans="1:110">
      <c r="C160" t="s">
        <v>89</v>
      </c>
      <c r="D160" t="s">
        <v>187</v>
      </c>
      <c r="F160" s="21">
        <v>43466</v>
      </c>
      <c r="G160" s="13"/>
      <c r="H160" s="29" t="s">
        <v>347</v>
      </c>
    </row>
    <row r="161" spans="1:40">
      <c r="C161" t="s">
        <v>91</v>
      </c>
      <c r="D161" t="s">
        <v>187</v>
      </c>
      <c r="F161" s="19" t="s">
        <v>92</v>
      </c>
      <c r="G161" s="13"/>
    </row>
    <row r="162" spans="1:40">
      <c r="C162" t="s">
        <v>73</v>
      </c>
      <c r="D162" t="s">
        <v>188</v>
      </c>
      <c r="F162" s="19">
        <v>5000000</v>
      </c>
      <c r="G162" s="13" t="s">
        <v>31</v>
      </c>
    </row>
    <row r="163" spans="1:40">
      <c r="C163" t="s">
        <v>19</v>
      </c>
      <c r="D163" t="s">
        <v>188</v>
      </c>
      <c r="F163" s="18">
        <v>6.7500000000000004E-2</v>
      </c>
      <c r="G163" s="13" t="s">
        <v>35</v>
      </c>
      <c r="H163" t="s">
        <v>93</v>
      </c>
    </row>
    <row r="164" spans="1:40">
      <c r="C164" t="s">
        <v>74</v>
      </c>
      <c r="D164" t="s">
        <v>188</v>
      </c>
      <c r="F164" s="19">
        <v>25</v>
      </c>
      <c r="G164" s="13" t="s">
        <v>33</v>
      </c>
    </row>
    <row r="165" spans="1:40">
      <c r="C165" t="s">
        <v>89</v>
      </c>
      <c r="D165" t="s">
        <v>188</v>
      </c>
      <c r="F165" s="21">
        <v>45658</v>
      </c>
      <c r="G165" s="13"/>
      <c r="H165" s="29" t="s">
        <v>347</v>
      </c>
    </row>
    <row r="166" spans="1:40">
      <c r="C166" t="s">
        <v>91</v>
      </c>
      <c r="D166" t="s">
        <v>188</v>
      </c>
      <c r="F166" s="19" t="s">
        <v>92</v>
      </c>
      <c r="G166" s="13"/>
    </row>
    <row r="168" spans="1:40" s="17" customFormat="1" ht="14.4" customHeight="1">
      <c r="A168" s="15"/>
      <c r="B168" s="16" t="s">
        <v>95</v>
      </c>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row>
    <row r="170" spans="1:40">
      <c r="C170" t="s">
        <v>19</v>
      </c>
      <c r="D170" t="s">
        <v>96</v>
      </c>
      <c r="F170" s="18">
        <v>0.25</v>
      </c>
      <c r="G170" s="13" t="s">
        <v>35</v>
      </c>
      <c r="H170" t="s">
        <v>97</v>
      </c>
      <c r="I170" t="s">
        <v>338</v>
      </c>
    </row>
    <row r="171" spans="1:40">
      <c r="C171" t="s">
        <v>19</v>
      </c>
      <c r="D171" t="s">
        <v>98</v>
      </c>
      <c r="F171" s="18">
        <v>2.2499999999999999E-2</v>
      </c>
      <c r="G171" s="13" t="s">
        <v>35</v>
      </c>
      <c r="H171" t="s">
        <v>328</v>
      </c>
    </row>
    <row r="172" spans="1:40">
      <c r="C172" t="s">
        <v>329</v>
      </c>
      <c r="D172" t="s">
        <v>98</v>
      </c>
      <c r="F172" s="19">
        <v>120000</v>
      </c>
      <c r="G172" s="13" t="s">
        <v>31</v>
      </c>
    </row>
    <row r="174" spans="1:40" s="17" customFormat="1" ht="14.4" customHeight="1">
      <c r="A174" s="15"/>
      <c r="B174" s="16" t="s">
        <v>75</v>
      </c>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row>
    <row r="176" spans="1:40">
      <c r="C176" t="s">
        <v>76</v>
      </c>
      <c r="F176" s="20">
        <v>60</v>
      </c>
      <c r="G176" s="13" t="s">
        <v>77</v>
      </c>
    </row>
    <row r="177" spans="1:40">
      <c r="C177" t="s">
        <v>78</v>
      </c>
      <c r="F177" s="20">
        <v>50</v>
      </c>
      <c r="G177" s="13" t="s">
        <v>77</v>
      </c>
    </row>
    <row r="178" spans="1:40">
      <c r="C178" t="s">
        <v>79</v>
      </c>
      <c r="F178" s="20">
        <v>25</v>
      </c>
      <c r="G178" s="13" t="s">
        <v>77</v>
      </c>
    </row>
    <row r="180" spans="1:40" s="17" customFormat="1" ht="14.4" customHeight="1">
      <c r="A180" s="15"/>
      <c r="B180" s="16" t="s">
        <v>185</v>
      </c>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row>
    <row r="182" spans="1:40">
      <c r="C182" t="s">
        <v>26</v>
      </c>
      <c r="F182" s="19">
        <v>-59052.259770629928</v>
      </c>
      <c r="G182" s="13" t="s">
        <v>31</v>
      </c>
    </row>
    <row r="183" spans="1:40">
      <c r="C183" t="s">
        <v>11</v>
      </c>
      <c r="F183" s="19">
        <v>5500000</v>
      </c>
      <c r="G183" s="13" t="s">
        <v>31</v>
      </c>
    </row>
    <row r="184" spans="1:40">
      <c r="C184" t="s">
        <v>24</v>
      </c>
      <c r="F184" s="19">
        <v>280000</v>
      </c>
      <c r="G184" s="13" t="s">
        <v>31</v>
      </c>
    </row>
    <row r="185" spans="1:40">
      <c r="C185" t="s">
        <v>88</v>
      </c>
      <c r="F185" s="19">
        <v>27836705.473993406</v>
      </c>
      <c r="G185" s="13" t="s">
        <v>31</v>
      </c>
    </row>
    <row r="186" spans="1:40">
      <c r="C186" t="s">
        <v>186</v>
      </c>
      <c r="F186" s="19">
        <v>13471704.1</v>
      </c>
      <c r="G186" s="13" t="s">
        <v>31</v>
      </c>
      <c r="H186" s="27"/>
    </row>
    <row r="187" spans="1:40">
      <c r="C187" t="s">
        <v>53</v>
      </c>
      <c r="F187" s="19">
        <v>6300000</v>
      </c>
      <c r="G187" s="13" t="s">
        <v>31</v>
      </c>
      <c r="H187" s="27"/>
      <c r="I187" s="1"/>
    </row>
    <row r="188" spans="1:40">
      <c r="C188" t="s">
        <v>12</v>
      </c>
      <c r="F188" s="19">
        <v>950000</v>
      </c>
      <c r="G188" s="13" t="s">
        <v>31</v>
      </c>
    </row>
    <row r="189" spans="1:40">
      <c r="C189" t="s">
        <v>13</v>
      </c>
      <c r="F189" s="19">
        <v>1569000</v>
      </c>
      <c r="G189" s="13" t="s">
        <v>31</v>
      </c>
    </row>
    <row r="190" spans="1:40">
      <c r="C190" t="s">
        <v>18</v>
      </c>
      <c r="F190" s="19">
        <v>45242466.304222777</v>
      </c>
      <c r="G190" s="13" t="s">
        <v>31</v>
      </c>
    </row>
    <row r="191" spans="1:40">
      <c r="C191" t="s">
        <v>14</v>
      </c>
      <c r="F191" s="19">
        <v>3000000</v>
      </c>
      <c r="G191" s="13" t="s">
        <v>31</v>
      </c>
    </row>
    <row r="192" spans="1:40">
      <c r="C192" t="s">
        <v>15</v>
      </c>
      <c r="F192" s="19">
        <v>2567891.0099999998</v>
      </c>
      <c r="G192" s="13" t="s">
        <v>31</v>
      </c>
    </row>
    <row r="194" spans="1:40" s="17" customFormat="1" ht="14.4" customHeight="1">
      <c r="A194" s="15"/>
      <c r="B194" s="16" t="s">
        <v>82</v>
      </c>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row>
  </sheetData>
  <phoneticPr fontId="1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28C5-4B81-4411-8B81-A42617545EC2}">
  <sheetPr>
    <tabColor theme="8" tint="0.79998168889431442"/>
  </sheetPr>
  <dimension ref="A1:C101"/>
  <sheetViews>
    <sheetView zoomScale="77" workbookViewId="0"/>
  </sheetViews>
  <sheetFormatPr defaultRowHeight="15.6"/>
  <cols>
    <col min="1" max="1" width="65.44140625" style="10" bestFit="1" customWidth="1"/>
    <col min="2" max="2" width="16.33203125" style="10" customWidth="1"/>
    <col min="3" max="16384" width="8.88671875" style="10"/>
  </cols>
  <sheetData>
    <row r="1" spans="1:3">
      <c r="A1" s="9" t="s">
        <v>99</v>
      </c>
      <c r="B1" s="9" t="s">
        <v>16</v>
      </c>
      <c r="C1" s="9" t="s">
        <v>359</v>
      </c>
    </row>
    <row r="2" spans="1:3">
      <c r="A2" s="4" t="s">
        <v>196</v>
      </c>
      <c r="B2" s="11"/>
      <c r="C2" s="13" t="s">
        <v>31</v>
      </c>
    </row>
    <row r="3" spans="1:3">
      <c r="A3" s="4" t="s">
        <v>197</v>
      </c>
      <c r="B3" s="11"/>
      <c r="C3" s="13" t="s">
        <v>31</v>
      </c>
    </row>
    <row r="4" spans="1:3">
      <c r="A4" s="4" t="s">
        <v>198</v>
      </c>
      <c r="B4" s="11"/>
      <c r="C4" s="13" t="s">
        <v>31</v>
      </c>
    </row>
    <row r="5" spans="1:3">
      <c r="A5" s="4" t="s">
        <v>288</v>
      </c>
      <c r="B5" s="11"/>
      <c r="C5" s="13" t="s">
        <v>31</v>
      </c>
    </row>
    <row r="6" spans="1:3">
      <c r="A6" s="4" t="s">
        <v>199</v>
      </c>
      <c r="B6" s="11"/>
      <c r="C6" s="13" t="s">
        <v>31</v>
      </c>
    </row>
    <row r="7" spans="1:3">
      <c r="A7" s="4" t="s">
        <v>200</v>
      </c>
      <c r="B7" s="11"/>
      <c r="C7" s="13" t="s">
        <v>31</v>
      </c>
    </row>
    <row r="8" spans="1:3">
      <c r="A8" s="4" t="s">
        <v>201</v>
      </c>
      <c r="B8" s="11"/>
      <c r="C8" s="13" t="s">
        <v>31</v>
      </c>
    </row>
    <row r="9" spans="1:3">
      <c r="A9" s="4" t="s">
        <v>202</v>
      </c>
      <c r="B9" s="11"/>
      <c r="C9" s="13" t="s">
        <v>31</v>
      </c>
    </row>
    <row r="10" spans="1:3">
      <c r="A10" s="4" t="s">
        <v>203</v>
      </c>
      <c r="B10" s="11"/>
      <c r="C10" s="13" t="s">
        <v>31</v>
      </c>
    </row>
    <row r="11" spans="1:3">
      <c r="A11" s="4" t="s">
        <v>204</v>
      </c>
      <c r="B11" s="11"/>
      <c r="C11" s="13" t="s">
        <v>31</v>
      </c>
    </row>
    <row r="12" spans="1:3">
      <c r="A12" s="4" t="s">
        <v>205</v>
      </c>
      <c r="B12" s="11"/>
      <c r="C12" s="13" t="s">
        <v>31</v>
      </c>
    </row>
    <row r="13" spans="1:3">
      <c r="A13" s="4" t="s">
        <v>206</v>
      </c>
      <c r="B13" s="11"/>
      <c r="C13" s="13" t="s">
        <v>31</v>
      </c>
    </row>
    <row r="14" spans="1:3">
      <c r="A14" s="4" t="s">
        <v>287</v>
      </c>
      <c r="B14" s="11"/>
      <c r="C14" s="13" t="s">
        <v>31</v>
      </c>
    </row>
    <row r="15" spans="1:3">
      <c r="A15" s="4" t="s">
        <v>207</v>
      </c>
      <c r="B15" s="11"/>
      <c r="C15" s="13" t="s">
        <v>31</v>
      </c>
    </row>
    <row r="16" spans="1:3">
      <c r="A16" s="4" t="s">
        <v>208</v>
      </c>
      <c r="B16" s="11"/>
      <c r="C16" s="13" t="s">
        <v>31</v>
      </c>
    </row>
    <row r="17" spans="1:3">
      <c r="A17" s="4" t="s">
        <v>209</v>
      </c>
      <c r="B17" s="11"/>
      <c r="C17" s="13" t="s">
        <v>31</v>
      </c>
    </row>
    <row r="18" spans="1:3">
      <c r="A18" s="4" t="s">
        <v>210</v>
      </c>
      <c r="B18" s="11"/>
      <c r="C18" s="13" t="s">
        <v>31</v>
      </c>
    </row>
    <row r="19" spans="1:3">
      <c r="A19" s="4" t="s">
        <v>211</v>
      </c>
      <c r="B19" s="11"/>
      <c r="C19" s="13" t="s">
        <v>31</v>
      </c>
    </row>
    <row r="20" spans="1:3">
      <c r="A20" s="4" t="s">
        <v>212</v>
      </c>
      <c r="B20" s="11"/>
      <c r="C20" s="13" t="s">
        <v>31</v>
      </c>
    </row>
    <row r="21" spans="1:3">
      <c r="A21" s="4" t="s">
        <v>213</v>
      </c>
      <c r="B21" s="11"/>
      <c r="C21" s="13" t="s">
        <v>31</v>
      </c>
    </row>
    <row r="22" spans="1:3">
      <c r="A22" s="4" t="s">
        <v>214</v>
      </c>
      <c r="B22" s="11"/>
      <c r="C22" s="13" t="s">
        <v>31</v>
      </c>
    </row>
    <row r="23" spans="1:3">
      <c r="A23" s="4" t="s">
        <v>215</v>
      </c>
      <c r="B23" s="11"/>
      <c r="C23" s="13" t="s">
        <v>31</v>
      </c>
    </row>
    <row r="24" spans="1:3">
      <c r="A24" s="4" t="s">
        <v>103</v>
      </c>
      <c r="B24" s="11"/>
      <c r="C24" s="13" t="s">
        <v>31</v>
      </c>
    </row>
    <row r="25" spans="1:3">
      <c r="A25" s="4" t="s">
        <v>216</v>
      </c>
      <c r="B25" s="11"/>
      <c r="C25" s="13" t="s">
        <v>31</v>
      </c>
    </row>
    <row r="26" spans="1:3">
      <c r="A26" s="4" t="s">
        <v>217</v>
      </c>
      <c r="B26" s="11"/>
      <c r="C26" s="13" t="s">
        <v>31</v>
      </c>
    </row>
    <row r="27" spans="1:3">
      <c r="A27" s="10" t="s">
        <v>218</v>
      </c>
      <c r="B27" s="11"/>
      <c r="C27" s="13" t="s">
        <v>31</v>
      </c>
    </row>
    <row r="28" spans="1:3">
      <c r="A28" s="10" t="s">
        <v>219</v>
      </c>
      <c r="B28" s="11"/>
      <c r="C28" s="13" t="s">
        <v>31</v>
      </c>
    </row>
    <row r="29" spans="1:3">
      <c r="A29" s="10" t="s">
        <v>220</v>
      </c>
      <c r="B29" s="11"/>
      <c r="C29" s="13" t="s">
        <v>31</v>
      </c>
    </row>
    <row r="30" spans="1:3">
      <c r="A30" s="10" t="s">
        <v>221</v>
      </c>
      <c r="B30" s="11"/>
      <c r="C30" s="13" t="s">
        <v>31</v>
      </c>
    </row>
    <row r="31" spans="1:3">
      <c r="A31" s="10" t="s">
        <v>222</v>
      </c>
      <c r="B31" s="11"/>
      <c r="C31" s="13" t="s">
        <v>31</v>
      </c>
    </row>
    <row r="32" spans="1:3">
      <c r="A32" s="10" t="s">
        <v>223</v>
      </c>
      <c r="B32" s="11"/>
      <c r="C32" s="13" t="s">
        <v>31</v>
      </c>
    </row>
    <row r="33" spans="1:3">
      <c r="A33" s="10" t="s">
        <v>224</v>
      </c>
      <c r="B33" s="11"/>
      <c r="C33" s="13" t="s">
        <v>31</v>
      </c>
    </row>
    <row r="34" spans="1:3">
      <c r="A34" s="10" t="s">
        <v>225</v>
      </c>
      <c r="B34" s="11"/>
      <c r="C34" s="13" t="s">
        <v>31</v>
      </c>
    </row>
    <row r="35" spans="1:3">
      <c r="A35" s="10" t="s">
        <v>226</v>
      </c>
      <c r="B35" s="11"/>
      <c r="C35" s="13" t="s">
        <v>31</v>
      </c>
    </row>
    <row r="36" spans="1:3">
      <c r="A36" s="10" t="s">
        <v>227</v>
      </c>
      <c r="B36" s="11"/>
      <c r="C36" s="13" t="s">
        <v>31</v>
      </c>
    </row>
    <row r="37" spans="1:3">
      <c r="A37" s="10" t="s">
        <v>228</v>
      </c>
      <c r="B37" s="11"/>
      <c r="C37" s="13" t="s">
        <v>31</v>
      </c>
    </row>
    <row r="38" spans="1:3">
      <c r="A38" s="10" t="s">
        <v>229</v>
      </c>
      <c r="B38" s="11"/>
      <c r="C38" s="13" t="s">
        <v>31</v>
      </c>
    </row>
    <row r="39" spans="1:3">
      <c r="A39" s="10" t="s">
        <v>230</v>
      </c>
      <c r="B39" s="11"/>
      <c r="C39" s="13" t="s">
        <v>31</v>
      </c>
    </row>
    <row r="40" spans="1:3">
      <c r="A40" s="10" t="s">
        <v>231</v>
      </c>
      <c r="B40" s="11"/>
      <c r="C40" s="13" t="s">
        <v>31</v>
      </c>
    </row>
    <row r="41" spans="1:3">
      <c r="A41" s="10" t="s">
        <v>232</v>
      </c>
      <c r="B41" s="11"/>
      <c r="C41" s="13" t="s">
        <v>31</v>
      </c>
    </row>
    <row r="42" spans="1:3">
      <c r="A42" s="10" t="s">
        <v>233</v>
      </c>
      <c r="B42" s="11"/>
      <c r="C42" s="13" t="s">
        <v>31</v>
      </c>
    </row>
    <row r="43" spans="1:3">
      <c r="A43" s="10" t="s">
        <v>234</v>
      </c>
      <c r="B43" s="11"/>
      <c r="C43" s="13" t="s">
        <v>31</v>
      </c>
    </row>
    <row r="44" spans="1:3">
      <c r="A44" s="10" t="s">
        <v>355</v>
      </c>
      <c r="B44" s="11"/>
      <c r="C44" s="13" t="s">
        <v>31</v>
      </c>
    </row>
    <row r="45" spans="1:3">
      <c r="A45" s="10" t="s">
        <v>356</v>
      </c>
      <c r="B45" s="11"/>
      <c r="C45" s="13" t="s">
        <v>31</v>
      </c>
    </row>
    <row r="46" spans="1:3">
      <c r="A46" s="10" t="s">
        <v>235</v>
      </c>
      <c r="B46" s="11"/>
      <c r="C46" s="13" t="s">
        <v>31</v>
      </c>
    </row>
    <row r="47" spans="1:3">
      <c r="A47" s="10" t="s">
        <v>236</v>
      </c>
      <c r="B47" s="11"/>
      <c r="C47" s="13" t="s">
        <v>31</v>
      </c>
    </row>
    <row r="48" spans="1:3">
      <c r="A48" s="10" t="s">
        <v>237</v>
      </c>
      <c r="B48" s="11"/>
      <c r="C48" s="13" t="s">
        <v>31</v>
      </c>
    </row>
    <row r="49" spans="1:3">
      <c r="A49" s="10" t="s">
        <v>238</v>
      </c>
      <c r="B49" s="11"/>
      <c r="C49" s="13" t="s">
        <v>31</v>
      </c>
    </row>
    <row r="50" spans="1:3">
      <c r="A50" s="10" t="s">
        <v>239</v>
      </c>
      <c r="B50" s="11"/>
      <c r="C50" s="13" t="s">
        <v>31</v>
      </c>
    </row>
    <row r="51" spans="1:3">
      <c r="A51" s="10" t="s">
        <v>240</v>
      </c>
      <c r="B51" s="11"/>
      <c r="C51" s="13" t="s">
        <v>31</v>
      </c>
    </row>
    <row r="52" spans="1:3">
      <c r="A52" s="10" t="s">
        <v>241</v>
      </c>
      <c r="B52" s="11"/>
      <c r="C52" s="13" t="s">
        <v>31</v>
      </c>
    </row>
    <row r="53" spans="1:3">
      <c r="A53" s="10" t="s">
        <v>242</v>
      </c>
      <c r="B53" s="11"/>
      <c r="C53" s="13" t="s">
        <v>31</v>
      </c>
    </row>
    <row r="54" spans="1:3">
      <c r="A54" s="10" t="s">
        <v>243</v>
      </c>
      <c r="B54" s="11"/>
      <c r="C54" s="13" t="s">
        <v>31</v>
      </c>
    </row>
    <row r="55" spans="1:3">
      <c r="A55" s="10" t="s">
        <v>244</v>
      </c>
      <c r="B55" s="11"/>
      <c r="C55" s="13" t="s">
        <v>31</v>
      </c>
    </row>
    <row r="56" spans="1:3">
      <c r="A56" s="10" t="s">
        <v>357</v>
      </c>
      <c r="B56" s="11"/>
      <c r="C56" s="13" t="s">
        <v>31</v>
      </c>
    </row>
    <row r="57" spans="1:3">
      <c r="A57" s="10" t="s">
        <v>358</v>
      </c>
      <c r="B57" s="11"/>
      <c r="C57" s="13" t="s">
        <v>31</v>
      </c>
    </row>
    <row r="58" spans="1:3">
      <c r="A58" s="10" t="s">
        <v>245</v>
      </c>
      <c r="B58" s="11"/>
      <c r="C58" s="13" t="s">
        <v>31</v>
      </c>
    </row>
    <row r="59" spans="1:3">
      <c r="A59" s="10" t="s">
        <v>246</v>
      </c>
      <c r="B59" s="11"/>
      <c r="C59" s="13" t="s">
        <v>31</v>
      </c>
    </row>
    <row r="60" spans="1:3">
      <c r="A60" s="10" t="s">
        <v>247</v>
      </c>
      <c r="B60" s="11"/>
      <c r="C60" s="13" t="s">
        <v>31</v>
      </c>
    </row>
    <row r="61" spans="1:3">
      <c r="A61" s="10" t="s">
        <v>248</v>
      </c>
      <c r="B61" s="11"/>
      <c r="C61" s="13" t="s">
        <v>31</v>
      </c>
    </row>
    <row r="62" spans="1:3">
      <c r="A62" s="10" t="s">
        <v>289</v>
      </c>
      <c r="B62" s="11"/>
      <c r="C62" s="13" t="s">
        <v>31</v>
      </c>
    </row>
    <row r="63" spans="1:3">
      <c r="A63" s="10" t="s">
        <v>290</v>
      </c>
      <c r="B63" s="11"/>
      <c r="C63" s="13" t="s">
        <v>31</v>
      </c>
    </row>
    <row r="64" spans="1:3">
      <c r="A64" s="10" t="s">
        <v>249</v>
      </c>
      <c r="B64" s="11"/>
      <c r="C64" s="13" t="s">
        <v>31</v>
      </c>
    </row>
    <row r="65" spans="1:3">
      <c r="A65" s="10" t="s">
        <v>250</v>
      </c>
      <c r="B65" s="11"/>
      <c r="C65" s="13" t="s">
        <v>31</v>
      </c>
    </row>
    <row r="66" spans="1:3">
      <c r="A66" s="10" t="s">
        <v>251</v>
      </c>
      <c r="B66" s="11"/>
      <c r="C66" s="13" t="s">
        <v>31</v>
      </c>
    </row>
    <row r="67" spans="1:3">
      <c r="A67" s="10" t="s">
        <v>252</v>
      </c>
      <c r="B67" s="11"/>
      <c r="C67" s="13" t="s">
        <v>31</v>
      </c>
    </row>
    <row r="68" spans="1:3">
      <c r="A68" s="10" t="s">
        <v>253</v>
      </c>
      <c r="B68" s="11"/>
      <c r="C68" s="13" t="s">
        <v>31</v>
      </c>
    </row>
    <row r="69" spans="1:3">
      <c r="A69" s="10" t="s">
        <v>254</v>
      </c>
      <c r="B69" s="11"/>
      <c r="C69" s="13" t="s">
        <v>31</v>
      </c>
    </row>
    <row r="70" spans="1:3">
      <c r="A70" s="10" t="s">
        <v>255</v>
      </c>
      <c r="B70" s="11"/>
      <c r="C70" s="13" t="s">
        <v>31</v>
      </c>
    </row>
    <row r="71" spans="1:3">
      <c r="A71" s="10" t="s">
        <v>256</v>
      </c>
      <c r="B71" s="11"/>
      <c r="C71" s="13" t="s">
        <v>31</v>
      </c>
    </row>
    <row r="72" spans="1:3">
      <c r="A72" s="10" t="s">
        <v>257</v>
      </c>
      <c r="B72" s="11"/>
      <c r="C72" s="13" t="s">
        <v>31</v>
      </c>
    </row>
    <row r="73" spans="1:3">
      <c r="A73" s="10" t="s">
        <v>258</v>
      </c>
      <c r="B73" s="11"/>
      <c r="C73" s="13" t="s">
        <v>31</v>
      </c>
    </row>
    <row r="74" spans="1:3">
      <c r="A74" s="10" t="s">
        <v>259</v>
      </c>
      <c r="B74" s="11"/>
      <c r="C74" s="13" t="s">
        <v>31</v>
      </c>
    </row>
    <row r="75" spans="1:3">
      <c r="A75" s="10" t="s">
        <v>260</v>
      </c>
      <c r="B75" s="11"/>
      <c r="C75" s="13" t="s">
        <v>31</v>
      </c>
    </row>
    <row r="76" spans="1:3">
      <c r="A76" s="10" t="s">
        <v>261</v>
      </c>
      <c r="B76" s="11"/>
      <c r="C76" s="13" t="s">
        <v>31</v>
      </c>
    </row>
    <row r="77" spans="1:3">
      <c r="A77" s="10" t="s">
        <v>262</v>
      </c>
      <c r="B77" s="11"/>
      <c r="C77" s="13" t="s">
        <v>31</v>
      </c>
    </row>
    <row r="78" spans="1:3">
      <c r="A78" s="10" t="s">
        <v>263</v>
      </c>
      <c r="B78" s="11"/>
      <c r="C78" s="13" t="s">
        <v>31</v>
      </c>
    </row>
    <row r="79" spans="1:3">
      <c r="A79" s="10" t="s">
        <v>264</v>
      </c>
      <c r="B79" s="11"/>
      <c r="C79" s="13" t="s">
        <v>31</v>
      </c>
    </row>
    <row r="80" spans="1:3">
      <c r="A80" s="10" t="s">
        <v>265</v>
      </c>
      <c r="B80" s="11"/>
      <c r="C80" s="13" t="s">
        <v>31</v>
      </c>
    </row>
    <row r="81" spans="1:3">
      <c r="A81" s="10" t="s">
        <v>266</v>
      </c>
      <c r="B81" s="11"/>
      <c r="C81" s="13" t="s">
        <v>31</v>
      </c>
    </row>
    <row r="82" spans="1:3">
      <c r="A82" s="10" t="s">
        <v>267</v>
      </c>
      <c r="B82" s="11"/>
      <c r="C82" s="13" t="s">
        <v>31</v>
      </c>
    </row>
    <row r="83" spans="1:3">
      <c r="A83" s="10" t="s">
        <v>268</v>
      </c>
      <c r="B83" s="11"/>
      <c r="C83" s="13" t="s">
        <v>31</v>
      </c>
    </row>
    <row r="84" spans="1:3">
      <c r="A84" s="10" t="s">
        <v>269</v>
      </c>
      <c r="B84" s="11"/>
      <c r="C84" s="13" t="s">
        <v>31</v>
      </c>
    </row>
    <row r="85" spans="1:3">
      <c r="A85" s="10" t="s">
        <v>270</v>
      </c>
      <c r="B85" s="11"/>
      <c r="C85" s="13" t="s">
        <v>31</v>
      </c>
    </row>
    <row r="86" spans="1:3">
      <c r="A86" s="10" t="s">
        <v>271</v>
      </c>
      <c r="B86" s="11"/>
      <c r="C86" s="13" t="s">
        <v>31</v>
      </c>
    </row>
    <row r="87" spans="1:3">
      <c r="A87" s="10" t="s">
        <v>272</v>
      </c>
      <c r="B87" s="11"/>
      <c r="C87" s="13" t="s">
        <v>31</v>
      </c>
    </row>
    <row r="88" spans="1:3">
      <c r="A88" s="10" t="s">
        <v>273</v>
      </c>
      <c r="B88" s="11"/>
      <c r="C88" s="13" t="s">
        <v>31</v>
      </c>
    </row>
    <row r="89" spans="1:3">
      <c r="A89" s="10" t="s">
        <v>274</v>
      </c>
      <c r="B89" s="11"/>
      <c r="C89" s="13" t="s">
        <v>31</v>
      </c>
    </row>
    <row r="90" spans="1:3">
      <c r="A90" s="10" t="s">
        <v>275</v>
      </c>
      <c r="B90" s="11"/>
      <c r="C90" s="13" t="s">
        <v>31</v>
      </c>
    </row>
    <row r="91" spans="1:3">
      <c r="A91" s="10" t="s">
        <v>276</v>
      </c>
      <c r="B91" s="11"/>
      <c r="C91" s="13" t="s">
        <v>31</v>
      </c>
    </row>
    <row r="92" spans="1:3">
      <c r="A92" s="10" t="s">
        <v>277</v>
      </c>
      <c r="B92" s="11"/>
      <c r="C92" s="13" t="s">
        <v>31</v>
      </c>
    </row>
    <row r="93" spans="1:3">
      <c r="A93" s="10" t="s">
        <v>278</v>
      </c>
      <c r="B93" s="11"/>
      <c r="C93" s="13" t="s">
        <v>31</v>
      </c>
    </row>
    <row r="94" spans="1:3">
      <c r="A94" s="10" t="s">
        <v>279</v>
      </c>
      <c r="B94" s="11"/>
      <c r="C94" s="13" t="s">
        <v>31</v>
      </c>
    </row>
    <row r="95" spans="1:3">
      <c r="A95" s="10" t="s">
        <v>280</v>
      </c>
      <c r="B95" s="11"/>
      <c r="C95" s="13" t="s">
        <v>31</v>
      </c>
    </row>
    <row r="96" spans="1:3">
      <c r="A96" s="10" t="s">
        <v>281</v>
      </c>
      <c r="B96" s="11"/>
      <c r="C96" s="13" t="s">
        <v>31</v>
      </c>
    </row>
    <row r="97" spans="1:3">
      <c r="A97" s="10" t="s">
        <v>282</v>
      </c>
      <c r="B97" s="11"/>
      <c r="C97" s="13" t="s">
        <v>31</v>
      </c>
    </row>
    <row r="98" spans="1:3">
      <c r="A98" s="10" t="s">
        <v>283</v>
      </c>
      <c r="B98" s="11"/>
      <c r="C98" s="13" t="s">
        <v>31</v>
      </c>
    </row>
    <row r="99" spans="1:3">
      <c r="A99" s="10" t="s">
        <v>284</v>
      </c>
      <c r="B99" s="11"/>
      <c r="C99" s="13" t="s">
        <v>31</v>
      </c>
    </row>
    <row r="100" spans="1:3">
      <c r="A100" s="10" t="s">
        <v>285</v>
      </c>
      <c r="B100" s="11"/>
      <c r="C100" s="13" t="s">
        <v>31</v>
      </c>
    </row>
    <row r="101" spans="1:3">
      <c r="A101" s="10" t="s">
        <v>286</v>
      </c>
      <c r="B101" s="11"/>
      <c r="C101" s="13" t="s">
        <v>31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Assumptions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2026-04-25T16:15:40Z</dcterms:modified>
</cp:coreProperties>
</file>