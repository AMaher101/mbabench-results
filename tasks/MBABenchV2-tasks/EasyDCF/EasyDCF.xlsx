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\DCF (Discounted Cash Flow)\EasyDCF\starting_files\"/>
    </mc:Choice>
  </mc:AlternateContent>
  <xr:revisionPtr revIDLastSave="0" documentId="13_ncr:1_{E997AB2D-80C8-48CB-87F6-8873C3C95F2F}" xr6:coauthVersionLast="47" xr6:coauthVersionMax="47" xr10:uidLastSave="{00000000-0000-0000-0000-000000000000}"/>
  <bookViews>
    <workbookView xWindow="-108" yWindow="-108" windowWidth="23256" windowHeight="12456" tabRatio="734" xr2:uid="{9D050BFD-007E-4C38-9D7B-ED1AFA0D54D5}"/>
  </bookViews>
  <sheets>
    <sheet name="Instructions" sheetId="2" r:id="rId1"/>
    <sheet name="Assumption" sheetId="9" r:id="rId2"/>
    <sheet name="Questions" sheetId="6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<sst xmlns="http://schemas.openxmlformats.org/spreadsheetml/2006/main" count="357" uniqueCount="67">
  <si>
    <t>Answers</t>
  </si>
  <si>
    <t>Assumptions sheet may be also in the text on the Instructions tab - please use the assumptions on this sheet for your model</t>
  </si>
  <si>
    <t>End Sheet</t>
  </si>
  <si>
    <t>Questions (please round your answers to two decimal places)</t>
  </si>
  <si>
    <t>Current Assets</t>
  </si>
  <si>
    <t>Current Liabilities</t>
  </si>
  <si>
    <t>Unit</t>
  </si>
  <si>
    <t>Answer the questions using your model.</t>
  </si>
  <si>
    <t>Model basics</t>
  </si>
  <si>
    <t xml:space="preserve"> </t>
  </si>
  <si>
    <t>Financial data</t>
  </si>
  <si>
    <t>EBITDA</t>
  </si>
  <si>
    <t>EBIT</t>
  </si>
  <si>
    <t>Tax</t>
  </si>
  <si>
    <t>Total Assets</t>
  </si>
  <si>
    <t>Cash and Cash Equivalents</t>
  </si>
  <si>
    <t>Short-Term Debt</t>
  </si>
  <si>
    <t>Total Debt</t>
  </si>
  <si>
    <t>2026e</t>
  </si>
  <si>
    <t>2027e</t>
  </si>
  <si>
    <t>Valuation basis date</t>
  </si>
  <si>
    <t>Valuation date</t>
  </si>
  <si>
    <t>Market Variables</t>
  </si>
  <si>
    <t>Risk-free interest rate</t>
  </si>
  <si>
    <t>Adjusted beta, 3-year daily</t>
  </si>
  <si>
    <t>Market risk premium</t>
  </si>
  <si>
    <t>Cost of debt</t>
  </si>
  <si>
    <t>[%]</t>
  </si>
  <si>
    <t>Growth</t>
  </si>
  <si>
    <t>Total Equity</t>
  </si>
  <si>
    <t>Pretax Income</t>
  </si>
  <si>
    <t>Use the iterative method to calculate the WACC.</t>
  </si>
  <si>
    <t>Do not question the data provided.</t>
  </si>
  <si>
    <t>Assume book value of debt = market value of debt.</t>
  </si>
  <si>
    <t>Assume no changes regarding the balance sheet data provided between the Valuation basis date and the Valuation date.</t>
  </si>
  <si>
    <t>p.a.</t>
  </si>
  <si>
    <t>Valuation Task</t>
  </si>
  <si>
    <t>2028e</t>
  </si>
  <si>
    <t>2029e</t>
  </si>
  <si>
    <t>2030e</t>
  </si>
  <si>
    <t>What is the Equity value at Valuation date?</t>
  </si>
  <si>
    <t>Ensure that the valuation is transitioned to the valuation date.</t>
  </si>
  <si>
    <t>2031e</t>
  </si>
  <si>
    <t>2032e</t>
  </si>
  <si>
    <t>2033e</t>
  </si>
  <si>
    <t>2034e</t>
  </si>
  <si>
    <t>2035e</t>
  </si>
  <si>
    <t>DCF (Discounted Cash Flow) - Easy DCF</t>
  </si>
  <si>
    <t>Perform a DCF valuation for the company based on the provided data.</t>
  </si>
  <si>
    <t>You are given 10 years of explicit Forecast data - after those ten years, calculate the terminal value using the data given.</t>
  </si>
  <si>
    <t>g</t>
  </si>
  <si>
    <t>[CHF k]</t>
  </si>
  <si>
    <t>Compute the tax rate for all years you are able to calculate the tax rate and use the simple average as the constant tax rate in the DCF model.</t>
  </si>
  <si>
    <t>What is the Entity value at Valuation date?</t>
  </si>
  <si>
    <t>For the terminal value, calculate a normalized FCFF as a time-weighted average of all explicit forecast period FCFFs, using linear weights (weight 1 for 2026 through weight 10 for 2035).</t>
  </si>
  <si>
    <t>Use mid-year convention, including for the terminal value.</t>
  </si>
  <si>
    <t>What is the Discounted FCFF (to Valuation basis date) for the period 2026?</t>
  </si>
  <si>
    <t>What is the Discounted FCFF (to Valuation basis date) for the period 2027?</t>
  </si>
  <si>
    <t>What is the Discounted FCFF (to Valuation basis date) for the period 2028?</t>
  </si>
  <si>
    <t>What is the Discounted FCFF (to Valuation basis date) for the period 2029?</t>
  </si>
  <si>
    <t>What is the Discounted FCFF (to Valuation basis date) for the period 2030?</t>
  </si>
  <si>
    <t>What is the Discounted FCFF (to Valuation basis date) for the period 2031?</t>
  </si>
  <si>
    <t>What is the Discounted FCFF (to Valuation basis date) for the period 2032?</t>
  </si>
  <si>
    <t>What is the Discounted FCFF (to Valuation basis date) for the period 2033?</t>
  </si>
  <si>
    <t>What is the Discounted FCFF (to Valuation basis date) for the period 2034?</t>
  </si>
  <si>
    <t>What is the Discounted FCFF (to Valuation basis date) for the period 2035?</t>
  </si>
  <si>
    <t>What is the Discounted FCFF (to Valuation basis date) for the period TV?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</si>
</sst>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2"/>
      <color rgb="FF0000FF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4" fontId="10" fillId="5" borderId="2">
      <alignment horizontal="left"/>
    </xf>
    <xf numFmtId="0" fontId="13" fillId="0" borderId="0"/>
  </cellStyleXfs>
  <cellXfs count="27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0" applyFont="1"/>
    <xf numFmtId="0" fontId="8" fillId="0" borderId="0" xfId="2" applyFont="1"/>
    <xf numFmtId="0" fontId="5" fillId="0" borderId="0" xfId="2"/>
    <xf numFmtId="4" fontId="3" fillId="3" borderId="5" xfId="1" applyNumberFormat="1" applyFont="1" applyFill="1" applyBorder="1" applyAlignment="1">
      <alignment horizontal="center"/>
    </xf>
    <xf numFmtId="0" fontId="9" fillId="0" borderId="0" xfId="0" applyFont="1"/>
    <xf numFmtId="4" fontId="11" fillId="6" borderId="2" xfId="4" applyFont="1" applyFill="1">
      <alignment horizontal="left"/>
    </xf>
    <xf numFmtId="4" fontId="2" fillId="6" borderId="2" xfId="4" applyFont="1" applyFill="1">
      <alignment horizontal="left"/>
    </xf>
    <xf numFmtId="0" fontId="12" fillId="6" borderId="0" xfId="0" applyFont="1" applyFill="1"/>
    <xf numFmtId="10" fontId="9" fillId="4" borderId="5" xfId="3" applyNumberFormat="1" applyFont="1" applyFill="1" applyBorder="1"/>
    <xf numFmtId="3" fontId="9" fillId="4" borderId="5" xfId="3" applyNumberFormat="1" applyFont="1" applyFill="1" applyBorder="1"/>
    <xf numFmtId="0" fontId="14" fillId="0" borderId="0" xfId="0" applyFont="1"/>
    <xf numFmtId="0" fontId="15" fillId="0" borderId="0" xfId="0" applyFont="1"/>
    <xf numFmtId="14" fontId="9" fillId="4" borderId="5" xfId="3" applyNumberFormat="1" applyFont="1" applyFill="1" applyBorder="1"/>
    <xf numFmtId="4" fontId="9" fillId="4" borderId="5" xfId="3" applyNumberFormat="1" applyFont="1" applyFill="1" applyBorder="1"/>
    <xf numFmtId="0" fontId="3" fillId="0" borderId="0" xfId="1" quotePrefix="1" applyFont="1" applyAlignment="1">
      <alignment horizontal="left"/>
    </xf>
    <xf numFmtId="0" fontId="3" fillId="0" borderId="0" xfId="1" quotePrefix="1" applyFont="1"/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</cellXfs>
  <cellStyles count="6">
    <cellStyle name="M Section Header" xfId="4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5" xr:uid="{273FDE25-047F-448D-BEF1-698059824ACE}"/>
    <cellStyle name="Percent" xfId="3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21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22" t="s">
        <v>36</v>
      </c>
      <c r="C2" s="23"/>
      <c r="D2" s="23"/>
      <c r="E2" s="23"/>
      <c r="F2" s="23"/>
      <c r="G2" s="23"/>
      <c r="H2" s="23"/>
      <c r="I2" s="23"/>
      <c r="J2" s="23"/>
      <c r="K2" s="24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25" t="s">
        <v>47</v>
      </c>
      <c r="C4" s="26"/>
      <c r="D4" s="26"/>
      <c r="E4" s="26"/>
      <c r="F4" s="26"/>
      <c r="G4" s="26"/>
      <c r="H4" s="26"/>
      <c r="I4" s="26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21" t="s">
        <v>48</v>
      </c>
      <c r="C6" s="1"/>
      <c r="D6" s="1"/>
      <c r="E6" s="1"/>
      <c r="F6" s="1"/>
      <c r="G6" s="1"/>
      <c r="H6" s="1"/>
      <c r="I6" s="1"/>
      <c r="J6" s="1"/>
      <c r="K6" s="1"/>
    </row>
    <row r="7" spans="2:11">
      <c r="B7" s="3" t="s">
        <v>31</v>
      </c>
    </row>
    <row r="8" spans="2:11">
      <c r="B8" s="3" t="s">
        <v>33</v>
      </c>
    </row>
    <row r="9" spans="2:11">
      <c r="B9" s="3" t="s">
        <v>52</v>
      </c>
    </row>
    <row r="10" spans="2:11">
      <c r="B10" s="3" t="s">
        <v>49</v>
      </c>
    </row>
    <row r="11" spans="2:11">
      <c r="B11" s="3" t="s">
        <v>54</v>
      </c>
    </row>
    <row r="12" spans="2:11">
      <c r="B12" s="3" t="s">
        <v>34</v>
      </c>
    </row>
    <row r="13" spans="2:11">
      <c r="B13" s="3" t="s">
        <v>32</v>
      </c>
    </row>
    <row r="14" spans="2:11">
      <c r="B14" s="3" t="s">
        <v>55</v>
      </c>
    </row>
    <row r="15" spans="2:11">
      <c r="B15" s="3" t="s">
        <v>41</v>
      </c>
    </row>
    <row r="16" spans="2:11">
      <c r="B16" s="3"/>
    </row>
    <row r="17" spans="2:2">
      <c r="B17" s="3" t="s">
        <v>7</v>
      </c>
    </row>
    <row r="20" spans="2:2">
      <c r="B20" s="3"/>
    </row>
    <row r="21" spans="2:2">
      <c r="B21" s="3"/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AN126"/>
  <sheetViews>
    <sheetView showGridLines="0" zoomScale="74" workbookViewId="0"/>
  </sheetViews>
  <sheetFormatPr defaultRowHeight="14.4"/>
  <cols>
    <col min="1" max="1" width="4.77734375" style="6" customWidth="1"/>
    <col min="2" max="2" width="5.33203125" style="6" customWidth="1"/>
    <col min="3" max="3" width="24.5546875" customWidth="1"/>
    <col min="5" max="5" width="29.21875" bestFit="1" customWidth="1"/>
    <col min="6" max="12" width="17.88671875" customWidth="1"/>
    <col min="13" max="110" width="10.109375" bestFit="1" customWidth="1"/>
  </cols>
  <sheetData>
    <row r="1" spans="1:40">
      <c r="A1" s="6" t="str">
        <f>Instructions!B2&amp;": "&amp;Instructions!B4</f>
        <v>Valuation Task: DCF (Discounted Cash Flow) - Easy DCF</v>
      </c>
    </row>
    <row r="2" spans="1:40">
      <c r="A2" s="6" t="s">
        <v>1</v>
      </c>
    </row>
    <row r="4" spans="1:40" s="13" customFormat="1" ht="14.4" customHeight="1">
      <c r="A4" s="11"/>
      <c r="B4" s="12" t="s">
        <v>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6" spans="1:40">
      <c r="C6" t="s">
        <v>20</v>
      </c>
      <c r="F6" s="18">
        <v>46022</v>
      </c>
      <c r="G6" s="10"/>
    </row>
    <row r="7" spans="1:40">
      <c r="C7" t="s">
        <v>21</v>
      </c>
      <c r="F7" s="18">
        <v>46150</v>
      </c>
      <c r="G7" s="10"/>
    </row>
    <row r="9" spans="1:40" s="13" customFormat="1" ht="14.4" customHeight="1">
      <c r="A9" s="11"/>
      <c r="B9" s="12" t="s">
        <v>22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1" spans="1:40">
      <c r="C11" t="s">
        <v>23</v>
      </c>
      <c r="F11" s="14">
        <v>1.9E-3</v>
      </c>
      <c r="G11" s="10" t="s">
        <v>27</v>
      </c>
    </row>
    <row r="12" spans="1:40">
      <c r="C12" t="s">
        <v>24</v>
      </c>
      <c r="F12" s="19">
        <v>0.98</v>
      </c>
    </row>
    <row r="13" spans="1:40">
      <c r="C13" t="s">
        <v>25</v>
      </c>
      <c r="F13" s="14">
        <v>5.45E-2</v>
      </c>
      <c r="G13" s="10" t="s">
        <v>27</v>
      </c>
    </row>
    <row r="14" spans="1:40">
      <c r="C14" t="s">
        <v>26</v>
      </c>
      <c r="F14" s="14">
        <v>7.6663330633149548E-3</v>
      </c>
      <c r="G14" s="10" t="s">
        <v>27</v>
      </c>
    </row>
    <row r="16" spans="1:40" s="13" customFormat="1" ht="14.4" customHeight="1">
      <c r="A16" s="11"/>
      <c r="B16" s="12" t="s">
        <v>28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8" spans="1:40">
      <c r="C18" t="s">
        <v>50</v>
      </c>
      <c r="F18" s="14">
        <v>1.95E-2</v>
      </c>
      <c r="G18" s="10" t="s">
        <v>27</v>
      </c>
      <c r="H18" t="s">
        <v>35</v>
      </c>
    </row>
    <row r="20" spans="1:40" s="13" customFormat="1" ht="14.4" customHeight="1">
      <c r="A20" s="11"/>
      <c r="B20" s="12" t="s">
        <v>10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2" spans="1:40">
      <c r="C22" t="s">
        <v>15</v>
      </c>
      <c r="D22">
        <v>2024</v>
      </c>
      <c r="F22" s="15">
        <v>10255</v>
      </c>
      <c r="G22" s="10" t="s">
        <v>51</v>
      </c>
    </row>
    <row r="23" spans="1:40">
      <c r="C23" t="s">
        <v>15</v>
      </c>
      <c r="D23">
        <v>2025</v>
      </c>
      <c r="F23" s="15">
        <v>7938</v>
      </c>
      <c r="G23" s="10" t="s">
        <v>51</v>
      </c>
    </row>
    <row r="24" spans="1:40">
      <c r="B24"/>
      <c r="C24" t="s">
        <v>15</v>
      </c>
      <c r="D24" t="s">
        <v>18</v>
      </c>
      <c r="F24" s="15">
        <v>18030</v>
      </c>
      <c r="G24" s="10" t="s">
        <v>51</v>
      </c>
    </row>
    <row r="25" spans="1:40">
      <c r="B25"/>
      <c r="C25" t="s">
        <v>15</v>
      </c>
      <c r="D25" t="s">
        <v>19</v>
      </c>
      <c r="F25" s="15">
        <v>6883</v>
      </c>
      <c r="G25" s="10" t="s">
        <v>51</v>
      </c>
    </row>
    <row r="26" spans="1:40">
      <c r="B26"/>
      <c r="C26" t="s">
        <v>15</v>
      </c>
      <c r="D26" t="s">
        <v>37</v>
      </c>
      <c r="F26" s="15">
        <v>12330</v>
      </c>
      <c r="G26" s="10" t="s">
        <v>51</v>
      </c>
    </row>
    <row r="27" spans="1:40">
      <c r="B27"/>
      <c r="C27" t="s">
        <v>15</v>
      </c>
      <c r="D27" t="s">
        <v>38</v>
      </c>
      <c r="F27" s="15">
        <v>11023</v>
      </c>
      <c r="G27" s="10" t="s">
        <v>51</v>
      </c>
    </row>
    <row r="28" spans="1:40">
      <c r="B28"/>
      <c r="C28" t="s">
        <v>15</v>
      </c>
      <c r="D28" t="s">
        <v>39</v>
      </c>
      <c r="F28" s="15">
        <v>9694</v>
      </c>
      <c r="G28" s="10" t="s">
        <v>51</v>
      </c>
    </row>
    <row r="29" spans="1:40">
      <c r="B29"/>
      <c r="C29" t="s">
        <v>15</v>
      </c>
      <c r="D29" t="s">
        <v>42</v>
      </c>
      <c r="F29" s="15">
        <v>8164</v>
      </c>
      <c r="G29" s="10" t="s">
        <v>51</v>
      </c>
    </row>
    <row r="30" spans="1:40">
      <c r="B30"/>
      <c r="C30" t="s">
        <v>15</v>
      </c>
      <c r="D30" t="s">
        <v>43</v>
      </c>
      <c r="F30" s="15">
        <v>12028</v>
      </c>
      <c r="G30" s="10" t="s">
        <v>51</v>
      </c>
    </row>
    <row r="31" spans="1:40">
      <c r="B31"/>
      <c r="C31" t="s">
        <v>15</v>
      </c>
      <c r="D31" t="s">
        <v>44</v>
      </c>
      <c r="F31" s="15">
        <v>17252</v>
      </c>
      <c r="G31" s="10" t="s">
        <v>51</v>
      </c>
    </row>
    <row r="32" spans="1:40">
      <c r="B32"/>
      <c r="C32" t="s">
        <v>15</v>
      </c>
      <c r="D32" t="s">
        <v>45</v>
      </c>
      <c r="F32" s="15">
        <v>31069</v>
      </c>
      <c r="G32" s="10" t="s">
        <v>51</v>
      </c>
    </row>
    <row r="33" spans="2:7">
      <c r="B33"/>
      <c r="C33" s="17" t="s">
        <v>15</v>
      </c>
      <c r="D33" t="s">
        <v>46</v>
      </c>
      <c r="F33" s="15">
        <v>47029</v>
      </c>
      <c r="G33" s="10" t="s">
        <v>51</v>
      </c>
    </row>
    <row r="34" spans="2:7">
      <c r="B34"/>
      <c r="C34" s="17" t="s">
        <v>4</v>
      </c>
      <c r="D34">
        <v>2024</v>
      </c>
      <c r="F34" s="15">
        <v>26826</v>
      </c>
      <c r="G34" s="10" t="s">
        <v>51</v>
      </c>
    </row>
    <row r="35" spans="2:7">
      <c r="B35"/>
      <c r="C35" s="17" t="s">
        <v>4</v>
      </c>
      <c r="D35">
        <v>2025</v>
      </c>
      <c r="F35" s="15">
        <v>24389</v>
      </c>
      <c r="G35" s="10" t="s">
        <v>51</v>
      </c>
    </row>
    <row r="36" spans="2:7">
      <c r="B36"/>
      <c r="C36" s="17" t="s">
        <v>4</v>
      </c>
      <c r="D36" t="s">
        <v>18</v>
      </c>
      <c r="F36" s="15">
        <v>40471</v>
      </c>
      <c r="G36" s="10" t="s">
        <v>51</v>
      </c>
    </row>
    <row r="37" spans="2:7">
      <c r="B37"/>
      <c r="C37" s="17" t="s">
        <v>4</v>
      </c>
      <c r="D37" t="s">
        <v>19</v>
      </c>
      <c r="F37" s="15">
        <v>33796</v>
      </c>
      <c r="G37" s="10" t="s">
        <v>51</v>
      </c>
    </row>
    <row r="38" spans="2:7">
      <c r="B38"/>
      <c r="C38" t="s">
        <v>4</v>
      </c>
      <c r="D38" t="s">
        <v>37</v>
      </c>
      <c r="F38" s="15">
        <v>28061</v>
      </c>
      <c r="G38" s="10" t="s">
        <v>51</v>
      </c>
    </row>
    <row r="39" spans="2:7">
      <c r="B39"/>
      <c r="C39" t="s">
        <v>4</v>
      </c>
      <c r="D39" t="s">
        <v>38</v>
      </c>
      <c r="F39" s="15">
        <v>28574</v>
      </c>
      <c r="G39" s="10" t="s">
        <v>51</v>
      </c>
    </row>
    <row r="40" spans="2:7">
      <c r="B40"/>
      <c r="C40" t="s">
        <v>4</v>
      </c>
      <c r="D40" t="s">
        <v>39</v>
      </c>
      <c r="F40" s="15">
        <v>25822</v>
      </c>
      <c r="G40" s="10" t="s">
        <v>51</v>
      </c>
    </row>
    <row r="41" spans="2:7">
      <c r="B41"/>
      <c r="C41" t="s">
        <v>4</v>
      </c>
      <c r="D41" t="s">
        <v>42</v>
      </c>
      <c r="F41" s="15">
        <v>24710</v>
      </c>
      <c r="G41" s="10" t="s">
        <v>51</v>
      </c>
    </row>
    <row r="42" spans="2:7">
      <c r="B42"/>
      <c r="C42" t="s">
        <v>4</v>
      </c>
      <c r="D42" t="s">
        <v>43</v>
      </c>
      <c r="F42" s="15">
        <v>29298</v>
      </c>
      <c r="G42" s="10" t="s">
        <v>51</v>
      </c>
    </row>
    <row r="43" spans="2:7">
      <c r="B43"/>
      <c r="C43" t="s">
        <v>4</v>
      </c>
      <c r="D43" t="s">
        <v>44</v>
      </c>
      <c r="F43" s="15">
        <v>35403</v>
      </c>
      <c r="G43" s="10" t="s">
        <v>51</v>
      </c>
    </row>
    <row r="44" spans="2:7">
      <c r="B44"/>
      <c r="C44" s="17" t="s">
        <v>4</v>
      </c>
      <c r="D44" t="s">
        <v>45</v>
      </c>
      <c r="F44" s="15">
        <v>49549</v>
      </c>
      <c r="G44" s="10" t="s">
        <v>51</v>
      </c>
    </row>
    <row r="45" spans="2:7">
      <c r="B45"/>
      <c r="C45" s="17" t="s">
        <v>4</v>
      </c>
      <c r="D45" t="s">
        <v>46</v>
      </c>
      <c r="F45" s="15">
        <v>66113</v>
      </c>
      <c r="G45" s="10" t="s">
        <v>51</v>
      </c>
    </row>
    <row r="46" spans="2:7">
      <c r="B46"/>
      <c r="C46" s="17" t="s">
        <v>5</v>
      </c>
      <c r="D46">
        <v>2025</v>
      </c>
      <c r="F46" s="15">
        <v>27172</v>
      </c>
      <c r="G46" s="10" t="s">
        <v>51</v>
      </c>
    </row>
    <row r="47" spans="2:7">
      <c r="B47"/>
      <c r="C47" s="17" t="s">
        <v>5</v>
      </c>
      <c r="D47" t="s">
        <v>18</v>
      </c>
      <c r="F47" s="15">
        <v>26741</v>
      </c>
      <c r="G47" s="10" t="s">
        <v>51</v>
      </c>
    </row>
    <row r="48" spans="2:7">
      <c r="B48"/>
      <c r="C48" s="17" t="s">
        <v>5</v>
      </c>
      <c r="D48" t="s">
        <v>19</v>
      </c>
      <c r="F48" s="15">
        <v>26238</v>
      </c>
      <c r="G48" s="10" t="s">
        <v>51</v>
      </c>
    </row>
    <row r="49" spans="2:7">
      <c r="B49"/>
      <c r="C49" t="s">
        <v>5</v>
      </c>
      <c r="D49" t="s">
        <v>37</v>
      </c>
      <c r="F49" s="15">
        <v>24295</v>
      </c>
      <c r="G49" s="10" t="s">
        <v>51</v>
      </c>
    </row>
    <row r="50" spans="2:7">
      <c r="B50"/>
      <c r="C50" t="s">
        <v>5</v>
      </c>
      <c r="D50" t="s">
        <v>38</v>
      </c>
      <c r="F50" s="15">
        <v>27600</v>
      </c>
      <c r="G50" s="10" t="s">
        <v>51</v>
      </c>
    </row>
    <row r="51" spans="2:7">
      <c r="B51"/>
      <c r="C51" t="s">
        <v>5</v>
      </c>
      <c r="D51" t="s">
        <v>39</v>
      </c>
      <c r="F51" s="15">
        <v>23125</v>
      </c>
      <c r="G51" s="10" t="s">
        <v>51</v>
      </c>
    </row>
    <row r="52" spans="2:7">
      <c r="B52"/>
      <c r="C52" t="s">
        <v>5</v>
      </c>
      <c r="D52" t="s">
        <v>42</v>
      </c>
      <c r="F52" s="15">
        <v>25625</v>
      </c>
      <c r="G52" s="10" t="s">
        <v>51</v>
      </c>
    </row>
    <row r="53" spans="2:7">
      <c r="B53"/>
      <c r="C53" t="s">
        <v>5</v>
      </c>
      <c r="D53" t="s">
        <v>43</v>
      </c>
      <c r="F53" s="15">
        <v>26803</v>
      </c>
      <c r="G53" s="10" t="s">
        <v>51</v>
      </c>
    </row>
    <row r="54" spans="2:7">
      <c r="B54"/>
      <c r="C54" t="s">
        <v>5</v>
      </c>
      <c r="D54" t="s">
        <v>44</v>
      </c>
      <c r="F54" s="15">
        <v>27242</v>
      </c>
      <c r="G54" s="10" t="s">
        <v>51</v>
      </c>
    </row>
    <row r="55" spans="2:7">
      <c r="B55"/>
      <c r="C55" s="17" t="s">
        <v>5</v>
      </c>
      <c r="D55" t="s">
        <v>45</v>
      </c>
      <c r="F55" s="15">
        <v>27949</v>
      </c>
      <c r="G55" s="10" t="s">
        <v>51</v>
      </c>
    </row>
    <row r="56" spans="2:7">
      <c r="B56"/>
      <c r="C56" s="17" t="s">
        <v>5</v>
      </c>
      <c r="D56" t="s">
        <v>46</v>
      </c>
      <c r="F56" s="15">
        <v>29796</v>
      </c>
      <c r="G56" s="10" t="s">
        <v>51</v>
      </c>
    </row>
    <row r="57" spans="2:7">
      <c r="B57"/>
      <c r="C57" s="17" t="s">
        <v>12</v>
      </c>
      <c r="D57">
        <v>2025</v>
      </c>
      <c r="F57" s="15">
        <v>13210</v>
      </c>
      <c r="G57" s="10" t="s">
        <v>51</v>
      </c>
    </row>
    <row r="58" spans="2:7">
      <c r="B58"/>
      <c r="C58" s="17" t="s">
        <v>12</v>
      </c>
      <c r="D58" t="s">
        <v>18</v>
      </c>
      <c r="F58" s="15">
        <v>14684</v>
      </c>
      <c r="G58" s="10" t="s">
        <v>51</v>
      </c>
    </row>
    <row r="59" spans="2:7">
      <c r="B59"/>
      <c r="C59" s="17" t="s">
        <v>12</v>
      </c>
      <c r="D59" t="s">
        <v>19</v>
      </c>
      <c r="F59" s="15">
        <v>15259</v>
      </c>
      <c r="G59" s="10" t="s">
        <v>51</v>
      </c>
    </row>
    <row r="60" spans="2:7">
      <c r="B60"/>
      <c r="C60" t="s">
        <v>12</v>
      </c>
      <c r="D60" t="s">
        <v>37</v>
      </c>
      <c r="F60" s="15">
        <v>15072</v>
      </c>
      <c r="G60" s="10" t="s">
        <v>51</v>
      </c>
    </row>
    <row r="61" spans="2:7">
      <c r="B61"/>
      <c r="C61" t="s">
        <v>12</v>
      </c>
      <c r="D61" t="s">
        <v>38</v>
      </c>
      <c r="F61" s="15">
        <v>18752</v>
      </c>
      <c r="G61" s="10" t="s">
        <v>51</v>
      </c>
    </row>
    <row r="62" spans="2:7">
      <c r="B62"/>
      <c r="C62" t="s">
        <v>12</v>
      </c>
      <c r="D62" t="s">
        <v>39</v>
      </c>
      <c r="F62" s="15">
        <v>18556</v>
      </c>
      <c r="G62" s="10" t="s">
        <v>51</v>
      </c>
    </row>
    <row r="63" spans="2:7">
      <c r="B63"/>
      <c r="C63" t="s">
        <v>12</v>
      </c>
      <c r="D63" t="s">
        <v>42</v>
      </c>
      <c r="F63" s="15">
        <v>18332</v>
      </c>
      <c r="G63" s="10" t="s">
        <v>51</v>
      </c>
    </row>
    <row r="64" spans="2:7">
      <c r="B64"/>
      <c r="C64" t="s">
        <v>12</v>
      </c>
      <c r="D64" t="s">
        <v>43</v>
      </c>
      <c r="F64" s="15">
        <v>19663</v>
      </c>
      <c r="G64" s="10" t="s">
        <v>51</v>
      </c>
    </row>
    <row r="65" spans="2:7">
      <c r="B65"/>
      <c r="C65" t="s">
        <v>12</v>
      </c>
      <c r="D65" t="s">
        <v>44</v>
      </c>
      <c r="F65" s="15">
        <v>21409</v>
      </c>
      <c r="G65" s="10" t="s">
        <v>51</v>
      </c>
    </row>
    <row r="66" spans="2:7">
      <c r="B66"/>
      <c r="C66" t="s">
        <v>12</v>
      </c>
      <c r="D66" t="s">
        <v>45</v>
      </c>
      <c r="F66" s="15">
        <v>22957</v>
      </c>
      <c r="G66" s="10" t="s">
        <v>51</v>
      </c>
    </row>
    <row r="67" spans="2:7">
      <c r="B67"/>
      <c r="C67" t="s">
        <v>12</v>
      </c>
      <c r="D67" t="s">
        <v>46</v>
      </c>
      <c r="F67" s="15">
        <v>24265</v>
      </c>
      <c r="G67" s="10" t="s">
        <v>51</v>
      </c>
    </row>
    <row r="68" spans="2:7">
      <c r="B68"/>
      <c r="C68" t="s">
        <v>11</v>
      </c>
      <c r="D68" t="s">
        <v>18</v>
      </c>
      <c r="F68" s="15">
        <v>15770</v>
      </c>
      <c r="G68" s="10" t="s">
        <v>51</v>
      </c>
    </row>
    <row r="69" spans="2:7">
      <c r="B69"/>
      <c r="C69" t="s">
        <v>11</v>
      </c>
      <c r="D69" t="s">
        <v>19</v>
      </c>
      <c r="F69" s="15">
        <v>16599</v>
      </c>
      <c r="G69" s="10" t="s">
        <v>51</v>
      </c>
    </row>
    <row r="70" spans="2:7">
      <c r="B70"/>
      <c r="C70" t="s">
        <v>11</v>
      </c>
      <c r="D70" t="s">
        <v>37</v>
      </c>
      <c r="F70" s="15">
        <v>16303</v>
      </c>
      <c r="G70" s="10" t="s">
        <v>51</v>
      </c>
    </row>
    <row r="71" spans="2:7">
      <c r="B71"/>
      <c r="C71" t="s">
        <v>11</v>
      </c>
      <c r="D71" t="s">
        <v>38</v>
      </c>
      <c r="F71" s="15">
        <v>19758</v>
      </c>
      <c r="G71" s="10" t="s">
        <v>51</v>
      </c>
    </row>
    <row r="72" spans="2:7">
      <c r="B72"/>
      <c r="C72" t="s">
        <v>11</v>
      </c>
      <c r="D72" t="s">
        <v>39</v>
      </c>
      <c r="F72" s="15">
        <v>19472</v>
      </c>
      <c r="G72" s="10" t="s">
        <v>51</v>
      </c>
    </row>
    <row r="73" spans="2:7">
      <c r="B73"/>
      <c r="C73" t="s">
        <v>11</v>
      </c>
      <c r="D73" t="s">
        <v>42</v>
      </c>
      <c r="F73" s="15">
        <v>19484</v>
      </c>
      <c r="G73" s="10" t="s">
        <v>51</v>
      </c>
    </row>
    <row r="74" spans="2:7">
      <c r="B74"/>
      <c r="C74" t="s">
        <v>11</v>
      </c>
      <c r="D74" t="s">
        <v>43</v>
      </c>
      <c r="F74" s="15">
        <v>21157</v>
      </c>
      <c r="G74" s="10" t="s">
        <v>51</v>
      </c>
    </row>
    <row r="75" spans="2:7">
      <c r="B75"/>
      <c r="C75" t="s">
        <v>11</v>
      </c>
      <c r="D75" t="s">
        <v>44</v>
      </c>
      <c r="F75" s="15">
        <v>22881</v>
      </c>
      <c r="G75" s="10" t="s">
        <v>51</v>
      </c>
    </row>
    <row r="76" spans="2:7">
      <c r="B76"/>
      <c r="C76" t="s">
        <v>11</v>
      </c>
      <c r="D76" t="s">
        <v>45</v>
      </c>
      <c r="F76" s="15">
        <v>25061</v>
      </c>
      <c r="G76" s="10" t="s">
        <v>51</v>
      </c>
    </row>
    <row r="77" spans="2:7">
      <c r="B77"/>
      <c r="C77" t="s">
        <v>11</v>
      </c>
      <c r="D77" t="s">
        <v>46</v>
      </c>
      <c r="F77" s="15">
        <v>27122</v>
      </c>
      <c r="G77" s="10" t="s">
        <v>51</v>
      </c>
    </row>
    <row r="78" spans="2:7">
      <c r="B78"/>
      <c r="C78" t="s">
        <v>30</v>
      </c>
      <c r="D78">
        <v>2025</v>
      </c>
      <c r="F78" s="15">
        <v>12789</v>
      </c>
      <c r="G78" s="10" t="s">
        <v>51</v>
      </c>
    </row>
    <row r="79" spans="2:7">
      <c r="B79"/>
      <c r="C79" t="s">
        <v>30</v>
      </c>
      <c r="D79" t="s">
        <v>18</v>
      </c>
      <c r="F79" s="15">
        <v>14809</v>
      </c>
      <c r="G79" s="10" t="s">
        <v>51</v>
      </c>
    </row>
    <row r="80" spans="2:7">
      <c r="B80"/>
      <c r="C80" t="s">
        <v>30</v>
      </c>
      <c r="D80" t="s">
        <v>19</v>
      </c>
      <c r="F80" s="15">
        <v>8421</v>
      </c>
      <c r="G80" s="10" t="s">
        <v>51</v>
      </c>
    </row>
    <row r="81" spans="2:7">
      <c r="B81"/>
      <c r="C81" t="s">
        <v>30</v>
      </c>
      <c r="D81" t="s">
        <v>37</v>
      </c>
      <c r="F81" s="15">
        <v>14809</v>
      </c>
      <c r="G81" s="10" t="s">
        <v>51</v>
      </c>
    </row>
    <row r="82" spans="2:7">
      <c r="B82"/>
      <c r="C82" t="s">
        <v>30</v>
      </c>
      <c r="D82" t="s">
        <v>38</v>
      </c>
      <c r="F82" s="15">
        <v>8421</v>
      </c>
      <c r="G82" s="10" t="s">
        <v>51</v>
      </c>
    </row>
    <row r="83" spans="2:7">
      <c r="B83"/>
      <c r="C83" t="s">
        <v>30</v>
      </c>
      <c r="D83" t="s">
        <v>39</v>
      </c>
      <c r="F83" s="15">
        <v>14669</v>
      </c>
      <c r="G83" s="10" t="s">
        <v>51</v>
      </c>
    </row>
    <row r="84" spans="2:7">
      <c r="B84"/>
      <c r="C84" t="s">
        <v>30</v>
      </c>
      <c r="D84" t="s">
        <v>42</v>
      </c>
      <c r="F84" s="15">
        <v>18057</v>
      </c>
      <c r="G84" s="10" t="s">
        <v>51</v>
      </c>
    </row>
    <row r="85" spans="2:7">
      <c r="B85"/>
      <c r="C85" t="s">
        <v>30</v>
      </c>
      <c r="D85" t="s">
        <v>43</v>
      </c>
      <c r="F85" s="15">
        <v>17614</v>
      </c>
      <c r="G85" s="10" t="s">
        <v>51</v>
      </c>
    </row>
    <row r="86" spans="2:7">
      <c r="B86"/>
      <c r="C86" t="s">
        <v>30</v>
      </c>
      <c r="D86" t="s">
        <v>44</v>
      </c>
      <c r="F86" s="15">
        <v>16928</v>
      </c>
      <c r="G86" s="10" t="s">
        <v>51</v>
      </c>
    </row>
    <row r="87" spans="2:7">
      <c r="B87"/>
      <c r="C87" t="s">
        <v>30</v>
      </c>
      <c r="D87" t="s">
        <v>45</v>
      </c>
      <c r="F87" s="15">
        <v>18682</v>
      </c>
      <c r="G87" s="10" t="s">
        <v>51</v>
      </c>
    </row>
    <row r="88" spans="2:7">
      <c r="B88"/>
      <c r="C88" t="s">
        <v>30</v>
      </c>
      <c r="D88" t="s">
        <v>46</v>
      </c>
      <c r="F88" s="15">
        <v>20536</v>
      </c>
      <c r="G88" s="10" t="s">
        <v>51</v>
      </c>
    </row>
    <row r="89" spans="2:7">
      <c r="B89"/>
      <c r="C89" t="s">
        <v>16</v>
      </c>
      <c r="D89">
        <v>2025</v>
      </c>
      <c r="F89" s="15">
        <v>8043</v>
      </c>
      <c r="G89" s="10" t="s">
        <v>51</v>
      </c>
    </row>
    <row r="90" spans="2:7">
      <c r="B90"/>
      <c r="C90" t="s">
        <v>16</v>
      </c>
      <c r="D90" t="s">
        <v>18</v>
      </c>
      <c r="F90" s="15">
        <v>5694</v>
      </c>
      <c r="G90" s="10" t="s">
        <v>51</v>
      </c>
    </row>
    <row r="91" spans="2:7">
      <c r="B91"/>
      <c r="C91" t="s">
        <v>16</v>
      </c>
      <c r="D91" t="s">
        <v>19</v>
      </c>
      <c r="F91" s="15">
        <v>5545</v>
      </c>
      <c r="G91" s="10" t="s">
        <v>51</v>
      </c>
    </row>
    <row r="92" spans="2:7">
      <c r="B92"/>
      <c r="C92" t="s">
        <v>16</v>
      </c>
      <c r="D92" t="s">
        <v>37</v>
      </c>
      <c r="F92" s="15">
        <v>5685</v>
      </c>
      <c r="G92" s="10" t="s">
        <v>51</v>
      </c>
    </row>
    <row r="93" spans="2:7">
      <c r="B93"/>
      <c r="C93" t="s">
        <v>16</v>
      </c>
      <c r="D93" t="s">
        <v>38</v>
      </c>
      <c r="F93" s="15">
        <v>8032</v>
      </c>
      <c r="G93" s="10" t="s">
        <v>51</v>
      </c>
    </row>
    <row r="94" spans="2:7">
      <c r="B94"/>
      <c r="C94" t="s">
        <v>16</v>
      </c>
      <c r="D94" t="s">
        <v>39</v>
      </c>
      <c r="F94" s="15">
        <v>4749</v>
      </c>
      <c r="G94" s="10" t="s">
        <v>51</v>
      </c>
    </row>
    <row r="95" spans="2:7">
      <c r="B95"/>
      <c r="C95" t="s">
        <v>16</v>
      </c>
      <c r="D95" t="s">
        <v>42</v>
      </c>
      <c r="F95" s="15">
        <v>6946</v>
      </c>
      <c r="G95" s="10" t="s">
        <v>51</v>
      </c>
    </row>
    <row r="96" spans="2:7">
      <c r="B96"/>
      <c r="C96" t="s">
        <v>16</v>
      </c>
      <c r="D96" t="s">
        <v>43</v>
      </c>
      <c r="F96" s="15">
        <v>6522</v>
      </c>
      <c r="G96" s="10" t="s">
        <v>51</v>
      </c>
    </row>
    <row r="97" spans="2:7">
      <c r="B97"/>
      <c r="C97" t="s">
        <v>16</v>
      </c>
      <c r="D97" t="s">
        <v>44</v>
      </c>
      <c r="F97" s="15">
        <v>5553</v>
      </c>
      <c r="G97" s="10" t="s">
        <v>51</v>
      </c>
    </row>
    <row r="98" spans="2:7">
      <c r="B98"/>
      <c r="C98" t="s">
        <v>16</v>
      </c>
      <c r="D98" t="s">
        <v>45</v>
      </c>
      <c r="F98" s="15">
        <v>3905</v>
      </c>
      <c r="G98" s="10" t="s">
        <v>51</v>
      </c>
    </row>
    <row r="99" spans="2:7">
      <c r="B99"/>
      <c r="C99" t="s">
        <v>16</v>
      </c>
      <c r="D99" t="s">
        <v>46</v>
      </c>
      <c r="F99" s="15">
        <v>4757</v>
      </c>
      <c r="G99" s="10" t="s">
        <v>51</v>
      </c>
    </row>
    <row r="100" spans="2:7">
      <c r="B100"/>
      <c r="C100" t="s">
        <v>13</v>
      </c>
      <c r="D100">
        <v>2025</v>
      </c>
      <c r="F100" s="15">
        <v>1521</v>
      </c>
      <c r="G100" s="10" t="s">
        <v>51</v>
      </c>
    </row>
    <row r="101" spans="2:7">
      <c r="B101"/>
      <c r="C101" t="s">
        <v>13</v>
      </c>
      <c r="D101" t="s">
        <v>18</v>
      </c>
      <c r="F101" s="15">
        <v>1876</v>
      </c>
      <c r="G101" s="10" t="s">
        <v>51</v>
      </c>
    </row>
    <row r="102" spans="2:7">
      <c r="B102"/>
      <c r="C102" t="s">
        <v>13</v>
      </c>
      <c r="D102" t="s">
        <v>19</v>
      </c>
      <c r="F102" s="15">
        <v>1297</v>
      </c>
      <c r="G102" s="10" t="s">
        <v>51</v>
      </c>
    </row>
    <row r="103" spans="2:7">
      <c r="B103"/>
      <c r="C103" t="s">
        <v>13</v>
      </c>
      <c r="D103" t="s">
        <v>37</v>
      </c>
      <c r="F103" s="15">
        <v>507</v>
      </c>
      <c r="G103" s="10" t="s">
        <v>51</v>
      </c>
    </row>
    <row r="104" spans="2:7">
      <c r="B104"/>
      <c r="C104" t="s">
        <v>13</v>
      </c>
      <c r="D104" t="s">
        <v>38</v>
      </c>
      <c r="F104" s="15">
        <v>2425</v>
      </c>
      <c r="G104" s="10" t="s">
        <v>51</v>
      </c>
    </row>
    <row r="105" spans="2:7">
      <c r="B105"/>
      <c r="C105" t="s">
        <v>13</v>
      </c>
      <c r="D105" t="s">
        <v>39</v>
      </c>
      <c r="F105" s="15">
        <v>2247</v>
      </c>
      <c r="G105" s="10" t="s">
        <v>51</v>
      </c>
    </row>
    <row r="106" spans="2:7">
      <c r="B106"/>
      <c r="C106" t="s">
        <v>13</v>
      </c>
      <c r="D106" t="s">
        <v>42</v>
      </c>
      <c r="F106" s="15">
        <v>2399</v>
      </c>
      <c r="G106" s="10" t="s">
        <v>51</v>
      </c>
    </row>
    <row r="107" spans="2:7">
      <c r="B107"/>
      <c r="C107" t="s">
        <v>13</v>
      </c>
      <c r="D107" t="s">
        <v>43</v>
      </c>
      <c r="F107" s="15">
        <v>2635</v>
      </c>
      <c r="G107" s="10" t="s">
        <v>51</v>
      </c>
    </row>
    <row r="108" spans="2:7">
      <c r="B108"/>
      <c r="C108" t="s">
        <v>13</v>
      </c>
      <c r="D108" t="s">
        <v>44</v>
      </c>
      <c r="F108" s="15">
        <v>2912</v>
      </c>
      <c r="G108" s="10" t="s">
        <v>51</v>
      </c>
    </row>
    <row r="109" spans="2:7">
      <c r="B109"/>
      <c r="C109" t="s">
        <v>13</v>
      </c>
      <c r="D109" t="s">
        <v>45</v>
      </c>
      <c r="F109" s="15">
        <v>3388</v>
      </c>
      <c r="G109" s="10" t="s">
        <v>51</v>
      </c>
    </row>
    <row r="110" spans="2:7">
      <c r="B110"/>
      <c r="C110" t="s">
        <v>13</v>
      </c>
      <c r="D110" t="s">
        <v>46</v>
      </c>
      <c r="F110" s="15">
        <v>3855</v>
      </c>
      <c r="G110" s="10" t="s">
        <v>51</v>
      </c>
    </row>
    <row r="111" spans="2:7">
      <c r="B111"/>
      <c r="C111" t="s">
        <v>14</v>
      </c>
      <c r="D111">
        <v>2024</v>
      </c>
      <c r="F111" s="15">
        <v>107624</v>
      </c>
      <c r="G111" s="10" t="s">
        <v>51</v>
      </c>
    </row>
    <row r="112" spans="2:7">
      <c r="B112"/>
      <c r="C112" t="s">
        <v>14</v>
      </c>
      <c r="D112">
        <v>2025</v>
      </c>
      <c r="F112" s="15">
        <v>108543</v>
      </c>
      <c r="G112" s="10" t="s">
        <v>51</v>
      </c>
    </row>
    <row r="113" spans="1:40">
      <c r="B113"/>
      <c r="C113" t="s">
        <v>14</v>
      </c>
      <c r="D113" t="s">
        <v>18</v>
      </c>
      <c r="F113" s="15">
        <v>116669</v>
      </c>
      <c r="G113" s="10" t="s">
        <v>51</v>
      </c>
    </row>
    <row r="114" spans="1:40">
      <c r="B114"/>
      <c r="C114" t="s">
        <v>14</v>
      </c>
      <c r="D114" t="s">
        <v>19</v>
      </c>
      <c r="F114" s="15">
        <v>107543</v>
      </c>
      <c r="G114" s="10" t="s">
        <v>51</v>
      </c>
    </row>
    <row r="115" spans="1:40">
      <c r="B115"/>
      <c r="C115" t="s">
        <v>14</v>
      </c>
      <c r="D115" t="s">
        <v>37</v>
      </c>
      <c r="F115" s="15">
        <v>92009</v>
      </c>
      <c r="G115" s="10" t="s">
        <v>51</v>
      </c>
    </row>
    <row r="116" spans="1:40">
      <c r="B116"/>
      <c r="C116" t="s">
        <v>14</v>
      </c>
      <c r="D116" t="s">
        <v>38</v>
      </c>
      <c r="F116" s="15">
        <v>98356</v>
      </c>
      <c r="G116" s="10" t="s">
        <v>51</v>
      </c>
    </row>
    <row r="117" spans="1:40">
      <c r="B117"/>
      <c r="C117" t="s">
        <v>14</v>
      </c>
      <c r="D117" t="s">
        <v>39</v>
      </c>
      <c r="F117" s="15">
        <v>94057</v>
      </c>
      <c r="G117" s="10" t="s">
        <v>51</v>
      </c>
    </row>
    <row r="118" spans="1:40">
      <c r="B118"/>
      <c r="C118" t="s">
        <v>14</v>
      </c>
      <c r="D118" t="s">
        <v>42</v>
      </c>
      <c r="F118" s="15">
        <v>98085</v>
      </c>
      <c r="G118" s="10" t="s">
        <v>51</v>
      </c>
    </row>
    <row r="119" spans="1:40">
      <c r="B119"/>
      <c r="C119" t="s">
        <v>14</v>
      </c>
      <c r="D119" t="s">
        <v>43</v>
      </c>
      <c r="F119" s="15">
        <v>101250</v>
      </c>
      <c r="G119" s="10" t="s">
        <v>51</v>
      </c>
    </row>
    <row r="120" spans="1:40">
      <c r="B120"/>
      <c r="C120" t="s">
        <v>14</v>
      </c>
      <c r="D120" t="s">
        <v>44</v>
      </c>
      <c r="F120" s="15">
        <v>105791</v>
      </c>
      <c r="G120" s="10" t="s">
        <v>51</v>
      </c>
    </row>
    <row r="121" spans="1:40">
      <c r="B121"/>
      <c r="C121" t="s">
        <v>14</v>
      </c>
      <c r="D121" t="s">
        <v>45</v>
      </c>
      <c r="F121" s="15">
        <v>114088</v>
      </c>
      <c r="G121" s="10" t="s">
        <v>51</v>
      </c>
    </row>
    <row r="122" spans="1:40">
      <c r="B122"/>
      <c r="C122" t="s">
        <v>14</v>
      </c>
      <c r="D122" t="s">
        <v>46</v>
      </c>
      <c r="F122" s="15">
        <v>132350</v>
      </c>
      <c r="G122" s="10" t="s">
        <v>51</v>
      </c>
    </row>
    <row r="123" spans="1:40">
      <c r="B123"/>
      <c r="C123" t="s">
        <v>17</v>
      </c>
      <c r="D123">
        <v>2025</v>
      </c>
      <c r="F123" s="15">
        <v>25385</v>
      </c>
      <c r="G123" s="10" t="s">
        <v>51</v>
      </c>
    </row>
    <row r="124" spans="1:40">
      <c r="B124"/>
      <c r="C124" t="s">
        <v>29</v>
      </c>
      <c r="D124">
        <v>2025</v>
      </c>
      <c r="F124" s="15">
        <v>46520</v>
      </c>
      <c r="G124" s="10" t="s">
        <v>51</v>
      </c>
    </row>
    <row r="126" spans="1:40" s="13" customFormat="1" ht="14.4" customHeight="1">
      <c r="A126" s="11"/>
      <c r="B126" s="12" t="s">
        <v>2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D14"/>
  <sheetViews>
    <sheetView zoomScale="77" workbookViewId="0"/>
  </sheetViews>
  <sheetFormatPr defaultRowHeight="15.6"/>
  <cols>
    <col min="1" max="1" width="147.109375" style="8" customWidth="1"/>
    <col min="2" max="2" width="16.33203125" style="8" customWidth="1"/>
    <col min="3" max="16384" width="8.88671875" style="8"/>
  </cols>
  <sheetData>
    <row r="1" spans="1:4">
      <c r="A1" s="7" t="s">
        <v>3</v>
      </c>
      <c r="B1" s="7" t="s">
        <v>0</v>
      </c>
      <c r="C1" s="7" t="s">
        <v>6</v>
      </c>
    </row>
    <row r="2" spans="1:4">
      <c r="A2" s="3" t="s">
        <v>53</v>
      </c>
      <c r="B2" s="9"/>
      <c r="C2" s="16" t="s">
        <v>51</v>
      </c>
    </row>
    <row r="3" spans="1:4">
      <c r="A3" s="3" t="s">
        <v>40</v>
      </c>
      <c r="B3" s="9"/>
      <c r="C3" s="16" t="s">
        <v>51</v>
      </c>
    </row>
    <row r="4" spans="1:4">
      <c r="A4" s="20" t="s">
        <v>56</v>
      </c>
      <c r="B4" s="9"/>
      <c r="C4" s="16" t="s">
        <v>51</v>
      </c>
    </row>
    <row r="5" spans="1:4">
      <c r="A5" s="3" t="s">
        <v>57</v>
      </c>
      <c r="B5" s="9"/>
      <c r="C5" s="16" t="s">
        <v>51</v>
      </c>
    </row>
    <row r="6" spans="1:4">
      <c r="A6" s="3" t="s">
        <v>58</v>
      </c>
      <c r="B6" s="9"/>
      <c r="C6" s="16" t="s">
        <v>51</v>
      </c>
    </row>
    <row r="7" spans="1:4">
      <c r="A7" s="3" t="s">
        <v>59</v>
      </c>
      <c r="B7" s="9"/>
      <c r="C7" s="16" t="s">
        <v>51</v>
      </c>
    </row>
    <row r="8" spans="1:4">
      <c r="A8" s="3" t="s">
        <v>60</v>
      </c>
      <c r="B8" s="9"/>
      <c r="C8" s="16" t="s">
        <v>51</v>
      </c>
    </row>
    <row r="9" spans="1:4">
      <c r="A9" s="3" t="s">
        <v>61</v>
      </c>
      <c r="B9" s="9"/>
      <c r="C9" s="16" t="s">
        <v>51</v>
      </c>
      <c r="D9" s="8" t="s">
        <v>9</v>
      </c>
    </row>
    <row r="10" spans="1:4">
      <c r="A10" s="3" t="s">
        <v>62</v>
      </c>
      <c r="B10" s="9"/>
      <c r="C10" s="16" t="s">
        <v>51</v>
      </c>
    </row>
    <row r="11" spans="1:4">
      <c r="A11" s="3" t="s">
        <v>63</v>
      </c>
      <c r="B11" s="9"/>
      <c r="C11" s="16" t="s">
        <v>51</v>
      </c>
    </row>
    <row r="12" spans="1:4">
      <c r="A12" s="3" t="s">
        <v>64</v>
      </c>
      <c r="B12" s="9"/>
      <c r="C12" s="16" t="s">
        <v>51</v>
      </c>
    </row>
    <row r="13" spans="1:4">
      <c r="A13" s="3" t="s">
        <v>65</v>
      </c>
      <c r="B13" s="9"/>
      <c r="C13" s="16" t="s">
        <v>51</v>
      </c>
    </row>
    <row r="14" spans="1:4">
      <c r="A14" s="3" t="s">
        <v>66</v>
      </c>
      <c r="B14" s="9"/>
      <c r="C14" s="16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2026-05-08T22:35:26Z</dcterms:modified>
</cp:coreProperties>
</file>