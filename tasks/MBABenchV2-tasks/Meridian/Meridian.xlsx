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Budget vs. Actuals Variance Analysis\Meridian\starting_files\"/>
    </mc:Choice>
  </mc:AlternateContent>
  <xr:revisionPtr revIDLastSave="0" documentId="13_ncr:1_{6845692D-D813-4763-8256-7B3476CA455A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10" r:id="rId1"/>
    <sheet name="Income Statement" sheetId="20" r:id="rId2"/>
    <sheet name="Balance Sheet" sheetId="21" r:id="rId3"/>
    <sheet name="P&amp;L Budget – GL" sheetId="22" r:id="rId4"/>
    <sheet name="Questions" sheetId="11" r:id="rId5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5" i="22" l="1"/>
  <c r="O44" i="22"/>
  <c r="O42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O39" i="22"/>
  <c r="O38" i="22"/>
  <c r="O40" i="22" s="1"/>
  <c r="O35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O32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O28" i="22"/>
  <c r="O27" i="22"/>
  <c r="O26" i="22"/>
  <c r="O25" i="22"/>
  <c r="O24" i="22"/>
  <c r="O23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O19" i="22"/>
  <c r="O16" i="22"/>
  <c r="O14" i="22"/>
  <c r="N14" i="22"/>
  <c r="M14" i="22"/>
  <c r="L14" i="22"/>
  <c r="K14" i="22"/>
  <c r="J14" i="22"/>
  <c r="I14" i="22"/>
  <c r="H14" i="22"/>
  <c r="G14" i="22"/>
  <c r="F14" i="22"/>
  <c r="E14" i="22"/>
  <c r="D14" i="22"/>
  <c r="C14" i="22"/>
  <c r="O13" i="22"/>
  <c r="O12" i="22"/>
  <c r="O11" i="22"/>
  <c r="O10" i="22"/>
  <c r="N7" i="22"/>
  <c r="M7" i="22"/>
  <c r="L7" i="22"/>
  <c r="K7" i="22"/>
  <c r="J7" i="22"/>
  <c r="I7" i="22"/>
  <c r="H7" i="22"/>
  <c r="G7" i="22"/>
  <c r="F7" i="22"/>
  <c r="E7" i="22"/>
  <c r="D7" i="22"/>
  <c r="C7" i="22"/>
  <c r="O6" i="22"/>
  <c r="O5" i="22"/>
  <c r="O7" i="22" s="1"/>
</calcChain>
</file>

<file path=xl/sharedStrings.xml><?xml version="1.0" encoding="utf-8"?>
<sst xmlns="http://schemas.openxmlformats.org/spreadsheetml/2006/main" count="214" uniqueCount="179">
  <si>
    <t>Answers</t>
  </si>
  <si>
    <t>Unit</t>
  </si>
  <si>
    <t>Task:</t>
  </si>
  <si>
    <t>[%]</t>
  </si>
  <si>
    <t xml:space="preserve"> </t>
  </si>
  <si>
    <t>You are given an Income Statement as well as a Budget.</t>
  </si>
  <si>
    <t>FP&amp;A Models</t>
  </si>
  <si>
    <t>Create a Budget vs. Actuals Variance Analysis sheet.</t>
  </si>
  <si>
    <t>Answer the questions with the results from your sheet.</t>
  </si>
  <si>
    <t>Total Revenue</t>
  </si>
  <si>
    <t>Profit Before Tax</t>
  </si>
  <si>
    <t>CURRENT ASSETS</t>
  </si>
  <si>
    <t>Total Current Assets</t>
  </si>
  <si>
    <t>NON-CURRENT ASSETS</t>
  </si>
  <si>
    <t>Total Non-Current Assets</t>
  </si>
  <si>
    <t>TOTAL ASSETS</t>
  </si>
  <si>
    <t>CURRENT LIABILITIES</t>
  </si>
  <si>
    <t>Total Current Liabilities</t>
  </si>
  <si>
    <t>NON-CURRENT LIABILITIES</t>
  </si>
  <si>
    <t>Total Non-Current Liabilities</t>
  </si>
  <si>
    <t>EQUITY</t>
  </si>
  <si>
    <t>Total Equity</t>
  </si>
  <si>
    <t>Questions (please round your answers to four decimal places)</t>
  </si>
  <si>
    <t>Leave a blank note field next to the variance figures.</t>
  </si>
  <si>
    <t>Use the standard method for calculating the absolute and relative difference.</t>
  </si>
  <si>
    <t>Total Operating Expenses</t>
  </si>
  <si>
    <t>OPERATING EXPENSES</t>
  </si>
  <si>
    <t>Gross Profit</t>
  </si>
  <si>
    <t>REVENUE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</si>
  <si>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</si>
  <si>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</si>
  <si>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</si>
  <si>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</si>
  <si>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</si>
  <si>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</si>
  <si>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</si>
  <si>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</si>
  <si>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</si>
  <si>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</si>
  <si>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</si>
  <si>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</si>
  <si>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Profit for the Year</t>
  </si>
  <si>
    <t>TOTAL EQUITY &amp; LIABILITIES</t>
  </si>
  <si>
    <t>Budget vs. Actuals Variance Analysis - Meridian</t>
  </si>
  <si>
    <t>MERIDIAN PACKAGING SOLUTIONS LTD</t>
  </si>
  <si>
    <t>Consolidated Income Statement</t>
  </si>
  <si>
    <t>For the years ended 31 December – all figures in GBP £'000</t>
  </si>
  <si>
    <t>FY 2022</t>
  </si>
  <si>
    <t>FY 2023</t>
  </si>
  <si>
    <t xml:space="preserve">    Revenue from contracts</t>
  </si>
  <si>
    <t xml:space="preserve">    Other operating income</t>
  </si>
  <si>
    <t>COST OF SALES</t>
  </si>
  <si>
    <t xml:space="preserve">    Direct labour</t>
  </si>
  <si>
    <t xml:space="preserve">    Manufacturing overhead</t>
  </si>
  <si>
    <t xml:space="preserve">    Depreciation – production</t>
  </si>
  <si>
    <t>Total Cost of Sales</t>
  </si>
  <si>
    <t xml:space="preserve">    Distribution costs</t>
  </si>
  <si>
    <t xml:space="preserve">    Administrative expenses</t>
  </si>
  <si>
    <t>Operating Profit (EBIT)</t>
  </si>
  <si>
    <t>FINANCE INCOME / (COSTS)</t>
  </si>
  <si>
    <t xml:space="preserve">    Finance income</t>
  </si>
  <si>
    <t xml:space="preserve">    Finance costs</t>
  </si>
  <si>
    <t>Net Finance Costs</t>
  </si>
  <si>
    <t xml:space="preserve">    Income tax expense</t>
  </si>
  <si>
    <t>Consolidated Balance Sheet (Statement of Financial Position)</t>
  </si>
  <si>
    <t>As at 31 December – all figures in GBP £'000</t>
  </si>
  <si>
    <t>31 Dec 2022</t>
  </si>
  <si>
    <t>31 Dec 2023</t>
  </si>
  <si>
    <t>Property, plant &amp; equipment</t>
  </si>
  <si>
    <t>Intangible assets</t>
  </si>
  <si>
    <t>Right-of-use assets</t>
  </si>
  <si>
    <t>Investments</t>
  </si>
  <si>
    <t>Inventories</t>
  </si>
  <si>
    <t>Trade &amp; other receivables</t>
  </si>
  <si>
    <t>Cash &amp; cash equivalents</t>
  </si>
  <si>
    <t>Share capital</t>
  </si>
  <si>
    <t>Share premium</t>
  </si>
  <si>
    <t>Retained earnings</t>
  </si>
  <si>
    <t>Borrowings</t>
  </si>
  <si>
    <t>Lease liabilities</t>
  </si>
  <si>
    <t>Deferred tax liability</t>
  </si>
  <si>
    <t>Provisions</t>
  </si>
  <si>
    <t>Borrowings (current portion)</t>
  </si>
  <si>
    <t>Lease liabilities (current)</t>
  </si>
  <si>
    <t>Trade &amp; other payables</t>
  </si>
  <si>
    <t>Accruals</t>
  </si>
  <si>
    <t>Current tax payable</t>
  </si>
  <si>
    <t>Other current liabilities</t>
  </si>
  <si>
    <t>MERIDIAN PACKAGING SOLUTIONS LTD  |  Annual Operating Budget FY 2023  |  Income Statement – General Ledger Detail</t>
  </si>
  <si>
    <t>GBP £'000  |  Budget Version: 3.1  |  Approved: Board of Directors 29 Nov 2022  |  Internal Use Only</t>
  </si>
  <si>
    <t>Acct Code</t>
  </si>
  <si>
    <t>Description</t>
  </si>
  <si>
    <t>Full Year</t>
  </si>
  <si>
    <t>Notes</t>
  </si>
  <si>
    <t>4001</t>
  </si>
  <si>
    <t>Domestic Sales – Packaging Products</t>
  </si>
  <si>
    <t>Net of volume rebates; +12.3% vs FY22 budget</t>
  </si>
  <si>
    <t>4002</t>
  </si>
  <si>
    <t>Export Sales – Packaging Products</t>
  </si>
  <si>
    <t>Primarily EU/Nordics; EUR/GBP hedged at 0.87</t>
  </si>
  <si>
    <t>4000</t>
  </si>
  <si>
    <t>5001</t>
  </si>
  <si>
    <t>Raw Materials &amp; Packaging Inputs</t>
  </si>
  <si>
    <t>RM index linked; procurement locked to H1 prices</t>
  </si>
  <si>
    <t>5002</t>
  </si>
  <si>
    <t>Direct Labour – Production</t>
  </si>
  <si>
    <t>350 FTEs production; incl. 23.5% employer on-costs</t>
  </si>
  <si>
    <t>5003</t>
  </si>
  <si>
    <t>Manufacturing Overhead – Variable</t>
  </si>
  <si>
    <t>Utilities, consumables, tooling</t>
  </si>
  <si>
    <t>5004</t>
  </si>
  <si>
    <t>Depreciation – Plant &amp; Equipment</t>
  </si>
  <si>
    <t>Straight-line; avg useful life 12 years</t>
  </si>
  <si>
    <t>5000</t>
  </si>
  <si>
    <t>GROSS PROFIT</t>
  </si>
  <si>
    <t>DISTRIBUTION COSTS</t>
  </si>
  <si>
    <t>6001</t>
  </si>
  <si>
    <t>Freight &amp; Haulage – Domestic &amp; Export</t>
  </si>
  <si>
    <t>+3.1% rate escalation vs FY22 actuals</t>
  </si>
  <si>
    <t>6000</t>
  </si>
  <si>
    <t>Total Distribution Costs</t>
  </si>
  <si>
    <t>ADMINISTRATIVE EXPENSES</t>
  </si>
  <si>
    <t>7001</t>
  </si>
  <si>
    <t>Salaries &amp; Wages – G&amp;A (38 FTEs)</t>
  </si>
  <si>
    <t>Incl. 3% salary uplift from Apr-23</t>
  </si>
  <si>
    <t>7002</t>
  </si>
  <si>
    <t>Premises – Rent, Rates &amp; Service Charge</t>
  </si>
  <si>
    <t>HQ: £1.1m p.a. lease, DW: £0.34m</t>
  </si>
  <si>
    <t>7003</t>
  </si>
  <si>
    <t>IT &amp; Telecommunications</t>
  </si>
  <si>
    <t>ERP licence £540k; infra £324k</t>
  </si>
  <si>
    <t>7004</t>
  </si>
  <si>
    <t>Professional &amp; Regulatory Fees</t>
  </si>
  <si>
    <t>Statutory audit £220k; legal retainer £320k</t>
  </si>
  <si>
    <t>7005</t>
  </si>
  <si>
    <t>Depreciation – Office &amp; IT Assets</t>
  </si>
  <si>
    <t>SL; 3-5 yr lives; see FA schedule tab</t>
  </si>
  <si>
    <t>7006</t>
  </si>
  <si>
    <t>Other Administrative Expenses</t>
  </si>
  <si>
    <t>Travel, subscriptions, misc.</t>
  </si>
  <si>
    <t>7000</t>
  </si>
  <si>
    <t>Total Administrative Expenses</t>
  </si>
  <si>
    <t>OTHER OPERATING INCOME</t>
  </si>
  <si>
    <t>8001</t>
  </si>
  <si>
    <t>Grant Income &amp; Insurance Recoveries</t>
  </si>
  <si>
    <t>Innovate UK R&amp;D grant £180k; insurance £120k</t>
  </si>
  <si>
    <t>8000</t>
  </si>
  <si>
    <t>Total Other Operating Income</t>
  </si>
  <si>
    <t>OPERATING PROFIT (EBIT)</t>
  </si>
  <si>
    <t>9001</t>
  </si>
  <si>
    <t>Finance Income – Bank Deposits</t>
  </si>
  <si>
    <t>Avg £2.3m on deposit @ ~9%</t>
  </si>
  <si>
    <t>9002</t>
  </si>
  <si>
    <t>Finance Costs – Term Loan Interest</t>
  </si>
  <si>
    <t>£19.8m @ 9.3% p.a.; SONIA+4.25%</t>
  </si>
  <si>
    <t>9000</t>
  </si>
  <si>
    <t>PROFIT BEFORE TAX</t>
  </si>
  <si>
    <t>9003</t>
  </si>
  <si>
    <t>Corporation Tax Charge – 25% Estimated</t>
  </si>
  <si>
    <t>Quarterly instalment basis; Q4 includes true-up</t>
  </si>
  <si>
    <t>PROFIT FOR THE YEAR (AFTER TAX)</t>
  </si>
  <si>
    <t>[£'000 ]</t>
  </si>
  <si>
    <t>What is the absolute difference between actuals and budget for Direct Labour – Production?</t>
  </si>
  <si>
    <t>What is the absolute difference between actuals and budget for Total Cost of Sales?</t>
  </si>
  <si>
    <t>What is the absolute difference between actuals and budget for PROFIT FOR THE YEAR (AFTER TAX)?</t>
  </si>
  <si>
    <t>What is the absolute difference between actuals and budget for Total Distribution Costs?</t>
  </si>
  <si>
    <t>What is the relative difference between actuals and budget for Corporation Tax Charge – 25% Estimated?</t>
  </si>
  <si>
    <t>What is the relative difference between actuals and budget for Finance Income – Bank Deposits?</t>
  </si>
  <si>
    <t>What is the relative difference between actuals and budget for Manufacturing Overhead – Variable?</t>
  </si>
  <si>
    <t>What is the relative difference between actuals and budget for PROFIT BEFORE TAX?</t>
  </si>
  <si>
    <t>What is the relative difference between actuals and budget for GROSS PROFIT?</t>
  </si>
  <si>
    <t>What is the relative difference between actuals and budget for Net Finance Costs?</t>
  </si>
  <si>
    <t>What is the relative difference between actuals and budget for PROFIT FOR THE YEAR (AFTER TAX)?</t>
  </si>
  <si>
    <t>What is the relative difference between actuals and budget for Total Distribution Costs?</t>
  </si>
  <si>
    <t>What is the absolute difference between actuals and budget for Manufacturing Overhead – Variable?</t>
  </si>
  <si>
    <t>What is the absolute difference between actuals and budget for Net Finance Costs?</t>
  </si>
  <si>
    <t>What is the absolute difference between actuals and budget for Total Administrative Expenses?</t>
  </si>
  <si>
    <t xml:space="preserve">    Raw materials &amp;packaging consumed</t>
  </si>
  <si>
    <t>Leave out line items that you cannot allocate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</si>
</sst>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"/>
  </numFmts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1"/>
      <color theme="1"/>
      <name val="Roboto"/>
    </font>
    <font>
      <sz val="11"/>
      <name val="Roboto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10"/>
      <color rgb="FFBDD7EE"/>
      <name val="Arial"/>
      <family val="2"/>
    </font>
    <font>
      <i/>
      <sz val="9"/>
      <color rgb="FF9DC3E6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1F3864"/>
      <name val="Arial"/>
      <family val="2"/>
    </font>
    <font>
      <b/>
      <sz val="10"/>
      <color rgb="FF000000"/>
      <name val="Arial"/>
      <family val="2"/>
    </font>
    <font>
      <b/>
      <sz val="11"/>
      <color rgb="FFFFFFFF"/>
      <name val="Calibri"/>
      <family val="2"/>
    </font>
    <font>
      <i/>
      <sz val="8"/>
      <color rgb="FFD9EAD3"/>
      <name val="Calibri"/>
      <family val="2"/>
    </font>
    <font>
      <b/>
      <sz val="9"/>
      <color rgb="FFFFFFFF"/>
      <name val="Calibri"/>
      <family val="2"/>
    </font>
    <font>
      <i/>
      <sz val="8"/>
      <color rgb="FF595959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color rgb="FF1A5C00"/>
      <name val="Calibri"/>
      <family val="2"/>
    </font>
    <font>
      <b/>
      <sz val="10"/>
      <color rgb="FFFFFFFF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D6E4F0"/>
        <bgColor rgb="FFD9D9D9"/>
      </patternFill>
    </fill>
    <fill>
      <patternFill patternType="solid">
        <fgColor rgb="FFD9D9D9"/>
        <bgColor rgb="FFD6E4F0"/>
      </patternFill>
    </fill>
    <fill>
      <patternFill patternType="solid">
        <fgColor rgb="FF1A5C00"/>
        <bgColor rgb="FF375623"/>
      </patternFill>
    </fill>
    <fill>
      <patternFill patternType="solid">
        <fgColor rgb="FF375623"/>
        <bgColor rgb="FF1A5C00"/>
      </patternFill>
    </fill>
    <fill>
      <patternFill patternType="solid">
        <fgColor rgb="FFFFFFFF"/>
        <bgColor rgb="FFF4FAF0"/>
      </patternFill>
    </fill>
    <fill>
      <patternFill patternType="solid">
        <fgColor rgb="FFF4FAF0"/>
        <bgColor rgb="FFFFFFFF"/>
      </patternFill>
    </fill>
    <fill>
      <patternFill patternType="solid">
        <fgColor rgb="FFE2EFDA"/>
        <bgColor rgb="FFD9EAD3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2" fillId="0" borderId="0"/>
    <xf numFmtId="4" fontId="4" fillId="3" borderId="1">
      <alignment horizontal="left"/>
    </xf>
    <xf numFmtId="164" fontId="5" fillId="0" borderId="0" applyBorder="0"/>
    <xf numFmtId="164" fontId="6" fillId="2" borderId="2">
      <protection locked="0"/>
    </xf>
    <xf numFmtId="0" fontId="6" fillId="0" borderId="0" applyNumberFormat="0" applyFill="0" applyBorder="0">
      <alignment horizontal="right"/>
    </xf>
    <xf numFmtId="9" fontId="1" fillId="0" borderId="0" applyFont="0" applyFill="0" applyBorder="0" applyAlignment="0" applyProtection="0"/>
    <xf numFmtId="0" fontId="14" fillId="0" borderId="0"/>
  </cellStyleXfs>
  <cellXfs count="71">
    <xf numFmtId="0" fontId="0" fillId="0" borderId="0" xfId="0"/>
    <xf numFmtId="0" fontId="3" fillId="0" borderId="0" xfId="0" applyFont="1"/>
    <xf numFmtId="0" fontId="7" fillId="0" borderId="0" xfId="1" applyFont="1"/>
    <xf numFmtId="0" fontId="8" fillId="0" borderId="0" xfId="1" applyFont="1"/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11" fillId="0" borderId="0" xfId="0" applyFont="1" applyAlignment="1">
      <alignment vertical="center"/>
    </xf>
    <xf numFmtId="0" fontId="12" fillId="0" borderId="0" xfId="2" applyFont="1"/>
    <xf numFmtId="0" fontId="2" fillId="0" borderId="0" xfId="2"/>
    <xf numFmtId="0" fontId="7" fillId="0" borderId="0" xfId="1" applyFont="1" applyAlignment="1">
      <alignment horizontal="left"/>
    </xf>
    <xf numFmtId="4" fontId="7" fillId="5" borderId="2" xfId="1" quotePrefix="1" applyNumberFormat="1" applyFont="1" applyFill="1" applyBorder="1" applyAlignment="1">
      <alignment horizontal="center"/>
    </xf>
    <xf numFmtId="0" fontId="11" fillId="0" borderId="0" xfId="0" quotePrefix="1" applyFont="1" applyAlignment="1">
      <alignment vertical="center"/>
    </xf>
    <xf numFmtId="0" fontId="13" fillId="0" borderId="0" xfId="0" quotePrefix="1" applyFont="1" applyAlignment="1">
      <alignment vertical="center"/>
    </xf>
    <xf numFmtId="4" fontId="2" fillId="0" borderId="0" xfId="2" applyNumberFormat="1"/>
    <xf numFmtId="0" fontId="14" fillId="0" borderId="0" xfId="8"/>
    <xf numFmtId="10" fontId="7" fillId="5" borderId="2" xfId="7" quotePrefix="1" applyNumberFormat="1" applyFont="1" applyFill="1" applyBorder="1" applyAlignment="1">
      <alignment horizontal="center"/>
    </xf>
    <xf numFmtId="0" fontId="18" fillId="7" borderId="6" xfId="8" applyFont="1" applyFill="1" applyBorder="1" applyAlignment="1">
      <alignment horizontal="left" vertical="center"/>
    </xf>
    <xf numFmtId="0" fontId="18" fillId="7" borderId="6" xfId="8" applyFont="1" applyFill="1" applyBorder="1" applyAlignment="1">
      <alignment horizontal="center" vertical="center"/>
    </xf>
    <xf numFmtId="0" fontId="19" fillId="7" borderId="0" xfId="8" applyFont="1" applyFill="1"/>
    <xf numFmtId="0" fontId="19" fillId="7" borderId="0" xfId="8" applyFont="1" applyFill="1" applyAlignment="1">
      <alignment horizontal="left" vertical="center"/>
    </xf>
    <xf numFmtId="0" fontId="20" fillId="8" borderId="0" xfId="8" applyFont="1" applyFill="1"/>
    <xf numFmtId="0" fontId="20" fillId="8" borderId="0" xfId="8" applyFont="1" applyFill="1" applyAlignment="1">
      <alignment horizontal="left" vertical="center" indent="1"/>
    </xf>
    <xf numFmtId="164" fontId="20" fillId="8" borderId="0" xfId="8" applyNumberFormat="1" applyFont="1" applyFill="1" applyAlignment="1">
      <alignment horizontal="right" vertical="center"/>
    </xf>
    <xf numFmtId="0" fontId="20" fillId="9" borderId="0" xfId="8" applyFont="1" applyFill="1"/>
    <xf numFmtId="0" fontId="20" fillId="9" borderId="0" xfId="8" applyFont="1" applyFill="1" applyAlignment="1">
      <alignment horizontal="left" vertical="center" indent="1"/>
    </xf>
    <xf numFmtId="164" fontId="20" fillId="9" borderId="0" xfId="8" applyNumberFormat="1" applyFont="1" applyFill="1" applyAlignment="1">
      <alignment horizontal="right" vertical="center"/>
    </xf>
    <xf numFmtId="0" fontId="21" fillId="10" borderId="0" xfId="8" applyFont="1" applyFill="1"/>
    <xf numFmtId="0" fontId="21" fillId="10" borderId="0" xfId="8" applyFont="1" applyFill="1" applyAlignment="1">
      <alignment horizontal="left" vertical="center"/>
    </xf>
    <xf numFmtId="164" fontId="21" fillId="10" borderId="1" xfId="8" applyNumberFormat="1" applyFont="1" applyFill="1" applyBorder="1" applyAlignment="1">
      <alignment horizontal="right" vertical="center"/>
    </xf>
    <xf numFmtId="0" fontId="14" fillId="8" borderId="0" xfId="8" applyFill="1"/>
    <xf numFmtId="0" fontId="22" fillId="11" borderId="0" xfId="8" applyFont="1" applyFill="1"/>
    <xf numFmtId="0" fontId="22" fillId="11" borderId="0" xfId="8" applyFont="1" applyFill="1" applyAlignment="1">
      <alignment horizontal="left" vertical="center"/>
    </xf>
    <xf numFmtId="164" fontId="22" fillId="11" borderId="1" xfId="8" applyNumberFormat="1" applyFont="1" applyFill="1" applyBorder="1" applyAlignment="1">
      <alignment horizontal="right" vertical="center"/>
    </xf>
    <xf numFmtId="0" fontId="21" fillId="11" borderId="0" xfId="8" applyFont="1" applyFill="1"/>
    <xf numFmtId="0" fontId="21" fillId="11" borderId="0" xfId="8" applyFont="1" applyFill="1" applyAlignment="1">
      <alignment horizontal="left" vertical="center"/>
    </xf>
    <xf numFmtId="164" fontId="21" fillId="11" borderId="1" xfId="8" applyNumberFormat="1" applyFont="1" applyFill="1" applyBorder="1" applyAlignment="1">
      <alignment horizontal="right" vertical="center"/>
    </xf>
    <xf numFmtId="0" fontId="25" fillId="12" borderId="1" xfId="8" applyFont="1" applyFill="1" applyBorder="1" applyAlignment="1">
      <alignment horizontal="center" vertical="center"/>
    </xf>
    <xf numFmtId="0" fontId="25" fillId="12" borderId="1" xfId="8" applyFont="1" applyFill="1" applyBorder="1" applyAlignment="1">
      <alignment horizontal="left" vertical="center"/>
    </xf>
    <xf numFmtId="0" fontId="25" fillId="13" borderId="0" xfId="8" applyFont="1" applyFill="1" applyAlignment="1">
      <alignment horizontal="center" vertical="center"/>
    </xf>
    <xf numFmtId="0" fontId="25" fillId="13" borderId="0" xfId="8" applyFont="1" applyFill="1" applyAlignment="1">
      <alignment horizontal="left" vertical="center"/>
    </xf>
    <xf numFmtId="0" fontId="14" fillId="13" borderId="0" xfId="8" applyFill="1"/>
    <xf numFmtId="0" fontId="26" fillId="13" borderId="0" xfId="8" applyFont="1" applyFill="1" applyAlignment="1">
      <alignment horizontal="left" vertical="center"/>
    </xf>
    <xf numFmtId="0" fontId="27" fillId="14" borderId="0" xfId="8" applyFont="1" applyFill="1" applyAlignment="1">
      <alignment horizontal="center" vertical="center"/>
    </xf>
    <xf numFmtId="0" fontId="27" fillId="14" borderId="0" xfId="8" applyFont="1" applyFill="1" applyAlignment="1">
      <alignment horizontal="left" vertical="center" indent="1"/>
    </xf>
    <xf numFmtId="164" fontId="27" fillId="14" borderId="0" xfId="8" applyNumberFormat="1" applyFont="1" applyFill="1" applyAlignment="1">
      <alignment horizontal="right" vertical="center"/>
    </xf>
    <xf numFmtId="164" fontId="28" fillId="14" borderId="0" xfId="8" applyNumberFormat="1" applyFont="1" applyFill="1" applyAlignment="1">
      <alignment horizontal="right" vertical="center"/>
    </xf>
    <xf numFmtId="0" fontId="26" fillId="14" borderId="0" xfId="8" applyFont="1" applyFill="1" applyAlignment="1">
      <alignment horizontal="left" vertical="center"/>
    </xf>
    <xf numFmtId="0" fontId="27" fillId="15" borderId="0" xfId="8" applyFont="1" applyFill="1" applyAlignment="1">
      <alignment horizontal="center" vertical="center"/>
    </xf>
    <xf numFmtId="0" fontId="27" fillId="15" borderId="0" xfId="8" applyFont="1" applyFill="1" applyAlignment="1">
      <alignment horizontal="left" vertical="center" indent="1"/>
    </xf>
    <xf numFmtId="164" fontId="27" fillId="15" borderId="0" xfId="8" applyNumberFormat="1" applyFont="1" applyFill="1" applyAlignment="1">
      <alignment horizontal="right" vertical="center"/>
    </xf>
    <xf numFmtId="164" fontId="28" fillId="15" borderId="0" xfId="8" applyNumberFormat="1" applyFont="1" applyFill="1" applyAlignment="1">
      <alignment horizontal="right" vertical="center"/>
    </xf>
    <xf numFmtId="0" fontId="26" fillId="15" borderId="0" xfId="8" applyFont="1" applyFill="1" applyAlignment="1">
      <alignment horizontal="left" vertical="center"/>
    </xf>
    <xf numFmtId="0" fontId="29" fillId="16" borderId="0" xfId="8" applyFont="1" applyFill="1" applyAlignment="1">
      <alignment horizontal="center" vertical="center"/>
    </xf>
    <xf numFmtId="0" fontId="29" fillId="16" borderId="0" xfId="8" applyFont="1" applyFill="1" applyAlignment="1">
      <alignment horizontal="left" vertical="center"/>
    </xf>
    <xf numFmtId="164" fontId="29" fillId="16" borderId="1" xfId="8" applyNumberFormat="1" applyFont="1" applyFill="1" applyBorder="1" applyAlignment="1">
      <alignment horizontal="right" vertical="center"/>
    </xf>
    <xf numFmtId="0" fontId="14" fillId="16" borderId="0" xfId="8" applyFill="1"/>
    <xf numFmtId="0" fontId="14" fillId="14" borderId="0" xfId="8" applyFill="1"/>
    <xf numFmtId="0" fontId="25" fillId="12" borderId="0" xfId="8" applyFont="1" applyFill="1"/>
    <xf numFmtId="0" fontId="30" fillId="12" borderId="0" xfId="8" applyFont="1" applyFill="1" applyAlignment="1">
      <alignment horizontal="left" vertical="center"/>
    </xf>
    <xf numFmtId="164" fontId="30" fillId="12" borderId="1" xfId="8" applyNumberFormat="1" applyFont="1" applyFill="1" applyBorder="1" applyAlignment="1">
      <alignment horizontal="right" vertical="center"/>
    </xf>
    <xf numFmtId="0" fontId="14" fillId="12" borderId="0" xfId="8" applyFill="1"/>
    <xf numFmtId="0" fontId="9" fillId="4" borderId="3" xfId="2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9" fillId="4" borderId="4" xfId="2" applyFont="1" applyFill="1" applyBorder="1" applyAlignment="1">
      <alignment horizontal="center" vertical="center"/>
    </xf>
    <xf numFmtId="0" fontId="10" fillId="4" borderId="5" xfId="2" applyFont="1" applyFill="1" applyBorder="1" applyAlignment="1">
      <alignment horizontal="center" vertical="center"/>
    </xf>
    <xf numFmtId="0" fontId="10" fillId="4" borderId="0" xfId="2" applyFont="1" applyFill="1" applyAlignment="1">
      <alignment horizontal="center" vertical="center"/>
    </xf>
    <xf numFmtId="0" fontId="15" fillId="6" borderId="0" xfId="8" applyFont="1" applyFill="1" applyAlignment="1">
      <alignment horizontal="center" vertical="center"/>
    </xf>
    <xf numFmtId="0" fontId="16" fillId="6" borderId="0" xfId="8" applyFont="1" applyFill="1" applyAlignment="1">
      <alignment horizontal="center" vertical="center"/>
    </xf>
    <xf numFmtId="0" fontId="17" fillId="6" borderId="0" xfId="8" applyFont="1" applyFill="1" applyAlignment="1">
      <alignment horizontal="center" vertical="center"/>
    </xf>
    <xf numFmtId="0" fontId="23" fillId="12" borderId="0" xfId="8" applyFont="1" applyFill="1" applyAlignment="1">
      <alignment horizontal="center" vertical="center"/>
    </xf>
    <xf numFmtId="0" fontId="24" fillId="13" borderId="0" xfId="8" applyFont="1" applyFill="1" applyAlignment="1">
      <alignment horizontal="center" vertical="center"/>
    </xf>
  </cellXfs>
  <cellStyles count="9">
    <cellStyle name="M Section Header" xfId="3" xr:uid="{F944F0E6-F034-49F8-8B3F-D0C9E50BA2F6}"/>
    <cellStyle name="M Units" xfId="6" xr:uid="{B591442F-CADB-4FD5-9324-DD1119747805}"/>
    <cellStyle name="M-A 0dp" xfId="5" xr:uid="{80AB76FC-3C43-4EFF-B2A6-1E81FFBC781B}"/>
    <cellStyle name="M-C 0dp Num" xfId="4" xr:uid="{C7EF620F-9501-4FBB-93FF-813E47ED464B}"/>
    <cellStyle name="Normal" xfId="0" builtinId="0"/>
    <cellStyle name="Normal 2" xfId="2" xr:uid="{037B3D13-DA10-4240-9E6B-55FD128391C9}"/>
    <cellStyle name="Normal 3" xfId="1" xr:uid="{1C87C372-71EA-4FEE-904D-475CC6E05479}"/>
    <cellStyle name="Normal 4" xfId="8" xr:uid="{226A05B4-A8DA-4C3A-99C0-C344B943FBD9}"/>
    <cellStyle name="Percent" xfId="7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5585-2C4B-4272-9AD0-C24F524B71E1}">
  <sheetPr>
    <tabColor theme="8" tint="-0.249977111117893"/>
  </sheetPr>
  <dimension ref="A1:K39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2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3" customWidth="1"/>
    <col min="11" max="11" width="27.77734375" style="3" customWidth="1"/>
    <col min="12" max="12" width="20.5546875" style="3" customWidth="1"/>
    <col min="13" max="376" width="11.109375" style="3" bestFit="1" customWidth="1"/>
    <col min="377" max="377" width="5.21875" style="3"/>
    <col min="378" max="383" width="9.6640625" style="3" customWidth="1"/>
    <col min="384" max="384" width="5.21875" style="3"/>
    <col min="385" max="393" width="9.6640625" style="3" customWidth="1"/>
    <col min="394" max="16384" width="5.21875" style="3"/>
  </cols>
  <sheetData>
    <row r="1" spans="2:11" ht="15" customHeight="1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60.75" customHeight="1">
      <c r="B2" s="61" t="s">
        <v>6</v>
      </c>
      <c r="C2" s="62"/>
      <c r="D2" s="62"/>
      <c r="E2" s="62"/>
      <c r="F2" s="62"/>
      <c r="G2" s="62"/>
      <c r="H2" s="62"/>
      <c r="I2" s="62"/>
      <c r="J2" s="62"/>
      <c r="K2" s="63"/>
    </row>
    <row r="3" spans="2:11" ht="15" customHeight="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33.75" customHeight="1">
      <c r="B4" s="64" t="s">
        <v>43</v>
      </c>
      <c r="C4" s="65"/>
      <c r="D4" s="65"/>
      <c r="E4" s="65"/>
      <c r="F4" s="65"/>
      <c r="G4" s="65"/>
      <c r="H4" s="65"/>
      <c r="I4" s="65"/>
      <c r="J4" s="2"/>
    </row>
    <row r="5" spans="2:11" ht="15" customHeight="1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ht="15.6">
      <c r="B6" s="12" t="s">
        <v>2</v>
      </c>
    </row>
    <row r="7" spans="2:11" ht="15.6">
      <c r="B7" s="11" t="s">
        <v>5</v>
      </c>
    </row>
    <row r="8" spans="2:11" ht="15.6">
      <c r="B8" s="11" t="s">
        <v>7</v>
      </c>
    </row>
    <row r="9" spans="2:11" ht="15.6">
      <c r="B9" s="11" t="s">
        <v>23</v>
      </c>
    </row>
    <row r="10" spans="2:11" ht="15.6">
      <c r="B10" s="11" t="s">
        <v>178</v>
      </c>
    </row>
    <row r="11" spans="2:11" ht="15.6">
      <c r="B11" s="11" t="s">
        <v>24</v>
      </c>
    </row>
    <row r="12" spans="2:11" ht="15.6">
      <c r="B12" s="11" t="s">
        <v>8</v>
      </c>
    </row>
    <row r="13" spans="2:11" ht="15.6">
      <c r="B13" s="6"/>
    </row>
    <row r="14" spans="2:11" ht="15.6">
      <c r="B14" s="6"/>
    </row>
    <row r="15" spans="2:11" ht="15.6">
      <c r="B15" s="6"/>
    </row>
    <row r="16" spans="2:11" ht="15.6">
      <c r="B16" s="6"/>
    </row>
    <row r="17" spans="2:2" ht="15.6">
      <c r="B17" s="6"/>
    </row>
    <row r="18" spans="2:2" ht="15.6">
      <c r="B18" s="6"/>
    </row>
    <row r="19" spans="2:2" ht="15.6">
      <c r="B19" s="6"/>
    </row>
    <row r="20" spans="2:2" ht="15.6">
      <c r="B20" s="6"/>
    </row>
    <row r="21" spans="2:2" ht="15.6">
      <c r="B21" s="6"/>
    </row>
    <row r="22" spans="2:2" ht="15.6">
      <c r="B22" s="6"/>
    </row>
    <row r="23" spans="2:2" ht="15.6">
      <c r="B23" s="6"/>
    </row>
    <row r="24" spans="2:2" ht="15.6">
      <c r="B24" s="6"/>
    </row>
    <row r="25" spans="2:2" ht="15.6">
      <c r="B25" s="6"/>
    </row>
    <row r="26" spans="2:2" ht="15.6">
      <c r="B26" s="6"/>
    </row>
    <row r="27" spans="2:2" ht="15.6">
      <c r="B27" s="6"/>
    </row>
    <row r="28" spans="2:2" ht="15.6">
      <c r="B28" s="6"/>
    </row>
    <row r="29" spans="2:2" ht="15.6">
      <c r="B29" s="6"/>
    </row>
    <row r="30" spans="2:2" ht="15.6">
      <c r="B30" s="6"/>
    </row>
    <row r="31" spans="2:2" ht="15.6">
      <c r="B31" s="6"/>
    </row>
    <row r="32" spans="2:2" ht="15.6">
      <c r="B32" s="6"/>
    </row>
    <row r="33" spans="2:2" ht="15.6">
      <c r="B33" s="6"/>
    </row>
    <row r="34" spans="2:2" ht="15.6">
      <c r="B34" s="6"/>
    </row>
    <row r="35" spans="2:2" ht="15.6">
      <c r="B35" s="6"/>
    </row>
    <row r="36" spans="2:2" ht="15.6">
      <c r="B36" s="6"/>
    </row>
    <row r="37" spans="2:2" ht="15.6">
      <c r="B37" s="6"/>
    </row>
    <row r="38" spans="2:2" ht="15.6">
      <c r="B38" s="6"/>
    </row>
    <row r="39" spans="2:2" ht="15.6">
      <c r="B39" s="6"/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E57B1-2FBA-4898-803E-14C097255A5E}">
  <sheetPr>
    <tabColor rgb="FF1F3864"/>
  </sheetPr>
  <dimension ref="A1:D35"/>
  <sheetViews>
    <sheetView zoomScaleNormal="100" workbookViewId="0">
      <pane xSplit="2" ySplit="4" topLeftCell="C5" activePane="bottomRight" state="frozen"/>
      <selection sqref="A1:D1"/>
      <selection pane="topRight" sqref="A1:D1"/>
      <selection pane="bottomLeft" sqref="A1:D1"/>
      <selection pane="bottomRight" activeCell="C5" sqref="C5"/>
    </sheetView>
  </sheetViews>
  <sheetFormatPr defaultColWidth="8.6640625" defaultRowHeight="14.4"/>
  <cols>
    <col min="1" max="1" width="2" style="14" customWidth="1"/>
    <col min="2" max="2" width="38" style="14" customWidth="1"/>
    <col min="3" max="4" width="16" style="14" customWidth="1"/>
    <col min="5" max="16384" width="8.6640625" style="14"/>
  </cols>
  <sheetData>
    <row r="1" spans="1:4" ht="24" customHeight="1">
      <c r="A1" s="66" t="s">
        <v>44</v>
      </c>
      <c r="B1" s="66"/>
      <c r="C1" s="66"/>
      <c r="D1" s="66"/>
    </row>
    <row r="2" spans="1:4" ht="15.75" customHeight="1">
      <c r="A2" s="67" t="s">
        <v>45</v>
      </c>
      <c r="B2" s="67"/>
      <c r="C2" s="67"/>
      <c r="D2" s="67"/>
    </row>
    <row r="3" spans="1:4" ht="13.5" customHeight="1">
      <c r="A3" s="68" t="s">
        <v>46</v>
      </c>
      <c r="B3" s="68"/>
      <c r="C3" s="68"/>
      <c r="D3" s="68"/>
    </row>
    <row r="4" spans="1:4" ht="18" customHeight="1">
      <c r="A4" s="16"/>
      <c r="B4" s="16"/>
      <c r="C4" s="17" t="s">
        <v>47</v>
      </c>
      <c r="D4" s="17" t="s">
        <v>48</v>
      </c>
    </row>
    <row r="5" spans="1:4" ht="15.75" customHeight="1">
      <c r="A5" s="18"/>
      <c r="B5" s="19" t="s">
        <v>28</v>
      </c>
      <c r="C5" s="18"/>
      <c r="D5" s="18"/>
    </row>
    <row r="6" spans="1:4" ht="15.75" customHeight="1">
      <c r="A6" s="20"/>
      <c r="B6" s="21" t="s">
        <v>49</v>
      </c>
      <c r="C6" s="22">
        <v>78450</v>
      </c>
      <c r="D6" s="22">
        <v>84720</v>
      </c>
    </row>
    <row r="7" spans="1:4" ht="15.75" customHeight="1">
      <c r="A7" s="23"/>
      <c r="B7" s="24" t="s">
        <v>50</v>
      </c>
      <c r="C7" s="25">
        <v>280</v>
      </c>
      <c r="D7" s="25">
        <v>320</v>
      </c>
    </row>
    <row r="8" spans="1:4" ht="15.75" customHeight="1">
      <c r="A8" s="26"/>
      <c r="B8" s="27" t="s">
        <v>9</v>
      </c>
      <c r="C8" s="28">
        <v>78730</v>
      </c>
      <c r="D8" s="28">
        <v>85040</v>
      </c>
    </row>
    <row r="9" spans="1:4" ht="6" customHeight="1">
      <c r="A9" s="29"/>
      <c r="B9" s="29"/>
      <c r="C9" s="29"/>
      <c r="D9" s="29"/>
    </row>
    <row r="10" spans="1:4" ht="15.75" customHeight="1">
      <c r="A10" s="18"/>
      <c r="B10" s="19" t="s">
        <v>51</v>
      </c>
      <c r="C10" s="18"/>
      <c r="D10" s="18"/>
    </row>
    <row r="11" spans="1:4" ht="15.75" customHeight="1">
      <c r="A11" s="20"/>
      <c r="B11" s="21" t="s">
        <v>177</v>
      </c>
      <c r="C11" s="22">
        <v>32130</v>
      </c>
      <c r="D11" s="22">
        <v>35020</v>
      </c>
    </row>
    <row r="12" spans="1:4" ht="15.75" customHeight="1">
      <c r="A12" s="23"/>
      <c r="B12" s="24" t="s">
        <v>52</v>
      </c>
      <c r="C12" s="25">
        <v>12480</v>
      </c>
      <c r="D12" s="25">
        <v>13380</v>
      </c>
    </row>
    <row r="13" spans="1:4" ht="15.75" customHeight="1">
      <c r="A13" s="20"/>
      <c r="B13" s="21" t="s">
        <v>53</v>
      </c>
      <c r="C13" s="22">
        <v>6180</v>
      </c>
      <c r="D13" s="22">
        <v>6580</v>
      </c>
    </row>
    <row r="14" spans="1:4" ht="15.75" customHeight="1">
      <c r="A14" s="23"/>
      <c r="B14" s="24" t="s">
        <v>54</v>
      </c>
      <c r="C14" s="25">
        <v>3330</v>
      </c>
      <c r="D14" s="25">
        <v>3250</v>
      </c>
    </row>
    <row r="15" spans="1:4" ht="15.75" customHeight="1">
      <c r="A15" s="26"/>
      <c r="B15" s="27" t="s">
        <v>55</v>
      </c>
      <c r="C15" s="28">
        <v>-54120</v>
      </c>
      <c r="D15" s="28">
        <v>-58230</v>
      </c>
    </row>
    <row r="16" spans="1:4" ht="6" customHeight="1">
      <c r="A16" s="29"/>
      <c r="B16" s="29"/>
      <c r="C16" s="29"/>
      <c r="D16" s="29"/>
    </row>
    <row r="17" spans="1:4" ht="15.75" customHeight="1">
      <c r="A17" s="30"/>
      <c r="B17" s="31" t="s">
        <v>27</v>
      </c>
      <c r="C17" s="32">
        <v>24610</v>
      </c>
      <c r="D17" s="32">
        <v>26810</v>
      </c>
    </row>
    <row r="18" spans="1:4" ht="6" customHeight="1">
      <c r="A18" s="29"/>
      <c r="B18" s="29"/>
      <c r="C18" s="29"/>
      <c r="D18" s="29"/>
    </row>
    <row r="19" spans="1:4" ht="15.75" customHeight="1">
      <c r="A19" s="18"/>
      <c r="B19" s="19" t="s">
        <v>26</v>
      </c>
      <c r="C19" s="18"/>
      <c r="D19" s="18"/>
    </row>
    <row r="20" spans="1:4" ht="15.75" customHeight="1">
      <c r="A20" s="20"/>
      <c r="B20" s="21" t="s">
        <v>56</v>
      </c>
      <c r="C20" s="22">
        <v>3890</v>
      </c>
      <c r="D20" s="22">
        <v>4150</v>
      </c>
    </row>
    <row r="21" spans="1:4" ht="15.75" customHeight="1">
      <c r="A21" s="23"/>
      <c r="B21" s="24" t="s">
        <v>57</v>
      </c>
      <c r="C21" s="25">
        <v>7950</v>
      </c>
      <c r="D21" s="25">
        <v>8340</v>
      </c>
    </row>
    <row r="22" spans="1:4" ht="15.75" customHeight="1">
      <c r="A22" s="26"/>
      <c r="B22" s="27" t="s">
        <v>25</v>
      </c>
      <c r="C22" s="28">
        <v>-11840</v>
      </c>
      <c r="D22" s="28">
        <v>-12490</v>
      </c>
    </row>
    <row r="23" spans="1:4" ht="6" customHeight="1">
      <c r="A23" s="29"/>
      <c r="B23" s="29"/>
      <c r="C23" s="29"/>
      <c r="D23" s="29"/>
    </row>
    <row r="24" spans="1:4" ht="15.75" customHeight="1">
      <c r="A24" s="30"/>
      <c r="B24" s="31" t="s">
        <v>58</v>
      </c>
      <c r="C24" s="32">
        <v>12770</v>
      </c>
      <c r="D24" s="32">
        <v>14320</v>
      </c>
    </row>
    <row r="25" spans="1:4" ht="6" customHeight="1">
      <c r="A25" s="29"/>
      <c r="B25" s="29"/>
      <c r="C25" s="29"/>
      <c r="D25" s="29"/>
    </row>
    <row r="26" spans="1:4" ht="15.75" customHeight="1">
      <c r="A26" s="18"/>
      <c r="B26" s="19" t="s">
        <v>59</v>
      </c>
      <c r="C26" s="18"/>
      <c r="D26" s="18"/>
    </row>
    <row r="27" spans="1:4" ht="15.75" customHeight="1">
      <c r="A27" s="20"/>
      <c r="B27" s="21" t="s">
        <v>60</v>
      </c>
      <c r="C27" s="22">
        <v>150</v>
      </c>
      <c r="D27" s="22">
        <v>180</v>
      </c>
    </row>
    <row r="28" spans="1:4" ht="15.75" customHeight="1">
      <c r="A28" s="23"/>
      <c r="B28" s="24" t="s">
        <v>61</v>
      </c>
      <c r="C28" s="25">
        <v>1920</v>
      </c>
      <c r="D28" s="25">
        <v>1840</v>
      </c>
    </row>
    <row r="29" spans="1:4" ht="15.75" customHeight="1">
      <c r="A29" s="26"/>
      <c r="B29" s="27" t="s">
        <v>62</v>
      </c>
      <c r="C29" s="28">
        <v>-1770</v>
      </c>
      <c r="D29" s="28">
        <v>-1660</v>
      </c>
    </row>
    <row r="30" spans="1:4" ht="6" customHeight="1">
      <c r="A30" s="29"/>
      <c r="B30" s="29"/>
      <c r="C30" s="29"/>
      <c r="D30" s="29"/>
    </row>
    <row r="31" spans="1:4" ht="15.75" customHeight="1">
      <c r="A31" s="30"/>
      <c r="B31" s="31" t="s">
        <v>10</v>
      </c>
      <c r="C31" s="32">
        <v>11000</v>
      </c>
      <c r="D31" s="32">
        <v>12660</v>
      </c>
    </row>
    <row r="32" spans="1:4" ht="6" customHeight="1">
      <c r="A32" s="29"/>
      <c r="B32" s="29"/>
      <c r="C32" s="29"/>
      <c r="D32" s="29"/>
    </row>
    <row r="33" spans="1:4" ht="15.75" customHeight="1">
      <c r="A33" s="20"/>
      <c r="B33" s="21" t="s">
        <v>63</v>
      </c>
      <c r="C33" s="22">
        <v>2750</v>
      </c>
      <c r="D33" s="22">
        <v>3165</v>
      </c>
    </row>
    <row r="34" spans="1:4" ht="6" customHeight="1">
      <c r="A34" s="29"/>
      <c r="B34" s="29"/>
      <c r="C34" s="29"/>
      <c r="D34" s="29"/>
    </row>
    <row r="35" spans="1:4" ht="15.75" customHeight="1">
      <c r="A35" s="30"/>
      <c r="B35" s="31" t="s">
        <v>41</v>
      </c>
      <c r="C35" s="32">
        <v>8250</v>
      </c>
      <c r="D35" s="32">
        <v>9495</v>
      </c>
    </row>
  </sheetData>
  <mergeCells count="3">
    <mergeCell ref="A1:D1"/>
    <mergeCell ref="A2:D2"/>
    <mergeCell ref="A3:D3"/>
  </mergeCells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41F2-CA3B-48EB-ACBB-AC0E3688134A}">
  <sheetPr>
    <tabColor rgb="FF2E75B6"/>
  </sheetPr>
  <dimension ref="A1:D42"/>
  <sheetViews>
    <sheetView zoomScaleNormal="100" workbookViewId="0">
      <pane xSplit="2" ySplit="4" topLeftCell="C5" activePane="bottomRight" state="frozen"/>
      <selection sqref="A1:D1"/>
      <selection pane="topRight" sqref="A1:D1"/>
      <selection pane="bottomLeft" sqref="A1:D1"/>
      <selection pane="bottomRight" sqref="A1:D1"/>
    </sheetView>
  </sheetViews>
  <sheetFormatPr defaultColWidth="8.6640625" defaultRowHeight="14.4"/>
  <cols>
    <col min="1" max="1" width="2" style="14" customWidth="1"/>
    <col min="2" max="2" width="38" style="14" customWidth="1"/>
    <col min="3" max="4" width="16" style="14" customWidth="1"/>
    <col min="5" max="16384" width="8.6640625" style="14"/>
  </cols>
  <sheetData>
    <row r="1" spans="1:4" ht="24" customHeight="1">
      <c r="A1" s="66" t="s">
        <v>44</v>
      </c>
      <c r="B1" s="66"/>
      <c r="C1" s="66"/>
      <c r="D1" s="66"/>
    </row>
    <row r="2" spans="1:4" ht="15.75" customHeight="1">
      <c r="A2" s="67" t="s">
        <v>64</v>
      </c>
      <c r="B2" s="67"/>
      <c r="C2" s="67"/>
      <c r="D2" s="67"/>
    </row>
    <row r="3" spans="1:4" ht="13.5" customHeight="1">
      <c r="A3" s="68" t="s">
        <v>65</v>
      </c>
      <c r="B3" s="68"/>
      <c r="C3" s="68"/>
      <c r="D3" s="68"/>
    </row>
    <row r="4" spans="1:4" ht="18" customHeight="1">
      <c r="A4" s="16"/>
      <c r="B4" s="16"/>
      <c r="C4" s="17" t="s">
        <v>66</v>
      </c>
      <c r="D4" s="17" t="s">
        <v>67</v>
      </c>
    </row>
    <row r="5" spans="1:4" ht="15.75" customHeight="1">
      <c r="A5" s="18"/>
      <c r="B5" s="19" t="s">
        <v>13</v>
      </c>
      <c r="C5" s="18"/>
      <c r="D5" s="18"/>
    </row>
    <row r="6" spans="1:4" ht="15.75" customHeight="1">
      <c r="A6" s="20"/>
      <c r="B6" s="21" t="s">
        <v>68</v>
      </c>
      <c r="C6" s="22">
        <v>26800</v>
      </c>
      <c r="D6" s="22">
        <v>28350</v>
      </c>
    </row>
    <row r="7" spans="1:4" ht="15.75" customHeight="1">
      <c r="A7" s="23"/>
      <c r="B7" s="24" t="s">
        <v>69</v>
      </c>
      <c r="C7" s="25">
        <v>3440</v>
      </c>
      <c r="D7" s="25">
        <v>3120</v>
      </c>
    </row>
    <row r="8" spans="1:4" ht="15.75" customHeight="1">
      <c r="A8" s="20"/>
      <c r="B8" s="21" t="s">
        <v>70</v>
      </c>
      <c r="C8" s="22">
        <v>2890</v>
      </c>
      <c r="D8" s="22">
        <v>2450</v>
      </c>
    </row>
    <row r="9" spans="1:4" ht="15.75" customHeight="1">
      <c r="A9" s="23"/>
      <c r="B9" s="24" t="s">
        <v>71</v>
      </c>
      <c r="C9" s="25">
        <v>1200</v>
      </c>
      <c r="D9" s="25">
        <v>1200</v>
      </c>
    </row>
    <row r="10" spans="1:4" ht="15.75" customHeight="1">
      <c r="A10" s="26"/>
      <c r="B10" s="27" t="s">
        <v>14</v>
      </c>
      <c r="C10" s="28">
        <v>34330</v>
      </c>
      <c r="D10" s="28">
        <v>35120</v>
      </c>
    </row>
    <row r="11" spans="1:4" ht="4.5" customHeight="1">
      <c r="A11" s="29"/>
      <c r="B11" s="29"/>
      <c r="C11" s="29"/>
      <c r="D11" s="29"/>
    </row>
    <row r="12" spans="1:4" ht="15.75" customHeight="1">
      <c r="A12" s="18"/>
      <c r="B12" s="19" t="s">
        <v>11</v>
      </c>
      <c r="C12" s="18"/>
      <c r="D12" s="18"/>
    </row>
    <row r="13" spans="1:4" ht="15.75" customHeight="1">
      <c r="A13" s="20"/>
      <c r="B13" s="21" t="s">
        <v>72</v>
      </c>
      <c r="C13" s="22">
        <v>11560</v>
      </c>
      <c r="D13" s="22">
        <v>12340</v>
      </c>
    </row>
    <row r="14" spans="1:4" ht="15.75" customHeight="1">
      <c r="A14" s="23"/>
      <c r="B14" s="24" t="s">
        <v>73</v>
      </c>
      <c r="C14" s="25">
        <v>13250</v>
      </c>
      <c r="D14" s="25">
        <v>14680</v>
      </c>
    </row>
    <row r="15" spans="1:4" ht="15.75" customHeight="1">
      <c r="A15" s="20"/>
      <c r="B15" s="21" t="s">
        <v>74</v>
      </c>
      <c r="C15" s="22">
        <v>5740</v>
      </c>
      <c r="D15" s="22">
        <v>8920</v>
      </c>
    </row>
    <row r="16" spans="1:4" ht="15.75" customHeight="1">
      <c r="A16" s="26"/>
      <c r="B16" s="27" t="s">
        <v>12</v>
      </c>
      <c r="C16" s="28">
        <v>30550</v>
      </c>
      <c r="D16" s="28">
        <v>35940</v>
      </c>
    </row>
    <row r="17" spans="1:4" ht="4.5" customHeight="1">
      <c r="A17" s="29"/>
      <c r="B17" s="29"/>
      <c r="C17" s="29"/>
      <c r="D17" s="29"/>
    </row>
    <row r="18" spans="1:4" ht="15.75" customHeight="1">
      <c r="A18" s="33"/>
      <c r="B18" s="34" t="s">
        <v>15</v>
      </c>
      <c r="C18" s="35">
        <v>64880</v>
      </c>
      <c r="D18" s="35">
        <v>71060</v>
      </c>
    </row>
    <row r="19" spans="1:4" ht="4.5" customHeight="1">
      <c r="A19" s="29"/>
      <c r="B19" s="29"/>
      <c r="C19" s="29"/>
      <c r="D19" s="29"/>
    </row>
    <row r="20" spans="1:4" ht="15.75" customHeight="1">
      <c r="A20" s="18"/>
      <c r="B20" s="19" t="s">
        <v>20</v>
      </c>
      <c r="C20" s="18"/>
      <c r="D20" s="18"/>
    </row>
    <row r="21" spans="1:4" ht="15.75" customHeight="1">
      <c r="A21" s="20"/>
      <c r="B21" s="21" t="s">
        <v>75</v>
      </c>
      <c r="C21" s="22">
        <v>5000</v>
      </c>
      <c r="D21" s="22">
        <v>5000</v>
      </c>
    </row>
    <row r="22" spans="1:4" ht="15.75" customHeight="1">
      <c r="A22" s="23"/>
      <c r="B22" s="24" t="s">
        <v>76</v>
      </c>
      <c r="C22" s="25">
        <v>8500</v>
      </c>
      <c r="D22" s="25">
        <v>8500</v>
      </c>
    </row>
    <row r="23" spans="1:4" ht="15.75" customHeight="1">
      <c r="A23" s="20"/>
      <c r="B23" s="21" t="s">
        <v>77</v>
      </c>
      <c r="C23" s="22">
        <v>10500</v>
      </c>
      <c r="D23" s="22">
        <v>17750</v>
      </c>
    </row>
    <row r="24" spans="1:4" ht="15.75" customHeight="1">
      <c r="A24" s="26"/>
      <c r="B24" s="27" t="s">
        <v>21</v>
      </c>
      <c r="C24" s="28">
        <v>24000</v>
      </c>
      <c r="D24" s="28">
        <v>31250</v>
      </c>
    </row>
    <row r="25" spans="1:4" ht="4.5" customHeight="1">
      <c r="A25" s="29"/>
      <c r="B25" s="29"/>
      <c r="C25" s="29"/>
      <c r="D25" s="29"/>
    </row>
    <row r="26" spans="1:4" ht="15.75" customHeight="1">
      <c r="A26" s="18"/>
      <c r="B26" s="19" t="s">
        <v>18</v>
      </c>
      <c r="C26" s="18"/>
      <c r="D26" s="18"/>
    </row>
    <row r="27" spans="1:4" ht="15.75" customHeight="1">
      <c r="A27" s="20"/>
      <c r="B27" s="21" t="s">
        <v>78</v>
      </c>
      <c r="C27" s="22">
        <v>19800</v>
      </c>
      <c r="D27" s="22">
        <v>18500</v>
      </c>
    </row>
    <row r="28" spans="1:4" ht="15.75" customHeight="1">
      <c r="A28" s="23"/>
      <c r="B28" s="24" t="s">
        <v>79</v>
      </c>
      <c r="C28" s="25">
        <v>2500</v>
      </c>
      <c r="D28" s="25">
        <v>2100</v>
      </c>
    </row>
    <row r="29" spans="1:4" ht="15.75" customHeight="1">
      <c r="A29" s="20"/>
      <c r="B29" s="21" t="s">
        <v>80</v>
      </c>
      <c r="C29" s="22">
        <v>860</v>
      </c>
      <c r="D29" s="22">
        <v>980</v>
      </c>
    </row>
    <row r="30" spans="1:4" ht="15.75" customHeight="1">
      <c r="A30" s="23"/>
      <c r="B30" s="24" t="s">
        <v>81</v>
      </c>
      <c r="C30" s="25">
        <v>1180</v>
      </c>
      <c r="D30" s="25">
        <v>1280</v>
      </c>
    </row>
    <row r="31" spans="1:4" ht="15.75" customHeight="1">
      <c r="A31" s="26"/>
      <c r="B31" s="27" t="s">
        <v>19</v>
      </c>
      <c r="C31" s="28">
        <v>24340</v>
      </c>
      <c r="D31" s="28">
        <v>22860</v>
      </c>
    </row>
    <row r="32" spans="1:4" ht="4.5" customHeight="1">
      <c r="A32" s="29"/>
      <c r="B32" s="29"/>
      <c r="C32" s="29"/>
      <c r="D32" s="29"/>
    </row>
    <row r="33" spans="1:4" ht="15.75" customHeight="1">
      <c r="A33" s="18"/>
      <c r="B33" s="19" t="s">
        <v>16</v>
      </c>
      <c r="C33" s="18"/>
      <c r="D33" s="18"/>
    </row>
    <row r="34" spans="1:4" ht="15.75" customHeight="1">
      <c r="A34" s="20"/>
      <c r="B34" s="21" t="s">
        <v>82</v>
      </c>
      <c r="C34" s="22">
        <v>1500</v>
      </c>
      <c r="D34" s="22">
        <v>1300</v>
      </c>
    </row>
    <row r="35" spans="1:4" ht="15.75" customHeight="1">
      <c r="A35" s="23"/>
      <c r="B35" s="24" t="s">
        <v>83</v>
      </c>
      <c r="C35" s="25">
        <v>450</v>
      </c>
      <c r="D35" s="25">
        <v>450</v>
      </c>
    </row>
    <row r="36" spans="1:4" ht="15.75" customHeight="1">
      <c r="A36" s="20"/>
      <c r="B36" s="21" t="s">
        <v>84</v>
      </c>
      <c r="C36" s="22">
        <v>9340</v>
      </c>
      <c r="D36" s="22">
        <v>9820</v>
      </c>
    </row>
    <row r="37" spans="1:4" ht="15.75" customHeight="1">
      <c r="A37" s="23"/>
      <c r="B37" s="24" t="s">
        <v>85</v>
      </c>
      <c r="C37" s="25">
        <v>4080</v>
      </c>
      <c r="D37" s="25">
        <v>4230</v>
      </c>
    </row>
    <row r="38" spans="1:4" ht="15.75" customHeight="1">
      <c r="A38" s="20"/>
      <c r="B38" s="21" t="s">
        <v>86</v>
      </c>
      <c r="C38" s="22">
        <v>1170</v>
      </c>
      <c r="D38" s="22">
        <v>1150</v>
      </c>
    </row>
    <row r="39" spans="1:4" ht="15.75" customHeight="1">
      <c r="A39" s="23"/>
      <c r="B39" s="24" t="s">
        <v>87</v>
      </c>
      <c r="C39" s="25"/>
      <c r="D39" s="25"/>
    </row>
    <row r="40" spans="1:4" ht="15.75" customHeight="1">
      <c r="A40" s="26"/>
      <c r="B40" s="27" t="s">
        <v>17</v>
      </c>
      <c r="C40" s="28">
        <v>16540</v>
      </c>
      <c r="D40" s="28">
        <v>16950</v>
      </c>
    </row>
    <row r="41" spans="1:4" ht="4.5" customHeight="1">
      <c r="A41" s="29"/>
      <c r="B41" s="29"/>
      <c r="C41" s="29"/>
      <c r="D41" s="29"/>
    </row>
    <row r="42" spans="1:4" ht="15.75" customHeight="1">
      <c r="A42" s="33"/>
      <c r="B42" s="34" t="s">
        <v>42</v>
      </c>
      <c r="C42" s="35">
        <v>64880</v>
      </c>
      <c r="D42" s="35">
        <v>71060</v>
      </c>
    </row>
  </sheetData>
  <mergeCells count="3">
    <mergeCell ref="A1:D1"/>
    <mergeCell ref="A2:D2"/>
    <mergeCell ref="A3:D3"/>
  </mergeCells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36A41-F444-45F7-9220-E6F032FF6BC0}">
  <sheetPr>
    <tabColor rgb="FF1A5C00"/>
  </sheetPr>
  <dimension ref="A1:P45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8.6640625" defaultRowHeight="14.4"/>
  <cols>
    <col min="1" max="1" width="8" style="14" customWidth="1"/>
    <col min="2" max="2" width="36" style="14" customWidth="1"/>
    <col min="3" max="14" width="9" style="14" customWidth="1"/>
    <col min="15" max="15" width="11" style="14" customWidth="1"/>
    <col min="16" max="16" width="15" style="14" customWidth="1"/>
    <col min="17" max="16384" width="8.6640625" style="14"/>
  </cols>
  <sheetData>
    <row r="1" spans="1:16" ht="21.75" customHeight="1">
      <c r="A1" s="69" t="s">
        <v>88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6" ht="12.75" customHeight="1">
      <c r="A2" s="70" t="s">
        <v>89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</row>
    <row r="3" spans="1:16" ht="18" customHeight="1">
      <c r="A3" s="36" t="s">
        <v>90</v>
      </c>
      <c r="B3" s="37" t="s">
        <v>91</v>
      </c>
      <c r="C3" s="36" t="s">
        <v>40</v>
      </c>
      <c r="D3" s="36" t="s">
        <v>39</v>
      </c>
      <c r="E3" s="36" t="s">
        <v>38</v>
      </c>
      <c r="F3" s="36" t="s">
        <v>37</v>
      </c>
      <c r="G3" s="36" t="s">
        <v>36</v>
      </c>
      <c r="H3" s="36" t="s">
        <v>35</v>
      </c>
      <c r="I3" s="36" t="s">
        <v>34</v>
      </c>
      <c r="J3" s="36" t="s">
        <v>33</v>
      </c>
      <c r="K3" s="36" t="s">
        <v>32</v>
      </c>
      <c r="L3" s="36" t="s">
        <v>31</v>
      </c>
      <c r="M3" s="36" t="s">
        <v>30</v>
      </c>
      <c r="N3" s="36" t="s">
        <v>29</v>
      </c>
      <c r="O3" s="36" t="s">
        <v>92</v>
      </c>
      <c r="P3" s="36" t="s">
        <v>93</v>
      </c>
    </row>
    <row r="4" spans="1:16" ht="15" customHeight="1">
      <c r="A4" s="38"/>
      <c r="B4" s="39" t="s">
        <v>28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1"/>
    </row>
    <row r="5" spans="1:16" ht="15" customHeight="1">
      <c r="A5" s="42" t="s">
        <v>94</v>
      </c>
      <c r="B5" s="43" t="s">
        <v>95</v>
      </c>
      <c r="C5" s="44">
        <v>5200</v>
      </c>
      <c r="D5" s="44">
        <v>5440</v>
      </c>
      <c r="E5" s="44">
        <v>5760</v>
      </c>
      <c r="F5" s="44">
        <v>5600</v>
      </c>
      <c r="G5" s="44">
        <v>5840</v>
      </c>
      <c r="H5" s="44">
        <v>5920</v>
      </c>
      <c r="I5" s="44">
        <v>5680</v>
      </c>
      <c r="J5" s="44">
        <v>5520</v>
      </c>
      <c r="K5" s="44">
        <v>6000</v>
      </c>
      <c r="L5" s="44">
        <v>6240</v>
      </c>
      <c r="M5" s="44">
        <v>6480</v>
      </c>
      <c r="N5" s="44">
        <v>6720</v>
      </c>
      <c r="O5" s="45">
        <f>SUM(C5:N5)</f>
        <v>70400</v>
      </c>
      <c r="P5" s="46" t="s">
        <v>96</v>
      </c>
    </row>
    <row r="6" spans="1:16" ht="15" customHeight="1">
      <c r="A6" s="47" t="s">
        <v>97</v>
      </c>
      <c r="B6" s="48" t="s">
        <v>98</v>
      </c>
      <c r="C6" s="49">
        <v>1300</v>
      </c>
      <c r="D6" s="49">
        <v>1360</v>
      </c>
      <c r="E6" s="49">
        <v>1440</v>
      </c>
      <c r="F6" s="49">
        <v>1400</v>
      </c>
      <c r="G6" s="49">
        <v>1460</v>
      </c>
      <c r="H6" s="49">
        <v>1480</v>
      </c>
      <c r="I6" s="49">
        <v>1420</v>
      </c>
      <c r="J6" s="49">
        <v>1380</v>
      </c>
      <c r="K6" s="49">
        <v>1500</v>
      </c>
      <c r="L6" s="49">
        <v>1560</v>
      </c>
      <c r="M6" s="49">
        <v>1620</v>
      </c>
      <c r="N6" s="49">
        <v>1680</v>
      </c>
      <c r="O6" s="50">
        <f>SUM(C6:N6)</f>
        <v>17600</v>
      </c>
      <c r="P6" s="51" t="s">
        <v>99</v>
      </c>
    </row>
    <row r="7" spans="1:16" ht="15" customHeight="1">
      <c r="A7" s="52" t="s">
        <v>100</v>
      </c>
      <c r="B7" s="53" t="s">
        <v>9</v>
      </c>
      <c r="C7" s="54">
        <f t="shared" ref="C7:O7" si="0">SUM(C5:C6)</f>
        <v>6500</v>
      </c>
      <c r="D7" s="54">
        <f t="shared" si="0"/>
        <v>6800</v>
      </c>
      <c r="E7" s="54">
        <f t="shared" si="0"/>
        <v>7200</v>
      </c>
      <c r="F7" s="54">
        <f t="shared" si="0"/>
        <v>7000</v>
      </c>
      <c r="G7" s="54">
        <f t="shared" si="0"/>
        <v>7300</v>
      </c>
      <c r="H7" s="54">
        <f t="shared" si="0"/>
        <v>7400</v>
      </c>
      <c r="I7" s="54">
        <f t="shared" si="0"/>
        <v>7100</v>
      </c>
      <c r="J7" s="54">
        <f t="shared" si="0"/>
        <v>6900</v>
      </c>
      <c r="K7" s="54">
        <f t="shared" si="0"/>
        <v>7500</v>
      </c>
      <c r="L7" s="54">
        <f t="shared" si="0"/>
        <v>7800</v>
      </c>
      <c r="M7" s="54">
        <f t="shared" si="0"/>
        <v>8100</v>
      </c>
      <c r="N7" s="54">
        <f t="shared" si="0"/>
        <v>8400</v>
      </c>
      <c r="O7" s="54">
        <f t="shared" si="0"/>
        <v>88000</v>
      </c>
      <c r="P7" s="55"/>
    </row>
    <row r="8" spans="1:16" ht="13.5" customHeight="1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</row>
    <row r="9" spans="1:16" ht="15" customHeight="1">
      <c r="A9" s="38"/>
      <c r="B9" s="39" t="s">
        <v>51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1"/>
    </row>
    <row r="10" spans="1:16" ht="15" customHeight="1">
      <c r="A10" s="47" t="s">
        <v>101</v>
      </c>
      <c r="B10" s="48" t="s">
        <v>102</v>
      </c>
      <c r="C10" s="49">
        <v>-3445</v>
      </c>
      <c r="D10" s="49">
        <v>-3604</v>
      </c>
      <c r="E10" s="49">
        <v>-3816</v>
      </c>
      <c r="F10" s="49">
        <v>-3710</v>
      </c>
      <c r="G10" s="49">
        <v>-3869</v>
      </c>
      <c r="H10" s="49">
        <v>-3922</v>
      </c>
      <c r="I10" s="49">
        <v>-3763</v>
      </c>
      <c r="J10" s="49">
        <v>-3657</v>
      </c>
      <c r="K10" s="49">
        <v>-3975</v>
      </c>
      <c r="L10" s="49">
        <v>-4134</v>
      </c>
      <c r="M10" s="49">
        <v>-4293</v>
      </c>
      <c r="N10" s="49">
        <v>-4452</v>
      </c>
      <c r="O10" s="50">
        <f>SUM(C10:N10)</f>
        <v>-46640</v>
      </c>
      <c r="P10" s="51" t="s">
        <v>103</v>
      </c>
    </row>
    <row r="11" spans="1:16" ht="15" customHeight="1">
      <c r="A11" s="42" t="s">
        <v>104</v>
      </c>
      <c r="B11" s="43" t="s">
        <v>105</v>
      </c>
      <c r="C11" s="44">
        <v>-650</v>
      </c>
      <c r="D11" s="44">
        <v>-680</v>
      </c>
      <c r="E11" s="44">
        <v>-720</v>
      </c>
      <c r="F11" s="44">
        <v>-700</v>
      </c>
      <c r="G11" s="44">
        <v>-730</v>
      </c>
      <c r="H11" s="44">
        <v>-740</v>
      </c>
      <c r="I11" s="44">
        <v>-710</v>
      </c>
      <c r="J11" s="44">
        <v>-690</v>
      </c>
      <c r="K11" s="44">
        <v>-750</v>
      </c>
      <c r="L11" s="44">
        <v>-780</v>
      </c>
      <c r="M11" s="44">
        <v>-810</v>
      </c>
      <c r="N11" s="44">
        <v>-840</v>
      </c>
      <c r="O11" s="45">
        <f>SUM(C11:N11)</f>
        <v>-8800</v>
      </c>
      <c r="P11" s="46" t="s">
        <v>106</v>
      </c>
    </row>
    <row r="12" spans="1:16" ht="15" customHeight="1">
      <c r="A12" s="47" t="s">
        <v>107</v>
      </c>
      <c r="B12" s="48" t="s">
        <v>108</v>
      </c>
      <c r="C12" s="49">
        <v>-268</v>
      </c>
      <c r="D12" s="49">
        <v>-268</v>
      </c>
      <c r="E12" s="49">
        <v>-268</v>
      </c>
      <c r="F12" s="49">
        <v>-268</v>
      </c>
      <c r="G12" s="49">
        <v>-268</v>
      </c>
      <c r="H12" s="49">
        <v>-268</v>
      </c>
      <c r="I12" s="49">
        <v>-268</v>
      </c>
      <c r="J12" s="49">
        <v>-268</v>
      </c>
      <c r="K12" s="49">
        <v>-268</v>
      </c>
      <c r="L12" s="49">
        <v>-268</v>
      </c>
      <c r="M12" s="49">
        <v>-268</v>
      </c>
      <c r="N12" s="49">
        <v>-272</v>
      </c>
      <c r="O12" s="50">
        <f>SUM(C12:N12)</f>
        <v>-3220</v>
      </c>
      <c r="P12" s="51" t="s">
        <v>109</v>
      </c>
    </row>
    <row r="13" spans="1:16" ht="15" customHeight="1">
      <c r="A13" s="42" t="s">
        <v>110</v>
      </c>
      <c r="B13" s="43" t="s">
        <v>111</v>
      </c>
      <c r="C13" s="44">
        <v>-153</v>
      </c>
      <c r="D13" s="44">
        <v>-153</v>
      </c>
      <c r="E13" s="44">
        <v>-153</v>
      </c>
      <c r="F13" s="44">
        <v>-153</v>
      </c>
      <c r="G13" s="44">
        <v>-153</v>
      </c>
      <c r="H13" s="44">
        <v>-153</v>
      </c>
      <c r="I13" s="44">
        <v>-153</v>
      </c>
      <c r="J13" s="44">
        <v>-153</v>
      </c>
      <c r="K13" s="44">
        <v>-153</v>
      </c>
      <c r="L13" s="44">
        <v>-153</v>
      </c>
      <c r="M13" s="44">
        <v>-153</v>
      </c>
      <c r="N13" s="44">
        <v>-157</v>
      </c>
      <c r="O13" s="45">
        <f>SUM(C13:N13)</f>
        <v>-1840</v>
      </c>
      <c r="P13" s="46" t="s">
        <v>112</v>
      </c>
    </row>
    <row r="14" spans="1:16" ht="15" customHeight="1">
      <c r="A14" s="52" t="s">
        <v>113</v>
      </c>
      <c r="B14" s="53" t="s">
        <v>55</v>
      </c>
      <c r="C14" s="54">
        <f t="shared" ref="C14:O14" si="1">SUM(C10:C13)</f>
        <v>-4516</v>
      </c>
      <c r="D14" s="54">
        <f t="shared" si="1"/>
        <v>-4705</v>
      </c>
      <c r="E14" s="54">
        <f t="shared" si="1"/>
        <v>-4957</v>
      </c>
      <c r="F14" s="54">
        <f t="shared" si="1"/>
        <v>-4831</v>
      </c>
      <c r="G14" s="54">
        <f t="shared" si="1"/>
        <v>-5020</v>
      </c>
      <c r="H14" s="54">
        <f t="shared" si="1"/>
        <v>-5083</v>
      </c>
      <c r="I14" s="54">
        <f t="shared" si="1"/>
        <v>-4894</v>
      </c>
      <c r="J14" s="54">
        <f t="shared" si="1"/>
        <v>-4768</v>
      </c>
      <c r="K14" s="54">
        <f t="shared" si="1"/>
        <v>-5146</v>
      </c>
      <c r="L14" s="54">
        <f t="shared" si="1"/>
        <v>-5335</v>
      </c>
      <c r="M14" s="54">
        <f t="shared" si="1"/>
        <v>-5524</v>
      </c>
      <c r="N14" s="54">
        <f t="shared" si="1"/>
        <v>-5721</v>
      </c>
      <c r="O14" s="54">
        <f t="shared" si="1"/>
        <v>-60500</v>
      </c>
      <c r="P14" s="55"/>
    </row>
    <row r="15" spans="1:16" ht="13.5" customHeight="1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</row>
    <row r="16" spans="1:16" ht="15.75" customHeight="1">
      <c r="A16" s="57"/>
      <c r="B16" s="58" t="s">
        <v>114</v>
      </c>
      <c r="C16" s="59">
        <v>1984</v>
      </c>
      <c r="D16" s="59">
        <v>2095</v>
      </c>
      <c r="E16" s="59">
        <v>2243</v>
      </c>
      <c r="F16" s="59">
        <v>2169</v>
      </c>
      <c r="G16" s="59">
        <v>2280</v>
      </c>
      <c r="H16" s="59">
        <v>2317</v>
      </c>
      <c r="I16" s="59">
        <v>2206</v>
      </c>
      <c r="J16" s="59">
        <v>2132</v>
      </c>
      <c r="K16" s="59">
        <v>2354</v>
      </c>
      <c r="L16" s="59">
        <v>2465</v>
      </c>
      <c r="M16" s="59">
        <v>2576</v>
      </c>
      <c r="N16" s="59">
        <v>2679</v>
      </c>
      <c r="O16" s="59">
        <f>SUM(C16:N16)</f>
        <v>27500</v>
      </c>
      <c r="P16" s="60"/>
    </row>
    <row r="17" spans="1:16" ht="13.5" customHeight="1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</row>
    <row r="18" spans="1:16" ht="15" customHeight="1">
      <c r="A18" s="38"/>
      <c r="B18" s="39" t="s">
        <v>115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1"/>
    </row>
    <row r="19" spans="1:16" ht="15" customHeight="1">
      <c r="A19" s="42" t="s">
        <v>116</v>
      </c>
      <c r="B19" s="43" t="s">
        <v>117</v>
      </c>
      <c r="C19" s="44">
        <v>-350</v>
      </c>
      <c r="D19" s="44">
        <v>-350</v>
      </c>
      <c r="E19" s="44">
        <v>-350</v>
      </c>
      <c r="F19" s="44">
        <v>-350</v>
      </c>
      <c r="G19" s="44">
        <v>-350</v>
      </c>
      <c r="H19" s="44">
        <v>-350</v>
      </c>
      <c r="I19" s="44">
        <v>-350</v>
      </c>
      <c r="J19" s="44">
        <v>-350</v>
      </c>
      <c r="K19" s="44">
        <v>-350</v>
      </c>
      <c r="L19" s="44">
        <v>-350</v>
      </c>
      <c r="M19" s="44">
        <v>-350</v>
      </c>
      <c r="N19" s="44">
        <v>-350</v>
      </c>
      <c r="O19" s="45">
        <f>SUM(C19:N19)</f>
        <v>-4200</v>
      </c>
      <c r="P19" s="46" t="s">
        <v>118</v>
      </c>
    </row>
    <row r="20" spans="1:16" ht="15" customHeight="1">
      <c r="A20" s="52" t="s">
        <v>119</v>
      </c>
      <c r="B20" s="53" t="s">
        <v>120</v>
      </c>
      <c r="C20" s="54">
        <f t="shared" ref="C20:O20" si="2">SUM(C19:C19)</f>
        <v>-350</v>
      </c>
      <c r="D20" s="54">
        <f t="shared" si="2"/>
        <v>-350</v>
      </c>
      <c r="E20" s="54">
        <f t="shared" si="2"/>
        <v>-350</v>
      </c>
      <c r="F20" s="54">
        <f t="shared" si="2"/>
        <v>-350</v>
      </c>
      <c r="G20" s="54">
        <f t="shared" si="2"/>
        <v>-350</v>
      </c>
      <c r="H20" s="54">
        <f t="shared" si="2"/>
        <v>-350</v>
      </c>
      <c r="I20" s="54">
        <f t="shared" si="2"/>
        <v>-350</v>
      </c>
      <c r="J20" s="54">
        <f t="shared" si="2"/>
        <v>-350</v>
      </c>
      <c r="K20" s="54">
        <f t="shared" si="2"/>
        <v>-350</v>
      </c>
      <c r="L20" s="54">
        <f t="shared" si="2"/>
        <v>-350</v>
      </c>
      <c r="M20" s="54">
        <f t="shared" si="2"/>
        <v>-350</v>
      </c>
      <c r="N20" s="54">
        <f t="shared" si="2"/>
        <v>-350</v>
      </c>
      <c r="O20" s="54">
        <f t="shared" si="2"/>
        <v>-4200</v>
      </c>
      <c r="P20" s="55"/>
    </row>
    <row r="21" spans="1:16" ht="13.5" customHeight="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</row>
    <row r="22" spans="1:16" ht="15" customHeight="1">
      <c r="A22" s="38"/>
      <c r="B22" s="39" t="s">
        <v>121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1"/>
    </row>
    <row r="23" spans="1:16" ht="15" customHeight="1">
      <c r="A23" s="42" t="s">
        <v>122</v>
      </c>
      <c r="B23" s="43" t="s">
        <v>123</v>
      </c>
      <c r="C23" s="44">
        <v>-350</v>
      </c>
      <c r="D23" s="44">
        <v>-350</v>
      </c>
      <c r="E23" s="44">
        <v>-350</v>
      </c>
      <c r="F23" s="44">
        <v>-350</v>
      </c>
      <c r="G23" s="44">
        <v>-350</v>
      </c>
      <c r="H23" s="44">
        <v>-350</v>
      </c>
      <c r="I23" s="44">
        <v>-350</v>
      </c>
      <c r="J23" s="44">
        <v>-350</v>
      </c>
      <c r="K23" s="44">
        <v>-350</v>
      </c>
      <c r="L23" s="44">
        <v>-350</v>
      </c>
      <c r="M23" s="44">
        <v>-350</v>
      </c>
      <c r="N23" s="44">
        <v>-350</v>
      </c>
      <c r="O23" s="45">
        <f t="shared" ref="O23:O28" si="3">SUM(C23:N23)</f>
        <v>-4200</v>
      </c>
      <c r="P23" s="46" t="s">
        <v>124</v>
      </c>
    </row>
    <row r="24" spans="1:16" ht="15" customHeight="1">
      <c r="A24" s="47" t="s">
        <v>125</v>
      </c>
      <c r="B24" s="48" t="s">
        <v>126</v>
      </c>
      <c r="C24" s="49">
        <v>-120</v>
      </c>
      <c r="D24" s="49">
        <v>-120</v>
      </c>
      <c r="E24" s="49">
        <v>-120</v>
      </c>
      <c r="F24" s="49">
        <v>-120</v>
      </c>
      <c r="G24" s="49">
        <v>-120</v>
      </c>
      <c r="H24" s="49">
        <v>-120</v>
      </c>
      <c r="I24" s="49">
        <v>-120</v>
      </c>
      <c r="J24" s="49">
        <v>-120</v>
      </c>
      <c r="K24" s="49">
        <v>-120</v>
      </c>
      <c r="L24" s="49">
        <v>-120</v>
      </c>
      <c r="M24" s="49">
        <v>-120</v>
      </c>
      <c r="N24" s="49">
        <v>-120</v>
      </c>
      <c r="O24" s="50">
        <f t="shared" si="3"/>
        <v>-1440</v>
      </c>
      <c r="P24" s="51" t="s">
        <v>127</v>
      </c>
    </row>
    <row r="25" spans="1:16" ht="15" customHeight="1">
      <c r="A25" s="42" t="s">
        <v>128</v>
      </c>
      <c r="B25" s="43" t="s">
        <v>129</v>
      </c>
      <c r="C25" s="44">
        <v>-72</v>
      </c>
      <c r="D25" s="44">
        <v>-72</v>
      </c>
      <c r="E25" s="44">
        <v>-72</v>
      </c>
      <c r="F25" s="44">
        <v>-72</v>
      </c>
      <c r="G25" s="44">
        <v>-72</v>
      </c>
      <c r="H25" s="44">
        <v>-72</v>
      </c>
      <c r="I25" s="44">
        <v>-72</v>
      </c>
      <c r="J25" s="44">
        <v>-72</v>
      </c>
      <c r="K25" s="44">
        <v>-72</v>
      </c>
      <c r="L25" s="44">
        <v>-72</v>
      </c>
      <c r="M25" s="44">
        <v>-72</v>
      </c>
      <c r="N25" s="44">
        <v>-72</v>
      </c>
      <c r="O25" s="45">
        <f t="shared" si="3"/>
        <v>-864</v>
      </c>
      <c r="P25" s="46" t="s">
        <v>130</v>
      </c>
    </row>
    <row r="26" spans="1:16" ht="15" customHeight="1">
      <c r="A26" s="47" t="s">
        <v>131</v>
      </c>
      <c r="B26" s="48" t="s">
        <v>132</v>
      </c>
      <c r="C26" s="49">
        <v>-45</v>
      </c>
      <c r="D26" s="49">
        <v>-45</v>
      </c>
      <c r="E26" s="49">
        <v>-45</v>
      </c>
      <c r="F26" s="49">
        <v>-45</v>
      </c>
      <c r="G26" s="49">
        <v>-45</v>
      </c>
      <c r="H26" s="49">
        <v>-45</v>
      </c>
      <c r="I26" s="49">
        <v>-45</v>
      </c>
      <c r="J26" s="49">
        <v>-45</v>
      </c>
      <c r="K26" s="49">
        <v>-45</v>
      </c>
      <c r="L26" s="49">
        <v>-45</v>
      </c>
      <c r="M26" s="49">
        <v>-45</v>
      </c>
      <c r="N26" s="49">
        <v>-45</v>
      </c>
      <c r="O26" s="50">
        <f t="shared" si="3"/>
        <v>-540</v>
      </c>
      <c r="P26" s="51" t="s">
        <v>133</v>
      </c>
    </row>
    <row r="27" spans="1:16" ht="15" customHeight="1">
      <c r="A27" s="42" t="s">
        <v>134</v>
      </c>
      <c r="B27" s="43" t="s">
        <v>135</v>
      </c>
      <c r="C27" s="44">
        <v>-59</v>
      </c>
      <c r="D27" s="44">
        <v>-59</v>
      </c>
      <c r="E27" s="44">
        <v>-59</v>
      </c>
      <c r="F27" s="44">
        <v>-59</v>
      </c>
      <c r="G27" s="44">
        <v>-59</v>
      </c>
      <c r="H27" s="44">
        <v>-59</v>
      </c>
      <c r="I27" s="44">
        <v>-59</v>
      </c>
      <c r="J27" s="44">
        <v>-59</v>
      </c>
      <c r="K27" s="44">
        <v>-59</v>
      </c>
      <c r="L27" s="44">
        <v>-59</v>
      </c>
      <c r="M27" s="44">
        <v>-59</v>
      </c>
      <c r="N27" s="44">
        <v>-59</v>
      </c>
      <c r="O27" s="45">
        <f t="shared" si="3"/>
        <v>-708</v>
      </c>
      <c r="P27" s="46" t="s">
        <v>136</v>
      </c>
    </row>
    <row r="28" spans="1:16" ht="15" customHeight="1">
      <c r="A28" s="47" t="s">
        <v>137</v>
      </c>
      <c r="B28" s="48" t="s">
        <v>138</v>
      </c>
      <c r="C28" s="49">
        <v>-29</v>
      </c>
      <c r="D28" s="49">
        <v>-29</v>
      </c>
      <c r="E28" s="49">
        <v>-29</v>
      </c>
      <c r="F28" s="49">
        <v>-29</v>
      </c>
      <c r="G28" s="49">
        <v>-29</v>
      </c>
      <c r="H28" s="49">
        <v>-29</v>
      </c>
      <c r="I28" s="49">
        <v>-29</v>
      </c>
      <c r="J28" s="49">
        <v>-29</v>
      </c>
      <c r="K28" s="49">
        <v>-29</v>
      </c>
      <c r="L28" s="49">
        <v>-29</v>
      </c>
      <c r="M28" s="49">
        <v>-29</v>
      </c>
      <c r="N28" s="49">
        <v>-29</v>
      </c>
      <c r="O28" s="50">
        <f t="shared" si="3"/>
        <v>-348</v>
      </c>
      <c r="P28" s="51" t="s">
        <v>139</v>
      </c>
    </row>
    <row r="29" spans="1:16" ht="15" customHeight="1">
      <c r="A29" s="52" t="s">
        <v>140</v>
      </c>
      <c r="B29" s="53" t="s">
        <v>141</v>
      </c>
      <c r="C29" s="54">
        <f t="shared" ref="C29:O29" si="4">SUM(C23:C28)</f>
        <v>-675</v>
      </c>
      <c r="D29" s="54">
        <f t="shared" si="4"/>
        <v>-675</v>
      </c>
      <c r="E29" s="54">
        <f t="shared" si="4"/>
        <v>-675</v>
      </c>
      <c r="F29" s="54">
        <f t="shared" si="4"/>
        <v>-675</v>
      </c>
      <c r="G29" s="54">
        <f t="shared" si="4"/>
        <v>-675</v>
      </c>
      <c r="H29" s="54">
        <f t="shared" si="4"/>
        <v>-675</v>
      </c>
      <c r="I29" s="54">
        <f t="shared" si="4"/>
        <v>-675</v>
      </c>
      <c r="J29" s="54">
        <f t="shared" si="4"/>
        <v>-675</v>
      </c>
      <c r="K29" s="54">
        <f t="shared" si="4"/>
        <v>-675</v>
      </c>
      <c r="L29" s="54">
        <f t="shared" si="4"/>
        <v>-675</v>
      </c>
      <c r="M29" s="54">
        <f t="shared" si="4"/>
        <v>-675</v>
      </c>
      <c r="N29" s="54">
        <f t="shared" si="4"/>
        <v>-675</v>
      </c>
      <c r="O29" s="54">
        <f t="shared" si="4"/>
        <v>-8100</v>
      </c>
      <c r="P29" s="55"/>
    </row>
    <row r="30" spans="1:16" ht="13.5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</row>
    <row r="31" spans="1:16" ht="15" customHeight="1">
      <c r="A31" s="38"/>
      <c r="B31" s="39" t="s">
        <v>142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1"/>
    </row>
    <row r="32" spans="1:16" ht="15" customHeight="1">
      <c r="A32" s="47" t="s">
        <v>143</v>
      </c>
      <c r="B32" s="48" t="s">
        <v>144</v>
      </c>
      <c r="C32" s="49">
        <v>25</v>
      </c>
      <c r="D32" s="49">
        <v>25</v>
      </c>
      <c r="E32" s="49">
        <v>25</v>
      </c>
      <c r="F32" s="49">
        <v>25</v>
      </c>
      <c r="G32" s="49">
        <v>25</v>
      </c>
      <c r="H32" s="49">
        <v>25</v>
      </c>
      <c r="I32" s="49">
        <v>25</v>
      </c>
      <c r="J32" s="49">
        <v>25</v>
      </c>
      <c r="K32" s="49">
        <v>25</v>
      </c>
      <c r="L32" s="49">
        <v>25</v>
      </c>
      <c r="M32" s="49">
        <v>25</v>
      </c>
      <c r="N32" s="49">
        <v>25</v>
      </c>
      <c r="O32" s="50">
        <f>SUM(C32:N32)</f>
        <v>300</v>
      </c>
      <c r="P32" s="51" t="s">
        <v>145</v>
      </c>
    </row>
    <row r="33" spans="1:16" ht="15" customHeight="1">
      <c r="A33" s="52" t="s">
        <v>146</v>
      </c>
      <c r="B33" s="53" t="s">
        <v>147</v>
      </c>
      <c r="C33" s="54">
        <f t="shared" ref="C33:O33" si="5">SUM(C32:C32)</f>
        <v>25</v>
      </c>
      <c r="D33" s="54">
        <f t="shared" si="5"/>
        <v>25</v>
      </c>
      <c r="E33" s="54">
        <f t="shared" si="5"/>
        <v>25</v>
      </c>
      <c r="F33" s="54">
        <f t="shared" si="5"/>
        <v>25</v>
      </c>
      <c r="G33" s="54">
        <f t="shared" si="5"/>
        <v>25</v>
      </c>
      <c r="H33" s="54">
        <f t="shared" si="5"/>
        <v>25</v>
      </c>
      <c r="I33" s="54">
        <f t="shared" si="5"/>
        <v>25</v>
      </c>
      <c r="J33" s="54">
        <f t="shared" si="5"/>
        <v>25</v>
      </c>
      <c r="K33" s="54">
        <f t="shared" si="5"/>
        <v>25</v>
      </c>
      <c r="L33" s="54">
        <f t="shared" si="5"/>
        <v>25</v>
      </c>
      <c r="M33" s="54">
        <f t="shared" si="5"/>
        <v>25</v>
      </c>
      <c r="N33" s="54">
        <f t="shared" si="5"/>
        <v>25</v>
      </c>
      <c r="O33" s="54">
        <f t="shared" si="5"/>
        <v>300</v>
      </c>
      <c r="P33" s="55"/>
    </row>
    <row r="34" spans="1:16" ht="13.5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</row>
    <row r="35" spans="1:16" ht="15.75" customHeight="1">
      <c r="A35" s="57"/>
      <c r="B35" s="58" t="s">
        <v>148</v>
      </c>
      <c r="C35" s="59">
        <v>984</v>
      </c>
      <c r="D35" s="59">
        <v>1095</v>
      </c>
      <c r="E35" s="59">
        <v>1243</v>
      </c>
      <c r="F35" s="59">
        <v>1169</v>
      </c>
      <c r="G35" s="59">
        <v>1280</v>
      </c>
      <c r="H35" s="59">
        <v>1317</v>
      </c>
      <c r="I35" s="59">
        <v>1206</v>
      </c>
      <c r="J35" s="59">
        <v>1132</v>
      </c>
      <c r="K35" s="59">
        <v>1354</v>
      </c>
      <c r="L35" s="59">
        <v>1465</v>
      </c>
      <c r="M35" s="59">
        <v>1576</v>
      </c>
      <c r="N35" s="59">
        <v>1679</v>
      </c>
      <c r="O35" s="59">
        <f>SUM(C35:N35)</f>
        <v>15500</v>
      </c>
      <c r="P35" s="60"/>
    </row>
    <row r="36" spans="1:16" ht="13.5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</row>
    <row r="37" spans="1:16" ht="15" customHeight="1">
      <c r="A37" s="38"/>
      <c r="B37" s="39" t="s">
        <v>59</v>
      </c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1"/>
    </row>
    <row r="38" spans="1:16" ht="15" customHeight="1">
      <c r="A38" s="47" t="s">
        <v>149</v>
      </c>
      <c r="B38" s="48" t="s">
        <v>150</v>
      </c>
      <c r="C38" s="49">
        <v>17</v>
      </c>
      <c r="D38" s="49">
        <v>17</v>
      </c>
      <c r="E38" s="49">
        <v>17</v>
      </c>
      <c r="F38" s="49">
        <v>17</v>
      </c>
      <c r="G38" s="49">
        <v>17</v>
      </c>
      <c r="H38" s="49">
        <v>17</v>
      </c>
      <c r="I38" s="49">
        <v>17</v>
      </c>
      <c r="J38" s="49">
        <v>17</v>
      </c>
      <c r="K38" s="49">
        <v>17</v>
      </c>
      <c r="L38" s="49">
        <v>17</v>
      </c>
      <c r="M38" s="49">
        <v>17</v>
      </c>
      <c r="N38" s="49">
        <v>17</v>
      </c>
      <c r="O38" s="50">
        <f>SUM(C38:N38)</f>
        <v>204</v>
      </c>
      <c r="P38" s="51" t="s">
        <v>151</v>
      </c>
    </row>
    <row r="39" spans="1:16" ht="15" customHeight="1">
      <c r="A39" s="42" t="s">
        <v>152</v>
      </c>
      <c r="B39" s="43" t="s">
        <v>153</v>
      </c>
      <c r="C39" s="44">
        <v>-153</v>
      </c>
      <c r="D39" s="44">
        <v>-153</v>
      </c>
      <c r="E39" s="44">
        <v>-153</v>
      </c>
      <c r="F39" s="44">
        <v>-153</v>
      </c>
      <c r="G39" s="44">
        <v>-153</v>
      </c>
      <c r="H39" s="44">
        <v>-153</v>
      </c>
      <c r="I39" s="44">
        <v>-153</v>
      </c>
      <c r="J39" s="44">
        <v>-153</v>
      </c>
      <c r="K39" s="44">
        <v>-153</v>
      </c>
      <c r="L39" s="44">
        <v>-153</v>
      </c>
      <c r="M39" s="44">
        <v>-153</v>
      </c>
      <c r="N39" s="44">
        <v>-153</v>
      </c>
      <c r="O39" s="45">
        <f>SUM(C39:N39)</f>
        <v>-1836</v>
      </c>
      <c r="P39" s="46" t="s">
        <v>154</v>
      </c>
    </row>
    <row r="40" spans="1:16" ht="15" customHeight="1">
      <c r="A40" s="52" t="s">
        <v>155</v>
      </c>
      <c r="B40" s="53" t="s">
        <v>62</v>
      </c>
      <c r="C40" s="54">
        <f t="shared" ref="C40:O40" si="6">SUM(C38:C39)</f>
        <v>-136</v>
      </c>
      <c r="D40" s="54">
        <f t="shared" si="6"/>
        <v>-136</v>
      </c>
      <c r="E40" s="54">
        <f t="shared" si="6"/>
        <v>-136</v>
      </c>
      <c r="F40" s="54">
        <f t="shared" si="6"/>
        <v>-136</v>
      </c>
      <c r="G40" s="54">
        <f t="shared" si="6"/>
        <v>-136</v>
      </c>
      <c r="H40" s="54">
        <f t="shared" si="6"/>
        <v>-136</v>
      </c>
      <c r="I40" s="54">
        <f t="shared" si="6"/>
        <v>-136</v>
      </c>
      <c r="J40" s="54">
        <f t="shared" si="6"/>
        <v>-136</v>
      </c>
      <c r="K40" s="54">
        <f t="shared" si="6"/>
        <v>-136</v>
      </c>
      <c r="L40" s="54">
        <f t="shared" si="6"/>
        <v>-136</v>
      </c>
      <c r="M40" s="54">
        <f t="shared" si="6"/>
        <v>-136</v>
      </c>
      <c r="N40" s="54">
        <f t="shared" si="6"/>
        <v>-136</v>
      </c>
      <c r="O40" s="54">
        <f t="shared" si="6"/>
        <v>-1632</v>
      </c>
      <c r="P40" s="55"/>
    </row>
    <row r="41" spans="1:16" ht="13.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</row>
    <row r="42" spans="1:16" ht="15.75" customHeight="1">
      <c r="A42" s="57"/>
      <c r="B42" s="58" t="s">
        <v>156</v>
      </c>
      <c r="C42" s="59">
        <v>848</v>
      </c>
      <c r="D42" s="59">
        <v>959</v>
      </c>
      <c r="E42" s="59">
        <v>1107</v>
      </c>
      <c r="F42" s="59">
        <v>1033</v>
      </c>
      <c r="G42" s="59">
        <v>1144</v>
      </c>
      <c r="H42" s="59">
        <v>1181</v>
      </c>
      <c r="I42" s="59">
        <v>1070</v>
      </c>
      <c r="J42" s="59">
        <v>996</v>
      </c>
      <c r="K42" s="59">
        <v>1218</v>
      </c>
      <c r="L42" s="59">
        <v>1329</v>
      </c>
      <c r="M42" s="59">
        <v>1440</v>
      </c>
      <c r="N42" s="59">
        <v>1543</v>
      </c>
      <c r="O42" s="59">
        <f>SUM(C42:N42)</f>
        <v>13868</v>
      </c>
      <c r="P42" s="60"/>
    </row>
    <row r="43" spans="1:16" ht="13.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</row>
    <row r="44" spans="1:16" ht="15" customHeight="1">
      <c r="A44" s="47" t="s">
        <v>157</v>
      </c>
      <c r="B44" s="48" t="s">
        <v>158</v>
      </c>
      <c r="C44" s="49">
        <v>0</v>
      </c>
      <c r="D44" s="49">
        <v>0</v>
      </c>
      <c r="E44" s="49">
        <v>-867</v>
      </c>
      <c r="F44" s="49">
        <v>0</v>
      </c>
      <c r="G44" s="49">
        <v>0</v>
      </c>
      <c r="H44" s="49">
        <v>-867</v>
      </c>
      <c r="I44" s="49">
        <v>0</v>
      </c>
      <c r="J44" s="49">
        <v>0</v>
      </c>
      <c r="K44" s="49">
        <v>-867</v>
      </c>
      <c r="L44" s="49">
        <v>0</v>
      </c>
      <c r="M44" s="49">
        <v>0</v>
      </c>
      <c r="N44" s="49">
        <v>-867</v>
      </c>
      <c r="O44" s="50">
        <f>SUM(C44:N44)</f>
        <v>-3468</v>
      </c>
      <c r="P44" s="51" t="s">
        <v>159</v>
      </c>
    </row>
    <row r="45" spans="1:16" ht="15.75" customHeight="1">
      <c r="A45" s="57"/>
      <c r="B45" s="58" t="s">
        <v>160</v>
      </c>
      <c r="C45" s="59">
        <v>848</v>
      </c>
      <c r="D45" s="59">
        <v>959</v>
      </c>
      <c r="E45" s="59">
        <v>240</v>
      </c>
      <c r="F45" s="59">
        <v>1033</v>
      </c>
      <c r="G45" s="59">
        <v>1144</v>
      </c>
      <c r="H45" s="59">
        <v>314</v>
      </c>
      <c r="I45" s="59">
        <v>1070</v>
      </c>
      <c r="J45" s="59">
        <v>996</v>
      </c>
      <c r="K45" s="59">
        <v>351</v>
      </c>
      <c r="L45" s="59">
        <v>1329</v>
      </c>
      <c r="M45" s="59">
        <v>1440</v>
      </c>
      <c r="N45" s="59">
        <v>676</v>
      </c>
      <c r="O45" s="59">
        <f>SUM(C45:N45)</f>
        <v>10400</v>
      </c>
      <c r="P45" s="60"/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5180-73C3-404B-AFCC-AC8D4B9E2E97}">
  <sheetPr>
    <tabColor theme="8" tint="0.79998168889431442"/>
  </sheetPr>
  <dimension ref="A1:E33"/>
  <sheetViews>
    <sheetView zoomScale="77" workbookViewId="0"/>
  </sheetViews>
  <sheetFormatPr defaultRowHeight="15.6"/>
  <cols>
    <col min="1" max="1" width="111.6640625" style="8" bestFit="1" customWidth="1"/>
    <col min="2" max="2" width="16.33203125" style="13" customWidth="1"/>
    <col min="3" max="16384" width="8.88671875" style="8"/>
  </cols>
  <sheetData>
    <row r="1" spans="1:5">
      <c r="A1" s="7" t="s">
        <v>22</v>
      </c>
      <c r="B1" s="7" t="s">
        <v>0</v>
      </c>
      <c r="C1" s="7" t="s">
        <v>1</v>
      </c>
    </row>
    <row r="2" spans="1:5">
      <c r="A2" s="9" t="s">
        <v>162</v>
      </c>
      <c r="B2" s="10"/>
      <c r="C2" s="1" t="s">
        <v>161</v>
      </c>
    </row>
    <row r="3" spans="1:5">
      <c r="A3" s="9" t="s">
        <v>174</v>
      </c>
      <c r="B3" s="10"/>
      <c r="C3" s="1" t="s">
        <v>161</v>
      </c>
    </row>
    <row r="4" spans="1:5">
      <c r="A4" s="9" t="s">
        <v>175</v>
      </c>
      <c r="B4" s="10"/>
      <c r="C4" s="1" t="s">
        <v>161</v>
      </c>
      <c r="D4" s="8" t="s">
        <v>4</v>
      </c>
    </row>
    <row r="5" spans="1:5">
      <c r="A5" s="9" t="s">
        <v>164</v>
      </c>
      <c r="B5" s="10"/>
      <c r="C5" s="1" t="s">
        <v>161</v>
      </c>
      <c r="D5" s="8" t="s">
        <v>4</v>
      </c>
    </row>
    <row r="6" spans="1:5">
      <c r="A6" s="9" t="s">
        <v>176</v>
      </c>
      <c r="B6" s="10"/>
      <c r="C6" s="1" t="s">
        <v>161</v>
      </c>
      <c r="D6" s="8" t="s">
        <v>4</v>
      </c>
    </row>
    <row r="7" spans="1:5">
      <c r="A7" s="9" t="s">
        <v>163</v>
      </c>
      <c r="B7" s="10"/>
      <c r="C7" s="1" t="s">
        <v>161</v>
      </c>
    </row>
    <row r="8" spans="1:5">
      <c r="A8" s="9" t="s">
        <v>165</v>
      </c>
      <c r="B8" s="10"/>
      <c r="C8" s="1" t="s">
        <v>161</v>
      </c>
    </row>
    <row r="9" spans="1:5">
      <c r="A9" s="9" t="s">
        <v>166</v>
      </c>
      <c r="B9" s="15"/>
      <c r="C9" s="1" t="s">
        <v>3</v>
      </c>
    </row>
    <row r="10" spans="1:5">
      <c r="A10" s="9" t="s">
        <v>167</v>
      </c>
      <c r="B10" s="15"/>
      <c r="C10" s="1" t="s">
        <v>3</v>
      </c>
    </row>
    <row r="11" spans="1:5">
      <c r="A11" s="9" t="s">
        <v>170</v>
      </c>
      <c r="B11" s="15"/>
      <c r="C11" s="1" t="s">
        <v>3</v>
      </c>
    </row>
    <row r="12" spans="1:5">
      <c r="A12" s="9" t="s">
        <v>168</v>
      </c>
      <c r="B12" s="15"/>
      <c r="C12" s="1" t="s">
        <v>3</v>
      </c>
      <c r="E12" s="8" t="s">
        <v>4</v>
      </c>
    </row>
    <row r="13" spans="1:5">
      <c r="A13" s="9" t="s">
        <v>171</v>
      </c>
      <c r="B13" s="15"/>
      <c r="C13" s="1" t="s">
        <v>3</v>
      </c>
      <c r="D13" s="8" t="s">
        <v>4</v>
      </c>
      <c r="E13" s="8" t="s">
        <v>4</v>
      </c>
    </row>
    <row r="14" spans="1:5">
      <c r="A14" s="9" t="s">
        <v>169</v>
      </c>
      <c r="B14" s="15"/>
      <c r="C14" s="1" t="s">
        <v>3</v>
      </c>
      <c r="D14" s="8" t="s">
        <v>4</v>
      </c>
      <c r="E14" s="8" t="s">
        <v>4</v>
      </c>
    </row>
    <row r="15" spans="1:5">
      <c r="A15" s="9" t="s">
        <v>172</v>
      </c>
      <c r="B15" s="15"/>
      <c r="C15" s="1" t="s">
        <v>3</v>
      </c>
    </row>
    <row r="16" spans="1:5">
      <c r="A16" s="9" t="s">
        <v>173</v>
      </c>
      <c r="B16" s="15"/>
      <c r="C16" s="1" t="s">
        <v>3</v>
      </c>
    </row>
    <row r="26" spans="1:1">
      <c r="A26" s="8" t="s">
        <v>4</v>
      </c>
    </row>
    <row r="27" spans="1:1">
      <c r="A27" s="8" t="s">
        <v>4</v>
      </c>
    </row>
    <row r="28" spans="1:1">
      <c r="A28" s="8" t="s">
        <v>4</v>
      </c>
    </row>
    <row r="29" spans="1:1">
      <c r="A29" s="8" t="s">
        <v>4</v>
      </c>
    </row>
    <row r="30" spans="1:1">
      <c r="A30" s="8" t="s">
        <v>4</v>
      </c>
    </row>
    <row r="31" spans="1:1">
      <c r="A31" s="8" t="s">
        <v>4</v>
      </c>
    </row>
    <row r="32" spans="1:1">
      <c r="A32" s="8" t="s">
        <v>4</v>
      </c>
    </row>
    <row r="33" spans="1:1">
      <c r="A33" s="8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Income Statement</vt:lpstr>
      <vt:lpstr>Balance Sheet</vt:lpstr>
      <vt:lpstr>P&amp;L Budget – GL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2026-04-12T00:38:14Z</dcterms:modified>
</cp:coreProperties>
</file>