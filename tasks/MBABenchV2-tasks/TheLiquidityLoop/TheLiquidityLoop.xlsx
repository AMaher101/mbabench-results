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Working Capital Modeling\TheLiquidityLoop\starting_files\"/>
    </mc:Choice>
  </mc:AlternateContent>
  <xr:revisionPtr revIDLastSave="0" documentId="13_ncr:1_{629A2808-EB73-4884-A07E-7489C97C7A5E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" sheetId="9" r:id="rId2"/>
    <sheet name="HRCB IS" sheetId="16" r:id="rId3"/>
    <sheet name="HRCB BS" sheetId="17" r:id="rId4"/>
    <sheet name="Questions" sheetId="6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" i="17" l="1"/>
  <c r="O99" i="17"/>
  <c r="N99" i="17"/>
  <c r="M99" i="17"/>
  <c r="L99" i="17"/>
  <c r="K99" i="17"/>
  <c r="J99" i="17"/>
  <c r="I99" i="17"/>
  <c r="H99" i="17"/>
  <c r="G99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P83" i="17"/>
  <c r="P95" i="17" s="1"/>
  <c r="O83" i="17"/>
  <c r="O95" i="17" s="1"/>
  <c r="N83" i="17"/>
  <c r="N95" i="17" s="1"/>
  <c r="M83" i="17"/>
  <c r="M95" i="17" s="1"/>
  <c r="L83" i="17"/>
  <c r="L95" i="17" s="1"/>
  <c r="P81" i="17"/>
  <c r="O81" i="17"/>
  <c r="N81" i="17"/>
  <c r="M81" i="17"/>
  <c r="L81" i="17"/>
  <c r="K81" i="17"/>
  <c r="J81" i="17"/>
  <c r="I81" i="17"/>
  <c r="H81" i="17"/>
  <c r="G81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J68" i="17"/>
  <c r="J100" i="17" s="1"/>
  <c r="I68" i="17"/>
  <c r="H68" i="17"/>
  <c r="H100" i="17" s="1"/>
  <c r="G68" i="17"/>
  <c r="G100" i="17" s="1"/>
  <c r="F68" i="17"/>
  <c r="E68" i="17"/>
  <c r="E100" i="17" s="1"/>
  <c r="D68" i="17"/>
  <c r="D100" i="17" s="1"/>
  <c r="C68" i="17"/>
  <c r="C100" i="17" s="1"/>
  <c r="B68" i="17"/>
  <c r="P62" i="17"/>
  <c r="P68" i="17" s="1"/>
  <c r="P100" i="17" s="1"/>
  <c r="O62" i="17"/>
  <c r="O68" i="17" s="1"/>
  <c r="O100" i="17" s="1"/>
  <c r="N62" i="17"/>
  <c r="N68" i="17" s="1"/>
  <c r="N100" i="17" s="1"/>
  <c r="M62" i="17"/>
  <c r="M68" i="17" s="1"/>
  <c r="M100" i="17" s="1"/>
  <c r="L62" i="17"/>
  <c r="L68" i="17" s="1"/>
  <c r="L100" i="17" s="1"/>
  <c r="K62" i="17"/>
  <c r="K68" i="17" s="1"/>
  <c r="J62" i="17"/>
  <c r="I62" i="17"/>
  <c r="H62" i="17"/>
  <c r="G62" i="17"/>
  <c r="F62" i="17"/>
  <c r="E62" i="17"/>
  <c r="D62" i="17"/>
  <c r="C62" i="17"/>
  <c r="B62" i="17"/>
  <c r="J54" i="17"/>
  <c r="I54" i="17"/>
  <c r="H54" i="17"/>
  <c r="G54" i="17"/>
  <c r="F52" i="17"/>
  <c r="E52" i="17"/>
  <c r="D52" i="17"/>
  <c r="C52" i="17"/>
  <c r="B52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P38" i="17"/>
  <c r="P52" i="17" s="1"/>
  <c r="O38" i="17"/>
  <c r="O52" i="17" s="1"/>
  <c r="O54" i="17" s="1"/>
  <c r="N38" i="17"/>
  <c r="N52" i="17" s="1"/>
  <c r="N54" i="17" s="1"/>
  <c r="M38" i="17"/>
  <c r="M52" i="17" s="1"/>
  <c r="M54" i="17" s="1"/>
  <c r="L38" i="17"/>
  <c r="L52" i="17" s="1"/>
  <c r="L54" i="17" s="1"/>
  <c r="E38" i="17"/>
  <c r="D38" i="17"/>
  <c r="C38" i="17"/>
  <c r="B38" i="17"/>
  <c r="P36" i="17"/>
  <c r="O36" i="17"/>
  <c r="N36" i="17"/>
  <c r="M36" i="17"/>
  <c r="L36" i="17"/>
  <c r="K36" i="17"/>
  <c r="K38" i="17" s="1"/>
  <c r="K52" i="17" s="1"/>
  <c r="K54" i="17" s="1"/>
  <c r="J36" i="17"/>
  <c r="J38" i="17" s="1"/>
  <c r="J52" i="17" s="1"/>
  <c r="I36" i="17"/>
  <c r="I38" i="17" s="1"/>
  <c r="I52" i="17" s="1"/>
  <c r="H36" i="17"/>
  <c r="H38" i="17" s="1"/>
  <c r="H52" i="17" s="1"/>
  <c r="G36" i="17"/>
  <c r="G38" i="17" s="1"/>
  <c r="G52" i="17" s="1"/>
  <c r="F36" i="17"/>
  <c r="F38" i="17" s="1"/>
  <c r="E36" i="17"/>
  <c r="D36" i="17"/>
  <c r="C36" i="17"/>
  <c r="B36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P23" i="17"/>
  <c r="P28" i="17" s="1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P95" i="16"/>
  <c r="K95" i="16"/>
  <c r="F95" i="16"/>
  <c r="P92" i="16"/>
  <c r="K92" i="16"/>
  <c r="F92" i="16"/>
  <c r="P88" i="16"/>
  <c r="K88" i="16"/>
  <c r="F88" i="16"/>
  <c r="P87" i="16"/>
  <c r="K87" i="16"/>
  <c r="F87" i="16"/>
  <c r="P84" i="16"/>
  <c r="K84" i="16"/>
  <c r="F84" i="16"/>
  <c r="P83" i="16"/>
  <c r="K83" i="16"/>
  <c r="F83" i="16"/>
  <c r="P78" i="16"/>
  <c r="K78" i="16"/>
  <c r="F78" i="16"/>
  <c r="P76" i="16"/>
  <c r="K76" i="16"/>
  <c r="F76" i="16"/>
  <c r="P74" i="16"/>
  <c r="K74" i="16"/>
  <c r="F74" i="16"/>
  <c r="O71" i="16"/>
  <c r="N71" i="16"/>
  <c r="M71" i="16"/>
  <c r="L71" i="16"/>
  <c r="J71" i="16"/>
  <c r="I71" i="16"/>
  <c r="H71" i="16"/>
  <c r="G71" i="16"/>
  <c r="E71" i="16"/>
  <c r="D71" i="16"/>
  <c r="C71" i="16"/>
  <c r="B71" i="16"/>
  <c r="P70" i="16"/>
  <c r="P71" i="16" s="1"/>
  <c r="K70" i="16"/>
  <c r="K71" i="16" s="1"/>
  <c r="F70" i="16"/>
  <c r="F71" i="16" s="1"/>
  <c r="P69" i="16"/>
  <c r="K69" i="16"/>
  <c r="F69" i="16"/>
  <c r="O64" i="16"/>
  <c r="N64" i="16"/>
  <c r="M64" i="16"/>
  <c r="L64" i="16"/>
  <c r="J64" i="16"/>
  <c r="I64" i="16"/>
  <c r="H64" i="16"/>
  <c r="G64" i="16"/>
  <c r="E64" i="16"/>
  <c r="D64" i="16"/>
  <c r="C64" i="16"/>
  <c r="B64" i="16"/>
  <c r="P63" i="16"/>
  <c r="K63" i="16"/>
  <c r="F63" i="16"/>
  <c r="P62" i="16"/>
  <c r="K62" i="16"/>
  <c r="F62" i="16"/>
  <c r="P61" i="16"/>
  <c r="P64" i="16" s="1"/>
  <c r="K61" i="16"/>
  <c r="F61" i="16"/>
  <c r="P60" i="16"/>
  <c r="K60" i="16"/>
  <c r="F60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P56" i="16"/>
  <c r="K56" i="16"/>
  <c r="F56" i="16"/>
  <c r="P55" i="16"/>
  <c r="K55" i="16"/>
  <c r="F55" i="16"/>
  <c r="P54" i="16"/>
  <c r="P57" i="16" s="1"/>
  <c r="K54" i="16"/>
  <c r="F54" i="16"/>
  <c r="O51" i="16"/>
  <c r="N51" i="16"/>
  <c r="M51" i="16"/>
  <c r="L51" i="16"/>
  <c r="K51" i="16"/>
  <c r="J51" i="16"/>
  <c r="I51" i="16"/>
  <c r="H51" i="16"/>
  <c r="G51" i="16"/>
  <c r="E51" i="16"/>
  <c r="D51" i="16"/>
  <c r="C51" i="16"/>
  <c r="B51" i="16"/>
  <c r="P50" i="16"/>
  <c r="K50" i="16"/>
  <c r="F50" i="16"/>
  <c r="P49" i="16"/>
  <c r="K49" i="16"/>
  <c r="F49" i="16"/>
  <c r="P48" i="16"/>
  <c r="K48" i="16"/>
  <c r="F48" i="16"/>
  <c r="P47" i="16"/>
  <c r="P51" i="16" s="1"/>
  <c r="K47" i="16"/>
  <c r="F47" i="16"/>
  <c r="F51" i="16" s="1"/>
  <c r="O41" i="16"/>
  <c r="N41" i="16"/>
  <c r="M41" i="16"/>
  <c r="L41" i="16"/>
  <c r="J41" i="16"/>
  <c r="I41" i="16"/>
  <c r="H41" i="16"/>
  <c r="G41" i="16"/>
  <c r="E41" i="16"/>
  <c r="D41" i="16"/>
  <c r="C41" i="16"/>
  <c r="B41" i="16"/>
  <c r="P40" i="16"/>
  <c r="K40" i="16"/>
  <c r="F40" i="16"/>
  <c r="P39" i="16"/>
  <c r="K39" i="16"/>
  <c r="F39" i="16"/>
  <c r="P38" i="16"/>
  <c r="K38" i="16"/>
  <c r="F38" i="16"/>
  <c r="P37" i="16"/>
  <c r="K37" i="16"/>
  <c r="F37" i="16"/>
  <c r="P36" i="16"/>
  <c r="K36" i="16"/>
  <c r="F36" i="16"/>
  <c r="P35" i="16"/>
  <c r="K35" i="16"/>
  <c r="K41" i="16" s="1"/>
  <c r="F35" i="16"/>
  <c r="F41" i="16" s="1"/>
  <c r="P34" i="16"/>
  <c r="K34" i="16"/>
  <c r="F34" i="16"/>
  <c r="P33" i="16"/>
  <c r="K33" i="16"/>
  <c r="F33" i="16"/>
  <c r="P32" i="16"/>
  <c r="K32" i="16"/>
  <c r="F32" i="16"/>
  <c r="D28" i="16"/>
  <c r="C28" i="16"/>
  <c r="B28" i="16"/>
  <c r="B43" i="16" s="1"/>
  <c r="B44" i="16" s="1"/>
  <c r="P26" i="16"/>
  <c r="O26" i="16"/>
  <c r="N26" i="16"/>
  <c r="M26" i="16"/>
  <c r="L26" i="16"/>
  <c r="J26" i="16"/>
  <c r="I26" i="16"/>
  <c r="H26" i="16"/>
  <c r="G26" i="16"/>
  <c r="E26" i="16"/>
  <c r="D26" i="16"/>
  <c r="C26" i="16"/>
  <c r="B26" i="16"/>
  <c r="P25" i="16"/>
  <c r="K25" i="16"/>
  <c r="F25" i="16"/>
  <c r="P24" i="16"/>
  <c r="K24" i="16"/>
  <c r="F24" i="16"/>
  <c r="F26" i="16" s="1"/>
  <c r="P23" i="16"/>
  <c r="K23" i="16"/>
  <c r="F23" i="16"/>
  <c r="P22" i="16"/>
  <c r="K22" i="16"/>
  <c r="F22" i="16"/>
  <c r="P21" i="16"/>
  <c r="K21" i="16"/>
  <c r="F21" i="16"/>
  <c r="O18" i="16"/>
  <c r="N18" i="16"/>
  <c r="M18" i="16"/>
  <c r="L18" i="16"/>
  <c r="J18" i="16"/>
  <c r="I18" i="16"/>
  <c r="H18" i="16"/>
  <c r="G18" i="16"/>
  <c r="F18" i="16"/>
  <c r="E18" i="16"/>
  <c r="E28" i="16" s="1"/>
  <c r="E43" i="16" s="1"/>
  <c r="D18" i="16"/>
  <c r="C18" i="16"/>
  <c r="B18" i="16"/>
  <c r="P17" i="16"/>
  <c r="K17" i="16"/>
  <c r="F17" i="16"/>
  <c r="P16" i="16"/>
  <c r="K16" i="16"/>
  <c r="F16" i="16"/>
  <c r="P15" i="16"/>
  <c r="K15" i="16"/>
  <c r="F15" i="16"/>
  <c r="P14" i="16"/>
  <c r="K14" i="16"/>
  <c r="F14" i="16"/>
  <c r="P13" i="16"/>
  <c r="P18" i="16" s="1"/>
  <c r="K13" i="16"/>
  <c r="K18" i="16" s="1"/>
  <c r="F13" i="16"/>
  <c r="E66" i="16" l="1"/>
  <c r="E91" i="16"/>
  <c r="E93" i="16" s="1"/>
  <c r="E96" i="16" s="1"/>
  <c r="D43" i="16"/>
  <c r="P54" i="17"/>
  <c r="H28" i="16"/>
  <c r="H43" i="16" s="1"/>
  <c r="B91" i="16"/>
  <c r="B93" i="16" s="1"/>
  <c r="B96" i="16" s="1"/>
  <c r="B97" i="16" s="1"/>
  <c r="B54" i="17"/>
  <c r="P28" i="16"/>
  <c r="P43" i="16" s="1"/>
  <c r="C54" i="17"/>
  <c r="J28" i="16"/>
  <c r="J43" i="16" s="1"/>
  <c r="D54" i="17"/>
  <c r="F100" i="17"/>
  <c r="K100" i="17"/>
  <c r="K83" i="17"/>
  <c r="K95" i="17" s="1"/>
  <c r="C43" i="16"/>
  <c r="E44" i="16"/>
  <c r="E97" i="16"/>
  <c r="F28" i="16"/>
  <c r="F43" i="16" s="1"/>
  <c r="G28" i="16"/>
  <c r="G43" i="16" s="1"/>
  <c r="E29" i="16"/>
  <c r="K28" i="16"/>
  <c r="K43" i="16" s="1"/>
  <c r="I28" i="16"/>
  <c r="I43" i="16" s="1"/>
  <c r="I44" i="16" s="1"/>
  <c r="G29" i="16"/>
  <c r="L44" i="16"/>
  <c r="I29" i="16"/>
  <c r="E54" i="17"/>
  <c r="J29" i="16"/>
  <c r="F54" i="17"/>
  <c r="K64" i="16"/>
  <c r="I83" i="17"/>
  <c r="I95" i="17" s="1"/>
  <c r="J101" i="17"/>
  <c r="O28" i="16"/>
  <c r="O43" i="16" s="1"/>
  <c r="K101" i="17"/>
  <c r="E94" i="16"/>
  <c r="B99" i="17"/>
  <c r="B81" i="17"/>
  <c r="L101" i="17"/>
  <c r="K26" i="16"/>
  <c r="C99" i="17"/>
  <c r="C81" i="17"/>
  <c r="C83" i="17" s="1"/>
  <c r="M101" i="17"/>
  <c r="B83" i="17"/>
  <c r="B95" i="17" s="1"/>
  <c r="B66" i="16"/>
  <c r="D99" i="17"/>
  <c r="D81" i="17"/>
  <c r="N101" i="17"/>
  <c r="P41" i="16"/>
  <c r="F64" i="16"/>
  <c r="E99" i="17"/>
  <c r="E81" i="17"/>
  <c r="E83" i="17" s="1"/>
  <c r="O101" i="17"/>
  <c r="F99" i="17"/>
  <c r="F81" i="17"/>
  <c r="P101" i="17"/>
  <c r="B100" i="17"/>
  <c r="L28" i="16"/>
  <c r="L43" i="16" s="1"/>
  <c r="D83" i="17"/>
  <c r="M28" i="16"/>
  <c r="M43" i="16" s="1"/>
  <c r="N28" i="16"/>
  <c r="N43" i="16" s="1"/>
  <c r="F83" i="17"/>
  <c r="L29" i="16"/>
  <c r="G83" i="17"/>
  <c r="G95" i="17" s="1"/>
  <c r="H83" i="17"/>
  <c r="H95" i="17" s="1"/>
  <c r="B29" i="16"/>
  <c r="I100" i="17"/>
  <c r="C29" i="16"/>
  <c r="J83" i="17"/>
  <c r="J95" i="17" s="1"/>
  <c r="D29" i="16"/>
  <c r="C95" i="17" l="1"/>
  <c r="C101" i="17"/>
  <c r="E95" i="17"/>
  <c r="E101" i="17"/>
  <c r="F101" i="17"/>
  <c r="F95" i="17"/>
  <c r="N91" i="16"/>
  <c r="N93" i="16" s="1"/>
  <c r="N66" i="16"/>
  <c r="N44" i="16"/>
  <c r="O91" i="16"/>
  <c r="O93" i="16" s="1"/>
  <c r="O66" i="16"/>
  <c r="O44" i="16"/>
  <c r="P29" i="16"/>
  <c r="I91" i="16"/>
  <c r="I93" i="16" s="1"/>
  <c r="I66" i="16"/>
  <c r="L91" i="16"/>
  <c r="L93" i="16" s="1"/>
  <c r="L66" i="16"/>
  <c r="G101" i="17"/>
  <c r="K66" i="16"/>
  <c r="K91" i="16"/>
  <c r="K93" i="16" s="1"/>
  <c r="B72" i="16"/>
  <c r="B75" i="16"/>
  <c r="B77" i="16" s="1"/>
  <c r="B79" i="16" s="1"/>
  <c r="I101" i="17"/>
  <c r="K44" i="16"/>
  <c r="F91" i="16"/>
  <c r="F93" i="16" s="1"/>
  <c r="F66" i="16"/>
  <c r="B101" i="17"/>
  <c r="C91" i="16"/>
  <c r="C93" i="16" s="1"/>
  <c r="C44" i="16"/>
  <c r="C66" i="16"/>
  <c r="D44" i="16"/>
  <c r="D91" i="16"/>
  <c r="D93" i="16" s="1"/>
  <c r="D66" i="16"/>
  <c r="G91" i="16"/>
  <c r="G93" i="16" s="1"/>
  <c r="G66" i="16"/>
  <c r="H29" i="16"/>
  <c r="H91" i="16"/>
  <c r="H93" i="16" s="1"/>
  <c r="H66" i="16"/>
  <c r="M91" i="16"/>
  <c r="M93" i="16" s="1"/>
  <c r="M66" i="16"/>
  <c r="M44" i="16"/>
  <c r="K29" i="16"/>
  <c r="H44" i="16"/>
  <c r="B94" i="16"/>
  <c r="D101" i="17"/>
  <c r="D95" i="17"/>
  <c r="N29" i="16"/>
  <c r="M29" i="16"/>
  <c r="H101" i="17"/>
  <c r="P91" i="16"/>
  <c r="P93" i="16" s="1"/>
  <c r="P66" i="16"/>
  <c r="P44" i="16"/>
  <c r="J91" i="16"/>
  <c r="J93" i="16" s="1"/>
  <c r="J66" i="16"/>
  <c r="J44" i="16"/>
  <c r="O29" i="16"/>
  <c r="G44" i="16"/>
  <c r="F29" i="16"/>
  <c r="F44" i="16"/>
  <c r="E75" i="16"/>
  <c r="E77" i="16" s="1"/>
  <c r="E79" i="16" s="1"/>
  <c r="E72" i="16"/>
  <c r="E85" i="16" l="1"/>
  <c r="E86" i="16"/>
  <c r="E80" i="16"/>
  <c r="M72" i="16"/>
  <c r="M75" i="16"/>
  <c r="M77" i="16" s="1"/>
  <c r="M79" i="16" s="1"/>
  <c r="K96" i="16"/>
  <c r="K97" i="16" s="1"/>
  <c r="K94" i="16"/>
  <c r="M96" i="16"/>
  <c r="M97" i="16" s="1"/>
  <c r="M94" i="16"/>
  <c r="K72" i="16"/>
  <c r="K75" i="16"/>
  <c r="K77" i="16" s="1"/>
  <c r="K79" i="16" s="1"/>
  <c r="H75" i="16"/>
  <c r="H77" i="16" s="1"/>
  <c r="H79" i="16" s="1"/>
  <c r="H72" i="16"/>
  <c r="H96" i="16"/>
  <c r="H97" i="16" s="1"/>
  <c r="H94" i="16"/>
  <c r="L72" i="16"/>
  <c r="L75" i="16"/>
  <c r="L77" i="16" s="1"/>
  <c r="L79" i="16" s="1"/>
  <c r="L96" i="16"/>
  <c r="L97" i="16" s="1"/>
  <c r="L94" i="16"/>
  <c r="G75" i="16"/>
  <c r="G77" i="16" s="1"/>
  <c r="G79" i="16" s="1"/>
  <c r="G72" i="16"/>
  <c r="I72" i="16"/>
  <c r="I75" i="16"/>
  <c r="I77" i="16" s="1"/>
  <c r="I79" i="16" s="1"/>
  <c r="J72" i="16"/>
  <c r="J75" i="16"/>
  <c r="J77" i="16" s="1"/>
  <c r="J79" i="16" s="1"/>
  <c r="G96" i="16"/>
  <c r="G97" i="16" s="1"/>
  <c r="G94" i="16"/>
  <c r="I96" i="16"/>
  <c r="I97" i="16" s="1"/>
  <c r="I94" i="16"/>
  <c r="J96" i="16"/>
  <c r="J97" i="16" s="1"/>
  <c r="J94" i="16"/>
  <c r="D75" i="16"/>
  <c r="D77" i="16" s="1"/>
  <c r="D79" i="16" s="1"/>
  <c r="D72" i="16"/>
  <c r="D96" i="16"/>
  <c r="D97" i="16" s="1"/>
  <c r="D94" i="16"/>
  <c r="P72" i="16"/>
  <c r="P75" i="16"/>
  <c r="P77" i="16" s="1"/>
  <c r="P79" i="16" s="1"/>
  <c r="O75" i="16"/>
  <c r="O77" i="16" s="1"/>
  <c r="O79" i="16" s="1"/>
  <c r="O72" i="16"/>
  <c r="P96" i="16"/>
  <c r="P97" i="16" s="1"/>
  <c r="P94" i="16"/>
  <c r="C72" i="16"/>
  <c r="C75" i="16"/>
  <c r="C77" i="16" s="1"/>
  <c r="C79" i="16" s="1"/>
  <c r="O96" i="16"/>
  <c r="O97" i="16" s="1"/>
  <c r="O94" i="16"/>
  <c r="C96" i="16"/>
  <c r="C97" i="16" s="1"/>
  <c r="C94" i="16"/>
  <c r="N75" i="16"/>
  <c r="N77" i="16" s="1"/>
  <c r="N79" i="16" s="1"/>
  <c r="N72" i="16"/>
  <c r="N96" i="16"/>
  <c r="N97" i="16" s="1"/>
  <c r="N94" i="16"/>
  <c r="F75" i="16"/>
  <c r="F77" i="16" s="1"/>
  <c r="F79" i="16" s="1"/>
  <c r="F72" i="16"/>
  <c r="F96" i="16"/>
  <c r="F97" i="16" s="1"/>
  <c r="F94" i="16"/>
  <c r="B80" i="16"/>
  <c r="B85" i="16"/>
  <c r="B86" i="16"/>
  <c r="G85" i="16" l="1"/>
  <c r="G86" i="16"/>
  <c r="G80" i="16"/>
  <c r="O86" i="16"/>
  <c r="O85" i="16"/>
  <c r="O80" i="16"/>
  <c r="P86" i="16"/>
  <c r="P80" i="16"/>
  <c r="P85" i="16"/>
  <c r="L85" i="16"/>
  <c r="L86" i="16"/>
  <c r="L80" i="16"/>
  <c r="F85" i="16"/>
  <c r="F80" i="16"/>
  <c r="F86" i="16"/>
  <c r="D85" i="16"/>
  <c r="D80" i="16"/>
  <c r="D86" i="16"/>
  <c r="H86" i="16"/>
  <c r="H85" i="16"/>
  <c r="H80" i="16"/>
  <c r="K85" i="16"/>
  <c r="K80" i="16"/>
  <c r="K86" i="16"/>
  <c r="N86" i="16"/>
  <c r="N85" i="16"/>
  <c r="N80" i="16"/>
  <c r="J85" i="16"/>
  <c r="J86" i="16"/>
  <c r="J80" i="16"/>
  <c r="M85" i="16"/>
  <c r="M86" i="16"/>
  <c r="M80" i="16"/>
  <c r="C85" i="16"/>
  <c r="C80" i="16"/>
  <c r="C86" i="16"/>
  <c r="I85" i="16"/>
  <c r="I86" i="16"/>
  <c r="I80" i="16"/>
  <c r="A1" i="9" l="1"/>
</calcChain>
</file>

<file path=xl/sharedStrings.xml><?xml version="1.0" encoding="utf-8"?>
<sst xmlns="http://schemas.openxmlformats.org/spreadsheetml/2006/main" count="385" uniqueCount="311">
  <si>
    <t>Answers</t>
  </si>
  <si>
    <t>[years]</t>
  </si>
  <si>
    <t>[days]</t>
  </si>
  <si>
    <t>Assumptions sheet may be also in the text on the Instructions tab - please use the assumptions on this sheet for your model</t>
  </si>
  <si>
    <t>End Sheet</t>
  </si>
  <si>
    <t>FP&amp;A Task</t>
  </si>
  <si>
    <t>Questions (please round your answers to two decimal places)</t>
  </si>
  <si>
    <t>ASSETS</t>
  </si>
  <si>
    <t>Current Assets</t>
  </si>
  <si>
    <t>Current Liabilities</t>
  </si>
  <si>
    <t>Growth rates</t>
  </si>
  <si>
    <t>Forecast period</t>
  </si>
  <si>
    <t>Unit</t>
  </si>
  <si>
    <t>You have been provided with assumptions, as well as an income statement and a balance sheet.</t>
  </si>
  <si>
    <t>Answer the questions using your model.</t>
  </si>
  <si>
    <t>GROSS PROFIT</t>
  </si>
  <si>
    <t>OPERATING EXPENSES</t>
  </si>
  <si>
    <t>Total Operating Expenses</t>
  </si>
  <si>
    <t>OPERATING INCOME (EBIT)</t>
  </si>
  <si>
    <t>Other Current Assets</t>
  </si>
  <si>
    <t>Non-Current Assets</t>
  </si>
  <si>
    <t>TOTAL ASSETS</t>
  </si>
  <si>
    <t>Non-Current Liabilities</t>
  </si>
  <si>
    <t>CoR</t>
  </si>
  <si>
    <t>[$m]</t>
  </si>
  <si>
    <t>$m</t>
  </si>
  <si>
    <t>Quarters per year</t>
  </si>
  <si>
    <t>[% p.a.]</t>
  </si>
  <si>
    <t>Model basics</t>
  </si>
  <si>
    <t>CONSOLIDATED NET INCOME</t>
  </si>
  <si>
    <t>INCOME TAX PROVISION</t>
  </si>
  <si>
    <t>PRETAX INCOME</t>
  </si>
  <si>
    <t>INTEREST EXPENSE</t>
  </si>
  <si>
    <t>Total Cost of Revenues</t>
  </si>
  <si>
    <t>COST OF REVENUES</t>
  </si>
  <si>
    <t>Total Net Revenues</t>
  </si>
  <si>
    <t>TOTAL SHAREHOLDERS' EQUITY</t>
  </si>
  <si>
    <t>Shareholders' Equity</t>
  </si>
  <si>
    <t>TOTAL LIABILITIES</t>
  </si>
  <si>
    <t>TOTAL NON-CURRENT LIABILITIES</t>
  </si>
  <si>
    <t xml:space="preserve">  Total Long-term Debt</t>
  </si>
  <si>
    <t>TOTAL CURRENT LIABILITIES</t>
  </si>
  <si>
    <t xml:space="preserve">  Total Accrued Liabilities</t>
  </si>
  <si>
    <t>TOTAL NON-CURRENT ASSETS</t>
  </si>
  <si>
    <t xml:space="preserve">  Net PP&amp;E</t>
  </si>
  <si>
    <t xml:space="preserve">  Gross PP&amp;E</t>
  </si>
  <si>
    <t>TOTAL CURRENT ASSETS</t>
  </si>
  <si>
    <t xml:space="preserve">  Total Inventories</t>
  </si>
  <si>
    <t>Period</t>
  </si>
  <si>
    <t>Prepaid Expenses</t>
  </si>
  <si>
    <t>Income Tax Receivable</t>
  </si>
  <si>
    <t>Current Portion of Long-term Debt</t>
  </si>
  <si>
    <t>Cash &amp; Cash Equivalents</t>
  </si>
  <si>
    <t>Gross Profit</t>
  </si>
  <si>
    <t xml:space="preserve"> </t>
  </si>
  <si>
    <t>Harrington Consumer Brands, Inc.  (HRCB  ·  NYSE)</t>
  </si>
  <si>
    <t>Consolidated Income Statement (Quarterly)  |  USD $ millions (except per share)  |  Market price: $87.42</t>
  </si>
  <si>
    <t>Harrington Consumer Brands, Inc.</t>
  </si>
  <si>
    <t>Ticker: HRCB   Exchange: NYSE   Instrument: Common Equity</t>
  </si>
  <si>
    <t>Source: Illustrative / Fictional Data — For Demonstration Purposes Only</t>
  </si>
  <si>
    <t>Q1'22</t>
  </si>
  <si>
    <t>Q2'22</t>
  </si>
  <si>
    <t>Q3'22</t>
  </si>
  <si>
    <t>Q4'22</t>
  </si>
  <si>
    <t>FY'22</t>
  </si>
  <si>
    <t>Q1'23</t>
  </si>
  <si>
    <t>Q2'23</t>
  </si>
  <si>
    <t>Q3'23</t>
  </si>
  <si>
    <t>Q4'23</t>
  </si>
  <si>
    <t>FY'23</t>
  </si>
  <si>
    <t>Q1'24</t>
  </si>
  <si>
    <t>Q2'24</t>
  </si>
  <si>
    <t>Q3'24</t>
  </si>
  <si>
    <t>Q4'24</t>
  </si>
  <si>
    <t>FY'24</t>
  </si>
  <si>
    <t>All figures in $mm  |  Quarterly periods and full-year totals</t>
  </si>
  <si>
    <t>NET REVENUES BY SEGMENT</t>
  </si>
  <si>
    <t xml:space="preserve">  Beverages</t>
  </si>
  <si>
    <t xml:space="preserve">  Snacks &amp; Foods</t>
  </si>
  <si>
    <t xml:space="preserve">  Personal Care</t>
  </si>
  <si>
    <t xml:space="preserve">  Household Products</t>
  </si>
  <si>
    <t xml:space="preserve">  International</t>
  </si>
  <si>
    <t xml:space="preserve">  Raw Materials</t>
  </si>
  <si>
    <t xml:space="preserve">  Packaging &amp; Containers</t>
  </si>
  <si>
    <t xml:space="preserve">  Direct Labor &amp; Wages</t>
  </si>
  <si>
    <t xml:space="preserve">  Manufacturing Overhead</t>
  </si>
  <si>
    <t xml:space="preserve">  Depreciation — Production</t>
  </si>
  <si>
    <t xml:space="preserve">  Gross Margin (%)</t>
  </si>
  <si>
    <t xml:space="preserve">  Selling &amp; Trade</t>
  </si>
  <si>
    <t xml:space="preserve">  Advertising &amp; Media</t>
  </si>
  <si>
    <t xml:space="preserve">  Consumer Promotions</t>
  </si>
  <si>
    <t xml:space="preserve">  General &amp; Administrative</t>
  </si>
  <si>
    <t xml:space="preserve">  Research &amp; Development</t>
  </si>
  <si>
    <t xml:space="preserve">  Amortization of Intangibles</t>
  </si>
  <si>
    <t xml:space="preserve">  Restructuring &amp; Severance</t>
  </si>
  <si>
    <t xml:space="preserve">  Acquisition-related Costs</t>
  </si>
  <si>
    <t xml:space="preserve">  Other Operating Expenses</t>
  </si>
  <si>
    <t xml:space="preserve">  EBIT Margin (%)</t>
  </si>
  <si>
    <t>NON-OPERATING ITEMS</t>
  </si>
  <si>
    <t xml:space="preserve">  Interest Income</t>
  </si>
  <si>
    <t xml:space="preserve">  Dividend &amp; Equity Income</t>
  </si>
  <si>
    <t xml:space="preserve">  Foreign Exchange Gain / (Loss)</t>
  </si>
  <si>
    <t xml:space="preserve">  Other Non-operating Income</t>
  </si>
  <si>
    <t>Net Non-operating Income</t>
  </si>
  <si>
    <t xml:space="preserve">  Interest — Long-term Debt</t>
  </si>
  <si>
    <t xml:space="preserve">  Interest — Short-term Borrowings</t>
  </si>
  <si>
    <t xml:space="preserve">  Interest — Lease Liabilities</t>
  </si>
  <si>
    <t>Total Interest Expense</t>
  </si>
  <si>
    <t>NON-RECURRING CHARGES</t>
  </si>
  <si>
    <t xml:space="preserve">  Goodwill Impairment</t>
  </si>
  <si>
    <t xml:space="preserve">  PP&amp;E Impairment</t>
  </si>
  <si>
    <t xml:space="preserve">  Legal &amp; Regulatory Provisions</t>
  </si>
  <si>
    <t xml:space="preserve">  Environmental Charges</t>
  </si>
  <si>
    <t>Total Non-recurring Charges</t>
  </si>
  <si>
    <t xml:space="preserve">  Current Tax</t>
  </si>
  <si>
    <t xml:space="preserve">  Deferred Tax Expense / (Benefit)</t>
  </si>
  <si>
    <t>Total Income Tax Provision</t>
  </si>
  <si>
    <t xml:space="preserve">  Effective Tax Rate (%)</t>
  </si>
  <si>
    <t xml:space="preserve">  Equity in Earnings of Affiliates</t>
  </si>
  <si>
    <t xml:space="preserve">  Less: Noncontrolling Interests</t>
  </si>
  <si>
    <t>NET INCOME</t>
  </si>
  <si>
    <t xml:space="preserve">  Less: Preferred Dividends</t>
  </si>
  <si>
    <t>NET INCOME TO COMMON</t>
  </si>
  <si>
    <t xml:space="preserve">  Net Profit Margin (%)</t>
  </si>
  <si>
    <t>EARNINGS PER SHARE &amp; RETURNS TO SHAREHOLDERS</t>
  </si>
  <si>
    <t xml:space="preserve">  Basic Shares Outstanding (mm)</t>
  </si>
  <si>
    <t xml:space="preserve">  Diluted Shares Outstanding (mm)</t>
  </si>
  <si>
    <t xml:space="preserve">  Basic EPS ($)</t>
  </si>
  <si>
    <t xml:space="preserve">  Diluted EPS ($)</t>
  </si>
  <si>
    <t xml:space="preserve">  Dividends Declared per Share ($)</t>
  </si>
  <si>
    <t xml:space="preserve">  Share Repurchases ($mm)</t>
  </si>
  <si>
    <t>EBITDA &amp; PROFITABILITY BRIDGE</t>
  </si>
  <si>
    <t xml:space="preserve">  Operating Income (EBIT)</t>
  </si>
  <si>
    <t xml:space="preserve">  Total Depreciation &amp; Amortization</t>
  </si>
  <si>
    <t>EBITDA</t>
  </si>
  <si>
    <t xml:space="preserve">  EBITDA Margin (%)</t>
  </si>
  <si>
    <t xml:space="preserve">  (+) Non-recurring Charges</t>
  </si>
  <si>
    <t>Adjusted EBITDA</t>
  </si>
  <si>
    <t xml:space="preserve">  Adj. EBITDA Margin (%)</t>
  </si>
  <si>
    <t>All figures in millions of U.S. Dollar except per share items, share counts (mm), and percentages. Source: Illustrative / Fictional — for demonstration purposes only. Not investment advice.</t>
  </si>
  <si>
    <t>Consolidated Balance Sheet (Quarter-end)  |  USD $ millions (except per share)  |  Market price: $87.42</t>
  </si>
  <si>
    <t>Balance sheet figures are quarter-end snapshots  |  FY column = year-end (Q4) value</t>
  </si>
  <si>
    <t xml:space="preserve">  Cash &amp; Cash Equivalents</t>
  </si>
  <si>
    <t xml:space="preserve">  Short-term Investments</t>
  </si>
  <si>
    <t xml:space="preserve">  Accounts Receivable, Net</t>
  </si>
  <si>
    <t xml:space="preserve">      ↳ Gross AR</t>
  </si>
  <si>
    <t xml:space="preserve">      ↳ Allowance for Doubtful Accounts</t>
  </si>
  <si>
    <t xml:space="preserve">  Inventories — Raw Materials</t>
  </si>
  <si>
    <t xml:space="preserve">  Inventories — WIP</t>
  </si>
  <si>
    <t xml:space="preserve">  Inventories — Finished Goods</t>
  </si>
  <si>
    <t xml:space="preserve">  Prepaid Expenses</t>
  </si>
  <si>
    <t xml:space="preserve">  Income Tax Receivable</t>
  </si>
  <si>
    <t xml:space="preserve">  Other Current Assets</t>
  </si>
  <si>
    <t xml:space="preserve">  PP&amp;E — Land</t>
  </si>
  <si>
    <t xml:space="preserve">  PP&amp;E — Buildings</t>
  </si>
  <si>
    <t xml:space="preserve">  PP&amp;E — Machinery &amp; Equipment</t>
  </si>
  <si>
    <t xml:space="preserve">  PP&amp;E — Finance Leases</t>
  </si>
  <si>
    <t xml:space="preserve">  PP&amp;E — Construction in Progress</t>
  </si>
  <si>
    <t xml:space="preserve">    Less: Accumulated Depreciation</t>
  </si>
  <si>
    <t xml:space="preserve">  Operating Lease ROU Assets</t>
  </si>
  <si>
    <t xml:space="preserve">  Goodwill</t>
  </si>
  <si>
    <t xml:space="preserve">  Intangibles — Patents</t>
  </si>
  <si>
    <t xml:space="preserve">  Intangibles — Trade Names</t>
  </si>
  <si>
    <t xml:space="preserve">  Intangibles — Customer Relationships</t>
  </si>
  <si>
    <t xml:space="preserve">  Intangibles — Technology</t>
  </si>
  <si>
    <t xml:space="preserve">  Total Intangibles</t>
  </si>
  <si>
    <t xml:space="preserve">  Long-term Investments</t>
  </si>
  <si>
    <t xml:space="preserve">  Deferred Tax Assets</t>
  </si>
  <si>
    <t xml:space="preserve">  Pension Plan Assets</t>
  </si>
  <si>
    <t xml:space="preserve">  Other Non-current Assets</t>
  </si>
  <si>
    <t>LIABILITIES &amp; EQUITY</t>
  </si>
  <si>
    <t xml:space="preserve">  Accounts Payable</t>
  </si>
  <si>
    <t xml:space="preserve">  Accrued Compensation</t>
  </si>
  <si>
    <t xml:space="preserve">  Accrued Income Taxes</t>
  </si>
  <si>
    <t xml:space="preserve">  Other Accrued Liabilities</t>
  </si>
  <si>
    <t xml:space="preserve">  Short-term Debt &amp; CP</t>
  </si>
  <si>
    <t xml:space="preserve">  Current Portion of Long-term Debt</t>
  </si>
  <si>
    <t xml:space="preserve">  Deferred Revenue</t>
  </si>
  <si>
    <t xml:space="preserve">  Lease Liabilities — Current</t>
  </si>
  <si>
    <t xml:space="preserve">  Other Current Liabilities</t>
  </si>
  <si>
    <t xml:space="preserve">  Long-term Debt — Senior Notes</t>
  </si>
  <si>
    <t xml:space="preserve">  Long-term Debt — Subordinated</t>
  </si>
  <si>
    <t xml:space="preserve">  Deferred Tax Liabilities</t>
  </si>
  <si>
    <t xml:space="preserve">  Pension &amp; Post-employ. Obligations</t>
  </si>
  <si>
    <t xml:space="preserve">  OPEB Obligations</t>
  </si>
  <si>
    <t xml:space="preserve">  Environmental Reserve</t>
  </si>
  <si>
    <t xml:space="preserve">  Legal Settlement Reserve</t>
  </si>
  <si>
    <t xml:space="preserve">  Lease Liabilities — Non-current</t>
  </si>
  <si>
    <t xml:space="preserve">  Other Non-current Liabilities</t>
  </si>
  <si>
    <t xml:space="preserve">  Preferred Stock</t>
  </si>
  <si>
    <t xml:space="preserve">  Common Stock at Par</t>
  </si>
  <si>
    <t xml:space="preserve">  Additional Paid-in Capital</t>
  </si>
  <si>
    <t xml:space="preserve">  Retained Earnings</t>
  </si>
  <si>
    <t xml:space="preserve">  Treasury Stock, at Cost</t>
  </si>
  <si>
    <t xml:space="preserve">  Accumulated Other Comprehensive Loss</t>
  </si>
  <si>
    <t xml:space="preserve">  Noncontrolling Interests</t>
  </si>
  <si>
    <t>TOTAL LIABILITIES &amp; EQUITY</t>
  </si>
  <si>
    <t>KEY BALANCE SHEET METRICS</t>
  </si>
  <si>
    <t xml:space="preserve">  Net Debt ($mm)</t>
  </si>
  <si>
    <t xml:space="preserve">  Current Ratio</t>
  </si>
  <si>
    <t xml:space="preserve">  Debt / Equity</t>
  </si>
  <si>
    <t>Balance sheet figures are quarter-end snapshots; FY column reflects year-end (Q4) position. All figures in $mm. Source: Illustrative / Fictional — for demonstration purposes only. Not investment advice.</t>
  </si>
  <si>
    <t>Assume that there have been no changes between the Q4 2021 balance sheet and the Q1 2022 balance sheet.</t>
  </si>
  <si>
    <t>In case of reasoned doubt, it should be assumed that the balance sheet item is an operating item.</t>
  </si>
  <si>
    <t>Working Capital Model - The Liquidity Loop</t>
  </si>
  <si>
    <t>Short-term Investments</t>
  </si>
  <si>
    <t>Accounts Receivable, Net</t>
  </si>
  <si>
    <t>Total Inventories</t>
  </si>
  <si>
    <t>Accounts Payable</t>
  </si>
  <si>
    <t>Short-term Debt &amp; CP</t>
  </si>
  <si>
    <t>Deferred Revenue</t>
  </si>
  <si>
    <t>Income Statement Forecast</t>
  </si>
  <si>
    <t>Q1/2025</t>
  </si>
  <si>
    <t>Q2/2025</t>
  </si>
  <si>
    <t>Q3/2025</t>
  </si>
  <si>
    <t>Q4/2025</t>
  </si>
  <si>
    <t>Q1/2026</t>
  </si>
  <si>
    <t>Q2/2026</t>
  </si>
  <si>
    <t>Q3/2026</t>
  </si>
  <si>
    <t>Q4/2026</t>
  </si>
  <si>
    <t>Q1/2027</t>
  </si>
  <si>
    <t>Q2/2027</t>
  </si>
  <si>
    <t>Q3/2027</t>
  </si>
  <si>
    <t>Q4/2027</t>
  </si>
  <si>
    <t>Q1/2028</t>
  </si>
  <si>
    <t>Q2/2028</t>
  </si>
  <si>
    <t>Q3/2028</t>
  </si>
  <si>
    <t>Q4/2028</t>
  </si>
  <si>
    <t>Q1/2029</t>
  </si>
  <si>
    <t>Q2/2029</t>
  </si>
  <si>
    <t>Q3/2029</t>
  </si>
  <si>
    <t>Q4/2029</t>
  </si>
  <si>
    <t>Q1/2030</t>
  </si>
  <si>
    <t>Q2/2030</t>
  </si>
  <si>
    <t>Q3/2030</t>
  </si>
  <si>
    <t>Q4/2030</t>
  </si>
  <si>
    <t>Q1/2031</t>
  </si>
  <si>
    <t>Q2/2031</t>
  </si>
  <si>
    <t>Q3/2031</t>
  </si>
  <si>
    <t>Q4/2031</t>
  </si>
  <si>
    <t>Q1/2032</t>
  </si>
  <si>
    <t>Q2/2032</t>
  </si>
  <si>
    <t>Q3/2032</t>
  </si>
  <si>
    <t>Q4/2032</t>
  </si>
  <si>
    <t>Q1/2033</t>
  </si>
  <si>
    <t>Q2/2033</t>
  </si>
  <si>
    <t>Q3/2033</t>
  </si>
  <si>
    <t>Q4/2033</t>
  </si>
  <si>
    <t>Q1/2034</t>
  </si>
  <si>
    <t>Q2/2034</t>
  </si>
  <si>
    <t>Q3/2034</t>
  </si>
  <si>
    <t>Q4/2034</t>
  </si>
  <si>
    <t>Q1/2035</t>
  </si>
  <si>
    <t>Q2/2035</t>
  </si>
  <si>
    <t>Q3/2035</t>
  </si>
  <si>
    <t>Q4/2035</t>
  </si>
  <si>
    <t>Q1/2036</t>
  </si>
  <si>
    <t>Q2/2036</t>
  </si>
  <si>
    <t>Q3/2036</t>
  </si>
  <si>
    <t>Q4/2036</t>
  </si>
  <si>
    <t>Based on the information provided, you must prepare a 12-year forecast (quarterly) for the relevant items in the income statement and balance sheet (relevant to your model):</t>
  </si>
  <si>
    <t>[quarters]</t>
  </si>
  <si>
    <t>Weighted average of the last x quarters of BS data</t>
  </si>
  <si>
    <t>Accrued Compensation</t>
  </si>
  <si>
    <t>Accrued Income Taxes</t>
  </si>
  <si>
    <t>Other Accrued Liabilities</t>
  </si>
  <si>
    <t>Create a (quarterly) model for all 15 years to calculate net working capital, operating net working capital, and the cash conversion cycle.</t>
  </si>
  <si>
    <t>- The forecast figures for Cost of Revenue and Gross Profit are given</t>
  </si>
  <si>
    <t>Create a separate summary tab including the important key figures and KPIs on a yearly basis (try to be precicse/ assume strong seasonality).</t>
  </si>
  <si>
    <t>All other accounts</t>
  </si>
  <si>
    <t>- Growth rates are given regarding the balance sheet accounts:</t>
  </si>
  <si>
    <t>Convert the given annual growth rate (% p.a.) to the sub-period growth rate</t>
  </si>
  <si>
    <t>Apply this growth rate going forward with the weigthed average of the balance sheet as the basis</t>
  </si>
  <si>
    <t>What is the amount of Accounts Payable for Q1-2028?</t>
  </si>
  <si>
    <t>What is the amount of Accounts Payable for Q2-2034?</t>
  </si>
  <si>
    <t>What is the amount of Accrued Income Taxes for Q2-2033?</t>
  </si>
  <si>
    <t>What is the amount of Cash &amp; Cash Equivalents for Q2-2029?</t>
  </si>
  <si>
    <t>What is the amount of Deferred Revenue for Q3-2032?</t>
  </si>
  <si>
    <t>What is the amount of Deferred Revenue for Q4-2025?</t>
  </si>
  <si>
    <t>What is the amount of Lease Liabilities — Current for Q4-2029?</t>
  </si>
  <si>
    <t>What is the amount of Net Working Capital for Q1-2034?</t>
  </si>
  <si>
    <t>What is the amount of Operating Net Working Capital for Q1-2025?</t>
  </si>
  <si>
    <t>What is the amount of Operating Net Working Capital for Q3-2028?</t>
  </si>
  <si>
    <t>What is the amount of Other Accrued Liabilities for Q2-2025?</t>
  </si>
  <si>
    <t>What is the amount of Other Current Assets for Q1-2033?</t>
  </si>
  <si>
    <t>What is the amount of Other Current Assets for Q4-2029?</t>
  </si>
  <si>
    <t>What is the amount of Other Current Assets for Q4-2032?</t>
  </si>
  <si>
    <t>What is the amount of Short-term Investments for Q4-2031?</t>
  </si>
  <si>
    <t>What is the amount of Total Current Liabilities for Q4-2028?</t>
  </si>
  <si>
    <t>What is the amount of Total Current Liabilities for Q4-2036?</t>
  </si>
  <si>
    <t>What is the amount of Total Inventories for Q3-2036?</t>
  </si>
  <si>
    <t>What is the amount of Total Inventories for Q4-2032?</t>
  </si>
  <si>
    <t>What is the amount of Total Inventories for Q4-2033?</t>
  </si>
  <si>
    <t>What is the amount of Average Accounts Payable for the year 2026?</t>
  </si>
  <si>
    <t>What is the amount of Operating Net Working Capital for the year 2025?</t>
  </si>
  <si>
    <t>What is the amount of Revenue for the year 2033?</t>
  </si>
  <si>
    <t>What is the amount of Revenue for the year 2034?</t>
  </si>
  <si>
    <t>What is the amount of Gross Profit for the year 2030?</t>
  </si>
  <si>
    <t>How many days is the metric: Days Inventory Outstanding (DIO) in Q3-2036?</t>
  </si>
  <si>
    <t>How many days is the metric: Days Payable Outstanding (DPO) in Q2-2025?</t>
  </si>
  <si>
    <t>How many days is the metric: Days Sales Outstanding (DSO) in Q2-2031?</t>
  </si>
  <si>
    <t>How many days is the metric: Days Sales Outstanding (DSO) in Q2-2033?</t>
  </si>
  <si>
    <t>How many days is the metric: Total CCC in Q2-2034?</t>
  </si>
  <si>
    <t>How many days is the metric: Total CCC in Q3-2027?</t>
  </si>
  <si>
    <t>How many days is the metric: Days Inventory Outstanding (DIO) in the year 2031?</t>
  </si>
  <si>
    <t>How many days is the metric: Days Payable Outstanding (DPO) in the year 2032?</t>
  </si>
  <si>
    <t>How many days is the metric: Days Sales Outstanding (DSO) in the year 2024?</t>
  </si>
  <si>
    <t>How many days is the metric: Total CCC in the year 2028?</t>
  </si>
  <si>
    <t>How many days is the metric: Total CCC in the year 2030?</t>
  </si>
  <si>
    <t>Take the weighted average of the last four quarters of historical balance sheet data, applying weights 1, 2, 3, 4 in chronological order (i.e., the earliest quarter receives weight 1, the most recent receives weight 4).</t>
  </si>
  <si>
    <t>Calculate net working capital operating net working capital (excluding Cash &amp; Equivalents, Short-term Investments, Short-term Debt &amp; CP, and Current Portion of Long-term Debt; all other items should be treated as operating), and the cash conversion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</si>
</sst>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;\-"/>
    <numFmt numFmtId="165" formatCode="0.0%;\(0.0%\);\-"/>
    <numFmt numFmtId="167" formatCode="#,##0;\(#,##0\);\-"/>
    <numFmt numFmtId="168" formatCode="#,##0.00;\(#,##0.00\);\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b/>
      <sz val="11"/>
      <color rgb="FFFFFFFF"/>
      <name val="Calibri"/>
      <charset val="1"/>
    </font>
    <font>
      <i/>
      <sz val="8"/>
      <color rgb="FFA9C4D8"/>
      <name val="Calibri"/>
      <charset val="1"/>
    </font>
    <font>
      <b/>
      <sz val="9"/>
      <color rgb="FF1A3A5C"/>
      <name val="Calibri"/>
      <charset val="1"/>
    </font>
    <font>
      <sz val="8"/>
      <color rgb="FF4A6274"/>
      <name val="Calibri"/>
      <charset val="1"/>
    </font>
    <font>
      <i/>
      <sz val="7"/>
      <color rgb="FF7F8C8D"/>
      <name val="Calibri"/>
      <charset val="1"/>
    </font>
    <font>
      <sz val="8"/>
      <color rgb="FF1A3A5C"/>
      <name val="Calibri"/>
      <charset val="1"/>
    </font>
    <font>
      <b/>
      <sz val="8"/>
      <color rgb="FFFFFFFF"/>
      <name val="Calibri"/>
      <charset val="1"/>
    </font>
    <font>
      <b/>
      <sz val="8"/>
      <color rgb="FFB8D4E8"/>
      <name val="Calibri"/>
      <charset val="1"/>
    </font>
    <font>
      <i/>
      <sz val="7"/>
      <color rgb="FF4A6274"/>
      <name val="Calibri"/>
      <charset val="1"/>
    </font>
    <font>
      <b/>
      <sz val="9"/>
      <color rgb="FFFFFFFF"/>
      <name val="Calibri"/>
      <charset val="1"/>
    </font>
    <font>
      <b/>
      <sz val="8"/>
      <color rgb="FF1A3A5C"/>
      <name val="Calibri"/>
      <charset val="1"/>
    </font>
    <font>
      <sz val="8"/>
      <color rgb="FFC0392B"/>
      <name val="Calibri"/>
      <charset val="1"/>
    </font>
  </fonts>
  <fills count="18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C2833"/>
        <bgColor rgb="FF1A3A4A"/>
      </patternFill>
    </fill>
    <fill>
      <patternFill patternType="solid">
        <fgColor rgb="FFEDF2F7"/>
        <bgColor rgb="FFEAF0F6"/>
      </patternFill>
    </fill>
    <fill>
      <patternFill patternType="solid">
        <fgColor rgb="FF2E4057"/>
        <bgColor rgb="FF1A3A5C"/>
      </patternFill>
    </fill>
    <fill>
      <patternFill patternType="solid">
        <fgColor rgb="FF1A3A4A"/>
        <bgColor rgb="FF1A3A5C"/>
      </patternFill>
    </fill>
    <fill>
      <patternFill patternType="solid">
        <fgColor rgb="FFFFFFFF"/>
        <bgColor rgb="FFF8FAFB"/>
      </patternFill>
    </fill>
    <fill>
      <patternFill patternType="solid">
        <fgColor rgb="FFEAF0F6"/>
        <bgColor rgb="FFEDF2F7"/>
      </patternFill>
    </fill>
    <fill>
      <patternFill patternType="solid">
        <fgColor rgb="FFF8FAFB"/>
        <bgColor rgb="FFF0F7FC"/>
      </patternFill>
    </fill>
    <fill>
      <patternFill patternType="solid">
        <fgColor rgb="FFF0F7FC"/>
        <bgColor rgb="FFEDF2F7"/>
      </patternFill>
    </fill>
    <fill>
      <patternFill patternType="solid">
        <fgColor rgb="FFD5E8F3"/>
        <bgColor rgb="FFD6EAF8"/>
      </patternFill>
    </fill>
    <fill>
      <patternFill patternType="solid">
        <fgColor rgb="FFD6EAF8"/>
        <bgColor rgb="FFD5E8F3"/>
      </patternFill>
    </fill>
    <fill>
      <patternFill patternType="solid">
        <fgColor rgb="FFCCE5F5"/>
        <bgColor rgb="FFD5E8F3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DC3C7"/>
      </right>
      <top/>
      <bottom/>
      <diagonal/>
    </border>
    <border>
      <left style="medium">
        <color rgb="FF2980B9"/>
      </left>
      <right/>
      <top/>
      <bottom/>
      <diagonal/>
    </border>
    <border>
      <left style="medium">
        <color rgb="FF1A3A5C"/>
      </left>
      <right/>
      <top/>
      <bottom style="medium">
        <color rgb="FF1A3A5C"/>
      </bottom>
      <diagonal/>
    </border>
    <border>
      <left/>
      <right/>
      <top/>
      <bottom style="medium">
        <color rgb="FF1A3A5C"/>
      </bottom>
      <diagonal/>
    </border>
    <border>
      <left/>
      <right style="thin">
        <color rgb="FFBDC3C7"/>
      </right>
      <top/>
      <bottom style="medium">
        <color rgb="FF1A3A5C"/>
      </bottom>
      <diagonal/>
    </border>
    <border>
      <left style="medium">
        <color rgb="FF1A3A5C"/>
      </left>
      <right/>
      <top/>
      <bottom/>
      <diagonal/>
    </border>
    <border>
      <left style="medium">
        <color rgb="FFD5E8F3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1" fillId="5" borderId="2">
      <alignment horizontal="left"/>
    </xf>
    <xf numFmtId="0" fontId="12" fillId="0" borderId="0"/>
  </cellStyleXfs>
  <cellXfs count="77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10" fillId="0" borderId="0" xfId="0" applyFont="1"/>
    <xf numFmtId="4" fontId="2" fillId="6" borderId="2" xfId="4" applyFont="1" applyFill="1">
      <alignment horizontal="left"/>
    </xf>
    <xf numFmtId="10" fontId="10" fillId="4" borderId="5" xfId="3" applyNumberFormat="1" applyFont="1" applyFill="1" applyBorder="1"/>
    <xf numFmtId="3" fontId="10" fillId="4" borderId="5" xfId="3" applyNumberFormat="1" applyFont="1" applyFill="1" applyBorder="1"/>
    <xf numFmtId="0" fontId="9" fillId="0" borderId="0" xfId="0" applyFont="1"/>
    <xf numFmtId="0" fontId="12" fillId="0" borderId="0" xfId="5"/>
    <xf numFmtId="0" fontId="13" fillId="0" borderId="0" xfId="0" applyFont="1"/>
    <xf numFmtId="10" fontId="0" fillId="0" borderId="0" xfId="0" applyNumberFormat="1"/>
    <xf numFmtId="0" fontId="14" fillId="7" borderId="0" xfId="5" applyFont="1" applyFill="1" applyAlignment="1">
      <alignment horizontal="left" vertical="center"/>
    </xf>
    <xf numFmtId="0" fontId="12" fillId="7" borderId="0" xfId="5" applyFill="1"/>
    <xf numFmtId="0" fontId="15" fillId="7" borderId="0" xfId="5" applyFont="1" applyFill="1" applyAlignment="1">
      <alignment horizontal="left" vertical="center"/>
    </xf>
    <xf numFmtId="0" fontId="16" fillId="8" borderId="0" xfId="5" applyFont="1" applyFill="1" applyAlignment="1">
      <alignment horizontal="left" vertical="center"/>
    </xf>
    <xf numFmtId="0" fontId="12" fillId="8" borderId="0" xfId="5" applyFill="1"/>
    <xf numFmtId="0" fontId="17" fillId="8" borderId="0" xfId="5" applyFont="1" applyFill="1" applyAlignment="1">
      <alignment horizontal="left" vertical="center"/>
    </xf>
    <xf numFmtId="0" fontId="18" fillId="8" borderId="0" xfId="5" applyFont="1" applyFill="1" applyAlignment="1">
      <alignment horizontal="left" vertical="center"/>
    </xf>
    <xf numFmtId="0" fontId="19" fillId="7" borderId="0" xfId="5" applyFont="1" applyFill="1" applyAlignment="1">
      <alignment horizontal="left" vertical="center"/>
    </xf>
    <xf numFmtId="0" fontId="19" fillId="9" borderId="0" xfId="5" applyFont="1" applyFill="1" applyAlignment="1">
      <alignment horizontal="left" vertical="center"/>
    </xf>
    <xf numFmtId="0" fontId="19" fillId="10" borderId="6" xfId="5" applyFont="1" applyFill="1" applyBorder="1" applyAlignment="1">
      <alignment horizontal="left" vertical="center"/>
    </xf>
    <xf numFmtId="0" fontId="20" fillId="9" borderId="0" xfId="5" applyFont="1" applyFill="1" applyAlignment="1">
      <alignment horizontal="right" vertical="center"/>
    </xf>
    <xf numFmtId="0" fontId="21" fillId="10" borderId="6" xfId="5" applyFont="1" applyFill="1" applyBorder="1" applyAlignment="1">
      <alignment horizontal="right" vertical="center"/>
    </xf>
    <xf numFmtId="0" fontId="22" fillId="0" borderId="0" xfId="5" applyFont="1" applyAlignment="1">
      <alignment horizontal="left" vertical="center"/>
    </xf>
    <xf numFmtId="0" fontId="23" fillId="7" borderId="7" xfId="5" applyFont="1" applyFill="1" applyBorder="1" applyAlignment="1">
      <alignment horizontal="left" vertical="center"/>
    </xf>
    <xf numFmtId="0" fontId="12" fillId="7" borderId="6" xfId="5" applyFill="1" applyBorder="1"/>
    <xf numFmtId="0" fontId="17" fillId="11" borderId="0" xfId="5" applyFont="1" applyFill="1" applyAlignment="1">
      <alignment horizontal="left" vertical="center"/>
    </xf>
    <xf numFmtId="167" fontId="17" fillId="11" borderId="0" xfId="5" applyNumberFormat="1" applyFont="1" applyFill="1" applyAlignment="1">
      <alignment horizontal="right" vertical="center"/>
    </xf>
    <xf numFmtId="167" fontId="17" fillId="12" borderId="6" xfId="5" applyNumberFormat="1" applyFont="1" applyFill="1" applyBorder="1" applyAlignment="1">
      <alignment horizontal="right" vertical="center"/>
    </xf>
    <xf numFmtId="0" fontId="17" fillId="13" borderId="0" xfId="5" applyFont="1" applyFill="1" applyAlignment="1">
      <alignment horizontal="left" vertical="center"/>
    </xf>
    <xf numFmtId="167" fontId="17" fillId="13" borderId="0" xfId="5" applyNumberFormat="1" applyFont="1" applyFill="1" applyAlignment="1">
      <alignment horizontal="right" vertical="center"/>
    </xf>
    <xf numFmtId="0" fontId="24" fillId="14" borderId="8" xfId="5" applyFont="1" applyFill="1" applyBorder="1" applyAlignment="1">
      <alignment horizontal="left" vertical="center"/>
    </xf>
    <xf numFmtId="167" fontId="24" fillId="14" borderId="9" xfId="5" applyNumberFormat="1" applyFont="1" applyFill="1" applyBorder="1" applyAlignment="1">
      <alignment horizontal="right" vertical="center"/>
    </xf>
    <xf numFmtId="167" fontId="24" fillId="12" borderId="10" xfId="5" applyNumberFormat="1" applyFont="1" applyFill="1" applyBorder="1" applyAlignment="1">
      <alignment horizontal="right" vertical="center"/>
    </xf>
    <xf numFmtId="0" fontId="24" fillId="15" borderId="7" xfId="5" applyFont="1" applyFill="1" applyBorder="1" applyAlignment="1">
      <alignment horizontal="left" vertical="center"/>
    </xf>
    <xf numFmtId="0" fontId="12" fillId="15" borderId="0" xfId="5" applyFill="1"/>
    <xf numFmtId="0" fontId="12" fillId="15" borderId="6" xfId="5" applyFill="1" applyBorder="1"/>
    <xf numFmtId="0" fontId="24" fillId="16" borderId="8" xfId="5" applyFont="1" applyFill="1" applyBorder="1" applyAlignment="1">
      <alignment horizontal="left" vertical="center"/>
    </xf>
    <xf numFmtId="167" fontId="24" fillId="16" borderId="9" xfId="5" applyNumberFormat="1" applyFont="1" applyFill="1" applyBorder="1" applyAlignment="1">
      <alignment horizontal="right" vertical="center"/>
    </xf>
    <xf numFmtId="165" fontId="17" fillId="11" borderId="0" xfId="5" applyNumberFormat="1" applyFont="1" applyFill="1" applyAlignment="1">
      <alignment horizontal="right" vertical="center"/>
    </xf>
    <xf numFmtId="165" fontId="17" fillId="12" borderId="6" xfId="5" applyNumberFormat="1" applyFont="1" applyFill="1" applyBorder="1" applyAlignment="1">
      <alignment horizontal="right" vertical="center"/>
    </xf>
    <xf numFmtId="167" fontId="25" fillId="11" borderId="0" xfId="5" applyNumberFormat="1" applyFont="1" applyFill="1" applyAlignment="1">
      <alignment horizontal="right" vertical="center"/>
    </xf>
    <xf numFmtId="0" fontId="24" fillId="14" borderId="11" xfId="5" applyFont="1" applyFill="1" applyBorder="1" applyAlignment="1">
      <alignment horizontal="left" vertical="center"/>
    </xf>
    <xf numFmtId="167" fontId="24" fillId="14" borderId="0" xfId="5" applyNumberFormat="1" applyFont="1" applyFill="1" applyAlignment="1">
      <alignment horizontal="right" vertical="center"/>
    </xf>
    <xf numFmtId="167" fontId="24" fillId="12" borderId="6" xfId="5" applyNumberFormat="1" applyFont="1" applyFill="1" applyBorder="1" applyAlignment="1">
      <alignment horizontal="right" vertical="center"/>
    </xf>
    <xf numFmtId="0" fontId="24" fillId="17" borderId="8" xfId="5" applyFont="1" applyFill="1" applyBorder="1" applyAlignment="1">
      <alignment horizontal="left" vertical="center"/>
    </xf>
    <xf numFmtId="167" fontId="24" fillId="17" borderId="9" xfId="5" applyNumberFormat="1" applyFont="1" applyFill="1" applyBorder="1" applyAlignment="1">
      <alignment horizontal="right" vertical="center"/>
    </xf>
    <xf numFmtId="164" fontId="17" fillId="11" borderId="0" xfId="5" applyNumberFormat="1" applyFont="1" applyFill="1" applyAlignment="1">
      <alignment horizontal="right" vertical="center"/>
    </xf>
    <xf numFmtId="164" fontId="17" fillId="12" borderId="6" xfId="5" applyNumberFormat="1" applyFont="1" applyFill="1" applyBorder="1" applyAlignment="1">
      <alignment horizontal="right" vertical="center"/>
    </xf>
    <xf numFmtId="164" fontId="17" fillId="13" borderId="0" xfId="5" applyNumberFormat="1" applyFont="1" applyFill="1" applyAlignment="1">
      <alignment horizontal="right" vertical="center"/>
    </xf>
    <xf numFmtId="0" fontId="19" fillId="11" borderId="0" xfId="5" applyFont="1" applyFill="1" applyAlignment="1">
      <alignment horizontal="left" vertical="center"/>
    </xf>
    <xf numFmtId="168" fontId="19" fillId="11" borderId="0" xfId="5" applyNumberFormat="1" applyFont="1" applyFill="1" applyAlignment="1">
      <alignment horizontal="right" vertical="center"/>
    </xf>
    <xf numFmtId="168" fontId="19" fillId="12" borderId="6" xfId="5" applyNumberFormat="1" applyFont="1" applyFill="1" applyBorder="1" applyAlignment="1">
      <alignment horizontal="right" vertical="center"/>
    </xf>
    <xf numFmtId="0" fontId="24" fillId="11" borderId="12" xfId="5" applyFont="1" applyFill="1" applyBorder="1" applyAlignment="1">
      <alignment horizontal="left" vertical="center"/>
    </xf>
    <xf numFmtId="168" fontId="24" fillId="11" borderId="0" xfId="5" applyNumberFormat="1" applyFont="1" applyFill="1" applyAlignment="1">
      <alignment horizontal="right" vertical="center"/>
    </xf>
    <xf numFmtId="168" fontId="24" fillId="12" borderId="6" xfId="5" applyNumberFormat="1" applyFont="1" applyFill="1" applyBorder="1" applyAlignment="1">
      <alignment horizontal="right" vertical="center"/>
    </xf>
    <xf numFmtId="168" fontId="17" fillId="11" borderId="0" xfId="5" applyNumberFormat="1" applyFont="1" applyFill="1" applyAlignment="1">
      <alignment horizontal="right" vertical="center"/>
    </xf>
    <xf numFmtId="168" fontId="17" fillId="12" borderId="6" xfId="5" applyNumberFormat="1" applyFont="1" applyFill="1" applyBorder="1" applyAlignment="1">
      <alignment horizontal="right" vertical="center"/>
    </xf>
    <xf numFmtId="0" fontId="18" fillId="0" borderId="0" xfId="5" applyFont="1" applyAlignment="1">
      <alignment horizontal="left" vertical="center"/>
    </xf>
    <xf numFmtId="167" fontId="25" fillId="12" borderId="6" xfId="5" applyNumberFormat="1" applyFont="1" applyFill="1" applyBorder="1" applyAlignment="1">
      <alignment horizontal="right" vertical="center"/>
    </xf>
    <xf numFmtId="167" fontId="25" fillId="13" borderId="0" xfId="5" applyNumberFormat="1" applyFont="1" applyFill="1" applyAlignment="1">
      <alignment horizontal="right" vertical="center"/>
    </xf>
    <xf numFmtId="168" fontId="17" fillId="13" borderId="0" xfId="5" applyNumberFormat="1" applyFont="1" applyFill="1" applyAlignment="1">
      <alignment horizontal="right" vertical="center"/>
    </xf>
    <xf numFmtId="4" fontId="10" fillId="4" borderId="5" xfId="3" applyNumberFormat="1" applyFont="1" applyFill="1" applyBorder="1"/>
    <xf numFmtId="4" fontId="0" fillId="0" borderId="0" xfId="0" applyNumberFormat="1"/>
    <xf numFmtId="0" fontId="3" fillId="0" borderId="0" xfId="1" quotePrefix="1" applyFont="1" applyAlignment="1">
      <alignment horizontal="left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20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72" t="s">
        <v>5</v>
      </c>
      <c r="C2" s="73"/>
      <c r="D2" s="73"/>
      <c r="E2" s="73"/>
      <c r="F2" s="73"/>
      <c r="G2" s="73"/>
      <c r="H2" s="73"/>
      <c r="I2" s="73"/>
      <c r="J2" s="73"/>
      <c r="K2" s="74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75" t="s">
        <v>204</v>
      </c>
      <c r="C4" s="76"/>
      <c r="D4" s="76"/>
      <c r="E4" s="76"/>
      <c r="F4" s="76"/>
      <c r="G4" s="76"/>
      <c r="H4" s="76"/>
      <c r="I4" s="76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13</v>
      </c>
      <c r="C6" s="1"/>
      <c r="D6" s="1"/>
      <c r="E6" s="1"/>
      <c r="F6" s="1"/>
      <c r="G6" s="1"/>
      <c r="H6" s="1"/>
      <c r="I6" s="1"/>
      <c r="J6" s="1"/>
      <c r="K6" s="1"/>
    </row>
    <row r="7" spans="2:11">
      <c r="B7" s="3" t="s">
        <v>202</v>
      </c>
    </row>
    <row r="8" spans="2:11">
      <c r="B8" s="3" t="s">
        <v>203</v>
      </c>
    </row>
    <row r="9" spans="2:11">
      <c r="B9" s="3"/>
    </row>
    <row r="10" spans="2:11">
      <c r="B10" s="3" t="s">
        <v>260</v>
      </c>
    </row>
    <row r="11" spans="2:11">
      <c r="B11" s="71" t="s">
        <v>267</v>
      </c>
    </row>
    <row r="12" spans="2:11">
      <c r="B12" s="71" t="s">
        <v>270</v>
      </c>
    </row>
    <row r="13" spans="2:11">
      <c r="B13" s="71"/>
      <c r="C13" s="1" t="s">
        <v>309</v>
      </c>
    </row>
    <row r="14" spans="2:11">
      <c r="B14" s="71"/>
      <c r="C14" s="1" t="s">
        <v>271</v>
      </c>
    </row>
    <row r="15" spans="2:11">
      <c r="B15" s="71"/>
      <c r="C15" s="1" t="s">
        <v>272</v>
      </c>
    </row>
    <row r="17" spans="2:2">
      <c r="B17" s="3" t="s">
        <v>266</v>
      </c>
    </row>
    <row r="18" spans="2:2">
      <c r="B18" s="3" t="s">
        <v>310</v>
      </c>
    </row>
    <row r="19" spans="2:2">
      <c r="B19" s="3" t="s">
        <v>268</v>
      </c>
    </row>
    <row r="20" spans="2:2">
      <c r="B20" s="3" t="s">
        <v>14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BA35"/>
  <sheetViews>
    <sheetView showGridLines="0" zoomScale="85" workbookViewId="0"/>
  </sheetViews>
  <sheetFormatPr defaultRowHeight="14.4"/>
  <cols>
    <col min="1" max="1" width="4.77734375" style="6" customWidth="1"/>
    <col min="2" max="2" width="5.33203125" style="6" customWidth="1"/>
    <col min="3" max="3" width="17.33203125" bestFit="1" customWidth="1"/>
    <col min="5" max="5" width="13.6640625" customWidth="1"/>
    <col min="6" max="6" width="18.109375" bestFit="1" customWidth="1"/>
    <col min="7" max="7" width="19.5546875" bestFit="1" customWidth="1"/>
    <col min="11" max="110" width="10.109375" bestFit="1" customWidth="1"/>
  </cols>
  <sheetData>
    <row r="1" spans="1:53">
      <c r="A1" s="6" t="str">
        <f>Instructions!B2&amp;": "&amp;Instructions!B4</f>
        <v>FP&amp;A Task: Working Capital Model - The Liquidity Loop</v>
      </c>
    </row>
    <row r="2" spans="1:53">
      <c r="A2" s="6" t="s">
        <v>3</v>
      </c>
    </row>
    <row r="4" spans="1:53" s="11" customFormat="1" ht="14.4" customHeight="1">
      <c r="B4" s="11" t="s">
        <v>28</v>
      </c>
    </row>
    <row r="6" spans="1:53">
      <c r="C6" t="s">
        <v>11</v>
      </c>
      <c r="F6" s="13">
        <v>12</v>
      </c>
      <c r="G6" s="10" t="s">
        <v>1</v>
      </c>
    </row>
    <row r="7" spans="1:53">
      <c r="C7" t="s">
        <v>26</v>
      </c>
      <c r="F7" s="13">
        <v>4</v>
      </c>
      <c r="G7" s="10"/>
    </row>
    <row r="9" spans="1:53" s="11" customFormat="1" ht="14.4" customHeight="1">
      <c r="B9" s="11" t="s">
        <v>211</v>
      </c>
    </row>
    <row r="11" spans="1:53">
      <c r="C11" t="s">
        <v>48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K11" t="s">
        <v>217</v>
      </c>
      <c r="L11" t="s">
        <v>218</v>
      </c>
      <c r="M11" t="s">
        <v>219</v>
      </c>
      <c r="N11" t="s">
        <v>220</v>
      </c>
      <c r="O11" t="s">
        <v>221</v>
      </c>
      <c r="P11" t="s">
        <v>222</v>
      </c>
      <c r="Q11" t="s">
        <v>223</v>
      </c>
      <c r="R11" t="s">
        <v>224</v>
      </c>
      <c r="S11" t="s">
        <v>225</v>
      </c>
      <c r="T11" t="s">
        <v>226</v>
      </c>
      <c r="U11" t="s">
        <v>227</v>
      </c>
      <c r="V11" t="s">
        <v>228</v>
      </c>
      <c r="W11" t="s">
        <v>229</v>
      </c>
      <c r="X11" t="s">
        <v>230</v>
      </c>
      <c r="Y11" t="s">
        <v>231</v>
      </c>
      <c r="Z11" t="s">
        <v>232</v>
      </c>
      <c r="AA11" t="s">
        <v>233</v>
      </c>
      <c r="AB11" t="s">
        <v>234</v>
      </c>
      <c r="AC11" t="s">
        <v>235</v>
      </c>
      <c r="AD11" t="s">
        <v>236</v>
      </c>
      <c r="AE11" t="s">
        <v>237</v>
      </c>
      <c r="AF11" t="s">
        <v>238</v>
      </c>
      <c r="AG11" t="s">
        <v>239</v>
      </c>
      <c r="AH11" t="s">
        <v>240</v>
      </c>
      <c r="AI11" t="s">
        <v>241</v>
      </c>
      <c r="AJ11" t="s">
        <v>242</v>
      </c>
      <c r="AK11" t="s">
        <v>243</v>
      </c>
      <c r="AL11" t="s">
        <v>244</v>
      </c>
      <c r="AM11" t="s">
        <v>245</v>
      </c>
      <c r="AN11" t="s">
        <v>246</v>
      </c>
      <c r="AO11" t="s">
        <v>247</v>
      </c>
      <c r="AP11" t="s">
        <v>248</v>
      </c>
      <c r="AQ11" t="s">
        <v>249</v>
      </c>
      <c r="AR11" t="s">
        <v>250</v>
      </c>
      <c r="AS11" t="s">
        <v>251</v>
      </c>
      <c r="AT11" t="s">
        <v>252</v>
      </c>
      <c r="AU11" t="s">
        <v>253</v>
      </c>
      <c r="AV11" t="s">
        <v>254</v>
      </c>
      <c r="AW11" t="s">
        <v>255</v>
      </c>
      <c r="AX11" t="s">
        <v>256</v>
      </c>
      <c r="AY11" t="s">
        <v>257</v>
      </c>
      <c r="AZ11" t="s">
        <v>258</v>
      </c>
      <c r="BA11" t="s">
        <v>259</v>
      </c>
    </row>
    <row r="12" spans="1:53">
      <c r="C12" t="s">
        <v>23</v>
      </c>
      <c r="E12" s="14" t="s">
        <v>25</v>
      </c>
      <c r="F12" s="69">
        <v>8818.92</v>
      </c>
      <c r="G12" s="69">
        <v>8407.7189999999991</v>
      </c>
      <c r="H12" s="69">
        <v>9064.1049999999996</v>
      </c>
      <c r="I12" s="69">
        <v>9699.8539999999994</v>
      </c>
      <c r="J12" s="69">
        <v>9061.7860000000001</v>
      </c>
      <c r="K12" s="69">
        <v>9167.2829999999994</v>
      </c>
      <c r="L12" s="69">
        <v>8935.8549999999996</v>
      </c>
      <c r="M12" s="69">
        <v>9123.6540000000005</v>
      </c>
      <c r="N12" s="69">
        <v>10073.018</v>
      </c>
      <c r="O12" s="69">
        <v>10435.986000000001</v>
      </c>
      <c r="P12" s="69">
        <v>9476.2360000000008</v>
      </c>
      <c r="Q12" s="69">
        <v>9274.509</v>
      </c>
      <c r="R12" s="69">
        <v>9089.9979999999996</v>
      </c>
      <c r="S12" s="69">
        <v>9168.8109999999997</v>
      </c>
      <c r="T12" s="69">
        <v>9974.7029999999995</v>
      </c>
      <c r="U12" s="69">
        <v>10534.261</v>
      </c>
      <c r="V12" s="69">
        <v>11349.84</v>
      </c>
      <c r="W12" s="69">
        <v>10449.463</v>
      </c>
      <c r="X12" s="69">
        <v>11959.224</v>
      </c>
      <c r="Y12" s="69">
        <v>13358.566000000001</v>
      </c>
      <c r="Z12" s="69">
        <v>12290.458000000001</v>
      </c>
      <c r="AA12" s="69">
        <v>12036.482</v>
      </c>
      <c r="AB12" s="69">
        <v>11579.242</v>
      </c>
      <c r="AC12" s="69">
        <v>13220.034</v>
      </c>
      <c r="AD12" s="69">
        <v>12759.925999999999</v>
      </c>
      <c r="AE12" s="69">
        <v>13916.4</v>
      </c>
      <c r="AF12" s="69">
        <v>15421.984</v>
      </c>
      <c r="AG12" s="69">
        <v>14602.197</v>
      </c>
      <c r="AH12" s="69">
        <v>15744.08</v>
      </c>
      <c r="AI12" s="69">
        <v>15034.324000000001</v>
      </c>
      <c r="AJ12" s="69">
        <v>15857.741</v>
      </c>
      <c r="AK12" s="69">
        <v>17506.241000000002</v>
      </c>
      <c r="AL12" s="69">
        <v>17713.444</v>
      </c>
      <c r="AM12" s="69">
        <v>18147.893</v>
      </c>
      <c r="AN12" s="69">
        <v>19446.735000000001</v>
      </c>
      <c r="AO12" s="69">
        <v>20138.744999999999</v>
      </c>
      <c r="AP12" s="69">
        <v>22115.739000000001</v>
      </c>
      <c r="AQ12" s="69">
        <v>21864.744999999999</v>
      </c>
      <c r="AR12" s="69">
        <v>24403.273000000001</v>
      </c>
      <c r="AS12" s="69">
        <v>23297.798999999999</v>
      </c>
      <c r="AT12" s="69">
        <v>21044.510999999999</v>
      </c>
      <c r="AU12" s="69">
        <v>21490.983</v>
      </c>
      <c r="AV12" s="69">
        <v>21801.445</v>
      </c>
      <c r="AW12" s="69">
        <v>21829.481</v>
      </c>
      <c r="AX12" s="69">
        <v>24435.203000000001</v>
      </c>
      <c r="AY12" s="69">
        <v>24153.839</v>
      </c>
      <c r="AZ12" s="69">
        <v>25861.91</v>
      </c>
      <c r="BA12" s="69">
        <v>24017.749</v>
      </c>
    </row>
    <row r="13" spans="1:53">
      <c r="C13" t="s">
        <v>53</v>
      </c>
      <c r="E13" s="14" t="s">
        <v>25</v>
      </c>
      <c r="F13" s="69">
        <v>6750.36</v>
      </c>
      <c r="G13" s="69">
        <v>7408.335</v>
      </c>
      <c r="H13" s="69">
        <v>7944.3339999999998</v>
      </c>
      <c r="I13" s="69">
        <v>7226.9970000000003</v>
      </c>
      <c r="J13" s="69">
        <v>7778.2879999999996</v>
      </c>
      <c r="K13" s="69">
        <v>8733.9310000000005</v>
      </c>
      <c r="L13" s="69">
        <v>8481.5040000000008</v>
      </c>
      <c r="M13" s="69">
        <v>9631.4150000000009</v>
      </c>
      <c r="N13" s="69">
        <v>10522.924000000001</v>
      </c>
      <c r="O13" s="69">
        <v>10471.725</v>
      </c>
      <c r="P13" s="69">
        <v>11053.419</v>
      </c>
      <c r="Q13" s="69">
        <v>11858.267</v>
      </c>
      <c r="R13" s="69">
        <v>12241.493</v>
      </c>
      <c r="S13" s="69">
        <v>11544.130999999999</v>
      </c>
      <c r="T13" s="69">
        <v>11727.976000000001</v>
      </c>
      <c r="U13" s="69">
        <v>10563.946</v>
      </c>
      <c r="V13" s="69">
        <v>11122.216</v>
      </c>
      <c r="W13" s="69">
        <v>10676.666999999999</v>
      </c>
      <c r="X13" s="69">
        <v>11225.692999999999</v>
      </c>
      <c r="Y13" s="69">
        <v>12726.04</v>
      </c>
      <c r="Z13" s="69">
        <v>12744.982</v>
      </c>
      <c r="AA13" s="69">
        <v>13491.968000000001</v>
      </c>
      <c r="AB13" s="69">
        <v>12143.449000000001</v>
      </c>
      <c r="AC13" s="69">
        <v>12314.51</v>
      </c>
      <c r="AD13" s="69">
        <v>14064.977000000001</v>
      </c>
      <c r="AE13" s="69">
        <v>14121.393</v>
      </c>
      <c r="AF13" s="69">
        <v>16230.136</v>
      </c>
      <c r="AG13" s="69">
        <v>17488.257000000001</v>
      </c>
      <c r="AH13" s="69">
        <v>17378.451000000001</v>
      </c>
      <c r="AI13" s="69">
        <v>15875.018</v>
      </c>
      <c r="AJ13" s="69">
        <v>18223.427</v>
      </c>
      <c r="AK13" s="69">
        <v>20520.816999999999</v>
      </c>
      <c r="AL13" s="69">
        <v>21079.010999999999</v>
      </c>
      <c r="AM13" s="69">
        <v>21462.322</v>
      </c>
      <c r="AN13" s="69">
        <v>23163.413</v>
      </c>
      <c r="AO13" s="69">
        <v>21240.27</v>
      </c>
      <c r="AP13" s="69">
        <v>23646.489000000001</v>
      </c>
      <c r="AQ13" s="69">
        <v>23605.812000000002</v>
      </c>
      <c r="AR13" s="69">
        <v>24326.370999999999</v>
      </c>
      <c r="AS13" s="69">
        <v>22385.973999999998</v>
      </c>
      <c r="AT13" s="69">
        <v>21037.508999999998</v>
      </c>
      <c r="AU13" s="69">
        <v>20078.087</v>
      </c>
      <c r="AV13" s="69">
        <v>18592.830999999998</v>
      </c>
      <c r="AW13" s="69">
        <v>18577.026000000002</v>
      </c>
      <c r="AX13" s="69">
        <v>16793.565999999999</v>
      </c>
      <c r="AY13" s="69">
        <v>18824.679</v>
      </c>
      <c r="AZ13" s="69">
        <v>19061.777999999998</v>
      </c>
      <c r="BA13" s="69">
        <v>17914.624</v>
      </c>
    </row>
    <row r="15" spans="1:53" s="11" customFormat="1" ht="14.4" customHeight="1">
      <c r="B15" s="11" t="s">
        <v>10</v>
      </c>
    </row>
    <row r="17" spans="3:8">
      <c r="C17" t="s">
        <v>52</v>
      </c>
      <c r="F17" s="12">
        <v>-6.0000000000000001E-3</v>
      </c>
      <c r="G17" s="10" t="s">
        <v>27</v>
      </c>
      <c r="H17" s="17"/>
    </row>
    <row r="18" spans="3:8">
      <c r="C18" t="s">
        <v>205</v>
      </c>
      <c r="F18" s="12">
        <v>1.3899999999999999E-2</v>
      </c>
      <c r="G18" s="10" t="s">
        <v>27</v>
      </c>
    </row>
    <row r="19" spans="3:8">
      <c r="C19" t="s">
        <v>206</v>
      </c>
      <c r="F19" s="12">
        <v>3.4000000000000002E-3</v>
      </c>
      <c r="G19" s="10" t="s">
        <v>27</v>
      </c>
      <c r="H19" s="70"/>
    </row>
    <row r="20" spans="3:8">
      <c r="C20" t="s">
        <v>207</v>
      </c>
      <c r="F20" s="12">
        <v>2.1499999999999998E-2</v>
      </c>
      <c r="G20" s="10" t="s">
        <v>27</v>
      </c>
    </row>
    <row r="21" spans="3:8">
      <c r="C21" t="s">
        <v>49</v>
      </c>
      <c r="F21" s="12">
        <v>3.2500000000000001E-2</v>
      </c>
      <c r="G21" s="10" t="s">
        <v>27</v>
      </c>
    </row>
    <row r="22" spans="3:8">
      <c r="C22" t="s">
        <v>50</v>
      </c>
      <c r="F22" s="12">
        <v>-5.5999999999999991E-3</v>
      </c>
      <c r="G22" s="10" t="s">
        <v>27</v>
      </c>
    </row>
    <row r="23" spans="3:8">
      <c r="C23" t="s">
        <v>19</v>
      </c>
      <c r="F23" s="12">
        <v>3.2800000000000003E-2</v>
      </c>
      <c r="G23" s="10" t="s">
        <v>27</v>
      </c>
    </row>
    <row r="24" spans="3:8">
      <c r="C24" t="s">
        <v>208</v>
      </c>
      <c r="F24" s="12">
        <v>2.93E-2</v>
      </c>
      <c r="G24" s="10" t="s">
        <v>27</v>
      </c>
    </row>
    <row r="25" spans="3:8">
      <c r="C25" t="s">
        <v>263</v>
      </c>
      <c r="F25" s="12">
        <v>2.111E-2</v>
      </c>
      <c r="G25" s="10" t="s">
        <v>27</v>
      </c>
    </row>
    <row r="26" spans="3:8">
      <c r="C26" t="s">
        <v>264</v>
      </c>
      <c r="F26" s="12">
        <v>2.2339999999999999E-2</v>
      </c>
      <c r="G26" s="10" t="s">
        <v>27</v>
      </c>
    </row>
    <row r="27" spans="3:8">
      <c r="C27" t="s">
        <v>265</v>
      </c>
      <c r="F27" s="12">
        <v>-6.4000000000000012E-3</v>
      </c>
      <c r="G27" s="10" t="s">
        <v>27</v>
      </c>
    </row>
    <row r="28" spans="3:8">
      <c r="C28" t="s">
        <v>209</v>
      </c>
      <c r="F28" s="12">
        <v>2.8999999999999998E-2</v>
      </c>
      <c r="G28" s="10" t="s">
        <v>27</v>
      </c>
    </row>
    <row r="29" spans="3:8">
      <c r="C29" t="s">
        <v>51</v>
      </c>
      <c r="F29" s="12">
        <v>3.6400000000000002E-2</v>
      </c>
      <c r="G29" s="10" t="s">
        <v>27</v>
      </c>
    </row>
    <row r="30" spans="3:8">
      <c r="C30" t="s">
        <v>210</v>
      </c>
      <c r="F30" s="12">
        <v>3.4700000000000002E-2</v>
      </c>
      <c r="G30" s="10" t="s">
        <v>27</v>
      </c>
    </row>
    <row r="31" spans="3:8">
      <c r="C31" t="s">
        <v>269</v>
      </c>
      <c r="F31" s="12">
        <v>-6.8999999999999981E-3</v>
      </c>
      <c r="G31" s="10" t="s">
        <v>27</v>
      </c>
    </row>
    <row r="33" spans="2:7">
      <c r="C33" t="s">
        <v>262</v>
      </c>
      <c r="F33" s="13">
        <v>4</v>
      </c>
      <c r="G33" s="10" t="s">
        <v>261</v>
      </c>
    </row>
    <row r="35" spans="2:7" s="11" customFormat="1" ht="14.4" customHeight="1">
      <c r="B35" s="1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04FF-FA5B-4F33-9598-64C0E51E892A}">
  <sheetPr>
    <tabColor theme="8" tint="0.39997558519241921"/>
  </sheetPr>
  <dimension ref="A1:Q100"/>
  <sheetViews>
    <sheetView zoomScaleNormal="100" workbookViewId="0"/>
  </sheetViews>
  <sheetFormatPr defaultColWidth="8.6640625" defaultRowHeight="14.4"/>
  <cols>
    <col min="1" max="1" width="44" style="15" customWidth="1"/>
    <col min="2" max="5" width="8.77734375" style="15" customWidth="1"/>
    <col min="6" max="6" width="10.5546875" style="15" customWidth="1"/>
    <col min="7" max="10" width="8.77734375" style="15" customWidth="1"/>
    <col min="11" max="11" width="10.5546875" style="15" customWidth="1"/>
    <col min="12" max="15" width="8.77734375" style="15" customWidth="1"/>
    <col min="16" max="16" width="10.5546875" style="15" customWidth="1"/>
    <col min="17" max="16384" width="8.6640625" style="15"/>
  </cols>
  <sheetData>
    <row r="1" spans="1:17" ht="19.5" customHeight="1">
      <c r="A1" s="18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2.75" customHeight="1">
      <c r="A2" s="20" t="s">
        <v>56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6" customHeight="1"/>
    <row r="4" spans="1:17" ht="15.75" customHeight="1">
      <c r="A4" s="21" t="s">
        <v>57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2.75" customHeight="1">
      <c r="A5" s="23" t="s">
        <v>58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12.75" customHeight="1">
      <c r="A6" s="24" t="s">
        <v>59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6" customHeight="1"/>
    <row r="8" spans="1:17" ht="15" customHeight="1">
      <c r="A8" s="25"/>
      <c r="B8" s="26"/>
      <c r="C8" s="26"/>
      <c r="D8" s="26"/>
      <c r="E8" s="26"/>
      <c r="F8" s="27"/>
      <c r="G8" s="26"/>
      <c r="H8" s="26"/>
      <c r="I8" s="26"/>
      <c r="J8" s="26"/>
      <c r="K8" s="27"/>
      <c r="L8" s="26"/>
      <c r="M8" s="26"/>
      <c r="N8" s="26"/>
      <c r="O8" s="26"/>
      <c r="P8" s="27"/>
    </row>
    <row r="9" spans="1:17" ht="13.5" customHeight="1">
      <c r="A9" s="26"/>
      <c r="B9" s="28" t="s">
        <v>60</v>
      </c>
      <c r="C9" s="28" t="s">
        <v>61</v>
      </c>
      <c r="D9" s="28" t="s">
        <v>62</v>
      </c>
      <c r="E9" s="28" t="s">
        <v>63</v>
      </c>
      <c r="F9" s="29" t="s">
        <v>64</v>
      </c>
      <c r="G9" s="28" t="s">
        <v>65</v>
      </c>
      <c r="H9" s="28" t="s">
        <v>66</v>
      </c>
      <c r="I9" s="28" t="s">
        <v>67</v>
      </c>
      <c r="J9" s="28" t="s">
        <v>68</v>
      </c>
      <c r="K9" s="29" t="s">
        <v>69</v>
      </c>
      <c r="L9" s="28" t="s">
        <v>70</v>
      </c>
      <c r="M9" s="28" t="s">
        <v>71</v>
      </c>
      <c r="N9" s="28" t="s">
        <v>72</v>
      </c>
      <c r="O9" s="28" t="s">
        <v>73</v>
      </c>
      <c r="P9" s="29" t="s">
        <v>74</v>
      </c>
    </row>
    <row r="10" spans="1:17" ht="12.75" customHeight="1">
      <c r="A10" s="30" t="s">
        <v>75</v>
      </c>
    </row>
    <row r="11" spans="1:17" ht="4.5" customHeight="1"/>
    <row r="12" spans="1:17" ht="13.5" customHeight="1">
      <c r="A12" s="31" t="s">
        <v>76</v>
      </c>
      <c r="B12" s="19"/>
      <c r="C12" s="19"/>
      <c r="D12" s="19"/>
      <c r="E12" s="19"/>
      <c r="F12" s="32"/>
      <c r="G12" s="19"/>
      <c r="H12" s="19"/>
      <c r="I12" s="19"/>
      <c r="J12" s="19"/>
      <c r="K12" s="32"/>
      <c r="L12" s="19"/>
      <c r="M12" s="19"/>
      <c r="N12" s="19"/>
      <c r="O12" s="19"/>
      <c r="P12" s="32"/>
      <c r="Q12" s="19"/>
    </row>
    <row r="13" spans="1:17" ht="12.75" customHeight="1">
      <c r="A13" s="33" t="s">
        <v>77</v>
      </c>
      <c r="B13" s="34">
        <v>3256</v>
      </c>
      <c r="C13" s="34">
        <v>3996</v>
      </c>
      <c r="D13" s="34">
        <v>3552</v>
      </c>
      <c r="E13" s="34">
        <v>3996</v>
      </c>
      <c r="F13" s="35">
        <f>SUM(B13:E13)</f>
        <v>14800</v>
      </c>
      <c r="G13" s="34">
        <v>3403</v>
      </c>
      <c r="H13" s="34">
        <v>4176</v>
      </c>
      <c r="I13" s="34">
        <v>3712</v>
      </c>
      <c r="J13" s="34">
        <v>4176</v>
      </c>
      <c r="K13" s="35">
        <f>SUM(G13:J13)</f>
        <v>15467</v>
      </c>
      <c r="L13" s="34">
        <v>3556</v>
      </c>
      <c r="M13" s="34">
        <v>4364</v>
      </c>
      <c r="N13" s="34">
        <v>3879</v>
      </c>
      <c r="O13" s="34">
        <v>4364</v>
      </c>
      <c r="P13" s="35">
        <f>SUM(L13:O13)</f>
        <v>16163</v>
      </c>
      <c r="Q13" s="34"/>
    </row>
    <row r="14" spans="1:17" ht="12.75" customHeight="1">
      <c r="A14" s="33" t="s">
        <v>78</v>
      </c>
      <c r="B14" s="34">
        <v>2688</v>
      </c>
      <c r="C14" s="34">
        <v>2912</v>
      </c>
      <c r="D14" s="34">
        <v>2576</v>
      </c>
      <c r="E14" s="34">
        <v>3024</v>
      </c>
      <c r="F14" s="35">
        <f>SUM(B14:E14)</f>
        <v>11200</v>
      </c>
      <c r="G14" s="34">
        <v>2836</v>
      </c>
      <c r="H14" s="34">
        <v>3072</v>
      </c>
      <c r="I14" s="34">
        <v>2718</v>
      </c>
      <c r="J14" s="34">
        <v>3190</v>
      </c>
      <c r="K14" s="35">
        <f>SUM(G14:J14)</f>
        <v>11816</v>
      </c>
      <c r="L14" s="34">
        <v>2992</v>
      </c>
      <c r="M14" s="34">
        <v>3241</v>
      </c>
      <c r="N14" s="34">
        <v>2867</v>
      </c>
      <c r="O14" s="34">
        <v>3366</v>
      </c>
      <c r="P14" s="35">
        <f>SUM(L14:O14)</f>
        <v>12466</v>
      </c>
      <c r="Q14" s="34"/>
    </row>
    <row r="15" spans="1:17" ht="12.75" customHeight="1">
      <c r="A15" s="36" t="s">
        <v>79</v>
      </c>
      <c r="B15" s="37">
        <v>2304</v>
      </c>
      <c r="C15" s="37">
        <v>2400</v>
      </c>
      <c r="D15" s="37">
        <v>2304</v>
      </c>
      <c r="E15" s="37">
        <v>2592</v>
      </c>
      <c r="F15" s="35">
        <f>SUM(B15:E15)</f>
        <v>9600</v>
      </c>
      <c r="G15" s="37">
        <v>2385</v>
      </c>
      <c r="H15" s="37">
        <v>2484</v>
      </c>
      <c r="I15" s="37">
        <v>2385</v>
      </c>
      <c r="J15" s="37">
        <v>2683</v>
      </c>
      <c r="K15" s="35">
        <f>SUM(G15:J15)</f>
        <v>9937</v>
      </c>
      <c r="L15" s="37">
        <v>2468</v>
      </c>
      <c r="M15" s="37">
        <v>2571</v>
      </c>
      <c r="N15" s="37">
        <v>2468</v>
      </c>
      <c r="O15" s="37">
        <v>2777</v>
      </c>
      <c r="P15" s="35">
        <f>SUM(L15:O15)</f>
        <v>10284</v>
      </c>
      <c r="Q15" s="37"/>
    </row>
    <row r="16" spans="1:17" ht="12.75" customHeight="1">
      <c r="A16" s="33" t="s">
        <v>80</v>
      </c>
      <c r="B16" s="34">
        <v>1702</v>
      </c>
      <c r="C16" s="34">
        <v>1924</v>
      </c>
      <c r="D16" s="34">
        <v>1702</v>
      </c>
      <c r="E16" s="34">
        <v>2072</v>
      </c>
      <c r="F16" s="35">
        <f>SUM(B16:E16)</f>
        <v>7400</v>
      </c>
      <c r="G16" s="34">
        <v>1745</v>
      </c>
      <c r="H16" s="34">
        <v>1972</v>
      </c>
      <c r="I16" s="34">
        <v>1745</v>
      </c>
      <c r="J16" s="34">
        <v>2124</v>
      </c>
      <c r="K16" s="35">
        <f>SUM(G16:J16)</f>
        <v>7586</v>
      </c>
      <c r="L16" s="34">
        <v>1788</v>
      </c>
      <c r="M16" s="34">
        <v>2022</v>
      </c>
      <c r="N16" s="34">
        <v>1788</v>
      </c>
      <c r="O16" s="34">
        <v>2177</v>
      </c>
      <c r="P16" s="35">
        <f>SUM(L16:O16)</f>
        <v>7775</v>
      </c>
      <c r="Q16" s="34"/>
    </row>
    <row r="17" spans="1:17" ht="12.75" customHeight="1">
      <c r="A17" s="36" t="s">
        <v>81</v>
      </c>
      <c r="B17" s="37">
        <v>1886</v>
      </c>
      <c r="C17" s="37">
        <v>2050</v>
      </c>
      <c r="D17" s="37">
        <v>1968</v>
      </c>
      <c r="E17" s="37">
        <v>2296</v>
      </c>
      <c r="F17" s="35">
        <f>SUM(B17:E17)</f>
        <v>8200</v>
      </c>
      <c r="G17" s="37">
        <v>1999</v>
      </c>
      <c r="H17" s="37">
        <v>2173</v>
      </c>
      <c r="I17" s="37">
        <v>2086</v>
      </c>
      <c r="J17" s="37">
        <v>2434</v>
      </c>
      <c r="K17" s="35">
        <f>SUM(G17:J17)</f>
        <v>8692</v>
      </c>
      <c r="L17" s="37">
        <v>2119</v>
      </c>
      <c r="M17" s="37">
        <v>2304</v>
      </c>
      <c r="N17" s="37">
        <v>2211</v>
      </c>
      <c r="O17" s="37">
        <v>2580</v>
      </c>
      <c r="P17" s="35">
        <f>SUM(L17:O17)</f>
        <v>9214</v>
      </c>
      <c r="Q17" s="37"/>
    </row>
    <row r="18" spans="1:17" ht="13.5" customHeight="1" thickBot="1">
      <c r="A18" s="38" t="s">
        <v>35</v>
      </c>
      <c r="B18" s="39">
        <f t="shared" ref="B18:P18" si="0">B13+B14+B15+B16+B17</f>
        <v>11836</v>
      </c>
      <c r="C18" s="39">
        <f t="shared" si="0"/>
        <v>13282</v>
      </c>
      <c r="D18" s="39">
        <f t="shared" si="0"/>
        <v>12102</v>
      </c>
      <c r="E18" s="39">
        <f t="shared" si="0"/>
        <v>13980</v>
      </c>
      <c r="F18" s="40">
        <f t="shared" si="0"/>
        <v>51200</v>
      </c>
      <c r="G18" s="39">
        <f t="shared" si="0"/>
        <v>12368</v>
      </c>
      <c r="H18" s="39">
        <f t="shared" si="0"/>
        <v>13877</v>
      </c>
      <c r="I18" s="39">
        <f t="shared" si="0"/>
        <v>12646</v>
      </c>
      <c r="J18" s="39">
        <f t="shared" si="0"/>
        <v>14607</v>
      </c>
      <c r="K18" s="40">
        <f t="shared" si="0"/>
        <v>53498</v>
      </c>
      <c r="L18" s="39">
        <f t="shared" si="0"/>
        <v>12923</v>
      </c>
      <c r="M18" s="39">
        <f t="shared" si="0"/>
        <v>14502</v>
      </c>
      <c r="N18" s="39">
        <f t="shared" si="0"/>
        <v>13213</v>
      </c>
      <c r="O18" s="39">
        <f t="shared" si="0"/>
        <v>15264</v>
      </c>
      <c r="P18" s="40">
        <f t="shared" si="0"/>
        <v>55902</v>
      </c>
      <c r="Q18" s="39"/>
    </row>
    <row r="19" spans="1:17" ht="4.5" customHeight="1"/>
    <row r="20" spans="1:17" ht="13.5" customHeight="1">
      <c r="A20" s="41" t="s">
        <v>34</v>
      </c>
      <c r="B20" s="42"/>
      <c r="C20" s="42"/>
      <c r="D20" s="42"/>
      <c r="E20" s="42"/>
      <c r="F20" s="43"/>
      <c r="G20" s="42"/>
      <c r="H20" s="42"/>
      <c r="I20" s="42"/>
      <c r="J20" s="42"/>
      <c r="K20" s="43"/>
      <c r="L20" s="42"/>
      <c r="M20" s="42"/>
      <c r="N20" s="42"/>
      <c r="O20" s="42"/>
      <c r="P20" s="43"/>
      <c r="Q20" s="42"/>
    </row>
    <row r="21" spans="1:17" ht="12.75" customHeight="1">
      <c r="A21" s="33" t="s">
        <v>82</v>
      </c>
      <c r="B21" s="34">
        <v>3693</v>
      </c>
      <c r="C21" s="34">
        <v>4144</v>
      </c>
      <c r="D21" s="34">
        <v>3776</v>
      </c>
      <c r="E21" s="34">
        <v>4362</v>
      </c>
      <c r="F21" s="35">
        <f>SUM(B21:E21)</f>
        <v>15975</v>
      </c>
      <c r="G21" s="34">
        <v>3859</v>
      </c>
      <c r="H21" s="34">
        <v>4330</v>
      </c>
      <c r="I21" s="34">
        <v>3946</v>
      </c>
      <c r="J21" s="34">
        <v>4557</v>
      </c>
      <c r="K21" s="35">
        <f>SUM(G21:J21)</f>
        <v>16692</v>
      </c>
      <c r="L21" s="34">
        <v>4032</v>
      </c>
      <c r="M21" s="34">
        <v>4525</v>
      </c>
      <c r="N21" s="34">
        <v>4122</v>
      </c>
      <c r="O21" s="34">
        <v>4762</v>
      </c>
      <c r="P21" s="35">
        <f>SUM(L21:O21)</f>
        <v>17441</v>
      </c>
      <c r="Q21" s="34"/>
    </row>
    <row r="22" spans="1:17" ht="12.75" customHeight="1">
      <c r="A22" s="36" t="s">
        <v>83</v>
      </c>
      <c r="B22" s="37">
        <v>1053</v>
      </c>
      <c r="C22" s="37">
        <v>1182</v>
      </c>
      <c r="D22" s="37">
        <v>1077</v>
      </c>
      <c r="E22" s="37">
        <v>1244</v>
      </c>
      <c r="F22" s="35">
        <f>SUM(B22:E22)</f>
        <v>4556</v>
      </c>
      <c r="G22" s="37">
        <v>1101</v>
      </c>
      <c r="H22" s="37">
        <v>1235</v>
      </c>
      <c r="I22" s="37">
        <v>1125</v>
      </c>
      <c r="J22" s="37">
        <v>1300</v>
      </c>
      <c r="K22" s="35">
        <f>SUM(G22:J22)</f>
        <v>4761</v>
      </c>
      <c r="L22" s="37">
        <v>1150</v>
      </c>
      <c r="M22" s="37">
        <v>1291</v>
      </c>
      <c r="N22" s="37">
        <v>1176</v>
      </c>
      <c r="O22" s="37">
        <v>1358</v>
      </c>
      <c r="P22" s="35">
        <f>SUM(L22:O22)</f>
        <v>4975</v>
      </c>
      <c r="Q22" s="37"/>
    </row>
    <row r="23" spans="1:17" ht="12.75" customHeight="1">
      <c r="A23" s="33" t="s">
        <v>84</v>
      </c>
      <c r="B23" s="34">
        <v>876</v>
      </c>
      <c r="C23" s="34">
        <v>983</v>
      </c>
      <c r="D23" s="34">
        <v>896</v>
      </c>
      <c r="E23" s="34">
        <v>1035</v>
      </c>
      <c r="F23" s="35">
        <f>SUM(B23:E23)</f>
        <v>3790</v>
      </c>
      <c r="G23" s="34">
        <v>915</v>
      </c>
      <c r="H23" s="34">
        <v>1027</v>
      </c>
      <c r="I23" s="34">
        <v>936</v>
      </c>
      <c r="J23" s="34">
        <v>1081</v>
      </c>
      <c r="K23" s="35">
        <f>SUM(G23:J23)</f>
        <v>3959</v>
      </c>
      <c r="L23" s="34">
        <v>956</v>
      </c>
      <c r="M23" s="34">
        <v>1073</v>
      </c>
      <c r="N23" s="34">
        <v>978</v>
      </c>
      <c r="O23" s="34">
        <v>1130</v>
      </c>
      <c r="P23" s="35">
        <f>SUM(L23:O23)</f>
        <v>4137</v>
      </c>
      <c r="Q23" s="34"/>
    </row>
    <row r="24" spans="1:17" ht="12.75" customHeight="1">
      <c r="A24" s="36" t="s">
        <v>85</v>
      </c>
      <c r="B24" s="37">
        <v>663</v>
      </c>
      <c r="C24" s="37">
        <v>744</v>
      </c>
      <c r="D24" s="37">
        <v>678</v>
      </c>
      <c r="E24" s="37">
        <v>783</v>
      </c>
      <c r="F24" s="35">
        <f>SUM(B24:E24)</f>
        <v>2868</v>
      </c>
      <c r="G24" s="37">
        <v>693</v>
      </c>
      <c r="H24" s="37">
        <v>777</v>
      </c>
      <c r="I24" s="37">
        <v>708</v>
      </c>
      <c r="J24" s="37">
        <v>818</v>
      </c>
      <c r="K24" s="35">
        <f>SUM(G24:J24)</f>
        <v>2996</v>
      </c>
      <c r="L24" s="37">
        <v>724</v>
      </c>
      <c r="M24" s="37">
        <v>812</v>
      </c>
      <c r="N24" s="37">
        <v>740</v>
      </c>
      <c r="O24" s="37">
        <v>855</v>
      </c>
      <c r="P24" s="35">
        <f>SUM(L24:O24)</f>
        <v>3131</v>
      </c>
      <c r="Q24" s="37"/>
    </row>
    <row r="25" spans="1:17" ht="12.75" customHeight="1">
      <c r="A25" s="33" t="s">
        <v>86</v>
      </c>
      <c r="B25" s="34">
        <v>475</v>
      </c>
      <c r="C25" s="34">
        <v>495</v>
      </c>
      <c r="D25" s="34">
        <v>495</v>
      </c>
      <c r="E25" s="34">
        <v>515</v>
      </c>
      <c r="F25" s="35">
        <f>SUM(B25:E25)</f>
        <v>1980</v>
      </c>
      <c r="G25" s="34">
        <v>487</v>
      </c>
      <c r="H25" s="34">
        <v>507</v>
      </c>
      <c r="I25" s="34">
        <v>507</v>
      </c>
      <c r="J25" s="34">
        <v>528</v>
      </c>
      <c r="K25" s="35">
        <f>SUM(G25:J25)</f>
        <v>2029</v>
      </c>
      <c r="L25" s="34">
        <v>499</v>
      </c>
      <c r="M25" s="34">
        <v>520</v>
      </c>
      <c r="N25" s="34">
        <v>520</v>
      </c>
      <c r="O25" s="34">
        <v>541</v>
      </c>
      <c r="P25" s="35">
        <f>SUM(L25:O25)</f>
        <v>2080</v>
      </c>
      <c r="Q25" s="34"/>
    </row>
    <row r="26" spans="1:17" ht="13.5" customHeight="1" thickBot="1">
      <c r="A26" s="38" t="s">
        <v>33</v>
      </c>
      <c r="B26" s="39">
        <f t="shared" ref="B26:P26" si="1">B21+B22+B23+B24+B25</f>
        <v>6760</v>
      </c>
      <c r="C26" s="39">
        <f t="shared" si="1"/>
        <v>7548</v>
      </c>
      <c r="D26" s="39">
        <f t="shared" si="1"/>
        <v>6922</v>
      </c>
      <c r="E26" s="39">
        <f t="shared" si="1"/>
        <v>7939</v>
      </c>
      <c r="F26" s="40">
        <f t="shared" si="1"/>
        <v>29169</v>
      </c>
      <c r="G26" s="39">
        <f t="shared" si="1"/>
        <v>7055</v>
      </c>
      <c r="H26" s="39">
        <f t="shared" si="1"/>
        <v>7876</v>
      </c>
      <c r="I26" s="39">
        <f t="shared" si="1"/>
        <v>7222</v>
      </c>
      <c r="J26" s="39">
        <f t="shared" si="1"/>
        <v>8284</v>
      </c>
      <c r="K26" s="40">
        <f t="shared" si="1"/>
        <v>30437</v>
      </c>
      <c r="L26" s="39">
        <f t="shared" si="1"/>
        <v>7361</v>
      </c>
      <c r="M26" s="39">
        <f t="shared" si="1"/>
        <v>8221</v>
      </c>
      <c r="N26" s="39">
        <f t="shared" si="1"/>
        <v>7536</v>
      </c>
      <c r="O26" s="39">
        <f t="shared" si="1"/>
        <v>8646</v>
      </c>
      <c r="P26" s="40">
        <f t="shared" si="1"/>
        <v>31764</v>
      </c>
      <c r="Q26" s="39"/>
    </row>
    <row r="27" spans="1:17" ht="4.5" customHeight="1"/>
    <row r="28" spans="1:17" ht="13.5" customHeight="1" thickBot="1">
      <c r="A28" s="44" t="s">
        <v>15</v>
      </c>
      <c r="B28" s="45">
        <f t="shared" ref="B28:P28" si="2">B18-B26</f>
        <v>5076</v>
      </c>
      <c r="C28" s="45">
        <f t="shared" si="2"/>
        <v>5734</v>
      </c>
      <c r="D28" s="45">
        <f t="shared" si="2"/>
        <v>5180</v>
      </c>
      <c r="E28" s="45">
        <f t="shared" si="2"/>
        <v>6041</v>
      </c>
      <c r="F28" s="40">
        <f t="shared" si="2"/>
        <v>22031</v>
      </c>
      <c r="G28" s="45">
        <f t="shared" si="2"/>
        <v>5313</v>
      </c>
      <c r="H28" s="45">
        <f t="shared" si="2"/>
        <v>6001</v>
      </c>
      <c r="I28" s="45">
        <f t="shared" si="2"/>
        <v>5424</v>
      </c>
      <c r="J28" s="45">
        <f t="shared" si="2"/>
        <v>6323</v>
      </c>
      <c r="K28" s="40">
        <f t="shared" si="2"/>
        <v>23061</v>
      </c>
      <c r="L28" s="45">
        <f t="shared" si="2"/>
        <v>5562</v>
      </c>
      <c r="M28" s="45">
        <f t="shared" si="2"/>
        <v>6281</v>
      </c>
      <c r="N28" s="45">
        <f t="shared" si="2"/>
        <v>5677</v>
      </c>
      <c r="O28" s="45">
        <f t="shared" si="2"/>
        <v>6618</v>
      </c>
      <c r="P28" s="40">
        <f t="shared" si="2"/>
        <v>24138</v>
      </c>
      <c r="Q28" s="45"/>
    </row>
    <row r="29" spans="1:17" ht="12.75" customHeight="1">
      <c r="A29" s="33" t="s">
        <v>87</v>
      </c>
      <c r="B29" s="46">
        <f t="shared" ref="B29:P29" si="3">IF(B18&lt;&gt;0,B28/B18,0)</f>
        <v>0.42886110172355524</v>
      </c>
      <c r="C29" s="46">
        <f t="shared" si="3"/>
        <v>0.43171209155247703</v>
      </c>
      <c r="D29" s="46">
        <f t="shared" si="3"/>
        <v>0.42802842505371014</v>
      </c>
      <c r="E29" s="46">
        <f t="shared" si="3"/>
        <v>0.43211731044349072</v>
      </c>
      <c r="F29" s="47">
        <f t="shared" si="3"/>
        <v>0.43029296875</v>
      </c>
      <c r="G29" s="46">
        <f t="shared" si="3"/>
        <v>0.42957632600258733</v>
      </c>
      <c r="H29" s="46">
        <f t="shared" si="3"/>
        <v>0.43244217049794625</v>
      </c>
      <c r="I29" s="46">
        <f t="shared" si="3"/>
        <v>0.42891032737624546</v>
      </c>
      <c r="J29" s="46">
        <f t="shared" si="3"/>
        <v>0.43287464914082291</v>
      </c>
      <c r="K29" s="47">
        <f t="shared" si="3"/>
        <v>0.43106284347078394</v>
      </c>
      <c r="L29" s="46">
        <f t="shared" si="3"/>
        <v>0.43039541902035133</v>
      </c>
      <c r="M29" s="46">
        <f t="shared" si="3"/>
        <v>0.4331126741139153</v>
      </c>
      <c r="N29" s="46">
        <f t="shared" si="3"/>
        <v>0.42965261484901235</v>
      </c>
      <c r="O29" s="46">
        <f t="shared" si="3"/>
        <v>0.43356918238993708</v>
      </c>
      <c r="P29" s="47">
        <f t="shared" si="3"/>
        <v>0.43179134914672107</v>
      </c>
      <c r="Q29" s="46"/>
    </row>
    <row r="30" spans="1:17" ht="4.5" customHeight="1"/>
    <row r="31" spans="1:17" ht="13.5" customHeight="1">
      <c r="A31" s="41" t="s">
        <v>16</v>
      </c>
      <c r="B31" s="42"/>
      <c r="C31" s="42"/>
      <c r="D31" s="42"/>
      <c r="E31" s="42"/>
      <c r="F31" s="43"/>
      <c r="G31" s="42"/>
      <c r="H31" s="42"/>
      <c r="I31" s="42"/>
      <c r="J31" s="42"/>
      <c r="K31" s="43"/>
      <c r="L31" s="42"/>
      <c r="M31" s="42"/>
      <c r="N31" s="42"/>
      <c r="O31" s="42"/>
      <c r="P31" s="43"/>
      <c r="Q31" s="42"/>
    </row>
    <row r="32" spans="1:17" ht="12.75" customHeight="1">
      <c r="A32" s="33" t="s">
        <v>88</v>
      </c>
      <c r="B32" s="34">
        <v>971</v>
      </c>
      <c r="C32" s="34">
        <v>1089</v>
      </c>
      <c r="D32" s="34">
        <v>992</v>
      </c>
      <c r="E32" s="34">
        <v>1146</v>
      </c>
      <c r="F32" s="35">
        <f t="shared" ref="F32:F40" si="4">SUM(B32:E32)</f>
        <v>4198</v>
      </c>
      <c r="G32" s="34">
        <v>1014</v>
      </c>
      <c r="H32" s="34">
        <v>1138</v>
      </c>
      <c r="I32" s="34">
        <v>1037</v>
      </c>
      <c r="J32" s="34">
        <v>1198</v>
      </c>
      <c r="K32" s="35">
        <f t="shared" ref="K32:K40" si="5">SUM(G32:J32)</f>
        <v>4387</v>
      </c>
      <c r="L32" s="34">
        <v>1060</v>
      </c>
      <c r="M32" s="34">
        <v>1189</v>
      </c>
      <c r="N32" s="34">
        <v>1083</v>
      </c>
      <c r="O32" s="34">
        <v>1252</v>
      </c>
      <c r="P32" s="35">
        <f t="shared" ref="P32:P40" si="6">SUM(L32:O32)</f>
        <v>4584</v>
      </c>
      <c r="Q32" s="34"/>
    </row>
    <row r="33" spans="1:17" ht="12.75" customHeight="1">
      <c r="A33" s="36" t="s">
        <v>89</v>
      </c>
      <c r="B33" s="37">
        <v>805</v>
      </c>
      <c r="C33" s="37">
        <v>903</v>
      </c>
      <c r="D33" s="37">
        <v>823</v>
      </c>
      <c r="E33" s="37">
        <v>951</v>
      </c>
      <c r="F33" s="35">
        <f t="shared" si="4"/>
        <v>3482</v>
      </c>
      <c r="G33" s="37">
        <v>841</v>
      </c>
      <c r="H33" s="37">
        <v>944</v>
      </c>
      <c r="I33" s="37">
        <v>860</v>
      </c>
      <c r="J33" s="37">
        <v>993</v>
      </c>
      <c r="K33" s="35">
        <f t="shared" si="5"/>
        <v>3638</v>
      </c>
      <c r="L33" s="37">
        <v>879</v>
      </c>
      <c r="M33" s="37">
        <v>986</v>
      </c>
      <c r="N33" s="37">
        <v>898</v>
      </c>
      <c r="O33" s="37">
        <v>1038</v>
      </c>
      <c r="P33" s="35">
        <f t="shared" si="6"/>
        <v>3801</v>
      </c>
      <c r="Q33" s="37"/>
    </row>
    <row r="34" spans="1:17" ht="12.75" customHeight="1">
      <c r="A34" s="33" t="s">
        <v>90</v>
      </c>
      <c r="B34" s="34">
        <v>556</v>
      </c>
      <c r="C34" s="34">
        <v>624</v>
      </c>
      <c r="D34" s="34">
        <v>569</v>
      </c>
      <c r="E34" s="34">
        <v>657</v>
      </c>
      <c r="F34" s="35">
        <f t="shared" si="4"/>
        <v>2406</v>
      </c>
      <c r="G34" s="34">
        <v>581</v>
      </c>
      <c r="H34" s="34">
        <v>652</v>
      </c>
      <c r="I34" s="34">
        <v>594</v>
      </c>
      <c r="J34" s="34">
        <v>687</v>
      </c>
      <c r="K34" s="35">
        <f t="shared" si="5"/>
        <v>2514</v>
      </c>
      <c r="L34" s="34">
        <v>607</v>
      </c>
      <c r="M34" s="34">
        <v>682</v>
      </c>
      <c r="N34" s="34">
        <v>621</v>
      </c>
      <c r="O34" s="34">
        <v>717</v>
      </c>
      <c r="P34" s="35">
        <f t="shared" si="6"/>
        <v>2627</v>
      </c>
      <c r="Q34" s="34"/>
    </row>
    <row r="35" spans="1:17" ht="12.75" customHeight="1">
      <c r="A35" s="36" t="s">
        <v>91</v>
      </c>
      <c r="B35" s="37">
        <v>235</v>
      </c>
      <c r="C35" s="37">
        <v>245</v>
      </c>
      <c r="D35" s="37">
        <v>245</v>
      </c>
      <c r="E35" s="37">
        <v>255</v>
      </c>
      <c r="F35" s="35">
        <f t="shared" si="4"/>
        <v>980</v>
      </c>
      <c r="G35" s="37">
        <v>240</v>
      </c>
      <c r="H35" s="37">
        <v>250</v>
      </c>
      <c r="I35" s="37">
        <v>250</v>
      </c>
      <c r="J35" s="37">
        <v>260</v>
      </c>
      <c r="K35" s="35">
        <f t="shared" si="5"/>
        <v>1000</v>
      </c>
      <c r="L35" s="37">
        <v>245</v>
      </c>
      <c r="M35" s="37">
        <v>255</v>
      </c>
      <c r="N35" s="37">
        <v>255</v>
      </c>
      <c r="O35" s="37">
        <v>265</v>
      </c>
      <c r="P35" s="35">
        <f t="shared" si="6"/>
        <v>1020</v>
      </c>
      <c r="Q35" s="37"/>
    </row>
    <row r="36" spans="1:17" ht="12.75" customHeight="1">
      <c r="A36" s="33" t="s">
        <v>92</v>
      </c>
      <c r="B36" s="34">
        <v>149</v>
      </c>
      <c r="C36" s="34">
        <v>155</v>
      </c>
      <c r="D36" s="34">
        <v>155</v>
      </c>
      <c r="E36" s="34">
        <v>161</v>
      </c>
      <c r="F36" s="35">
        <f t="shared" si="4"/>
        <v>620</v>
      </c>
      <c r="G36" s="34">
        <v>155</v>
      </c>
      <c r="H36" s="34">
        <v>161</v>
      </c>
      <c r="I36" s="34">
        <v>161</v>
      </c>
      <c r="J36" s="34">
        <v>168</v>
      </c>
      <c r="K36" s="35">
        <f t="shared" si="5"/>
        <v>645</v>
      </c>
      <c r="L36" s="34">
        <v>161</v>
      </c>
      <c r="M36" s="34">
        <v>168</v>
      </c>
      <c r="N36" s="34">
        <v>168</v>
      </c>
      <c r="O36" s="34">
        <v>174</v>
      </c>
      <c r="P36" s="35">
        <f t="shared" si="6"/>
        <v>671</v>
      </c>
      <c r="Q36" s="34"/>
    </row>
    <row r="37" spans="1:17" ht="12.75" customHeight="1">
      <c r="A37" s="36" t="s">
        <v>93</v>
      </c>
      <c r="B37" s="37">
        <v>135</v>
      </c>
      <c r="C37" s="37">
        <v>135</v>
      </c>
      <c r="D37" s="37">
        <v>135</v>
      </c>
      <c r="E37" s="37">
        <v>135</v>
      </c>
      <c r="F37" s="35">
        <f t="shared" si="4"/>
        <v>540</v>
      </c>
      <c r="G37" s="37">
        <v>136</v>
      </c>
      <c r="H37" s="37">
        <v>136</v>
      </c>
      <c r="I37" s="37">
        <v>136</v>
      </c>
      <c r="J37" s="37">
        <v>136</v>
      </c>
      <c r="K37" s="35">
        <f t="shared" si="5"/>
        <v>544</v>
      </c>
      <c r="L37" s="37">
        <v>138</v>
      </c>
      <c r="M37" s="37">
        <v>138</v>
      </c>
      <c r="N37" s="37">
        <v>138</v>
      </c>
      <c r="O37" s="37">
        <v>138</v>
      </c>
      <c r="P37" s="35">
        <f t="shared" si="6"/>
        <v>552</v>
      </c>
      <c r="Q37" s="37"/>
    </row>
    <row r="38" spans="1:17" ht="12.75" customHeight="1">
      <c r="A38" s="33" t="s">
        <v>94</v>
      </c>
      <c r="B38" s="34">
        <v>42</v>
      </c>
      <c r="C38" s="34">
        <v>18</v>
      </c>
      <c r="D38" s="34">
        <v>0</v>
      </c>
      <c r="E38" s="34">
        <v>0</v>
      </c>
      <c r="F38" s="35">
        <f t="shared" si="4"/>
        <v>60</v>
      </c>
      <c r="G38" s="34">
        <v>0</v>
      </c>
      <c r="H38" s="34">
        <v>0</v>
      </c>
      <c r="I38" s="34">
        <v>0</v>
      </c>
      <c r="J38" s="34">
        <v>157</v>
      </c>
      <c r="K38" s="35">
        <f t="shared" si="5"/>
        <v>157</v>
      </c>
      <c r="L38" s="34">
        <v>0</v>
      </c>
      <c r="M38" s="34">
        <v>0</v>
      </c>
      <c r="N38" s="34">
        <v>89</v>
      </c>
      <c r="O38" s="34">
        <v>0</v>
      </c>
      <c r="P38" s="35">
        <f t="shared" si="6"/>
        <v>89</v>
      </c>
      <c r="Q38" s="34"/>
    </row>
    <row r="39" spans="1:17" ht="12.75" customHeight="1">
      <c r="A39" s="36" t="s">
        <v>95</v>
      </c>
      <c r="B39" s="37">
        <v>0</v>
      </c>
      <c r="C39" s="37">
        <v>0</v>
      </c>
      <c r="D39" s="37">
        <v>0</v>
      </c>
      <c r="E39" s="37">
        <v>0</v>
      </c>
      <c r="F39" s="35">
        <f t="shared" si="4"/>
        <v>0</v>
      </c>
      <c r="G39" s="37">
        <v>234</v>
      </c>
      <c r="H39" s="37">
        <v>123</v>
      </c>
      <c r="I39" s="37">
        <v>0</v>
      </c>
      <c r="J39" s="37">
        <v>0</v>
      </c>
      <c r="K39" s="35">
        <f t="shared" si="5"/>
        <v>357</v>
      </c>
      <c r="L39" s="37">
        <v>0</v>
      </c>
      <c r="M39" s="37">
        <v>0</v>
      </c>
      <c r="N39" s="37">
        <v>0</v>
      </c>
      <c r="O39" s="37">
        <v>0</v>
      </c>
      <c r="P39" s="35">
        <f t="shared" si="6"/>
        <v>0</v>
      </c>
      <c r="Q39" s="37"/>
    </row>
    <row r="40" spans="1:17" ht="12.75" customHeight="1">
      <c r="A40" s="33" t="s">
        <v>96</v>
      </c>
      <c r="B40" s="34">
        <v>46</v>
      </c>
      <c r="C40" s="34">
        <v>48</v>
      </c>
      <c r="D40" s="34">
        <v>48</v>
      </c>
      <c r="E40" s="34">
        <v>49</v>
      </c>
      <c r="F40" s="35">
        <f t="shared" si="4"/>
        <v>191</v>
      </c>
      <c r="G40" s="34">
        <v>47</v>
      </c>
      <c r="H40" s="34">
        <v>48</v>
      </c>
      <c r="I40" s="34">
        <v>48</v>
      </c>
      <c r="J40" s="34">
        <v>50</v>
      </c>
      <c r="K40" s="35">
        <f t="shared" si="5"/>
        <v>193</v>
      </c>
      <c r="L40" s="34">
        <v>48</v>
      </c>
      <c r="M40" s="34">
        <v>50</v>
      </c>
      <c r="N40" s="34">
        <v>50</v>
      </c>
      <c r="O40" s="34">
        <v>51</v>
      </c>
      <c r="P40" s="35">
        <f t="shared" si="6"/>
        <v>199</v>
      </c>
      <c r="Q40" s="34"/>
    </row>
    <row r="41" spans="1:17" ht="13.5" customHeight="1" thickBot="1">
      <c r="A41" s="38" t="s">
        <v>17</v>
      </c>
      <c r="B41" s="39">
        <f t="shared" ref="B41:P41" si="7">B32+B33+B34+B35+B36+B37+B38+B39+B40</f>
        <v>2939</v>
      </c>
      <c r="C41" s="39">
        <f t="shared" si="7"/>
        <v>3217</v>
      </c>
      <c r="D41" s="39">
        <f t="shared" si="7"/>
        <v>2967</v>
      </c>
      <c r="E41" s="39">
        <f t="shared" si="7"/>
        <v>3354</v>
      </c>
      <c r="F41" s="40">
        <f t="shared" si="7"/>
        <v>12477</v>
      </c>
      <c r="G41" s="39">
        <f t="shared" si="7"/>
        <v>3248</v>
      </c>
      <c r="H41" s="39">
        <f t="shared" si="7"/>
        <v>3452</v>
      </c>
      <c r="I41" s="39">
        <f t="shared" si="7"/>
        <v>3086</v>
      </c>
      <c r="J41" s="39">
        <f t="shared" si="7"/>
        <v>3649</v>
      </c>
      <c r="K41" s="40">
        <f t="shared" si="7"/>
        <v>13435</v>
      </c>
      <c r="L41" s="39">
        <f t="shared" si="7"/>
        <v>3138</v>
      </c>
      <c r="M41" s="39">
        <f t="shared" si="7"/>
        <v>3468</v>
      </c>
      <c r="N41" s="39">
        <f t="shared" si="7"/>
        <v>3302</v>
      </c>
      <c r="O41" s="39">
        <f t="shared" si="7"/>
        <v>3635</v>
      </c>
      <c r="P41" s="40">
        <f t="shared" si="7"/>
        <v>13543</v>
      </c>
      <c r="Q41" s="39"/>
    </row>
    <row r="42" spans="1:17" ht="4.5" customHeight="1"/>
    <row r="43" spans="1:17" ht="13.5" customHeight="1" thickBot="1">
      <c r="A43" s="44" t="s">
        <v>18</v>
      </c>
      <c r="B43" s="45">
        <f t="shared" ref="B43:P43" si="8">B28-B41</f>
        <v>2137</v>
      </c>
      <c r="C43" s="45">
        <f t="shared" si="8"/>
        <v>2517</v>
      </c>
      <c r="D43" s="45">
        <f t="shared" si="8"/>
        <v>2213</v>
      </c>
      <c r="E43" s="45">
        <f t="shared" si="8"/>
        <v>2687</v>
      </c>
      <c r="F43" s="40">
        <f t="shared" si="8"/>
        <v>9554</v>
      </c>
      <c r="G43" s="45">
        <f t="shared" si="8"/>
        <v>2065</v>
      </c>
      <c r="H43" s="45">
        <f t="shared" si="8"/>
        <v>2549</v>
      </c>
      <c r="I43" s="45">
        <f t="shared" si="8"/>
        <v>2338</v>
      </c>
      <c r="J43" s="45">
        <f t="shared" si="8"/>
        <v>2674</v>
      </c>
      <c r="K43" s="40">
        <f t="shared" si="8"/>
        <v>9626</v>
      </c>
      <c r="L43" s="45">
        <f t="shared" si="8"/>
        <v>2424</v>
      </c>
      <c r="M43" s="45">
        <f t="shared" si="8"/>
        <v>2813</v>
      </c>
      <c r="N43" s="45">
        <f t="shared" si="8"/>
        <v>2375</v>
      </c>
      <c r="O43" s="45">
        <f t="shared" si="8"/>
        <v>2983</v>
      </c>
      <c r="P43" s="40">
        <f t="shared" si="8"/>
        <v>10595</v>
      </c>
      <c r="Q43" s="45"/>
    </row>
    <row r="44" spans="1:17" ht="12.75" customHeight="1">
      <c r="A44" s="33" t="s">
        <v>97</v>
      </c>
      <c r="B44" s="46">
        <f t="shared" ref="B44:P44" si="9">IF(B18&lt;&gt;0,B43/B18,0)</f>
        <v>0.18055086177762758</v>
      </c>
      <c r="C44" s="46">
        <f t="shared" si="9"/>
        <v>0.18950459268182501</v>
      </c>
      <c r="D44" s="46">
        <f t="shared" si="9"/>
        <v>0.18286233680383407</v>
      </c>
      <c r="E44" s="46">
        <f t="shared" si="9"/>
        <v>0.19220314735336194</v>
      </c>
      <c r="F44" s="47">
        <f t="shared" si="9"/>
        <v>0.18660156250000001</v>
      </c>
      <c r="G44" s="46">
        <f t="shared" si="9"/>
        <v>0.16696313065976714</v>
      </c>
      <c r="H44" s="46">
        <f t="shared" si="9"/>
        <v>0.18368523456078403</v>
      </c>
      <c r="I44" s="46">
        <f t="shared" si="9"/>
        <v>0.18488059465443618</v>
      </c>
      <c r="J44" s="46">
        <f t="shared" si="9"/>
        <v>0.18306291504073388</v>
      </c>
      <c r="K44" s="47">
        <f t="shared" si="9"/>
        <v>0.17993196007327378</v>
      </c>
      <c r="L44" s="46">
        <f t="shared" si="9"/>
        <v>0.18757254507467305</v>
      </c>
      <c r="M44" s="46">
        <f t="shared" si="9"/>
        <v>0.19397324506964556</v>
      </c>
      <c r="N44" s="46">
        <f t="shared" si="9"/>
        <v>0.17974721864830093</v>
      </c>
      <c r="O44" s="46">
        <f t="shared" si="9"/>
        <v>0.19542714884696016</v>
      </c>
      <c r="P44" s="47">
        <f t="shared" si="9"/>
        <v>0.18952810275124324</v>
      </c>
      <c r="Q44" s="46"/>
    </row>
    <row r="45" spans="1:17" ht="4.5" customHeight="1"/>
    <row r="46" spans="1:17" ht="13.5" customHeight="1">
      <c r="A46" s="41" t="s">
        <v>98</v>
      </c>
      <c r="B46" s="42"/>
      <c r="C46" s="42"/>
      <c r="D46" s="42"/>
      <c r="E46" s="42"/>
      <c r="F46" s="43"/>
      <c r="G46" s="42"/>
      <c r="H46" s="42"/>
      <c r="I46" s="42"/>
      <c r="J46" s="42"/>
      <c r="K46" s="43"/>
      <c r="L46" s="42"/>
      <c r="M46" s="42"/>
      <c r="N46" s="42"/>
      <c r="O46" s="42"/>
      <c r="P46" s="43"/>
      <c r="Q46" s="42"/>
    </row>
    <row r="47" spans="1:17" ht="12.75" customHeight="1">
      <c r="A47" s="33" t="s">
        <v>99</v>
      </c>
      <c r="B47" s="34">
        <v>53</v>
      </c>
      <c r="C47" s="34">
        <v>55</v>
      </c>
      <c r="D47" s="34">
        <v>57</v>
      </c>
      <c r="E47" s="34">
        <v>55</v>
      </c>
      <c r="F47" s="35">
        <f>SUM(B47:E47)</f>
        <v>220</v>
      </c>
      <c r="G47" s="34">
        <v>55</v>
      </c>
      <c r="H47" s="34">
        <v>57</v>
      </c>
      <c r="I47" s="34">
        <v>59</v>
      </c>
      <c r="J47" s="34">
        <v>57</v>
      </c>
      <c r="K47" s="35">
        <f>SUM(G47:J47)</f>
        <v>228</v>
      </c>
      <c r="L47" s="34">
        <v>57</v>
      </c>
      <c r="M47" s="34">
        <v>59</v>
      </c>
      <c r="N47" s="34">
        <v>61</v>
      </c>
      <c r="O47" s="34">
        <v>59</v>
      </c>
      <c r="P47" s="35">
        <f>SUM(L47:O47)</f>
        <v>236</v>
      </c>
      <c r="Q47" s="34"/>
    </row>
    <row r="48" spans="1:17" ht="12.75" customHeight="1">
      <c r="A48" s="36" t="s">
        <v>100</v>
      </c>
      <c r="B48" s="37">
        <v>19</v>
      </c>
      <c r="C48" s="37">
        <v>20</v>
      </c>
      <c r="D48" s="37">
        <v>21</v>
      </c>
      <c r="E48" s="37">
        <v>20</v>
      </c>
      <c r="F48" s="35">
        <f>SUM(B48:E48)</f>
        <v>80</v>
      </c>
      <c r="G48" s="37">
        <v>20</v>
      </c>
      <c r="H48" s="37">
        <v>20</v>
      </c>
      <c r="I48" s="37">
        <v>21</v>
      </c>
      <c r="J48" s="37">
        <v>20</v>
      </c>
      <c r="K48" s="35">
        <f>SUM(G48:J48)</f>
        <v>81</v>
      </c>
      <c r="L48" s="37">
        <v>20</v>
      </c>
      <c r="M48" s="37">
        <v>21</v>
      </c>
      <c r="N48" s="37">
        <v>22</v>
      </c>
      <c r="O48" s="37">
        <v>21</v>
      </c>
      <c r="P48" s="35">
        <f>SUM(L48:O48)</f>
        <v>84</v>
      </c>
      <c r="Q48" s="37"/>
    </row>
    <row r="49" spans="1:17" ht="12.75" customHeight="1">
      <c r="A49" s="33" t="s">
        <v>101</v>
      </c>
      <c r="B49" s="34">
        <v>18</v>
      </c>
      <c r="C49" s="48">
        <v>-34</v>
      </c>
      <c r="D49" s="34">
        <v>12</v>
      </c>
      <c r="E49" s="48">
        <v>-8</v>
      </c>
      <c r="F49" s="35">
        <f>SUM(B49:E49)</f>
        <v>-12</v>
      </c>
      <c r="G49" s="48">
        <v>-22</v>
      </c>
      <c r="H49" s="34">
        <v>15</v>
      </c>
      <c r="I49" s="48">
        <v>-9</v>
      </c>
      <c r="J49" s="34">
        <v>6</v>
      </c>
      <c r="K49" s="35">
        <f>SUM(G49:J49)</f>
        <v>-10</v>
      </c>
      <c r="L49" s="34">
        <v>31</v>
      </c>
      <c r="M49" s="48">
        <v>-18</v>
      </c>
      <c r="N49" s="34">
        <v>24</v>
      </c>
      <c r="O49" s="48">
        <v>-12</v>
      </c>
      <c r="P49" s="35">
        <f>SUM(L49:O49)</f>
        <v>25</v>
      </c>
      <c r="Q49" s="34"/>
    </row>
    <row r="50" spans="1:17" ht="12.75" customHeight="1">
      <c r="A50" s="36" t="s">
        <v>102</v>
      </c>
      <c r="B50" s="37">
        <v>14</v>
      </c>
      <c r="C50" s="37">
        <v>15</v>
      </c>
      <c r="D50" s="37">
        <v>16</v>
      </c>
      <c r="E50" s="37">
        <v>15</v>
      </c>
      <c r="F50" s="35">
        <f>SUM(B50:E50)</f>
        <v>60</v>
      </c>
      <c r="G50" s="37">
        <v>15</v>
      </c>
      <c r="H50" s="37">
        <v>15</v>
      </c>
      <c r="I50" s="37">
        <v>16</v>
      </c>
      <c r="J50" s="37">
        <v>15</v>
      </c>
      <c r="K50" s="35">
        <f>SUM(G50:J50)</f>
        <v>61</v>
      </c>
      <c r="L50" s="37">
        <v>15</v>
      </c>
      <c r="M50" s="37">
        <v>15</v>
      </c>
      <c r="N50" s="37">
        <v>16</v>
      </c>
      <c r="O50" s="37">
        <v>15</v>
      </c>
      <c r="P50" s="35">
        <f>SUM(L50:O50)</f>
        <v>61</v>
      </c>
      <c r="Q50" s="37"/>
    </row>
    <row r="51" spans="1:17" ht="13.5" customHeight="1">
      <c r="A51" s="49" t="s">
        <v>103</v>
      </c>
      <c r="B51" s="50">
        <f t="shared" ref="B51:P51" si="10">B47+B48+B49+B50</f>
        <v>104</v>
      </c>
      <c r="C51" s="50">
        <f t="shared" si="10"/>
        <v>56</v>
      </c>
      <c r="D51" s="50">
        <f t="shared" si="10"/>
        <v>106</v>
      </c>
      <c r="E51" s="50">
        <f t="shared" si="10"/>
        <v>82</v>
      </c>
      <c r="F51" s="51">
        <f t="shared" si="10"/>
        <v>348</v>
      </c>
      <c r="G51" s="50">
        <f t="shared" si="10"/>
        <v>68</v>
      </c>
      <c r="H51" s="50">
        <f t="shared" si="10"/>
        <v>107</v>
      </c>
      <c r="I51" s="50">
        <f t="shared" si="10"/>
        <v>87</v>
      </c>
      <c r="J51" s="50">
        <f t="shared" si="10"/>
        <v>98</v>
      </c>
      <c r="K51" s="51">
        <f t="shared" si="10"/>
        <v>360</v>
      </c>
      <c r="L51" s="50">
        <f t="shared" si="10"/>
        <v>123</v>
      </c>
      <c r="M51" s="50">
        <f t="shared" si="10"/>
        <v>77</v>
      </c>
      <c r="N51" s="50">
        <f t="shared" si="10"/>
        <v>123</v>
      </c>
      <c r="O51" s="50">
        <f t="shared" si="10"/>
        <v>83</v>
      </c>
      <c r="P51" s="51">
        <f t="shared" si="10"/>
        <v>406</v>
      </c>
      <c r="Q51" s="50"/>
    </row>
    <row r="52" spans="1:17" ht="3.75" customHeight="1"/>
    <row r="53" spans="1:17" ht="13.5" customHeight="1">
      <c r="A53" s="41" t="s">
        <v>32</v>
      </c>
      <c r="B53" s="42"/>
      <c r="C53" s="42"/>
      <c r="D53" s="42"/>
      <c r="E53" s="42"/>
      <c r="F53" s="43"/>
      <c r="G53" s="42"/>
      <c r="H53" s="42"/>
      <c r="I53" s="42"/>
      <c r="J53" s="42"/>
      <c r="K53" s="43"/>
      <c r="L53" s="42"/>
      <c r="M53" s="42"/>
      <c r="N53" s="42"/>
      <c r="O53" s="42"/>
      <c r="P53" s="43"/>
      <c r="Q53" s="42"/>
    </row>
    <row r="54" spans="1:17" ht="12.75" customHeight="1">
      <c r="A54" s="33" t="s">
        <v>104</v>
      </c>
      <c r="B54" s="34">
        <v>259</v>
      </c>
      <c r="C54" s="34">
        <v>270</v>
      </c>
      <c r="D54" s="34">
        <v>270</v>
      </c>
      <c r="E54" s="34">
        <v>281</v>
      </c>
      <c r="F54" s="35">
        <f>SUM(B54:E54)</f>
        <v>1080</v>
      </c>
      <c r="G54" s="34">
        <v>263</v>
      </c>
      <c r="H54" s="34">
        <v>274</v>
      </c>
      <c r="I54" s="34">
        <v>274</v>
      </c>
      <c r="J54" s="34">
        <v>285</v>
      </c>
      <c r="K54" s="35">
        <f>SUM(G54:J54)</f>
        <v>1096</v>
      </c>
      <c r="L54" s="34">
        <v>267</v>
      </c>
      <c r="M54" s="34">
        <v>278</v>
      </c>
      <c r="N54" s="34">
        <v>278</v>
      </c>
      <c r="O54" s="34">
        <v>289</v>
      </c>
      <c r="P54" s="35">
        <f>SUM(L54:O54)</f>
        <v>1112</v>
      </c>
      <c r="Q54" s="34"/>
    </row>
    <row r="55" spans="1:17" ht="12.75" customHeight="1">
      <c r="A55" s="36" t="s">
        <v>105</v>
      </c>
      <c r="B55" s="37">
        <v>35</v>
      </c>
      <c r="C55" s="37">
        <v>36</v>
      </c>
      <c r="D55" s="37">
        <v>36</v>
      </c>
      <c r="E55" s="37">
        <v>38</v>
      </c>
      <c r="F55" s="35">
        <f>SUM(B55:E55)</f>
        <v>145</v>
      </c>
      <c r="G55" s="37">
        <v>36</v>
      </c>
      <c r="H55" s="37">
        <v>38</v>
      </c>
      <c r="I55" s="37">
        <v>38</v>
      </c>
      <c r="J55" s="37">
        <v>39</v>
      </c>
      <c r="K55" s="35">
        <f>SUM(G55:J55)</f>
        <v>151</v>
      </c>
      <c r="L55" s="37">
        <v>38</v>
      </c>
      <c r="M55" s="37">
        <v>39</v>
      </c>
      <c r="N55" s="37">
        <v>39</v>
      </c>
      <c r="O55" s="37">
        <v>41</v>
      </c>
      <c r="P55" s="35">
        <f>SUM(L55:O55)</f>
        <v>157</v>
      </c>
      <c r="Q55" s="37"/>
    </row>
    <row r="56" spans="1:17" ht="12.75" customHeight="1">
      <c r="A56" s="33" t="s">
        <v>106</v>
      </c>
      <c r="B56" s="34">
        <v>24</v>
      </c>
      <c r="C56" s="34">
        <v>24</v>
      </c>
      <c r="D56" s="34">
        <v>24</v>
      </c>
      <c r="E56" s="34">
        <v>24</v>
      </c>
      <c r="F56" s="35">
        <f>SUM(B56:E56)</f>
        <v>96</v>
      </c>
      <c r="G56" s="34">
        <v>25</v>
      </c>
      <c r="H56" s="34">
        <v>25</v>
      </c>
      <c r="I56" s="34">
        <v>25</v>
      </c>
      <c r="J56" s="34">
        <v>25</v>
      </c>
      <c r="K56" s="35">
        <f>SUM(G56:J56)</f>
        <v>100</v>
      </c>
      <c r="L56" s="34">
        <v>26</v>
      </c>
      <c r="M56" s="34">
        <v>26</v>
      </c>
      <c r="N56" s="34">
        <v>26</v>
      </c>
      <c r="O56" s="34">
        <v>26</v>
      </c>
      <c r="P56" s="35">
        <f>SUM(L56:O56)</f>
        <v>104</v>
      </c>
      <c r="Q56" s="34"/>
    </row>
    <row r="57" spans="1:17" ht="13.5" customHeight="1">
      <c r="A57" s="49" t="s">
        <v>107</v>
      </c>
      <c r="B57" s="50">
        <f t="shared" ref="B57:P57" si="11">B54+B55+B56</f>
        <v>318</v>
      </c>
      <c r="C57" s="50">
        <f t="shared" si="11"/>
        <v>330</v>
      </c>
      <c r="D57" s="50">
        <f t="shared" si="11"/>
        <v>330</v>
      </c>
      <c r="E57" s="50">
        <f t="shared" si="11"/>
        <v>343</v>
      </c>
      <c r="F57" s="51">
        <f t="shared" si="11"/>
        <v>1321</v>
      </c>
      <c r="G57" s="50">
        <f t="shared" si="11"/>
        <v>324</v>
      </c>
      <c r="H57" s="50">
        <f t="shared" si="11"/>
        <v>337</v>
      </c>
      <c r="I57" s="50">
        <f t="shared" si="11"/>
        <v>337</v>
      </c>
      <c r="J57" s="50">
        <f t="shared" si="11"/>
        <v>349</v>
      </c>
      <c r="K57" s="51">
        <f t="shared" si="11"/>
        <v>1347</v>
      </c>
      <c r="L57" s="50">
        <f t="shared" si="11"/>
        <v>331</v>
      </c>
      <c r="M57" s="50">
        <f t="shared" si="11"/>
        <v>343</v>
      </c>
      <c r="N57" s="50">
        <f t="shared" si="11"/>
        <v>343</v>
      </c>
      <c r="O57" s="50">
        <f t="shared" si="11"/>
        <v>356</v>
      </c>
      <c r="P57" s="51">
        <f t="shared" si="11"/>
        <v>1373</v>
      </c>
      <c r="Q57" s="50"/>
    </row>
    <row r="58" spans="1:17" ht="3.75" customHeight="1"/>
    <row r="59" spans="1:17" ht="13.5" customHeight="1">
      <c r="A59" s="41" t="s">
        <v>108</v>
      </c>
      <c r="B59" s="42"/>
      <c r="C59" s="42"/>
      <c r="D59" s="42"/>
      <c r="E59" s="42"/>
      <c r="F59" s="43"/>
      <c r="G59" s="42"/>
      <c r="H59" s="42"/>
      <c r="I59" s="42"/>
      <c r="J59" s="42"/>
      <c r="K59" s="43"/>
      <c r="L59" s="42"/>
      <c r="M59" s="42"/>
      <c r="N59" s="42"/>
      <c r="O59" s="42"/>
      <c r="P59" s="43"/>
      <c r="Q59" s="42"/>
    </row>
    <row r="60" spans="1:17" ht="12.75" customHeight="1">
      <c r="A60" s="33" t="s">
        <v>109</v>
      </c>
      <c r="B60" s="34">
        <v>0</v>
      </c>
      <c r="C60" s="34">
        <v>0</v>
      </c>
      <c r="D60" s="34">
        <v>0</v>
      </c>
      <c r="E60" s="34">
        <v>0</v>
      </c>
      <c r="F60" s="35">
        <f>SUM(B60:E60)</f>
        <v>0</v>
      </c>
      <c r="G60" s="34">
        <v>0</v>
      </c>
      <c r="H60" s="34">
        <v>0</v>
      </c>
      <c r="I60" s="34">
        <v>0</v>
      </c>
      <c r="J60" s="34">
        <v>0</v>
      </c>
      <c r="K60" s="35">
        <f>SUM(G60:J60)</f>
        <v>0</v>
      </c>
      <c r="L60" s="34">
        <v>0</v>
      </c>
      <c r="M60" s="34">
        <v>0</v>
      </c>
      <c r="N60" s="34">
        <v>345</v>
      </c>
      <c r="O60" s="34">
        <v>0</v>
      </c>
      <c r="P60" s="35">
        <f>SUM(L60:O60)</f>
        <v>345</v>
      </c>
      <c r="Q60" s="34"/>
    </row>
    <row r="61" spans="1:17" ht="12.75" customHeight="1">
      <c r="A61" s="36" t="s">
        <v>110</v>
      </c>
      <c r="B61" s="37">
        <v>0</v>
      </c>
      <c r="C61" s="37">
        <v>0</v>
      </c>
      <c r="D61" s="37">
        <v>0</v>
      </c>
      <c r="E61" s="37">
        <v>0</v>
      </c>
      <c r="F61" s="35">
        <f>SUM(B61:E61)</f>
        <v>0</v>
      </c>
      <c r="G61" s="37">
        <v>0</v>
      </c>
      <c r="H61" s="37">
        <v>0</v>
      </c>
      <c r="I61" s="37">
        <v>0</v>
      </c>
      <c r="J61" s="37">
        <v>0</v>
      </c>
      <c r="K61" s="35">
        <f>SUM(G61:J61)</f>
        <v>0</v>
      </c>
      <c r="L61" s="37">
        <v>0</v>
      </c>
      <c r="M61" s="37">
        <v>0</v>
      </c>
      <c r="N61" s="37">
        <v>87</v>
      </c>
      <c r="O61" s="37">
        <v>0</v>
      </c>
      <c r="P61" s="35">
        <f>SUM(L61:O61)</f>
        <v>87</v>
      </c>
      <c r="Q61" s="37"/>
    </row>
    <row r="62" spans="1:17" ht="12.75" customHeight="1">
      <c r="A62" s="33" t="s">
        <v>111</v>
      </c>
      <c r="B62" s="34">
        <v>0</v>
      </c>
      <c r="C62" s="34">
        <v>0</v>
      </c>
      <c r="D62" s="34">
        <v>0</v>
      </c>
      <c r="E62" s="34">
        <v>145</v>
      </c>
      <c r="F62" s="35">
        <f>SUM(B62:E62)</f>
        <v>145</v>
      </c>
      <c r="G62" s="34">
        <v>0</v>
      </c>
      <c r="H62" s="34">
        <v>0</v>
      </c>
      <c r="I62" s="34">
        <v>0</v>
      </c>
      <c r="J62" s="34">
        <v>0</v>
      </c>
      <c r="K62" s="35">
        <f>SUM(G62:J62)</f>
        <v>0</v>
      </c>
      <c r="L62" s="34">
        <v>0</v>
      </c>
      <c r="M62" s="34">
        <v>0</v>
      </c>
      <c r="N62" s="34">
        <v>0</v>
      </c>
      <c r="O62" s="34">
        <v>220</v>
      </c>
      <c r="P62" s="35">
        <f>SUM(L62:O62)</f>
        <v>220</v>
      </c>
      <c r="Q62" s="34"/>
    </row>
    <row r="63" spans="1:17" ht="12.75" customHeight="1">
      <c r="A63" s="36" t="s">
        <v>112</v>
      </c>
      <c r="B63" s="37">
        <v>0</v>
      </c>
      <c r="C63" s="37">
        <v>0</v>
      </c>
      <c r="D63" s="37">
        <v>45</v>
      </c>
      <c r="E63" s="37">
        <v>0</v>
      </c>
      <c r="F63" s="35">
        <f>SUM(B63:E63)</f>
        <v>45</v>
      </c>
      <c r="G63" s="37">
        <v>0</v>
      </c>
      <c r="H63" s="37">
        <v>67</v>
      </c>
      <c r="I63" s="37">
        <v>0</v>
      </c>
      <c r="J63" s="37">
        <v>0</v>
      </c>
      <c r="K63" s="35">
        <f>SUM(G63:J63)</f>
        <v>67</v>
      </c>
      <c r="L63" s="37">
        <v>0</v>
      </c>
      <c r="M63" s="37">
        <v>0</v>
      </c>
      <c r="N63" s="37">
        <v>0</v>
      </c>
      <c r="O63" s="37">
        <v>0</v>
      </c>
      <c r="P63" s="35">
        <f>SUM(L63:O63)</f>
        <v>0</v>
      </c>
      <c r="Q63" s="37"/>
    </row>
    <row r="64" spans="1:17" ht="13.5" customHeight="1">
      <c r="A64" s="49" t="s">
        <v>113</v>
      </c>
      <c r="B64" s="50">
        <f t="shared" ref="B64:P64" si="12">B60+B61+B62+B63</f>
        <v>0</v>
      </c>
      <c r="C64" s="50">
        <f t="shared" si="12"/>
        <v>0</v>
      </c>
      <c r="D64" s="50">
        <f t="shared" si="12"/>
        <v>45</v>
      </c>
      <c r="E64" s="50">
        <f t="shared" si="12"/>
        <v>145</v>
      </c>
      <c r="F64" s="51">
        <f t="shared" si="12"/>
        <v>190</v>
      </c>
      <c r="G64" s="50">
        <f t="shared" si="12"/>
        <v>0</v>
      </c>
      <c r="H64" s="50">
        <f t="shared" si="12"/>
        <v>67</v>
      </c>
      <c r="I64" s="50">
        <f t="shared" si="12"/>
        <v>0</v>
      </c>
      <c r="J64" s="50">
        <f t="shared" si="12"/>
        <v>0</v>
      </c>
      <c r="K64" s="51">
        <f t="shared" si="12"/>
        <v>67</v>
      </c>
      <c r="L64" s="50">
        <f t="shared" si="12"/>
        <v>0</v>
      </c>
      <c r="M64" s="50">
        <f t="shared" si="12"/>
        <v>0</v>
      </c>
      <c r="N64" s="50">
        <f t="shared" si="12"/>
        <v>432</v>
      </c>
      <c r="O64" s="50">
        <f t="shared" si="12"/>
        <v>220</v>
      </c>
      <c r="P64" s="51">
        <f t="shared" si="12"/>
        <v>652</v>
      </c>
      <c r="Q64" s="50"/>
    </row>
    <row r="65" spans="1:17" ht="4.5" customHeight="1"/>
    <row r="66" spans="1:17" ht="13.5" customHeight="1" thickBot="1">
      <c r="A66" s="44" t="s">
        <v>31</v>
      </c>
      <c r="B66" s="45">
        <f t="shared" ref="B66:P66" si="13">B43+B51-B57-B64</f>
        <v>1923</v>
      </c>
      <c r="C66" s="45">
        <f t="shared" si="13"/>
        <v>2243</v>
      </c>
      <c r="D66" s="45">
        <f t="shared" si="13"/>
        <v>1944</v>
      </c>
      <c r="E66" s="45">
        <f t="shared" si="13"/>
        <v>2281</v>
      </c>
      <c r="F66" s="40">
        <f t="shared" si="13"/>
        <v>8391</v>
      </c>
      <c r="G66" s="45">
        <f t="shared" si="13"/>
        <v>1809</v>
      </c>
      <c r="H66" s="45">
        <f t="shared" si="13"/>
        <v>2252</v>
      </c>
      <c r="I66" s="45">
        <f t="shared" si="13"/>
        <v>2088</v>
      </c>
      <c r="J66" s="45">
        <f t="shared" si="13"/>
        <v>2423</v>
      </c>
      <c r="K66" s="40">
        <f t="shared" si="13"/>
        <v>8572</v>
      </c>
      <c r="L66" s="45">
        <f t="shared" si="13"/>
        <v>2216</v>
      </c>
      <c r="M66" s="45">
        <f t="shared" si="13"/>
        <v>2547</v>
      </c>
      <c r="N66" s="45">
        <f t="shared" si="13"/>
        <v>1723</v>
      </c>
      <c r="O66" s="45">
        <f t="shared" si="13"/>
        <v>2490</v>
      </c>
      <c r="P66" s="40">
        <f t="shared" si="13"/>
        <v>8976</v>
      </c>
      <c r="Q66" s="45"/>
    </row>
    <row r="67" spans="1:17" ht="3.75" customHeight="1"/>
    <row r="68" spans="1:17" ht="13.5" customHeight="1">
      <c r="A68" s="41" t="s">
        <v>30</v>
      </c>
      <c r="B68" s="42"/>
      <c r="C68" s="42"/>
      <c r="D68" s="42"/>
      <c r="E68" s="42"/>
      <c r="F68" s="43"/>
      <c r="G68" s="42"/>
      <c r="H68" s="42"/>
      <c r="I68" s="42"/>
      <c r="J68" s="42"/>
      <c r="K68" s="43"/>
      <c r="L68" s="42"/>
      <c r="M68" s="42"/>
      <c r="N68" s="42"/>
      <c r="O68" s="42"/>
      <c r="P68" s="43"/>
      <c r="Q68" s="42"/>
    </row>
    <row r="69" spans="1:17" ht="12.75" customHeight="1">
      <c r="A69" s="33" t="s">
        <v>114</v>
      </c>
      <c r="B69" s="34">
        <v>279</v>
      </c>
      <c r="C69" s="34">
        <v>325</v>
      </c>
      <c r="D69" s="34">
        <v>282</v>
      </c>
      <c r="E69" s="34">
        <v>331</v>
      </c>
      <c r="F69" s="35">
        <f>SUM(B69:E69)</f>
        <v>1217</v>
      </c>
      <c r="G69" s="34">
        <v>262</v>
      </c>
      <c r="H69" s="34">
        <v>327</v>
      </c>
      <c r="I69" s="34">
        <v>303</v>
      </c>
      <c r="J69" s="34">
        <v>351</v>
      </c>
      <c r="K69" s="35">
        <f>SUM(G69:J69)</f>
        <v>1243</v>
      </c>
      <c r="L69" s="34">
        <v>321</v>
      </c>
      <c r="M69" s="34">
        <v>369</v>
      </c>
      <c r="N69" s="34">
        <v>250</v>
      </c>
      <c r="O69" s="34">
        <v>361</v>
      </c>
      <c r="P69" s="35">
        <f>SUM(L69:O69)</f>
        <v>1301</v>
      </c>
      <c r="Q69" s="34"/>
    </row>
    <row r="70" spans="1:17" ht="12.75" customHeight="1">
      <c r="A70" s="36" t="s">
        <v>115</v>
      </c>
      <c r="B70" s="37">
        <v>125</v>
      </c>
      <c r="C70" s="37">
        <v>146</v>
      </c>
      <c r="D70" s="37">
        <v>126</v>
      </c>
      <c r="E70" s="37">
        <v>148</v>
      </c>
      <c r="F70" s="35">
        <f>SUM(B70:E70)</f>
        <v>545</v>
      </c>
      <c r="G70" s="37">
        <v>118</v>
      </c>
      <c r="H70" s="37">
        <v>146</v>
      </c>
      <c r="I70" s="37">
        <v>136</v>
      </c>
      <c r="J70" s="37">
        <v>157</v>
      </c>
      <c r="K70" s="35">
        <f>SUM(G70:J70)</f>
        <v>557</v>
      </c>
      <c r="L70" s="37">
        <v>144</v>
      </c>
      <c r="M70" s="37">
        <v>166</v>
      </c>
      <c r="N70" s="37">
        <v>112</v>
      </c>
      <c r="O70" s="37">
        <v>162</v>
      </c>
      <c r="P70" s="35">
        <f>SUM(L70:O70)</f>
        <v>584</v>
      </c>
      <c r="Q70" s="37"/>
    </row>
    <row r="71" spans="1:17" ht="13.5" customHeight="1">
      <c r="A71" s="49" t="s">
        <v>116</v>
      </c>
      <c r="B71" s="50">
        <f t="shared" ref="B71:P71" si="14">B69+B70</f>
        <v>404</v>
      </c>
      <c r="C71" s="50">
        <f t="shared" si="14"/>
        <v>471</v>
      </c>
      <c r="D71" s="50">
        <f t="shared" si="14"/>
        <v>408</v>
      </c>
      <c r="E71" s="50">
        <f t="shared" si="14"/>
        <v>479</v>
      </c>
      <c r="F71" s="51">
        <f t="shared" si="14"/>
        <v>1762</v>
      </c>
      <c r="G71" s="50">
        <f t="shared" si="14"/>
        <v>380</v>
      </c>
      <c r="H71" s="50">
        <f t="shared" si="14"/>
        <v>473</v>
      </c>
      <c r="I71" s="50">
        <f t="shared" si="14"/>
        <v>439</v>
      </c>
      <c r="J71" s="50">
        <f t="shared" si="14"/>
        <v>508</v>
      </c>
      <c r="K71" s="51">
        <f t="shared" si="14"/>
        <v>1800</v>
      </c>
      <c r="L71" s="50">
        <f t="shared" si="14"/>
        <v>465</v>
      </c>
      <c r="M71" s="50">
        <f t="shared" si="14"/>
        <v>535</v>
      </c>
      <c r="N71" s="50">
        <f t="shared" si="14"/>
        <v>362</v>
      </c>
      <c r="O71" s="50">
        <f t="shared" si="14"/>
        <v>523</v>
      </c>
      <c r="P71" s="51">
        <f t="shared" si="14"/>
        <v>1885</v>
      </c>
      <c r="Q71" s="50"/>
    </row>
    <row r="72" spans="1:17" ht="12.75" customHeight="1">
      <c r="A72" s="33" t="s">
        <v>117</v>
      </c>
      <c r="B72" s="46">
        <f t="shared" ref="B72:P72" si="15">IF(B66&lt;&gt;0,B71/B66,0)</f>
        <v>0.21008840353614144</v>
      </c>
      <c r="C72" s="46">
        <f t="shared" si="15"/>
        <v>0.20998662505572893</v>
      </c>
      <c r="D72" s="46">
        <f t="shared" si="15"/>
        <v>0.20987654320987653</v>
      </c>
      <c r="E72" s="46">
        <f t="shared" si="15"/>
        <v>0.20999561595791319</v>
      </c>
      <c r="F72" s="47">
        <f t="shared" si="15"/>
        <v>0.2099868907162436</v>
      </c>
      <c r="G72" s="46">
        <f t="shared" si="15"/>
        <v>0.21006080707573244</v>
      </c>
      <c r="H72" s="46">
        <f t="shared" si="15"/>
        <v>0.21003552397868561</v>
      </c>
      <c r="I72" s="46">
        <f t="shared" si="15"/>
        <v>0.21024904214559387</v>
      </c>
      <c r="J72" s="46">
        <f t="shared" si="15"/>
        <v>0.20965744944283946</v>
      </c>
      <c r="K72" s="47">
        <f t="shared" si="15"/>
        <v>0.20998600093327111</v>
      </c>
      <c r="L72" s="46">
        <f t="shared" si="15"/>
        <v>0.2098375451263538</v>
      </c>
      <c r="M72" s="46">
        <f t="shared" si="15"/>
        <v>0.21005104043973302</v>
      </c>
      <c r="N72" s="46">
        <f t="shared" si="15"/>
        <v>0.21009866511897854</v>
      </c>
      <c r="O72" s="46">
        <f t="shared" si="15"/>
        <v>0.21004016064257028</v>
      </c>
      <c r="P72" s="47">
        <f t="shared" si="15"/>
        <v>0.21000445632798573</v>
      </c>
      <c r="Q72" s="46"/>
    </row>
    <row r="73" spans="1:17" ht="4.5" customHeight="1"/>
    <row r="74" spans="1:17" ht="12.75" customHeight="1">
      <c r="A74" s="33" t="s">
        <v>118</v>
      </c>
      <c r="B74" s="48">
        <v>-10</v>
      </c>
      <c r="C74" s="48">
        <v>-11</v>
      </c>
      <c r="D74" s="48">
        <v>-10</v>
      </c>
      <c r="E74" s="48">
        <v>-11</v>
      </c>
      <c r="F74" s="35">
        <f>SUM(B74:E74)</f>
        <v>-42</v>
      </c>
      <c r="G74" s="48">
        <v>-9</v>
      </c>
      <c r="H74" s="48">
        <v>-11</v>
      </c>
      <c r="I74" s="48">
        <v>-10</v>
      </c>
      <c r="J74" s="48">
        <v>-12</v>
      </c>
      <c r="K74" s="35">
        <f>SUM(G74:J74)</f>
        <v>-42</v>
      </c>
      <c r="L74" s="48">
        <v>-11</v>
      </c>
      <c r="M74" s="48">
        <v>-13</v>
      </c>
      <c r="N74" s="48">
        <v>-9</v>
      </c>
      <c r="O74" s="48">
        <v>-12</v>
      </c>
      <c r="P74" s="35">
        <f>SUM(L74:O74)</f>
        <v>-45</v>
      </c>
      <c r="Q74" s="34"/>
    </row>
    <row r="75" spans="1:17" ht="13.5" customHeight="1" thickBot="1">
      <c r="A75" s="44" t="s">
        <v>29</v>
      </c>
      <c r="B75" s="45">
        <f t="shared" ref="B75:P75" si="16">B66-B71+B74</f>
        <v>1509</v>
      </c>
      <c r="C75" s="45">
        <f t="shared" si="16"/>
        <v>1761</v>
      </c>
      <c r="D75" s="45">
        <f t="shared" si="16"/>
        <v>1526</v>
      </c>
      <c r="E75" s="45">
        <f t="shared" si="16"/>
        <v>1791</v>
      </c>
      <c r="F75" s="40">
        <f t="shared" si="16"/>
        <v>6587</v>
      </c>
      <c r="G75" s="45">
        <f t="shared" si="16"/>
        <v>1420</v>
      </c>
      <c r="H75" s="45">
        <f t="shared" si="16"/>
        <v>1768</v>
      </c>
      <c r="I75" s="45">
        <f t="shared" si="16"/>
        <v>1639</v>
      </c>
      <c r="J75" s="45">
        <f t="shared" si="16"/>
        <v>1903</v>
      </c>
      <c r="K75" s="40">
        <f t="shared" si="16"/>
        <v>6730</v>
      </c>
      <c r="L75" s="45">
        <f t="shared" si="16"/>
        <v>1740</v>
      </c>
      <c r="M75" s="45">
        <f t="shared" si="16"/>
        <v>1999</v>
      </c>
      <c r="N75" s="45">
        <f t="shared" si="16"/>
        <v>1352</v>
      </c>
      <c r="O75" s="45">
        <f t="shared" si="16"/>
        <v>1955</v>
      </c>
      <c r="P75" s="40">
        <f t="shared" si="16"/>
        <v>7046</v>
      </c>
      <c r="Q75" s="45"/>
    </row>
    <row r="76" spans="1:17" ht="12.75" customHeight="1">
      <c r="A76" s="33" t="s">
        <v>119</v>
      </c>
      <c r="B76" s="34">
        <v>34</v>
      </c>
      <c r="C76" s="34">
        <v>38</v>
      </c>
      <c r="D76" s="34">
        <v>36</v>
      </c>
      <c r="E76" s="34">
        <v>42</v>
      </c>
      <c r="F76" s="35">
        <f>SUM(B76:E76)</f>
        <v>150</v>
      </c>
      <c r="G76" s="34">
        <v>37</v>
      </c>
      <c r="H76" s="34">
        <v>41</v>
      </c>
      <c r="I76" s="34">
        <v>39</v>
      </c>
      <c r="J76" s="34">
        <v>45</v>
      </c>
      <c r="K76" s="35">
        <f>SUM(G76:J76)</f>
        <v>162</v>
      </c>
      <c r="L76" s="34">
        <v>40</v>
      </c>
      <c r="M76" s="34">
        <v>44</v>
      </c>
      <c r="N76" s="34">
        <v>42</v>
      </c>
      <c r="O76" s="34">
        <v>48</v>
      </c>
      <c r="P76" s="35">
        <f>SUM(L76:O76)</f>
        <v>174</v>
      </c>
      <c r="Q76" s="34"/>
    </row>
    <row r="77" spans="1:17" ht="13.5" customHeight="1" thickBot="1">
      <c r="A77" s="44" t="s">
        <v>120</v>
      </c>
      <c r="B77" s="45">
        <f t="shared" ref="B77:P77" si="17">B75-B76</f>
        <v>1475</v>
      </c>
      <c r="C77" s="45">
        <f t="shared" si="17"/>
        <v>1723</v>
      </c>
      <c r="D77" s="45">
        <f t="shared" si="17"/>
        <v>1490</v>
      </c>
      <c r="E77" s="45">
        <f t="shared" si="17"/>
        <v>1749</v>
      </c>
      <c r="F77" s="40">
        <f t="shared" si="17"/>
        <v>6437</v>
      </c>
      <c r="G77" s="45">
        <f t="shared" si="17"/>
        <v>1383</v>
      </c>
      <c r="H77" s="45">
        <f t="shared" si="17"/>
        <v>1727</v>
      </c>
      <c r="I77" s="45">
        <f t="shared" si="17"/>
        <v>1600</v>
      </c>
      <c r="J77" s="45">
        <f t="shared" si="17"/>
        <v>1858</v>
      </c>
      <c r="K77" s="40">
        <f t="shared" si="17"/>
        <v>6568</v>
      </c>
      <c r="L77" s="45">
        <f t="shared" si="17"/>
        <v>1700</v>
      </c>
      <c r="M77" s="45">
        <f t="shared" si="17"/>
        <v>1955</v>
      </c>
      <c r="N77" s="45">
        <f t="shared" si="17"/>
        <v>1310</v>
      </c>
      <c r="O77" s="45">
        <f t="shared" si="17"/>
        <v>1907</v>
      </c>
      <c r="P77" s="40">
        <f t="shared" si="17"/>
        <v>6872</v>
      </c>
      <c r="Q77" s="45"/>
    </row>
    <row r="78" spans="1:17" ht="12.75" customHeight="1">
      <c r="A78" s="33" t="s">
        <v>121</v>
      </c>
      <c r="B78" s="34">
        <v>28</v>
      </c>
      <c r="C78" s="34">
        <v>28</v>
      </c>
      <c r="D78" s="34">
        <v>28</v>
      </c>
      <c r="E78" s="34">
        <v>28</v>
      </c>
      <c r="F78" s="35">
        <f>SUM(B78:E78)</f>
        <v>112</v>
      </c>
      <c r="G78" s="34">
        <v>28</v>
      </c>
      <c r="H78" s="34">
        <v>28</v>
      </c>
      <c r="I78" s="34">
        <v>28</v>
      </c>
      <c r="J78" s="34">
        <v>28</v>
      </c>
      <c r="K78" s="35">
        <f>SUM(G78:J78)</f>
        <v>112</v>
      </c>
      <c r="L78" s="34">
        <v>28</v>
      </c>
      <c r="M78" s="34">
        <v>28</v>
      </c>
      <c r="N78" s="34">
        <v>28</v>
      </c>
      <c r="O78" s="34">
        <v>28</v>
      </c>
      <c r="P78" s="35">
        <f>SUM(L78:O78)</f>
        <v>112</v>
      </c>
      <c r="Q78" s="34"/>
    </row>
    <row r="79" spans="1:17" ht="13.5" customHeight="1" thickBot="1">
      <c r="A79" s="52" t="s">
        <v>122</v>
      </c>
      <c r="B79" s="53">
        <f t="shared" ref="B79:P79" si="18">B77-B78</f>
        <v>1447</v>
      </c>
      <c r="C79" s="53">
        <f t="shared" si="18"/>
        <v>1695</v>
      </c>
      <c r="D79" s="53">
        <f t="shared" si="18"/>
        <v>1462</v>
      </c>
      <c r="E79" s="53">
        <f t="shared" si="18"/>
        <v>1721</v>
      </c>
      <c r="F79" s="40">
        <f t="shared" si="18"/>
        <v>6325</v>
      </c>
      <c r="G79" s="53">
        <f t="shared" si="18"/>
        <v>1355</v>
      </c>
      <c r="H79" s="53">
        <f t="shared" si="18"/>
        <v>1699</v>
      </c>
      <c r="I79" s="53">
        <f t="shared" si="18"/>
        <v>1572</v>
      </c>
      <c r="J79" s="53">
        <f t="shared" si="18"/>
        <v>1830</v>
      </c>
      <c r="K79" s="40">
        <f t="shared" si="18"/>
        <v>6456</v>
      </c>
      <c r="L79" s="53">
        <f t="shared" si="18"/>
        <v>1672</v>
      </c>
      <c r="M79" s="53">
        <f t="shared" si="18"/>
        <v>1927</v>
      </c>
      <c r="N79" s="53">
        <f t="shared" si="18"/>
        <v>1282</v>
      </c>
      <c r="O79" s="53">
        <f t="shared" si="18"/>
        <v>1879</v>
      </c>
      <c r="P79" s="40">
        <f t="shared" si="18"/>
        <v>6760</v>
      </c>
      <c r="Q79" s="53"/>
    </row>
    <row r="80" spans="1:17" ht="12.75" customHeight="1">
      <c r="A80" s="33" t="s">
        <v>123</v>
      </c>
      <c r="B80" s="46">
        <f t="shared" ref="B80:P80" si="19">IF(B18&lt;&gt;0,B79/B18,0)</f>
        <v>0.12225413991213248</v>
      </c>
      <c r="C80" s="46">
        <f t="shared" si="19"/>
        <v>0.12761632284294533</v>
      </c>
      <c r="D80" s="46">
        <f t="shared" si="19"/>
        <v>0.12080647826805486</v>
      </c>
      <c r="E80" s="46">
        <f t="shared" si="19"/>
        <v>0.12310443490701001</v>
      </c>
      <c r="F80" s="47">
        <f t="shared" si="19"/>
        <v>0.12353515625</v>
      </c>
      <c r="G80" s="46">
        <f t="shared" si="19"/>
        <v>0.10955692108667529</v>
      </c>
      <c r="H80" s="46">
        <f t="shared" si="19"/>
        <v>0.12243280247892195</v>
      </c>
      <c r="I80" s="46">
        <f t="shared" si="19"/>
        <v>0.1243080816068322</v>
      </c>
      <c r="J80" s="46">
        <f t="shared" si="19"/>
        <v>0.1252823988498665</v>
      </c>
      <c r="K80" s="47">
        <f t="shared" si="19"/>
        <v>0.12067740850125239</v>
      </c>
      <c r="L80" s="46">
        <f t="shared" si="19"/>
        <v>0.12938172251025304</v>
      </c>
      <c r="M80" s="46">
        <f t="shared" si="19"/>
        <v>0.1328782236932837</v>
      </c>
      <c r="N80" s="46">
        <f t="shared" si="19"/>
        <v>9.7025656550367059E-2</v>
      </c>
      <c r="O80" s="46">
        <f t="shared" si="19"/>
        <v>0.12310010482180293</v>
      </c>
      <c r="P80" s="47">
        <f t="shared" si="19"/>
        <v>0.12092590604987299</v>
      </c>
      <c r="Q80" s="46"/>
    </row>
    <row r="81" spans="1:17" ht="4.5" customHeight="1"/>
    <row r="82" spans="1:17" ht="13.5" customHeight="1">
      <c r="A82" s="41" t="s">
        <v>124</v>
      </c>
      <c r="B82" s="42"/>
      <c r="C82" s="42"/>
      <c r="D82" s="42"/>
      <c r="E82" s="42"/>
      <c r="F82" s="43"/>
      <c r="G82" s="42"/>
      <c r="H82" s="42"/>
      <c r="I82" s="42"/>
      <c r="J82" s="42"/>
      <c r="K82" s="43"/>
      <c r="L82" s="42"/>
      <c r="M82" s="42"/>
      <c r="N82" s="42"/>
      <c r="O82" s="42"/>
      <c r="P82" s="43"/>
      <c r="Q82" s="42"/>
    </row>
    <row r="83" spans="1:17" ht="12.75" customHeight="1">
      <c r="A83" s="33" t="s">
        <v>125</v>
      </c>
      <c r="B83" s="54">
        <v>1058</v>
      </c>
      <c r="C83" s="54">
        <v>1058</v>
      </c>
      <c r="D83" s="54">
        <v>1058</v>
      </c>
      <c r="E83" s="54">
        <v>1058</v>
      </c>
      <c r="F83" s="55">
        <f>SUM(B83:E83)</f>
        <v>4232</v>
      </c>
      <c r="G83" s="54">
        <v>1042</v>
      </c>
      <c r="H83" s="54">
        <v>1042</v>
      </c>
      <c r="I83" s="54">
        <v>1042</v>
      </c>
      <c r="J83" s="54">
        <v>1042</v>
      </c>
      <c r="K83" s="55">
        <f>SUM(G83:J83)</f>
        <v>4168</v>
      </c>
      <c r="L83" s="54">
        <v>1027</v>
      </c>
      <c r="M83" s="54">
        <v>1027</v>
      </c>
      <c r="N83" s="54">
        <v>1027</v>
      </c>
      <c r="O83" s="54">
        <v>1027</v>
      </c>
      <c r="P83" s="55">
        <f>SUM(L83:O83)</f>
        <v>4108</v>
      </c>
      <c r="Q83" s="54"/>
    </row>
    <row r="84" spans="1:17" ht="12.75" customHeight="1">
      <c r="A84" s="36" t="s">
        <v>126</v>
      </c>
      <c r="B84" s="56">
        <v>1072</v>
      </c>
      <c r="C84" s="56">
        <v>1072</v>
      </c>
      <c r="D84" s="56">
        <v>1072</v>
      </c>
      <c r="E84" s="56">
        <v>1072</v>
      </c>
      <c r="F84" s="55">
        <f>SUM(B84:E84)</f>
        <v>4288</v>
      </c>
      <c r="G84" s="56">
        <v>1056</v>
      </c>
      <c r="H84" s="56">
        <v>1056</v>
      </c>
      <c r="I84" s="56">
        <v>1056</v>
      </c>
      <c r="J84" s="56">
        <v>1056</v>
      </c>
      <c r="K84" s="55">
        <f>SUM(G84:J84)</f>
        <v>4224</v>
      </c>
      <c r="L84" s="56">
        <v>1040</v>
      </c>
      <c r="M84" s="56">
        <v>1040</v>
      </c>
      <c r="N84" s="56">
        <v>1040</v>
      </c>
      <c r="O84" s="56">
        <v>1040</v>
      </c>
      <c r="P84" s="55">
        <f>SUM(L84:O84)</f>
        <v>4160</v>
      </c>
      <c r="Q84" s="56"/>
    </row>
    <row r="85" spans="1:17" ht="12.75" customHeight="1">
      <c r="A85" s="57" t="s">
        <v>127</v>
      </c>
      <c r="B85" s="58">
        <f t="shared" ref="B85:P85" si="20">IF(B83&lt;&gt;0,B79/B83,0)</f>
        <v>1.3676748582230625</v>
      </c>
      <c r="C85" s="58">
        <f t="shared" si="20"/>
        <v>1.6020793950850662</v>
      </c>
      <c r="D85" s="58">
        <f t="shared" si="20"/>
        <v>1.3818525519848772</v>
      </c>
      <c r="E85" s="58">
        <f t="shared" si="20"/>
        <v>1.6266540642722118</v>
      </c>
      <c r="F85" s="59">
        <f t="shared" si="20"/>
        <v>1.4945652173913044</v>
      </c>
      <c r="G85" s="58">
        <f t="shared" si="20"/>
        <v>1.300383877159309</v>
      </c>
      <c r="H85" s="58">
        <f t="shared" si="20"/>
        <v>1.6305182341650672</v>
      </c>
      <c r="I85" s="58">
        <f t="shared" si="20"/>
        <v>1.5086372360844529</v>
      </c>
      <c r="J85" s="58">
        <f t="shared" si="20"/>
        <v>1.7562380038387715</v>
      </c>
      <c r="K85" s="59">
        <f t="shared" si="20"/>
        <v>1.5489443378119001</v>
      </c>
      <c r="L85" s="58">
        <f t="shared" si="20"/>
        <v>1.6280428432327168</v>
      </c>
      <c r="M85" s="58">
        <f t="shared" si="20"/>
        <v>1.8763388510223953</v>
      </c>
      <c r="N85" s="58">
        <f t="shared" si="20"/>
        <v>1.2482960077896788</v>
      </c>
      <c r="O85" s="58">
        <f t="shared" si="20"/>
        <v>1.8296007789678677</v>
      </c>
      <c r="P85" s="59">
        <f t="shared" si="20"/>
        <v>1.6455696202531647</v>
      </c>
      <c r="Q85" s="58"/>
    </row>
    <row r="86" spans="1:17" ht="12.75" customHeight="1">
      <c r="A86" s="60" t="s">
        <v>128</v>
      </c>
      <c r="B86" s="61">
        <f t="shared" ref="B86:P86" si="21">IF(B84&lt;&gt;0,B79/B84,0)</f>
        <v>1.3498134328358209</v>
      </c>
      <c r="C86" s="61">
        <f t="shared" si="21"/>
        <v>1.5811567164179106</v>
      </c>
      <c r="D86" s="61">
        <f t="shared" si="21"/>
        <v>1.3638059701492538</v>
      </c>
      <c r="E86" s="61">
        <f t="shared" si="21"/>
        <v>1.6054104477611941</v>
      </c>
      <c r="F86" s="62">
        <f t="shared" si="21"/>
        <v>1.4750466417910448</v>
      </c>
      <c r="G86" s="61">
        <f t="shared" si="21"/>
        <v>1.2831439393939394</v>
      </c>
      <c r="H86" s="61">
        <f t="shared" si="21"/>
        <v>1.6089015151515151</v>
      </c>
      <c r="I86" s="61">
        <f t="shared" si="21"/>
        <v>1.4886363636363635</v>
      </c>
      <c r="J86" s="61">
        <f t="shared" si="21"/>
        <v>1.7329545454545454</v>
      </c>
      <c r="K86" s="62">
        <f t="shared" si="21"/>
        <v>1.5284090909090908</v>
      </c>
      <c r="L86" s="61">
        <f t="shared" si="21"/>
        <v>1.6076923076923078</v>
      </c>
      <c r="M86" s="61">
        <f t="shared" si="21"/>
        <v>1.8528846153846155</v>
      </c>
      <c r="N86" s="61">
        <f t="shared" si="21"/>
        <v>1.2326923076923078</v>
      </c>
      <c r="O86" s="61">
        <f t="shared" si="21"/>
        <v>1.8067307692307693</v>
      </c>
      <c r="P86" s="62">
        <f t="shared" si="21"/>
        <v>1.625</v>
      </c>
      <c r="Q86" s="61"/>
    </row>
    <row r="87" spans="1:17" ht="12.75" customHeight="1">
      <c r="A87" s="33" t="s">
        <v>129</v>
      </c>
      <c r="B87" s="63">
        <v>0.46</v>
      </c>
      <c r="C87" s="63">
        <v>0.46</v>
      </c>
      <c r="D87" s="63">
        <v>0.5</v>
      </c>
      <c r="E87" s="63">
        <v>0.5</v>
      </c>
      <c r="F87" s="64">
        <f>SUM(B87:E87)</f>
        <v>1.92</v>
      </c>
      <c r="G87" s="63">
        <v>0.5</v>
      </c>
      <c r="H87" s="63">
        <v>0.5</v>
      </c>
      <c r="I87" s="63">
        <v>0.54</v>
      </c>
      <c r="J87" s="63">
        <v>0.54</v>
      </c>
      <c r="K87" s="64">
        <f>SUM(G87:J87)</f>
        <v>2.08</v>
      </c>
      <c r="L87" s="63">
        <v>0.54</v>
      </c>
      <c r="M87" s="63">
        <v>0.54</v>
      </c>
      <c r="N87" s="63">
        <v>0.57999999999999996</v>
      </c>
      <c r="O87" s="63">
        <v>0.57999999999999996</v>
      </c>
      <c r="P87" s="64">
        <f>SUM(L87:O87)</f>
        <v>2.2400000000000002</v>
      </c>
      <c r="Q87" s="63"/>
    </row>
    <row r="88" spans="1:17" ht="12.75" customHeight="1">
      <c r="A88" s="36" t="s">
        <v>130</v>
      </c>
      <c r="B88" s="37">
        <v>456</v>
      </c>
      <c r="C88" s="37">
        <v>312</v>
      </c>
      <c r="D88" s="37">
        <v>289</v>
      </c>
      <c r="E88" s="37">
        <v>534</v>
      </c>
      <c r="F88" s="35">
        <f>SUM(B88:E88)</f>
        <v>1591</v>
      </c>
      <c r="G88" s="37">
        <v>378</v>
      </c>
      <c r="H88" s="37">
        <v>423</v>
      </c>
      <c r="I88" s="37">
        <v>312</v>
      </c>
      <c r="J88" s="37">
        <v>789</v>
      </c>
      <c r="K88" s="35">
        <f>SUM(G88:J88)</f>
        <v>1902</v>
      </c>
      <c r="L88" s="37">
        <v>456</v>
      </c>
      <c r="M88" s="37">
        <v>512</v>
      </c>
      <c r="N88" s="37">
        <v>398</v>
      </c>
      <c r="O88" s="37">
        <v>634</v>
      </c>
      <c r="P88" s="35">
        <f>SUM(L88:O88)</f>
        <v>2000</v>
      </c>
      <c r="Q88" s="37"/>
    </row>
    <row r="89" spans="1:17" ht="4.5" customHeight="1"/>
    <row r="90" spans="1:17" ht="13.5" customHeight="1">
      <c r="A90" s="41" t="s">
        <v>131</v>
      </c>
      <c r="B90" s="42"/>
      <c r="C90" s="42"/>
      <c r="D90" s="42"/>
      <c r="E90" s="42"/>
      <c r="F90" s="43"/>
      <c r="G90" s="42"/>
      <c r="H90" s="42"/>
      <c r="I90" s="42"/>
      <c r="J90" s="42"/>
      <c r="K90" s="43"/>
      <c r="L90" s="42"/>
      <c r="M90" s="42"/>
      <c r="N90" s="42"/>
      <c r="O90" s="42"/>
      <c r="P90" s="43"/>
      <c r="Q90" s="42"/>
    </row>
    <row r="91" spans="1:17" ht="12.75" customHeight="1">
      <c r="A91" s="33" t="s">
        <v>132</v>
      </c>
      <c r="B91" s="34">
        <f t="shared" ref="B91:P91" si="22">B43</f>
        <v>2137</v>
      </c>
      <c r="C91" s="34">
        <f t="shared" si="22"/>
        <v>2517</v>
      </c>
      <c r="D91" s="34">
        <f t="shared" si="22"/>
        <v>2213</v>
      </c>
      <c r="E91" s="34">
        <f t="shared" si="22"/>
        <v>2687</v>
      </c>
      <c r="F91" s="35">
        <f t="shared" si="22"/>
        <v>9554</v>
      </c>
      <c r="G91" s="34">
        <f t="shared" si="22"/>
        <v>2065</v>
      </c>
      <c r="H91" s="34">
        <f t="shared" si="22"/>
        <v>2549</v>
      </c>
      <c r="I91" s="34">
        <f t="shared" si="22"/>
        <v>2338</v>
      </c>
      <c r="J91" s="34">
        <f t="shared" si="22"/>
        <v>2674</v>
      </c>
      <c r="K91" s="35">
        <f t="shared" si="22"/>
        <v>9626</v>
      </c>
      <c r="L91" s="34">
        <f t="shared" si="22"/>
        <v>2424</v>
      </c>
      <c r="M91" s="34">
        <f t="shared" si="22"/>
        <v>2813</v>
      </c>
      <c r="N91" s="34">
        <f t="shared" si="22"/>
        <v>2375</v>
      </c>
      <c r="O91" s="34">
        <f t="shared" si="22"/>
        <v>2983</v>
      </c>
      <c r="P91" s="35">
        <f t="shared" si="22"/>
        <v>10595</v>
      </c>
      <c r="Q91" s="34"/>
    </row>
    <row r="92" spans="1:17" ht="12.75" customHeight="1">
      <c r="A92" s="36" t="s">
        <v>133</v>
      </c>
      <c r="B92" s="37">
        <v>610</v>
      </c>
      <c r="C92" s="37">
        <v>630</v>
      </c>
      <c r="D92" s="37">
        <v>630</v>
      </c>
      <c r="E92" s="37">
        <v>650</v>
      </c>
      <c r="F92" s="35">
        <f>SUM(B92:E92)</f>
        <v>2520</v>
      </c>
      <c r="G92" s="37">
        <v>623</v>
      </c>
      <c r="H92" s="37">
        <v>643</v>
      </c>
      <c r="I92" s="37">
        <v>643</v>
      </c>
      <c r="J92" s="37">
        <v>664</v>
      </c>
      <c r="K92" s="35">
        <f>SUM(G92:J92)</f>
        <v>2573</v>
      </c>
      <c r="L92" s="37">
        <v>637</v>
      </c>
      <c r="M92" s="37">
        <v>658</v>
      </c>
      <c r="N92" s="37">
        <v>658</v>
      </c>
      <c r="O92" s="37">
        <v>679</v>
      </c>
      <c r="P92" s="35">
        <f>SUM(L92:O92)</f>
        <v>2632</v>
      </c>
      <c r="Q92" s="37"/>
    </row>
    <row r="93" spans="1:17" ht="13.5" customHeight="1">
      <c r="A93" s="49" t="s">
        <v>134</v>
      </c>
      <c r="B93" s="50">
        <f t="shared" ref="B93:P93" si="23">B91+B92</f>
        <v>2747</v>
      </c>
      <c r="C93" s="50">
        <f t="shared" si="23"/>
        <v>3147</v>
      </c>
      <c r="D93" s="50">
        <f t="shared" si="23"/>
        <v>2843</v>
      </c>
      <c r="E93" s="50">
        <f t="shared" si="23"/>
        <v>3337</v>
      </c>
      <c r="F93" s="51">
        <f t="shared" si="23"/>
        <v>12074</v>
      </c>
      <c r="G93" s="50">
        <f t="shared" si="23"/>
        <v>2688</v>
      </c>
      <c r="H93" s="50">
        <f t="shared" si="23"/>
        <v>3192</v>
      </c>
      <c r="I93" s="50">
        <f t="shared" si="23"/>
        <v>2981</v>
      </c>
      <c r="J93" s="50">
        <f t="shared" si="23"/>
        <v>3338</v>
      </c>
      <c r="K93" s="51">
        <f t="shared" si="23"/>
        <v>12199</v>
      </c>
      <c r="L93" s="50">
        <f t="shared" si="23"/>
        <v>3061</v>
      </c>
      <c r="M93" s="50">
        <f t="shared" si="23"/>
        <v>3471</v>
      </c>
      <c r="N93" s="50">
        <f t="shared" si="23"/>
        <v>3033</v>
      </c>
      <c r="O93" s="50">
        <f t="shared" si="23"/>
        <v>3662</v>
      </c>
      <c r="P93" s="51">
        <f t="shared" si="23"/>
        <v>13227</v>
      </c>
      <c r="Q93" s="50"/>
    </row>
    <row r="94" spans="1:17" ht="12.75" customHeight="1">
      <c r="A94" s="33" t="s">
        <v>135</v>
      </c>
      <c r="B94" s="46">
        <f t="shared" ref="B94:P94" si="24">IF(B18&lt;&gt;0,B93/B18,0)</f>
        <v>0.23208854342683338</v>
      </c>
      <c r="C94" s="46">
        <f t="shared" si="24"/>
        <v>0.23693720825176931</v>
      </c>
      <c r="D94" s="46">
        <f t="shared" si="24"/>
        <v>0.23491984795901505</v>
      </c>
      <c r="E94" s="46">
        <f t="shared" si="24"/>
        <v>0.23869814020028612</v>
      </c>
      <c r="F94" s="47">
        <f t="shared" si="24"/>
        <v>0.23582031249999999</v>
      </c>
      <c r="G94" s="46">
        <f t="shared" si="24"/>
        <v>0.21733505821474774</v>
      </c>
      <c r="H94" s="46">
        <f t="shared" si="24"/>
        <v>0.23002089788859265</v>
      </c>
      <c r="I94" s="46">
        <f t="shared" si="24"/>
        <v>0.23572671200379566</v>
      </c>
      <c r="J94" s="46">
        <f t="shared" si="24"/>
        <v>0.22852057232833572</v>
      </c>
      <c r="K94" s="47">
        <f t="shared" si="24"/>
        <v>0.22802721597069051</v>
      </c>
      <c r="L94" s="46">
        <f t="shared" si="24"/>
        <v>0.23686450514586396</v>
      </c>
      <c r="M94" s="46">
        <f t="shared" si="24"/>
        <v>0.23934629706247415</v>
      </c>
      <c r="N94" s="46">
        <f t="shared" si="24"/>
        <v>0.22954665859380913</v>
      </c>
      <c r="O94" s="46">
        <f t="shared" si="24"/>
        <v>0.23991090146750524</v>
      </c>
      <c r="P94" s="47">
        <f t="shared" si="24"/>
        <v>0.23661049694107544</v>
      </c>
      <c r="Q94" s="46"/>
    </row>
    <row r="95" spans="1:17" ht="12.75" customHeight="1">
      <c r="A95" s="36" t="s">
        <v>136</v>
      </c>
      <c r="B95" s="37">
        <v>42</v>
      </c>
      <c r="C95" s="37">
        <v>18</v>
      </c>
      <c r="D95" s="37">
        <v>45</v>
      </c>
      <c r="E95" s="37">
        <v>145</v>
      </c>
      <c r="F95" s="35">
        <f>SUM(B95:E95)</f>
        <v>250</v>
      </c>
      <c r="G95" s="37">
        <v>234</v>
      </c>
      <c r="H95" s="37">
        <v>190</v>
      </c>
      <c r="I95" s="37">
        <v>0</v>
      </c>
      <c r="J95" s="37">
        <v>157</v>
      </c>
      <c r="K95" s="35">
        <f>SUM(G95:J95)</f>
        <v>581</v>
      </c>
      <c r="L95" s="37">
        <v>0</v>
      </c>
      <c r="M95" s="37">
        <v>0</v>
      </c>
      <c r="N95" s="37">
        <v>521</v>
      </c>
      <c r="O95" s="37">
        <v>220</v>
      </c>
      <c r="P95" s="35">
        <f>SUM(L95:O95)</f>
        <v>741</v>
      </c>
      <c r="Q95" s="37"/>
    </row>
    <row r="96" spans="1:17" ht="13.5" customHeight="1">
      <c r="A96" s="49" t="s">
        <v>137</v>
      </c>
      <c r="B96" s="50">
        <f t="shared" ref="B96:P96" si="25">B93+B95</f>
        <v>2789</v>
      </c>
      <c r="C96" s="50">
        <f t="shared" si="25"/>
        <v>3165</v>
      </c>
      <c r="D96" s="50">
        <f t="shared" si="25"/>
        <v>2888</v>
      </c>
      <c r="E96" s="50">
        <f t="shared" si="25"/>
        <v>3482</v>
      </c>
      <c r="F96" s="51">
        <f t="shared" si="25"/>
        <v>12324</v>
      </c>
      <c r="G96" s="50">
        <f t="shared" si="25"/>
        <v>2922</v>
      </c>
      <c r="H96" s="50">
        <f t="shared" si="25"/>
        <v>3382</v>
      </c>
      <c r="I96" s="50">
        <f t="shared" si="25"/>
        <v>2981</v>
      </c>
      <c r="J96" s="50">
        <f t="shared" si="25"/>
        <v>3495</v>
      </c>
      <c r="K96" s="51">
        <f t="shared" si="25"/>
        <v>12780</v>
      </c>
      <c r="L96" s="50">
        <f t="shared" si="25"/>
        <v>3061</v>
      </c>
      <c r="M96" s="50">
        <f t="shared" si="25"/>
        <v>3471</v>
      </c>
      <c r="N96" s="50">
        <f t="shared" si="25"/>
        <v>3554</v>
      </c>
      <c r="O96" s="50">
        <f t="shared" si="25"/>
        <v>3882</v>
      </c>
      <c r="P96" s="51">
        <f t="shared" si="25"/>
        <v>13968</v>
      </c>
      <c r="Q96" s="50"/>
    </row>
    <row r="97" spans="1:17" ht="12.75" customHeight="1">
      <c r="A97" s="33" t="s">
        <v>138</v>
      </c>
      <c r="B97" s="46">
        <f t="shared" ref="B97:P97" si="26">IF(B18&lt;&gt;0,B96/B18,0)</f>
        <v>0.23563703954038526</v>
      </c>
      <c r="C97" s="46">
        <f t="shared" si="26"/>
        <v>0.23829242583948201</v>
      </c>
      <c r="D97" s="46">
        <f t="shared" si="26"/>
        <v>0.23863824161295655</v>
      </c>
      <c r="E97" s="46">
        <f t="shared" si="26"/>
        <v>0.24907010014306152</v>
      </c>
      <c r="F97" s="47">
        <f t="shared" si="26"/>
        <v>0.24070312499999999</v>
      </c>
      <c r="G97" s="46">
        <f t="shared" si="26"/>
        <v>0.23625485122897802</v>
      </c>
      <c r="H97" s="46">
        <f t="shared" si="26"/>
        <v>0.24371261800100885</v>
      </c>
      <c r="I97" s="46">
        <f t="shared" si="26"/>
        <v>0.23572671200379566</v>
      </c>
      <c r="J97" s="46">
        <f t="shared" si="26"/>
        <v>0.2392688437050729</v>
      </c>
      <c r="K97" s="47">
        <f t="shared" si="26"/>
        <v>0.23888743504430071</v>
      </c>
      <c r="L97" s="46">
        <f t="shared" si="26"/>
        <v>0.23686450514586396</v>
      </c>
      <c r="M97" s="46">
        <f t="shared" si="26"/>
        <v>0.23934629706247415</v>
      </c>
      <c r="N97" s="46">
        <f t="shared" si="26"/>
        <v>0.26897752213728904</v>
      </c>
      <c r="O97" s="46">
        <f t="shared" si="26"/>
        <v>0.2543238993710692</v>
      </c>
      <c r="P97" s="47">
        <f t="shared" si="26"/>
        <v>0.24986583664269615</v>
      </c>
      <c r="Q97" s="46"/>
    </row>
    <row r="98" spans="1:17" ht="4.5" customHeight="1"/>
    <row r="99" spans="1:17" ht="4.5" customHeight="1"/>
    <row r="100" spans="1:17" ht="12.75" customHeight="1">
      <c r="A100" s="65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D279-E95A-4C19-9503-C28B87798FF4}">
  <sheetPr>
    <tabColor theme="8" tint="0.39997558519241921"/>
  </sheetPr>
  <dimension ref="A1:Q104"/>
  <sheetViews>
    <sheetView zoomScaleNormal="100" workbookViewId="0"/>
  </sheetViews>
  <sheetFormatPr defaultColWidth="8.6640625" defaultRowHeight="14.4"/>
  <cols>
    <col min="1" max="1" width="44" style="15" customWidth="1"/>
    <col min="2" max="5" width="8.77734375" style="15" customWidth="1"/>
    <col min="6" max="6" width="10.5546875" style="15" customWidth="1"/>
    <col min="7" max="10" width="8.77734375" style="15" customWidth="1"/>
    <col min="11" max="11" width="10.5546875" style="15" customWidth="1"/>
    <col min="12" max="15" width="8.77734375" style="15" customWidth="1"/>
    <col min="16" max="16" width="10.5546875" style="15" customWidth="1"/>
    <col min="17" max="16384" width="8.6640625" style="15"/>
  </cols>
  <sheetData>
    <row r="1" spans="1:17" ht="19.5" customHeight="1">
      <c r="A1" s="18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2.75" customHeight="1">
      <c r="A2" s="20" t="s">
        <v>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6" customHeight="1"/>
    <row r="4" spans="1:17" ht="15.75" customHeight="1">
      <c r="A4" s="21" t="s">
        <v>57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2.75" customHeight="1">
      <c r="A5" s="23" t="s">
        <v>58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12.75" customHeight="1">
      <c r="A6" s="24" t="s">
        <v>59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6" customHeight="1"/>
    <row r="8" spans="1:17" ht="15" customHeight="1">
      <c r="A8" s="25"/>
      <c r="B8" s="26"/>
      <c r="C8" s="26"/>
      <c r="D8" s="26"/>
      <c r="E8" s="26"/>
      <c r="F8" s="27"/>
      <c r="G8" s="26"/>
      <c r="H8" s="26"/>
      <c r="I8" s="26"/>
      <c r="J8" s="26"/>
      <c r="K8" s="27"/>
      <c r="L8" s="26"/>
      <c r="M8" s="26"/>
      <c r="N8" s="26"/>
      <c r="O8" s="26"/>
      <c r="P8" s="27"/>
    </row>
    <row r="9" spans="1:17" ht="13.5" customHeight="1">
      <c r="A9" s="26"/>
      <c r="B9" s="28" t="s">
        <v>60</v>
      </c>
      <c r="C9" s="28" t="s">
        <v>61</v>
      </c>
      <c r="D9" s="28" t="s">
        <v>62</v>
      </c>
      <c r="E9" s="28" t="s">
        <v>63</v>
      </c>
      <c r="F9" s="29" t="s">
        <v>64</v>
      </c>
      <c r="G9" s="28" t="s">
        <v>65</v>
      </c>
      <c r="H9" s="28" t="s">
        <v>66</v>
      </c>
      <c r="I9" s="28" t="s">
        <v>67</v>
      </c>
      <c r="J9" s="28" t="s">
        <v>68</v>
      </c>
      <c r="K9" s="29" t="s">
        <v>69</v>
      </c>
      <c r="L9" s="28" t="s">
        <v>70</v>
      </c>
      <c r="M9" s="28" t="s">
        <v>71</v>
      </c>
      <c r="N9" s="28" t="s">
        <v>72</v>
      </c>
      <c r="O9" s="28" t="s">
        <v>73</v>
      </c>
      <c r="P9" s="29" t="s">
        <v>74</v>
      </c>
    </row>
    <row r="10" spans="1:17" ht="12.75" customHeight="1">
      <c r="A10" s="30" t="s">
        <v>141</v>
      </c>
    </row>
    <row r="11" spans="1:17" ht="4.5" customHeight="1"/>
    <row r="12" spans="1:17" ht="13.5" customHeight="1">
      <c r="A12" s="31" t="s">
        <v>7</v>
      </c>
      <c r="B12" s="19"/>
      <c r="C12" s="19"/>
      <c r="D12" s="19"/>
      <c r="E12" s="19"/>
      <c r="F12" s="32"/>
      <c r="G12" s="19"/>
      <c r="H12" s="19"/>
      <c r="I12" s="19"/>
      <c r="J12" s="19"/>
      <c r="K12" s="32"/>
      <c r="L12" s="19"/>
      <c r="M12" s="19"/>
      <c r="N12" s="19"/>
      <c r="O12" s="19"/>
      <c r="P12" s="32"/>
      <c r="Q12" s="19"/>
    </row>
    <row r="13" spans="1:17" ht="13.5" customHeight="1">
      <c r="A13" s="41" t="s">
        <v>8</v>
      </c>
      <c r="B13" s="42"/>
      <c r="C13" s="42"/>
      <c r="D13" s="42"/>
      <c r="E13" s="42"/>
      <c r="F13" s="43"/>
      <c r="G13" s="42"/>
      <c r="H13" s="42"/>
      <c r="I13" s="42"/>
      <c r="J13" s="42"/>
      <c r="K13" s="43"/>
      <c r="L13" s="42"/>
      <c r="M13" s="42"/>
      <c r="N13" s="42"/>
      <c r="O13" s="42"/>
      <c r="P13" s="43"/>
      <c r="Q13" s="42"/>
    </row>
    <row r="14" spans="1:17" ht="12.75" customHeight="1">
      <c r="A14" s="33" t="s">
        <v>142</v>
      </c>
      <c r="B14" s="34">
        <v>2145</v>
      </c>
      <c r="C14" s="34">
        <v>1987</v>
      </c>
      <c r="D14" s="34">
        <v>2456</v>
      </c>
      <c r="E14" s="34">
        <v>3123</v>
      </c>
      <c r="F14" s="35">
        <v>3123</v>
      </c>
      <c r="G14" s="34">
        <v>2789</v>
      </c>
      <c r="H14" s="34">
        <v>2345</v>
      </c>
      <c r="I14" s="34">
        <v>2678</v>
      </c>
      <c r="J14" s="34">
        <v>3456</v>
      </c>
      <c r="K14" s="35">
        <v>3456</v>
      </c>
      <c r="L14" s="34">
        <v>3012</v>
      </c>
      <c r="M14" s="34">
        <v>2789</v>
      </c>
      <c r="N14" s="34">
        <v>3123</v>
      </c>
      <c r="O14" s="34">
        <v>3789</v>
      </c>
      <c r="P14" s="35">
        <v>3789</v>
      </c>
      <c r="Q14" s="34"/>
    </row>
    <row r="15" spans="1:17" ht="12.75" customHeight="1">
      <c r="A15" s="36" t="s">
        <v>143</v>
      </c>
      <c r="B15" s="37">
        <v>1234</v>
      </c>
      <c r="C15" s="37">
        <v>1123</v>
      </c>
      <c r="D15" s="37">
        <v>1456</v>
      </c>
      <c r="E15" s="37">
        <v>1678</v>
      </c>
      <c r="F15" s="35">
        <v>1678</v>
      </c>
      <c r="G15" s="37">
        <v>1456</v>
      </c>
      <c r="H15" s="37">
        <v>1345</v>
      </c>
      <c r="I15" s="37">
        <v>1567</v>
      </c>
      <c r="J15" s="37">
        <v>1789</v>
      </c>
      <c r="K15" s="35">
        <v>1789</v>
      </c>
      <c r="L15" s="37">
        <v>1678</v>
      </c>
      <c r="M15" s="37">
        <v>1512</v>
      </c>
      <c r="N15" s="37">
        <v>1734</v>
      </c>
      <c r="O15" s="37">
        <v>1987</v>
      </c>
      <c r="P15" s="35">
        <v>1987</v>
      </c>
      <c r="Q15" s="37"/>
    </row>
    <row r="16" spans="1:17" ht="12.75" customHeight="1">
      <c r="A16" s="33" t="s">
        <v>144</v>
      </c>
      <c r="B16" s="34">
        <v>1511</v>
      </c>
      <c r="C16" s="34">
        <v>1696</v>
      </c>
      <c r="D16" s="34">
        <v>1545</v>
      </c>
      <c r="E16" s="34">
        <v>1784</v>
      </c>
      <c r="F16" s="35">
        <v>1784</v>
      </c>
      <c r="G16" s="34">
        <v>1579</v>
      </c>
      <c r="H16" s="34">
        <v>1772</v>
      </c>
      <c r="I16" s="34">
        <v>1614</v>
      </c>
      <c r="J16" s="34">
        <v>1865</v>
      </c>
      <c r="K16" s="35">
        <v>1865</v>
      </c>
      <c r="L16" s="34">
        <v>1650</v>
      </c>
      <c r="M16" s="34">
        <v>1851</v>
      </c>
      <c r="N16" s="34">
        <v>1687</v>
      </c>
      <c r="O16" s="34">
        <v>1948</v>
      </c>
      <c r="P16" s="35">
        <v>1948</v>
      </c>
      <c r="Q16" s="34"/>
    </row>
    <row r="17" spans="1:17" ht="12.75" customHeight="1">
      <c r="A17" s="36" t="s">
        <v>145</v>
      </c>
      <c r="B17" s="37">
        <v>1539</v>
      </c>
      <c r="C17" s="37">
        <v>1727</v>
      </c>
      <c r="D17" s="37">
        <v>1573</v>
      </c>
      <c r="E17" s="37">
        <v>1817</v>
      </c>
      <c r="F17" s="35">
        <v>1817</v>
      </c>
      <c r="G17" s="37">
        <v>1608</v>
      </c>
      <c r="H17" s="37">
        <v>1804</v>
      </c>
      <c r="I17" s="37">
        <v>1644</v>
      </c>
      <c r="J17" s="37">
        <v>1899</v>
      </c>
      <c r="K17" s="35">
        <v>1899</v>
      </c>
      <c r="L17" s="37">
        <v>1680</v>
      </c>
      <c r="M17" s="37">
        <v>1885</v>
      </c>
      <c r="N17" s="37">
        <v>1718</v>
      </c>
      <c r="O17" s="37">
        <v>1984</v>
      </c>
      <c r="P17" s="35">
        <v>1984</v>
      </c>
      <c r="Q17" s="37"/>
    </row>
    <row r="18" spans="1:17" ht="12.75" customHeight="1">
      <c r="A18" s="33" t="s">
        <v>146</v>
      </c>
      <c r="B18" s="48">
        <v>-28</v>
      </c>
      <c r="C18" s="48">
        <v>-31</v>
      </c>
      <c r="D18" s="48">
        <v>-28</v>
      </c>
      <c r="E18" s="48">
        <v>-33</v>
      </c>
      <c r="F18" s="66">
        <v>-33</v>
      </c>
      <c r="G18" s="48">
        <v>-29</v>
      </c>
      <c r="H18" s="48">
        <v>-32</v>
      </c>
      <c r="I18" s="48">
        <v>-30</v>
      </c>
      <c r="J18" s="48">
        <v>-34</v>
      </c>
      <c r="K18" s="66">
        <v>-34</v>
      </c>
      <c r="L18" s="48">
        <v>-30</v>
      </c>
      <c r="M18" s="48">
        <v>-34</v>
      </c>
      <c r="N18" s="48">
        <v>-31</v>
      </c>
      <c r="O18" s="48">
        <v>-36</v>
      </c>
      <c r="P18" s="66">
        <v>-36</v>
      </c>
      <c r="Q18" s="34"/>
    </row>
    <row r="19" spans="1:17" ht="3" customHeight="1"/>
    <row r="20" spans="1:17" ht="12.75" customHeight="1">
      <c r="A20" s="33" t="s">
        <v>147</v>
      </c>
      <c r="B20" s="34">
        <v>3139</v>
      </c>
      <c r="C20" s="34">
        <v>3522</v>
      </c>
      <c r="D20" s="34">
        <v>3210</v>
      </c>
      <c r="E20" s="34">
        <v>3708</v>
      </c>
      <c r="F20" s="35">
        <v>3708</v>
      </c>
      <c r="G20" s="34">
        <v>3280</v>
      </c>
      <c r="H20" s="34">
        <v>3680</v>
      </c>
      <c r="I20" s="34">
        <v>3354</v>
      </c>
      <c r="J20" s="34">
        <v>3873</v>
      </c>
      <c r="K20" s="35">
        <v>3873</v>
      </c>
      <c r="L20" s="34">
        <v>3427</v>
      </c>
      <c r="M20" s="34">
        <v>3846</v>
      </c>
      <c r="N20" s="34">
        <v>3504</v>
      </c>
      <c r="O20" s="34">
        <v>4048</v>
      </c>
      <c r="P20" s="35">
        <v>4048</v>
      </c>
      <c r="Q20" s="34"/>
    </row>
    <row r="21" spans="1:17" ht="12.75" customHeight="1">
      <c r="A21" s="36" t="s">
        <v>148</v>
      </c>
      <c r="B21" s="37">
        <v>526</v>
      </c>
      <c r="C21" s="37">
        <v>590</v>
      </c>
      <c r="D21" s="37">
        <v>538</v>
      </c>
      <c r="E21" s="37">
        <v>621</v>
      </c>
      <c r="F21" s="35">
        <v>621</v>
      </c>
      <c r="G21" s="37">
        <v>549</v>
      </c>
      <c r="H21" s="37">
        <v>616</v>
      </c>
      <c r="I21" s="37">
        <v>562</v>
      </c>
      <c r="J21" s="37">
        <v>649</v>
      </c>
      <c r="K21" s="35">
        <v>649</v>
      </c>
      <c r="L21" s="37">
        <v>574</v>
      </c>
      <c r="M21" s="37">
        <v>644</v>
      </c>
      <c r="N21" s="37">
        <v>587</v>
      </c>
      <c r="O21" s="37">
        <v>678</v>
      </c>
      <c r="P21" s="35">
        <v>678</v>
      </c>
      <c r="Q21" s="37"/>
    </row>
    <row r="22" spans="1:17" ht="12.75" customHeight="1">
      <c r="A22" s="33" t="s">
        <v>149</v>
      </c>
      <c r="B22" s="34">
        <v>946</v>
      </c>
      <c r="C22" s="34">
        <v>1057</v>
      </c>
      <c r="D22" s="34">
        <v>969</v>
      </c>
      <c r="E22" s="34">
        <v>1111</v>
      </c>
      <c r="F22" s="35">
        <v>1111</v>
      </c>
      <c r="G22" s="34">
        <v>988</v>
      </c>
      <c r="H22" s="34">
        <v>1103</v>
      </c>
      <c r="I22" s="34">
        <v>1011</v>
      </c>
      <c r="J22" s="34">
        <v>1160</v>
      </c>
      <c r="K22" s="35">
        <v>1160</v>
      </c>
      <c r="L22" s="34">
        <v>1031</v>
      </c>
      <c r="M22" s="34">
        <v>1151</v>
      </c>
      <c r="N22" s="34">
        <v>1055</v>
      </c>
      <c r="O22" s="34">
        <v>1210</v>
      </c>
      <c r="P22" s="35">
        <v>1210</v>
      </c>
      <c r="Q22" s="34"/>
    </row>
    <row r="23" spans="1:17" ht="13.5" customHeight="1">
      <c r="A23" s="49" t="s">
        <v>47</v>
      </c>
      <c r="B23" s="50">
        <f t="shared" ref="B23:P23" si="0">B20+B21+B22</f>
        <v>4611</v>
      </c>
      <c r="C23" s="50">
        <f t="shared" si="0"/>
        <v>5169</v>
      </c>
      <c r="D23" s="50">
        <f t="shared" si="0"/>
        <v>4717</v>
      </c>
      <c r="E23" s="50">
        <f t="shared" si="0"/>
        <v>5440</v>
      </c>
      <c r="F23" s="51">
        <f t="shared" si="0"/>
        <v>5440</v>
      </c>
      <c r="G23" s="50">
        <f t="shared" si="0"/>
        <v>4817</v>
      </c>
      <c r="H23" s="50">
        <f t="shared" si="0"/>
        <v>5399</v>
      </c>
      <c r="I23" s="50">
        <f t="shared" si="0"/>
        <v>4927</v>
      </c>
      <c r="J23" s="50">
        <f t="shared" si="0"/>
        <v>5682</v>
      </c>
      <c r="K23" s="51">
        <f t="shared" si="0"/>
        <v>5682</v>
      </c>
      <c r="L23" s="50">
        <f t="shared" si="0"/>
        <v>5032</v>
      </c>
      <c r="M23" s="50">
        <f t="shared" si="0"/>
        <v>5641</v>
      </c>
      <c r="N23" s="50">
        <f t="shared" si="0"/>
        <v>5146</v>
      </c>
      <c r="O23" s="50">
        <f t="shared" si="0"/>
        <v>5936</v>
      </c>
      <c r="P23" s="51">
        <f t="shared" si="0"/>
        <v>5936</v>
      </c>
      <c r="Q23" s="50"/>
    </row>
    <row r="24" spans="1:17" ht="3" customHeight="1"/>
    <row r="25" spans="1:17" ht="12.75" customHeight="1">
      <c r="A25" s="33" t="s">
        <v>150</v>
      </c>
      <c r="B25" s="34">
        <v>788</v>
      </c>
      <c r="C25" s="34">
        <v>781</v>
      </c>
      <c r="D25" s="34">
        <v>780</v>
      </c>
      <c r="E25" s="34">
        <v>778</v>
      </c>
      <c r="F25" s="35">
        <v>778</v>
      </c>
      <c r="G25" s="34">
        <v>788</v>
      </c>
      <c r="H25" s="34">
        <v>797</v>
      </c>
      <c r="I25" s="34">
        <v>811</v>
      </c>
      <c r="J25" s="34">
        <v>806</v>
      </c>
      <c r="K25" s="35">
        <v>806</v>
      </c>
      <c r="L25" s="34">
        <v>809</v>
      </c>
      <c r="M25" s="34">
        <v>802</v>
      </c>
      <c r="N25" s="34">
        <v>800</v>
      </c>
      <c r="O25" s="34">
        <v>805</v>
      </c>
      <c r="P25" s="35">
        <v>805</v>
      </c>
      <c r="Q25" s="34"/>
    </row>
    <row r="26" spans="1:17" ht="12.75" customHeight="1">
      <c r="A26" s="36" t="s">
        <v>151</v>
      </c>
      <c r="B26" s="37">
        <v>323</v>
      </c>
      <c r="C26" s="37">
        <v>318</v>
      </c>
      <c r="D26" s="37">
        <v>317</v>
      </c>
      <c r="E26" s="37">
        <v>315</v>
      </c>
      <c r="F26" s="35">
        <v>315</v>
      </c>
      <c r="G26" s="37">
        <v>320</v>
      </c>
      <c r="H26" s="37">
        <v>324</v>
      </c>
      <c r="I26" s="37">
        <v>331</v>
      </c>
      <c r="J26" s="37">
        <v>327</v>
      </c>
      <c r="K26" s="35">
        <v>327</v>
      </c>
      <c r="L26" s="37">
        <v>328</v>
      </c>
      <c r="M26" s="37">
        <v>323</v>
      </c>
      <c r="N26" s="37">
        <v>321</v>
      </c>
      <c r="O26" s="37">
        <v>323</v>
      </c>
      <c r="P26" s="35">
        <v>323</v>
      </c>
      <c r="Q26" s="37"/>
    </row>
    <row r="27" spans="1:17" ht="12.75" customHeight="1">
      <c r="A27" s="33" t="s">
        <v>152</v>
      </c>
      <c r="B27" s="34">
        <v>450</v>
      </c>
      <c r="C27" s="34">
        <v>447</v>
      </c>
      <c r="D27" s="34">
        <v>448</v>
      </c>
      <c r="E27" s="34">
        <v>448</v>
      </c>
      <c r="F27" s="35">
        <v>448</v>
      </c>
      <c r="G27" s="34">
        <v>455</v>
      </c>
      <c r="H27" s="34">
        <v>461</v>
      </c>
      <c r="I27" s="34">
        <v>470</v>
      </c>
      <c r="J27" s="34">
        <v>468</v>
      </c>
      <c r="K27" s="35">
        <v>468</v>
      </c>
      <c r="L27" s="34">
        <v>471</v>
      </c>
      <c r="M27" s="34">
        <v>468</v>
      </c>
      <c r="N27" s="34">
        <v>468</v>
      </c>
      <c r="O27" s="34">
        <v>472</v>
      </c>
      <c r="P27" s="35">
        <v>472</v>
      </c>
      <c r="Q27" s="34"/>
    </row>
    <row r="28" spans="1:17" ht="13.5" customHeight="1" thickBot="1">
      <c r="A28" s="38" t="s">
        <v>46</v>
      </c>
      <c r="B28" s="39">
        <f t="shared" ref="B28:P28" si="1">B14+B15+B16+B23+B25+B26+B27</f>
        <v>11062</v>
      </c>
      <c r="C28" s="39">
        <f t="shared" si="1"/>
        <v>11521</v>
      </c>
      <c r="D28" s="39">
        <f t="shared" si="1"/>
        <v>11719</v>
      </c>
      <c r="E28" s="39">
        <f t="shared" si="1"/>
        <v>13566</v>
      </c>
      <c r="F28" s="40">
        <f t="shared" si="1"/>
        <v>13566</v>
      </c>
      <c r="G28" s="39">
        <f t="shared" si="1"/>
        <v>12204</v>
      </c>
      <c r="H28" s="39">
        <f t="shared" si="1"/>
        <v>12443</v>
      </c>
      <c r="I28" s="39">
        <f t="shared" si="1"/>
        <v>12398</v>
      </c>
      <c r="J28" s="39">
        <f t="shared" si="1"/>
        <v>14393</v>
      </c>
      <c r="K28" s="40">
        <f t="shared" si="1"/>
        <v>14393</v>
      </c>
      <c r="L28" s="39">
        <f t="shared" si="1"/>
        <v>12980</v>
      </c>
      <c r="M28" s="39">
        <f t="shared" si="1"/>
        <v>13386</v>
      </c>
      <c r="N28" s="39">
        <f t="shared" si="1"/>
        <v>13279</v>
      </c>
      <c r="O28" s="39">
        <f t="shared" si="1"/>
        <v>15260</v>
      </c>
      <c r="P28" s="40">
        <f t="shared" si="1"/>
        <v>15260</v>
      </c>
      <c r="Q28" s="39"/>
    </row>
    <row r="29" spans="1:17" ht="4.5" customHeight="1"/>
    <row r="30" spans="1:17" ht="13.5" customHeight="1">
      <c r="A30" s="41" t="s">
        <v>20</v>
      </c>
      <c r="B30" s="42"/>
      <c r="C30" s="42"/>
      <c r="D30" s="42"/>
      <c r="E30" s="42"/>
      <c r="F30" s="43"/>
      <c r="G30" s="42"/>
      <c r="H30" s="42"/>
      <c r="I30" s="42"/>
      <c r="J30" s="42"/>
      <c r="K30" s="43"/>
      <c r="L30" s="42"/>
      <c r="M30" s="42"/>
      <c r="N30" s="42"/>
      <c r="O30" s="42"/>
      <c r="P30" s="43"/>
      <c r="Q30" s="42"/>
    </row>
    <row r="31" spans="1:17" ht="12.75" customHeight="1">
      <c r="A31" s="33" t="s">
        <v>153</v>
      </c>
      <c r="B31" s="34">
        <v>2456</v>
      </c>
      <c r="C31" s="34">
        <v>2456</v>
      </c>
      <c r="D31" s="34">
        <v>2456</v>
      </c>
      <c r="E31" s="34">
        <v>2456</v>
      </c>
      <c r="F31" s="35">
        <v>2456</v>
      </c>
      <c r="G31" s="34">
        <v>2456</v>
      </c>
      <c r="H31" s="34">
        <v>2456</v>
      </c>
      <c r="I31" s="34">
        <v>2456</v>
      </c>
      <c r="J31" s="34">
        <v>2456</v>
      </c>
      <c r="K31" s="35">
        <v>2456</v>
      </c>
      <c r="L31" s="34">
        <v>2456</v>
      </c>
      <c r="M31" s="34">
        <v>2456</v>
      </c>
      <c r="N31" s="34">
        <v>2456</v>
      </c>
      <c r="O31" s="34">
        <v>2456</v>
      </c>
      <c r="P31" s="35">
        <v>2456</v>
      </c>
      <c r="Q31" s="34"/>
    </row>
    <row r="32" spans="1:17" ht="12.75" customHeight="1">
      <c r="A32" s="36" t="s">
        <v>154</v>
      </c>
      <c r="B32" s="37">
        <v>11384</v>
      </c>
      <c r="C32" s="37">
        <v>11467</v>
      </c>
      <c r="D32" s="37">
        <v>11579</v>
      </c>
      <c r="E32" s="37">
        <v>11686</v>
      </c>
      <c r="F32" s="35">
        <v>11686</v>
      </c>
      <c r="G32" s="37">
        <v>11854</v>
      </c>
      <c r="H32" s="37">
        <v>12017</v>
      </c>
      <c r="I32" s="37">
        <v>12208</v>
      </c>
      <c r="J32" s="37">
        <v>12304</v>
      </c>
      <c r="K32" s="35">
        <v>12304</v>
      </c>
      <c r="L32" s="37">
        <v>12442</v>
      </c>
      <c r="M32" s="37">
        <v>12533</v>
      </c>
      <c r="N32" s="37">
        <v>12648</v>
      </c>
      <c r="O32" s="37">
        <v>12800</v>
      </c>
      <c r="P32" s="35">
        <v>12800</v>
      </c>
      <c r="Q32" s="37"/>
    </row>
    <row r="33" spans="1:17" ht="12.75" customHeight="1">
      <c r="A33" s="33" t="s">
        <v>155</v>
      </c>
      <c r="B33" s="34">
        <v>19756</v>
      </c>
      <c r="C33" s="34">
        <v>19939</v>
      </c>
      <c r="D33" s="34">
        <v>20173</v>
      </c>
      <c r="E33" s="34">
        <v>20400</v>
      </c>
      <c r="F33" s="35">
        <v>20400</v>
      </c>
      <c r="G33" s="34">
        <v>20734</v>
      </c>
      <c r="H33" s="34">
        <v>21061</v>
      </c>
      <c r="I33" s="34">
        <v>21438</v>
      </c>
      <c r="J33" s="34">
        <v>21650</v>
      </c>
      <c r="K33" s="35">
        <v>21650</v>
      </c>
      <c r="L33" s="34">
        <v>21936</v>
      </c>
      <c r="M33" s="34">
        <v>22140</v>
      </c>
      <c r="N33" s="34">
        <v>22388</v>
      </c>
      <c r="O33" s="34">
        <v>22703</v>
      </c>
      <c r="P33" s="35">
        <v>22703</v>
      </c>
      <c r="Q33" s="34"/>
    </row>
    <row r="34" spans="1:17" ht="12.75" customHeight="1">
      <c r="A34" s="36" t="s">
        <v>156</v>
      </c>
      <c r="B34" s="37">
        <v>4176</v>
      </c>
      <c r="C34" s="37">
        <v>4178</v>
      </c>
      <c r="D34" s="37">
        <v>4201</v>
      </c>
      <c r="E34" s="37">
        <v>4220</v>
      </c>
      <c r="F34" s="35">
        <v>4220</v>
      </c>
      <c r="G34" s="37">
        <v>4282</v>
      </c>
      <c r="H34" s="37">
        <v>4340</v>
      </c>
      <c r="I34" s="37">
        <v>4417</v>
      </c>
      <c r="J34" s="37">
        <v>4425</v>
      </c>
      <c r="K34" s="35">
        <v>4425</v>
      </c>
      <c r="L34" s="37">
        <v>4462</v>
      </c>
      <c r="M34" s="37">
        <v>4465</v>
      </c>
      <c r="N34" s="37">
        <v>4485</v>
      </c>
      <c r="O34" s="37">
        <v>4530</v>
      </c>
      <c r="P34" s="35">
        <v>4530</v>
      </c>
      <c r="Q34" s="37"/>
    </row>
    <row r="35" spans="1:17" ht="12.75" customHeight="1">
      <c r="A35" s="33" t="s">
        <v>157</v>
      </c>
      <c r="B35" s="34">
        <v>1234</v>
      </c>
      <c r="C35" s="34">
        <v>1456</v>
      </c>
      <c r="D35" s="34">
        <v>1678</v>
      </c>
      <c r="E35" s="34">
        <v>1456</v>
      </c>
      <c r="F35" s="35">
        <v>1456</v>
      </c>
      <c r="G35" s="34">
        <v>1678</v>
      </c>
      <c r="H35" s="34">
        <v>1901</v>
      </c>
      <c r="I35" s="34">
        <v>2123</v>
      </c>
      <c r="J35" s="34">
        <v>1901</v>
      </c>
      <c r="K35" s="35">
        <v>1901</v>
      </c>
      <c r="L35" s="34">
        <v>2123</v>
      </c>
      <c r="M35" s="34">
        <v>2345</v>
      </c>
      <c r="N35" s="34">
        <v>2567</v>
      </c>
      <c r="O35" s="34">
        <v>2345</v>
      </c>
      <c r="P35" s="35">
        <v>2345</v>
      </c>
      <c r="Q35" s="34"/>
    </row>
    <row r="36" spans="1:17" ht="13.5" customHeight="1">
      <c r="A36" s="49" t="s">
        <v>45</v>
      </c>
      <c r="B36" s="50">
        <f t="shared" ref="B36:P36" si="2">B31+B32+B33+B34+B35</f>
        <v>39006</v>
      </c>
      <c r="C36" s="50">
        <f t="shared" si="2"/>
        <v>39496</v>
      </c>
      <c r="D36" s="50">
        <f t="shared" si="2"/>
        <v>40087</v>
      </c>
      <c r="E36" s="50">
        <f t="shared" si="2"/>
        <v>40218</v>
      </c>
      <c r="F36" s="51">
        <f t="shared" si="2"/>
        <v>40218</v>
      </c>
      <c r="G36" s="50">
        <f t="shared" si="2"/>
        <v>41004</v>
      </c>
      <c r="H36" s="50">
        <f t="shared" si="2"/>
        <v>41775</v>
      </c>
      <c r="I36" s="50">
        <f t="shared" si="2"/>
        <v>42642</v>
      </c>
      <c r="J36" s="50">
        <f t="shared" si="2"/>
        <v>42736</v>
      </c>
      <c r="K36" s="51">
        <f t="shared" si="2"/>
        <v>42736</v>
      </c>
      <c r="L36" s="50">
        <f t="shared" si="2"/>
        <v>43419</v>
      </c>
      <c r="M36" s="50">
        <f t="shared" si="2"/>
        <v>43939</v>
      </c>
      <c r="N36" s="50">
        <f t="shared" si="2"/>
        <v>44544</v>
      </c>
      <c r="O36" s="50">
        <f t="shared" si="2"/>
        <v>44834</v>
      </c>
      <c r="P36" s="51">
        <f t="shared" si="2"/>
        <v>44834</v>
      </c>
      <c r="Q36" s="50"/>
    </row>
    <row r="37" spans="1:17" ht="12.75" customHeight="1">
      <c r="A37" s="36" t="s">
        <v>158</v>
      </c>
      <c r="B37" s="67">
        <v>-13106</v>
      </c>
      <c r="C37" s="67">
        <v>-13271</v>
      </c>
      <c r="D37" s="67">
        <v>-13469</v>
      </c>
      <c r="E37" s="67">
        <v>-13513</v>
      </c>
      <c r="F37" s="66">
        <v>-13513</v>
      </c>
      <c r="G37" s="67">
        <v>-13777</v>
      </c>
      <c r="H37" s="67">
        <v>-14036</v>
      </c>
      <c r="I37" s="67">
        <v>-14328</v>
      </c>
      <c r="J37" s="67">
        <v>-14359</v>
      </c>
      <c r="K37" s="66">
        <v>-14359</v>
      </c>
      <c r="L37" s="67">
        <v>-14589</v>
      </c>
      <c r="M37" s="67">
        <v>-14764</v>
      </c>
      <c r="N37" s="67">
        <v>-14967</v>
      </c>
      <c r="O37" s="67">
        <v>-15064</v>
      </c>
      <c r="P37" s="66">
        <v>-15064</v>
      </c>
      <c r="Q37" s="37"/>
    </row>
    <row r="38" spans="1:17" ht="13.5" customHeight="1">
      <c r="A38" s="49" t="s">
        <v>44</v>
      </c>
      <c r="B38" s="50">
        <f t="shared" ref="B38:P38" si="3">B36+B37</f>
        <v>25900</v>
      </c>
      <c r="C38" s="50">
        <f t="shared" si="3"/>
        <v>26225</v>
      </c>
      <c r="D38" s="50">
        <f t="shared" si="3"/>
        <v>26618</v>
      </c>
      <c r="E38" s="50">
        <f t="shared" si="3"/>
        <v>26705</v>
      </c>
      <c r="F38" s="51">
        <f t="shared" si="3"/>
        <v>26705</v>
      </c>
      <c r="G38" s="50">
        <f t="shared" si="3"/>
        <v>27227</v>
      </c>
      <c r="H38" s="50">
        <f t="shared" si="3"/>
        <v>27739</v>
      </c>
      <c r="I38" s="50">
        <f t="shared" si="3"/>
        <v>28314</v>
      </c>
      <c r="J38" s="50">
        <f t="shared" si="3"/>
        <v>28377</v>
      </c>
      <c r="K38" s="51">
        <f t="shared" si="3"/>
        <v>28377</v>
      </c>
      <c r="L38" s="50">
        <f t="shared" si="3"/>
        <v>28830</v>
      </c>
      <c r="M38" s="50">
        <f t="shared" si="3"/>
        <v>29175</v>
      </c>
      <c r="N38" s="50">
        <f t="shared" si="3"/>
        <v>29577</v>
      </c>
      <c r="O38" s="50">
        <f t="shared" si="3"/>
        <v>29770</v>
      </c>
      <c r="P38" s="51">
        <f t="shared" si="3"/>
        <v>29770</v>
      </c>
      <c r="Q38" s="50"/>
    </row>
    <row r="39" spans="1:17" ht="12.75" customHeight="1">
      <c r="A39" s="33" t="s">
        <v>159</v>
      </c>
      <c r="B39" s="34">
        <v>3269</v>
      </c>
      <c r="C39" s="34">
        <v>3264</v>
      </c>
      <c r="D39" s="34">
        <v>3275</v>
      </c>
      <c r="E39" s="34">
        <v>3283</v>
      </c>
      <c r="F39" s="35">
        <v>3283</v>
      </c>
      <c r="G39" s="34">
        <v>3325</v>
      </c>
      <c r="H39" s="34">
        <v>3363</v>
      </c>
      <c r="I39" s="34">
        <v>3416</v>
      </c>
      <c r="J39" s="34">
        <v>3415</v>
      </c>
      <c r="K39" s="35">
        <v>3415</v>
      </c>
      <c r="L39" s="34">
        <v>3437</v>
      </c>
      <c r="M39" s="34">
        <v>3432</v>
      </c>
      <c r="N39" s="34">
        <v>3440</v>
      </c>
      <c r="O39" s="34">
        <v>3468</v>
      </c>
      <c r="P39" s="35">
        <v>3468</v>
      </c>
      <c r="Q39" s="34"/>
    </row>
    <row r="40" spans="1:17" ht="3" customHeight="1"/>
    <row r="41" spans="1:17" ht="12.75" customHeight="1">
      <c r="A41" s="33" t="s">
        <v>160</v>
      </c>
      <c r="B41" s="34">
        <v>28456</v>
      </c>
      <c r="C41" s="34">
        <v>28456</v>
      </c>
      <c r="D41" s="34">
        <v>28456</v>
      </c>
      <c r="E41" s="34">
        <v>28456</v>
      </c>
      <c r="F41" s="35">
        <v>28456</v>
      </c>
      <c r="G41" s="34">
        <v>28456</v>
      </c>
      <c r="H41" s="34">
        <v>28456</v>
      </c>
      <c r="I41" s="34">
        <v>28456</v>
      </c>
      <c r="J41" s="34">
        <v>28456</v>
      </c>
      <c r="K41" s="35">
        <v>28456</v>
      </c>
      <c r="L41" s="34">
        <v>28456</v>
      </c>
      <c r="M41" s="34">
        <v>28456</v>
      </c>
      <c r="N41" s="34">
        <v>28111</v>
      </c>
      <c r="O41" s="34">
        <v>28111</v>
      </c>
      <c r="P41" s="35">
        <v>28111</v>
      </c>
      <c r="Q41" s="34"/>
    </row>
    <row r="42" spans="1:17" ht="12.75" customHeight="1">
      <c r="A42" s="36" t="s">
        <v>161</v>
      </c>
      <c r="B42" s="37">
        <v>7234</v>
      </c>
      <c r="C42" s="37">
        <v>7114</v>
      </c>
      <c r="D42" s="37">
        <v>6994</v>
      </c>
      <c r="E42" s="37">
        <v>6874</v>
      </c>
      <c r="F42" s="35">
        <v>6874</v>
      </c>
      <c r="G42" s="37">
        <v>6754</v>
      </c>
      <c r="H42" s="37">
        <v>6634</v>
      </c>
      <c r="I42" s="37">
        <v>6514</v>
      </c>
      <c r="J42" s="37">
        <v>6394</v>
      </c>
      <c r="K42" s="35">
        <v>6394</v>
      </c>
      <c r="L42" s="37">
        <v>6274</v>
      </c>
      <c r="M42" s="37">
        <v>6154</v>
      </c>
      <c r="N42" s="37">
        <v>6034</v>
      </c>
      <c r="O42" s="37">
        <v>5914</v>
      </c>
      <c r="P42" s="35">
        <v>5914</v>
      </c>
      <c r="Q42" s="37"/>
    </row>
    <row r="43" spans="1:17" ht="12.75" customHeight="1">
      <c r="A43" s="33" t="s">
        <v>162</v>
      </c>
      <c r="B43" s="34">
        <v>2890</v>
      </c>
      <c r="C43" s="34">
        <v>2850</v>
      </c>
      <c r="D43" s="34">
        <v>2810</v>
      </c>
      <c r="E43" s="34">
        <v>2770</v>
      </c>
      <c r="F43" s="35">
        <v>2770</v>
      </c>
      <c r="G43" s="34">
        <v>2730</v>
      </c>
      <c r="H43" s="34">
        <v>2690</v>
      </c>
      <c r="I43" s="34">
        <v>2650</v>
      </c>
      <c r="J43" s="34">
        <v>2610</v>
      </c>
      <c r="K43" s="35">
        <v>2610</v>
      </c>
      <c r="L43" s="34">
        <v>2570</v>
      </c>
      <c r="M43" s="34">
        <v>2530</v>
      </c>
      <c r="N43" s="34">
        <v>2490</v>
      </c>
      <c r="O43" s="34">
        <v>2450</v>
      </c>
      <c r="P43" s="35">
        <v>2450</v>
      </c>
      <c r="Q43" s="34"/>
    </row>
    <row r="44" spans="1:17" ht="12.75" customHeight="1">
      <c r="A44" s="36" t="s">
        <v>163</v>
      </c>
      <c r="B44" s="37">
        <v>4567</v>
      </c>
      <c r="C44" s="37">
        <v>4479</v>
      </c>
      <c r="D44" s="37">
        <v>4391</v>
      </c>
      <c r="E44" s="37">
        <v>4303</v>
      </c>
      <c r="F44" s="35">
        <v>4303</v>
      </c>
      <c r="G44" s="37">
        <v>4215</v>
      </c>
      <c r="H44" s="37">
        <v>4127</v>
      </c>
      <c r="I44" s="37">
        <v>4039</v>
      </c>
      <c r="J44" s="37">
        <v>3951</v>
      </c>
      <c r="K44" s="35">
        <v>3951</v>
      </c>
      <c r="L44" s="37">
        <v>3863</v>
      </c>
      <c r="M44" s="37">
        <v>3775</v>
      </c>
      <c r="N44" s="37">
        <v>3687</v>
      </c>
      <c r="O44" s="37">
        <v>3599</v>
      </c>
      <c r="P44" s="35">
        <v>3599</v>
      </c>
      <c r="Q44" s="37"/>
    </row>
    <row r="45" spans="1:17" ht="12.75" customHeight="1">
      <c r="A45" s="33" t="s">
        <v>164</v>
      </c>
      <c r="B45" s="34">
        <v>1890</v>
      </c>
      <c r="C45" s="34">
        <v>1835</v>
      </c>
      <c r="D45" s="34">
        <v>1780</v>
      </c>
      <c r="E45" s="34">
        <v>1725</v>
      </c>
      <c r="F45" s="35">
        <v>1725</v>
      </c>
      <c r="G45" s="34">
        <v>1670</v>
      </c>
      <c r="H45" s="34">
        <v>1615</v>
      </c>
      <c r="I45" s="34">
        <v>1560</v>
      </c>
      <c r="J45" s="34">
        <v>1505</v>
      </c>
      <c r="K45" s="35">
        <v>1505</v>
      </c>
      <c r="L45" s="34">
        <v>1450</v>
      </c>
      <c r="M45" s="34">
        <v>1395</v>
      </c>
      <c r="N45" s="34">
        <v>1340</v>
      </c>
      <c r="O45" s="34">
        <v>1285</v>
      </c>
      <c r="P45" s="35">
        <v>1285</v>
      </c>
      <c r="Q45" s="34"/>
    </row>
    <row r="46" spans="1:17" ht="13.5" customHeight="1">
      <c r="A46" s="49" t="s">
        <v>165</v>
      </c>
      <c r="B46" s="50">
        <f t="shared" ref="B46:P46" si="4">B42+B43+B44+B45</f>
        <v>16581</v>
      </c>
      <c r="C46" s="50">
        <f t="shared" si="4"/>
        <v>16278</v>
      </c>
      <c r="D46" s="50">
        <f t="shared" si="4"/>
        <v>15975</v>
      </c>
      <c r="E46" s="50">
        <f t="shared" si="4"/>
        <v>15672</v>
      </c>
      <c r="F46" s="51">
        <f t="shared" si="4"/>
        <v>15672</v>
      </c>
      <c r="G46" s="50">
        <f t="shared" si="4"/>
        <v>15369</v>
      </c>
      <c r="H46" s="50">
        <f t="shared" si="4"/>
        <v>15066</v>
      </c>
      <c r="I46" s="50">
        <f t="shared" si="4"/>
        <v>14763</v>
      </c>
      <c r="J46" s="50">
        <f t="shared" si="4"/>
        <v>14460</v>
      </c>
      <c r="K46" s="51">
        <f t="shared" si="4"/>
        <v>14460</v>
      </c>
      <c r="L46" s="50">
        <f t="shared" si="4"/>
        <v>14157</v>
      </c>
      <c r="M46" s="50">
        <f t="shared" si="4"/>
        <v>13854</v>
      </c>
      <c r="N46" s="50">
        <f t="shared" si="4"/>
        <v>13551</v>
      </c>
      <c r="O46" s="50">
        <f t="shared" si="4"/>
        <v>13248</v>
      </c>
      <c r="P46" s="51">
        <f t="shared" si="4"/>
        <v>13248</v>
      </c>
      <c r="Q46" s="50"/>
    </row>
    <row r="47" spans="1:17" ht="3" customHeight="1"/>
    <row r="48" spans="1:17" ht="12.75" customHeight="1">
      <c r="A48" s="33" t="s">
        <v>166</v>
      </c>
      <c r="B48" s="34">
        <v>3940</v>
      </c>
      <c r="C48" s="34">
        <v>3942</v>
      </c>
      <c r="D48" s="34">
        <v>3964</v>
      </c>
      <c r="E48" s="34">
        <v>3982</v>
      </c>
      <c r="F48" s="35">
        <v>3982</v>
      </c>
      <c r="G48" s="34">
        <v>4041</v>
      </c>
      <c r="H48" s="34">
        <v>4096</v>
      </c>
      <c r="I48" s="34">
        <v>4169</v>
      </c>
      <c r="J48" s="34">
        <v>4176</v>
      </c>
      <c r="K48" s="35">
        <v>4176</v>
      </c>
      <c r="L48" s="34">
        <v>4211</v>
      </c>
      <c r="M48" s="34">
        <v>4214</v>
      </c>
      <c r="N48" s="34">
        <v>4232</v>
      </c>
      <c r="O48" s="34">
        <v>4275</v>
      </c>
      <c r="P48" s="35">
        <v>4275</v>
      </c>
      <c r="Q48" s="34"/>
    </row>
    <row r="49" spans="1:17" ht="12.75" customHeight="1">
      <c r="A49" s="36" t="s">
        <v>167</v>
      </c>
      <c r="B49" s="37">
        <v>3490</v>
      </c>
      <c r="C49" s="37">
        <v>3481</v>
      </c>
      <c r="D49" s="37">
        <v>3490</v>
      </c>
      <c r="E49" s="37">
        <v>3495</v>
      </c>
      <c r="F49" s="35">
        <v>3495</v>
      </c>
      <c r="G49" s="37">
        <v>3536</v>
      </c>
      <c r="H49" s="37">
        <v>3573</v>
      </c>
      <c r="I49" s="37">
        <v>3626</v>
      </c>
      <c r="J49" s="37">
        <v>3621</v>
      </c>
      <c r="K49" s="35">
        <v>3621</v>
      </c>
      <c r="L49" s="37">
        <v>3641</v>
      </c>
      <c r="M49" s="37">
        <v>3632</v>
      </c>
      <c r="N49" s="37">
        <v>3637</v>
      </c>
      <c r="O49" s="37">
        <v>3663</v>
      </c>
      <c r="P49" s="35">
        <v>3663</v>
      </c>
      <c r="Q49" s="37"/>
    </row>
    <row r="50" spans="1:17" ht="12.75" customHeight="1">
      <c r="A50" s="33" t="s">
        <v>168</v>
      </c>
      <c r="B50" s="34">
        <v>1244</v>
      </c>
      <c r="C50" s="34">
        <v>1238</v>
      </c>
      <c r="D50" s="34">
        <v>1239</v>
      </c>
      <c r="E50" s="34">
        <v>1238</v>
      </c>
      <c r="F50" s="35">
        <v>1238</v>
      </c>
      <c r="G50" s="34">
        <v>1250</v>
      </c>
      <c r="H50" s="34">
        <v>1261</v>
      </c>
      <c r="I50" s="34">
        <v>1277</v>
      </c>
      <c r="J50" s="34">
        <v>1273</v>
      </c>
      <c r="K50" s="35">
        <v>1273</v>
      </c>
      <c r="L50" s="34">
        <v>1277</v>
      </c>
      <c r="M50" s="34">
        <v>1271</v>
      </c>
      <c r="N50" s="34">
        <v>1270</v>
      </c>
      <c r="O50" s="34">
        <v>1276</v>
      </c>
      <c r="P50" s="35">
        <v>1276</v>
      </c>
      <c r="Q50" s="34"/>
    </row>
    <row r="51" spans="1:17" ht="12.75" customHeight="1">
      <c r="A51" s="36" t="s">
        <v>169</v>
      </c>
      <c r="B51" s="37">
        <v>901</v>
      </c>
      <c r="C51" s="37">
        <v>895</v>
      </c>
      <c r="D51" s="37">
        <v>896</v>
      </c>
      <c r="E51" s="37">
        <v>896</v>
      </c>
      <c r="F51" s="35">
        <v>896</v>
      </c>
      <c r="G51" s="37">
        <v>910</v>
      </c>
      <c r="H51" s="37">
        <v>922</v>
      </c>
      <c r="I51" s="37">
        <v>940</v>
      </c>
      <c r="J51" s="37">
        <v>936</v>
      </c>
      <c r="K51" s="35">
        <v>936</v>
      </c>
      <c r="L51" s="37">
        <v>941</v>
      </c>
      <c r="M51" s="37">
        <v>935</v>
      </c>
      <c r="N51" s="37">
        <v>935</v>
      </c>
      <c r="O51" s="37">
        <v>943</v>
      </c>
      <c r="P51" s="35">
        <v>943</v>
      </c>
      <c r="Q51" s="37"/>
    </row>
    <row r="52" spans="1:17" ht="13.5" customHeight="1" thickBot="1">
      <c r="A52" s="38" t="s">
        <v>43</v>
      </c>
      <c r="B52" s="39">
        <f t="shared" ref="B52:P52" si="5">B38+B39+B41+B46+B48+B49+B50+B51</f>
        <v>83781</v>
      </c>
      <c r="C52" s="39">
        <f t="shared" si="5"/>
        <v>83779</v>
      </c>
      <c r="D52" s="39">
        <f t="shared" si="5"/>
        <v>83913</v>
      </c>
      <c r="E52" s="39">
        <f t="shared" si="5"/>
        <v>83727</v>
      </c>
      <c r="F52" s="40">
        <f t="shared" si="5"/>
        <v>83727</v>
      </c>
      <c r="G52" s="39">
        <f t="shared" si="5"/>
        <v>84114</v>
      </c>
      <c r="H52" s="39">
        <f t="shared" si="5"/>
        <v>84476</v>
      </c>
      <c r="I52" s="39">
        <f t="shared" si="5"/>
        <v>84961</v>
      </c>
      <c r="J52" s="39">
        <f t="shared" si="5"/>
        <v>84714</v>
      </c>
      <c r="K52" s="40">
        <f t="shared" si="5"/>
        <v>84714</v>
      </c>
      <c r="L52" s="39">
        <f t="shared" si="5"/>
        <v>84950</v>
      </c>
      <c r="M52" s="39">
        <f t="shared" si="5"/>
        <v>84969</v>
      </c>
      <c r="N52" s="39">
        <f t="shared" si="5"/>
        <v>84753</v>
      </c>
      <c r="O52" s="39">
        <f t="shared" si="5"/>
        <v>84754</v>
      </c>
      <c r="P52" s="40">
        <f t="shared" si="5"/>
        <v>84754</v>
      </c>
      <c r="Q52" s="39"/>
    </row>
    <row r="53" spans="1:17" ht="4.5" customHeight="1"/>
    <row r="54" spans="1:17" ht="13.5" customHeight="1" thickBot="1">
      <c r="A54" s="52" t="s">
        <v>21</v>
      </c>
      <c r="B54" s="53">
        <f t="shared" ref="B54:P54" si="6">B28+B52</f>
        <v>94843</v>
      </c>
      <c r="C54" s="53">
        <f t="shared" si="6"/>
        <v>95300</v>
      </c>
      <c r="D54" s="53">
        <f t="shared" si="6"/>
        <v>95632</v>
      </c>
      <c r="E54" s="53">
        <f t="shared" si="6"/>
        <v>97293</v>
      </c>
      <c r="F54" s="40">
        <f t="shared" si="6"/>
        <v>97293</v>
      </c>
      <c r="G54" s="53">
        <f t="shared" si="6"/>
        <v>96318</v>
      </c>
      <c r="H54" s="53">
        <f t="shared" si="6"/>
        <v>96919</v>
      </c>
      <c r="I54" s="53">
        <f t="shared" si="6"/>
        <v>97359</v>
      </c>
      <c r="J54" s="53">
        <f t="shared" si="6"/>
        <v>99107</v>
      </c>
      <c r="K54" s="40">
        <f t="shared" si="6"/>
        <v>99107</v>
      </c>
      <c r="L54" s="53">
        <f t="shared" si="6"/>
        <v>97930</v>
      </c>
      <c r="M54" s="53">
        <f t="shared" si="6"/>
        <v>98355</v>
      </c>
      <c r="N54" s="53">
        <f t="shared" si="6"/>
        <v>98032</v>
      </c>
      <c r="O54" s="53">
        <f t="shared" si="6"/>
        <v>100014</v>
      </c>
      <c r="P54" s="40">
        <f t="shared" si="6"/>
        <v>100014</v>
      </c>
      <c r="Q54" s="53"/>
    </row>
    <row r="55" spans="1:17" ht="4.5" customHeight="1"/>
    <row r="56" spans="1:17" ht="13.5" customHeight="1">
      <c r="A56" s="31" t="s">
        <v>170</v>
      </c>
      <c r="B56" s="19"/>
      <c r="C56" s="19"/>
      <c r="D56" s="19"/>
      <c r="E56" s="19"/>
      <c r="F56" s="32"/>
      <c r="G56" s="19"/>
      <c r="H56" s="19"/>
      <c r="I56" s="19"/>
      <c r="J56" s="19"/>
      <c r="K56" s="32"/>
      <c r="L56" s="19"/>
      <c r="M56" s="19"/>
      <c r="N56" s="19"/>
      <c r="O56" s="19"/>
      <c r="P56" s="32"/>
      <c r="Q56" s="19"/>
    </row>
    <row r="57" spans="1:17" ht="13.5" customHeight="1">
      <c r="A57" s="41" t="s">
        <v>9</v>
      </c>
      <c r="B57" s="42"/>
      <c r="C57" s="42"/>
      <c r="D57" s="42"/>
      <c r="E57" s="42"/>
      <c r="F57" s="43"/>
      <c r="G57" s="42"/>
      <c r="H57" s="42"/>
      <c r="I57" s="42"/>
      <c r="J57" s="42"/>
      <c r="K57" s="43"/>
      <c r="L57" s="42"/>
      <c r="M57" s="42"/>
      <c r="N57" s="42"/>
      <c r="O57" s="42"/>
      <c r="P57" s="43"/>
      <c r="Q57" s="42"/>
    </row>
    <row r="58" spans="1:17" ht="12.75" customHeight="1">
      <c r="A58" s="33" t="s">
        <v>171</v>
      </c>
      <c r="B58" s="34">
        <v>2659</v>
      </c>
      <c r="C58" s="34">
        <v>2984</v>
      </c>
      <c r="D58" s="34">
        <v>2719</v>
      </c>
      <c r="E58" s="34">
        <v>3141</v>
      </c>
      <c r="F58" s="35">
        <v>3141</v>
      </c>
      <c r="G58" s="34">
        <v>2778</v>
      </c>
      <c r="H58" s="34">
        <v>3118</v>
      </c>
      <c r="I58" s="34">
        <v>2841</v>
      </c>
      <c r="J58" s="34">
        <v>3281</v>
      </c>
      <c r="K58" s="35">
        <v>3281</v>
      </c>
      <c r="L58" s="34">
        <v>2903</v>
      </c>
      <c r="M58" s="34">
        <v>3258</v>
      </c>
      <c r="N58" s="34">
        <v>2968</v>
      </c>
      <c r="O58" s="34">
        <v>3429</v>
      </c>
      <c r="P58" s="35">
        <v>3429</v>
      </c>
      <c r="Q58" s="34"/>
    </row>
    <row r="59" spans="1:17" ht="12.75" customHeight="1">
      <c r="A59" s="36" t="s">
        <v>172</v>
      </c>
      <c r="B59" s="37">
        <v>2370</v>
      </c>
      <c r="C59" s="37">
        <v>2366</v>
      </c>
      <c r="D59" s="37">
        <v>2374</v>
      </c>
      <c r="E59" s="37">
        <v>2380</v>
      </c>
      <c r="F59" s="35">
        <v>2380</v>
      </c>
      <c r="G59" s="37">
        <v>2410</v>
      </c>
      <c r="H59" s="37">
        <v>2438</v>
      </c>
      <c r="I59" s="37">
        <v>2477</v>
      </c>
      <c r="J59" s="37">
        <v>2476</v>
      </c>
      <c r="K59" s="35">
        <v>2476</v>
      </c>
      <c r="L59" s="37">
        <v>2492</v>
      </c>
      <c r="M59" s="37">
        <v>2489</v>
      </c>
      <c r="N59" s="37">
        <v>2495</v>
      </c>
      <c r="O59" s="37">
        <v>2515</v>
      </c>
      <c r="P59" s="35">
        <v>2515</v>
      </c>
      <c r="Q59" s="37"/>
    </row>
    <row r="60" spans="1:17" ht="12.75" customHeight="1">
      <c r="A60" s="33" t="s">
        <v>173</v>
      </c>
      <c r="B60" s="34">
        <v>1582</v>
      </c>
      <c r="C60" s="34">
        <v>1578</v>
      </c>
      <c r="D60" s="34">
        <v>1582</v>
      </c>
      <c r="E60" s="34">
        <v>1584</v>
      </c>
      <c r="F60" s="35">
        <v>1584</v>
      </c>
      <c r="G60" s="34">
        <v>1603</v>
      </c>
      <c r="H60" s="34">
        <v>1620</v>
      </c>
      <c r="I60" s="34">
        <v>1644</v>
      </c>
      <c r="J60" s="34">
        <v>1642</v>
      </c>
      <c r="K60" s="35">
        <v>1642</v>
      </c>
      <c r="L60" s="34">
        <v>1651</v>
      </c>
      <c r="M60" s="34">
        <v>1647</v>
      </c>
      <c r="N60" s="34">
        <v>1649</v>
      </c>
      <c r="O60" s="34">
        <v>1661</v>
      </c>
      <c r="P60" s="35">
        <v>1661</v>
      </c>
      <c r="Q60" s="34"/>
    </row>
    <row r="61" spans="1:17" ht="12.75" customHeight="1">
      <c r="A61" s="36" t="s">
        <v>174</v>
      </c>
      <c r="B61" s="37">
        <v>901</v>
      </c>
      <c r="C61" s="37">
        <v>895</v>
      </c>
      <c r="D61" s="37">
        <v>896</v>
      </c>
      <c r="E61" s="37">
        <v>896</v>
      </c>
      <c r="F61" s="35">
        <v>896</v>
      </c>
      <c r="G61" s="37">
        <v>910</v>
      </c>
      <c r="H61" s="37">
        <v>922</v>
      </c>
      <c r="I61" s="37">
        <v>940</v>
      </c>
      <c r="J61" s="37">
        <v>936</v>
      </c>
      <c r="K61" s="35">
        <v>936</v>
      </c>
      <c r="L61" s="37">
        <v>941</v>
      </c>
      <c r="M61" s="37">
        <v>935</v>
      </c>
      <c r="N61" s="37">
        <v>935</v>
      </c>
      <c r="O61" s="37">
        <v>943</v>
      </c>
      <c r="P61" s="35">
        <v>943</v>
      </c>
      <c r="Q61" s="37"/>
    </row>
    <row r="62" spans="1:17" ht="13.5" customHeight="1">
      <c r="A62" s="49" t="s">
        <v>42</v>
      </c>
      <c r="B62" s="50">
        <f t="shared" ref="B62:P62" si="7">B59+B60+B61</f>
        <v>4853</v>
      </c>
      <c r="C62" s="50">
        <f t="shared" si="7"/>
        <v>4839</v>
      </c>
      <c r="D62" s="50">
        <f t="shared" si="7"/>
        <v>4852</v>
      </c>
      <c r="E62" s="50">
        <f t="shared" si="7"/>
        <v>4860</v>
      </c>
      <c r="F62" s="51">
        <f t="shared" si="7"/>
        <v>4860</v>
      </c>
      <c r="G62" s="50">
        <f t="shared" si="7"/>
        <v>4923</v>
      </c>
      <c r="H62" s="50">
        <f t="shared" si="7"/>
        <v>4980</v>
      </c>
      <c r="I62" s="50">
        <f t="shared" si="7"/>
        <v>5061</v>
      </c>
      <c r="J62" s="50">
        <f t="shared" si="7"/>
        <v>5054</v>
      </c>
      <c r="K62" s="51">
        <f t="shared" si="7"/>
        <v>5054</v>
      </c>
      <c r="L62" s="50">
        <f t="shared" si="7"/>
        <v>5084</v>
      </c>
      <c r="M62" s="50">
        <f t="shared" si="7"/>
        <v>5071</v>
      </c>
      <c r="N62" s="50">
        <f t="shared" si="7"/>
        <v>5079</v>
      </c>
      <c r="O62" s="50">
        <f t="shared" si="7"/>
        <v>5119</v>
      </c>
      <c r="P62" s="51">
        <f t="shared" si="7"/>
        <v>5119</v>
      </c>
      <c r="Q62" s="50"/>
    </row>
    <row r="63" spans="1:17" ht="12.75" customHeight="1">
      <c r="A63" s="33" t="s">
        <v>175</v>
      </c>
      <c r="B63" s="34">
        <v>3456</v>
      </c>
      <c r="C63" s="34">
        <v>2789</v>
      </c>
      <c r="D63" s="34">
        <v>2345</v>
      </c>
      <c r="E63" s="34">
        <v>1234</v>
      </c>
      <c r="F63" s="35">
        <v>1234</v>
      </c>
      <c r="G63" s="34">
        <v>2678</v>
      </c>
      <c r="H63" s="34">
        <v>3123</v>
      </c>
      <c r="I63" s="34">
        <v>2456</v>
      </c>
      <c r="J63" s="34">
        <v>1567</v>
      </c>
      <c r="K63" s="35">
        <v>1567</v>
      </c>
      <c r="L63" s="34">
        <v>2890</v>
      </c>
      <c r="M63" s="34">
        <v>3345</v>
      </c>
      <c r="N63" s="34">
        <v>2678</v>
      </c>
      <c r="O63" s="34">
        <v>1890</v>
      </c>
      <c r="P63" s="35">
        <v>1890</v>
      </c>
      <c r="Q63" s="34"/>
    </row>
    <row r="64" spans="1:17" ht="12.75" customHeight="1">
      <c r="A64" s="36" t="s">
        <v>176</v>
      </c>
      <c r="B64" s="37">
        <v>1905</v>
      </c>
      <c r="C64" s="37">
        <v>1896</v>
      </c>
      <c r="D64" s="37">
        <v>1897</v>
      </c>
      <c r="E64" s="37">
        <v>1896</v>
      </c>
      <c r="F64" s="35">
        <v>1896</v>
      </c>
      <c r="G64" s="37">
        <v>1914</v>
      </c>
      <c r="H64" s="37">
        <v>1930</v>
      </c>
      <c r="I64" s="37">
        <v>1955</v>
      </c>
      <c r="J64" s="37">
        <v>1949</v>
      </c>
      <c r="K64" s="35">
        <v>1949</v>
      </c>
      <c r="L64" s="37">
        <v>1956</v>
      </c>
      <c r="M64" s="37">
        <v>1947</v>
      </c>
      <c r="N64" s="37">
        <v>1946</v>
      </c>
      <c r="O64" s="37">
        <v>1956</v>
      </c>
      <c r="P64" s="35">
        <v>1956</v>
      </c>
      <c r="Q64" s="37"/>
    </row>
    <row r="65" spans="1:17" ht="12.75" customHeight="1">
      <c r="A65" s="33" t="s">
        <v>177</v>
      </c>
      <c r="B65" s="34">
        <v>1247</v>
      </c>
      <c r="C65" s="34">
        <v>1245</v>
      </c>
      <c r="D65" s="34">
        <v>1249</v>
      </c>
      <c r="E65" s="34">
        <v>1252</v>
      </c>
      <c r="F65" s="35">
        <v>1252</v>
      </c>
      <c r="G65" s="34">
        <v>1268</v>
      </c>
      <c r="H65" s="34">
        <v>1283</v>
      </c>
      <c r="I65" s="34">
        <v>1303</v>
      </c>
      <c r="J65" s="34">
        <v>1303</v>
      </c>
      <c r="K65" s="35">
        <v>1303</v>
      </c>
      <c r="L65" s="34">
        <v>1311</v>
      </c>
      <c r="M65" s="34">
        <v>1309</v>
      </c>
      <c r="N65" s="34">
        <v>1312</v>
      </c>
      <c r="O65" s="34">
        <v>1323</v>
      </c>
      <c r="P65" s="35">
        <v>1323</v>
      </c>
      <c r="Q65" s="34"/>
    </row>
    <row r="66" spans="1:17" ht="12.75" customHeight="1">
      <c r="A66" s="36" t="s">
        <v>178</v>
      </c>
      <c r="B66" s="37">
        <v>573</v>
      </c>
      <c r="C66" s="37">
        <v>572</v>
      </c>
      <c r="D66" s="37">
        <v>574</v>
      </c>
      <c r="E66" s="37">
        <v>575</v>
      </c>
      <c r="F66" s="35">
        <v>575</v>
      </c>
      <c r="G66" s="37">
        <v>582</v>
      </c>
      <c r="H66" s="37">
        <v>589</v>
      </c>
      <c r="I66" s="37">
        <v>598</v>
      </c>
      <c r="J66" s="37">
        <v>598</v>
      </c>
      <c r="K66" s="35">
        <v>598</v>
      </c>
      <c r="L66" s="37">
        <v>602</v>
      </c>
      <c r="M66" s="37">
        <v>601</v>
      </c>
      <c r="N66" s="37">
        <v>602</v>
      </c>
      <c r="O66" s="37">
        <v>607</v>
      </c>
      <c r="P66" s="35">
        <v>607</v>
      </c>
      <c r="Q66" s="37"/>
    </row>
    <row r="67" spans="1:17" ht="12.75" customHeight="1">
      <c r="A67" s="33" t="s">
        <v>179</v>
      </c>
      <c r="B67" s="34">
        <v>686</v>
      </c>
      <c r="C67" s="34">
        <v>681</v>
      </c>
      <c r="D67" s="34">
        <v>681</v>
      </c>
      <c r="E67" s="34">
        <v>680</v>
      </c>
      <c r="F67" s="35">
        <v>680</v>
      </c>
      <c r="G67" s="34">
        <v>690</v>
      </c>
      <c r="H67" s="34">
        <v>698</v>
      </c>
      <c r="I67" s="34">
        <v>711</v>
      </c>
      <c r="J67" s="34">
        <v>707</v>
      </c>
      <c r="K67" s="35">
        <v>707</v>
      </c>
      <c r="L67" s="34">
        <v>710</v>
      </c>
      <c r="M67" s="34">
        <v>705</v>
      </c>
      <c r="N67" s="34">
        <v>704</v>
      </c>
      <c r="O67" s="34">
        <v>709</v>
      </c>
      <c r="P67" s="35">
        <v>709</v>
      </c>
      <c r="Q67" s="34"/>
    </row>
    <row r="68" spans="1:17" ht="13.5" customHeight="1" thickBot="1">
      <c r="A68" s="38" t="s">
        <v>41</v>
      </c>
      <c r="B68" s="39">
        <f t="shared" ref="B68:P68" si="8">B58+B62+B63+B64+B65+B66+B67</f>
        <v>15379</v>
      </c>
      <c r="C68" s="39">
        <f t="shared" si="8"/>
        <v>15006</v>
      </c>
      <c r="D68" s="39">
        <f t="shared" si="8"/>
        <v>14317</v>
      </c>
      <c r="E68" s="39">
        <f t="shared" si="8"/>
        <v>13638</v>
      </c>
      <c r="F68" s="40">
        <f t="shared" si="8"/>
        <v>13638</v>
      </c>
      <c r="G68" s="39">
        <f t="shared" si="8"/>
        <v>14833</v>
      </c>
      <c r="H68" s="39">
        <f t="shared" si="8"/>
        <v>15721</v>
      </c>
      <c r="I68" s="39">
        <f t="shared" si="8"/>
        <v>14925</v>
      </c>
      <c r="J68" s="39">
        <f t="shared" si="8"/>
        <v>14459</v>
      </c>
      <c r="K68" s="40">
        <f t="shared" si="8"/>
        <v>14459</v>
      </c>
      <c r="L68" s="39">
        <f t="shared" si="8"/>
        <v>15456</v>
      </c>
      <c r="M68" s="39">
        <f t="shared" si="8"/>
        <v>16236</v>
      </c>
      <c r="N68" s="39">
        <f t="shared" si="8"/>
        <v>15289</v>
      </c>
      <c r="O68" s="39">
        <f t="shared" si="8"/>
        <v>15033</v>
      </c>
      <c r="P68" s="40">
        <f t="shared" si="8"/>
        <v>15033</v>
      </c>
      <c r="Q68" s="39"/>
    </row>
    <row r="69" spans="1:17" ht="4.5" customHeight="1"/>
    <row r="70" spans="1:17" ht="13.5" customHeight="1">
      <c r="A70" s="41" t="s">
        <v>22</v>
      </c>
      <c r="B70" s="42"/>
      <c r="C70" s="42"/>
      <c r="D70" s="42"/>
      <c r="E70" s="42"/>
      <c r="F70" s="43"/>
      <c r="G70" s="42"/>
      <c r="H70" s="42"/>
      <c r="I70" s="42"/>
      <c r="J70" s="42"/>
      <c r="K70" s="43"/>
      <c r="L70" s="42"/>
      <c r="M70" s="42"/>
      <c r="N70" s="42"/>
      <c r="O70" s="42"/>
      <c r="P70" s="43"/>
      <c r="Q70" s="42"/>
    </row>
    <row r="71" spans="1:17" ht="12.75" customHeight="1">
      <c r="A71" s="33" t="s">
        <v>180</v>
      </c>
      <c r="B71" s="34">
        <v>14660</v>
      </c>
      <c r="C71" s="34">
        <v>14664</v>
      </c>
      <c r="D71" s="34">
        <v>14704</v>
      </c>
      <c r="E71" s="34">
        <v>14737</v>
      </c>
      <c r="F71" s="35">
        <v>14737</v>
      </c>
      <c r="G71" s="34">
        <v>14846</v>
      </c>
      <c r="H71" s="34">
        <v>14946</v>
      </c>
      <c r="I71" s="34">
        <v>15079</v>
      </c>
      <c r="J71" s="34">
        <v>15092</v>
      </c>
      <c r="K71" s="35">
        <v>15092</v>
      </c>
      <c r="L71" s="34">
        <v>15156</v>
      </c>
      <c r="M71" s="34">
        <v>15161</v>
      </c>
      <c r="N71" s="34">
        <v>15194</v>
      </c>
      <c r="O71" s="34">
        <v>15271</v>
      </c>
      <c r="P71" s="35">
        <v>15271</v>
      </c>
      <c r="Q71" s="34"/>
    </row>
    <row r="72" spans="1:17" ht="12.75" customHeight="1">
      <c r="A72" s="36" t="s">
        <v>181</v>
      </c>
      <c r="B72" s="37">
        <v>2903</v>
      </c>
      <c r="C72" s="37">
        <v>2898</v>
      </c>
      <c r="D72" s="37">
        <v>2900</v>
      </c>
      <c r="E72" s="37">
        <v>2901</v>
      </c>
      <c r="F72" s="35">
        <v>2901</v>
      </c>
      <c r="G72" s="37">
        <v>2917</v>
      </c>
      <c r="H72" s="37">
        <v>2931</v>
      </c>
      <c r="I72" s="37">
        <v>2951</v>
      </c>
      <c r="J72" s="37">
        <v>2948</v>
      </c>
      <c r="K72" s="35">
        <v>2948</v>
      </c>
      <c r="L72" s="37">
        <v>2955</v>
      </c>
      <c r="M72" s="37">
        <v>2950</v>
      </c>
      <c r="N72" s="37">
        <v>2951</v>
      </c>
      <c r="O72" s="37">
        <v>2960</v>
      </c>
      <c r="P72" s="35">
        <v>2960</v>
      </c>
      <c r="Q72" s="37"/>
    </row>
    <row r="73" spans="1:17" ht="13.5" customHeight="1">
      <c r="A73" s="49" t="s">
        <v>40</v>
      </c>
      <c r="B73" s="50">
        <f t="shared" ref="B73:P73" si="9">B71+B72</f>
        <v>17563</v>
      </c>
      <c r="C73" s="50">
        <f t="shared" si="9"/>
        <v>17562</v>
      </c>
      <c r="D73" s="50">
        <f t="shared" si="9"/>
        <v>17604</v>
      </c>
      <c r="E73" s="50">
        <f t="shared" si="9"/>
        <v>17638</v>
      </c>
      <c r="F73" s="51">
        <f t="shared" si="9"/>
        <v>17638</v>
      </c>
      <c r="G73" s="50">
        <f t="shared" si="9"/>
        <v>17763</v>
      </c>
      <c r="H73" s="50">
        <f t="shared" si="9"/>
        <v>17877</v>
      </c>
      <c r="I73" s="50">
        <f t="shared" si="9"/>
        <v>18030</v>
      </c>
      <c r="J73" s="50">
        <f t="shared" si="9"/>
        <v>18040</v>
      </c>
      <c r="K73" s="51">
        <f t="shared" si="9"/>
        <v>18040</v>
      </c>
      <c r="L73" s="50">
        <f t="shared" si="9"/>
        <v>18111</v>
      </c>
      <c r="M73" s="50">
        <f t="shared" si="9"/>
        <v>18111</v>
      </c>
      <c r="N73" s="50">
        <f t="shared" si="9"/>
        <v>18145</v>
      </c>
      <c r="O73" s="50">
        <f t="shared" si="9"/>
        <v>18231</v>
      </c>
      <c r="P73" s="51">
        <f t="shared" si="9"/>
        <v>18231</v>
      </c>
      <c r="Q73" s="50"/>
    </row>
    <row r="74" spans="1:17" ht="12.75" customHeight="1">
      <c r="A74" s="33" t="s">
        <v>182</v>
      </c>
      <c r="B74" s="34">
        <v>2592</v>
      </c>
      <c r="C74" s="34">
        <v>2586</v>
      </c>
      <c r="D74" s="34">
        <v>2592</v>
      </c>
      <c r="E74" s="34">
        <v>2596</v>
      </c>
      <c r="F74" s="35">
        <v>2596</v>
      </c>
      <c r="G74" s="34">
        <v>2626</v>
      </c>
      <c r="H74" s="34">
        <v>2654</v>
      </c>
      <c r="I74" s="34">
        <v>2693</v>
      </c>
      <c r="J74" s="34">
        <v>2690</v>
      </c>
      <c r="K74" s="35">
        <v>2690</v>
      </c>
      <c r="L74" s="34">
        <v>2705</v>
      </c>
      <c r="M74" s="34">
        <v>2698</v>
      </c>
      <c r="N74" s="34">
        <v>2702</v>
      </c>
      <c r="O74" s="34">
        <v>2721</v>
      </c>
      <c r="P74" s="35">
        <v>2721</v>
      </c>
      <c r="Q74" s="34"/>
    </row>
    <row r="75" spans="1:17" ht="12.75" customHeight="1">
      <c r="A75" s="36" t="s">
        <v>183</v>
      </c>
      <c r="B75" s="37">
        <v>4713</v>
      </c>
      <c r="C75" s="37">
        <v>4719</v>
      </c>
      <c r="D75" s="37">
        <v>4737</v>
      </c>
      <c r="E75" s="37">
        <v>4752</v>
      </c>
      <c r="F75" s="35">
        <v>4752</v>
      </c>
      <c r="G75" s="37">
        <v>4792</v>
      </c>
      <c r="H75" s="37">
        <v>4829</v>
      </c>
      <c r="I75" s="37">
        <v>4877</v>
      </c>
      <c r="J75" s="37">
        <v>4886</v>
      </c>
      <c r="K75" s="35">
        <v>4886</v>
      </c>
      <c r="L75" s="37">
        <v>4912</v>
      </c>
      <c r="M75" s="37">
        <v>4918</v>
      </c>
      <c r="N75" s="37">
        <v>4934</v>
      </c>
      <c r="O75" s="37">
        <v>4964</v>
      </c>
      <c r="P75" s="35">
        <v>4964</v>
      </c>
      <c r="Q75" s="37"/>
    </row>
    <row r="76" spans="1:17" ht="12.75" customHeight="1">
      <c r="A76" s="33" t="s">
        <v>184</v>
      </c>
      <c r="B76" s="34">
        <v>1900</v>
      </c>
      <c r="C76" s="34">
        <v>1899</v>
      </c>
      <c r="D76" s="34">
        <v>1902</v>
      </c>
      <c r="E76" s="34">
        <v>1904</v>
      </c>
      <c r="F76" s="35">
        <v>1904</v>
      </c>
      <c r="G76" s="34">
        <v>1916</v>
      </c>
      <c r="H76" s="34">
        <v>1927</v>
      </c>
      <c r="I76" s="34">
        <v>1942</v>
      </c>
      <c r="J76" s="34">
        <v>1942</v>
      </c>
      <c r="K76" s="35">
        <v>1942</v>
      </c>
      <c r="L76" s="34">
        <v>1948</v>
      </c>
      <c r="M76" s="34">
        <v>1947</v>
      </c>
      <c r="N76" s="34">
        <v>1949</v>
      </c>
      <c r="O76" s="34">
        <v>1957</v>
      </c>
      <c r="P76" s="35">
        <v>1957</v>
      </c>
      <c r="Q76" s="34"/>
    </row>
    <row r="77" spans="1:17" ht="12.75" customHeight="1">
      <c r="A77" s="36" t="s">
        <v>185</v>
      </c>
      <c r="B77" s="37">
        <v>897</v>
      </c>
      <c r="C77" s="37">
        <v>893</v>
      </c>
      <c r="D77" s="37">
        <v>893</v>
      </c>
      <c r="E77" s="37">
        <v>893</v>
      </c>
      <c r="F77" s="35">
        <v>893</v>
      </c>
      <c r="G77" s="37">
        <v>902</v>
      </c>
      <c r="H77" s="37">
        <v>910</v>
      </c>
      <c r="I77" s="37">
        <v>922</v>
      </c>
      <c r="J77" s="37">
        <v>919</v>
      </c>
      <c r="K77" s="35">
        <v>919</v>
      </c>
      <c r="L77" s="37">
        <v>922</v>
      </c>
      <c r="M77" s="37">
        <v>918</v>
      </c>
      <c r="N77" s="37">
        <v>917</v>
      </c>
      <c r="O77" s="37">
        <v>922</v>
      </c>
      <c r="P77" s="35">
        <v>922</v>
      </c>
      <c r="Q77" s="37"/>
    </row>
    <row r="78" spans="1:17" ht="12.75" customHeight="1">
      <c r="A78" s="33" t="s">
        <v>186</v>
      </c>
      <c r="B78" s="34">
        <v>1472</v>
      </c>
      <c r="C78" s="34">
        <v>1470</v>
      </c>
      <c r="D78" s="34">
        <v>1475</v>
      </c>
      <c r="E78" s="34">
        <v>1479</v>
      </c>
      <c r="F78" s="35">
        <v>1479</v>
      </c>
      <c r="G78" s="34">
        <v>1498</v>
      </c>
      <c r="H78" s="34">
        <v>1515</v>
      </c>
      <c r="I78" s="34">
        <v>1539</v>
      </c>
      <c r="J78" s="34">
        <v>1539</v>
      </c>
      <c r="K78" s="35">
        <v>1539</v>
      </c>
      <c r="L78" s="34">
        <v>1549</v>
      </c>
      <c r="M78" s="34">
        <v>1547</v>
      </c>
      <c r="N78" s="34">
        <v>1551</v>
      </c>
      <c r="O78" s="34">
        <v>1564</v>
      </c>
      <c r="P78" s="35">
        <v>1564</v>
      </c>
      <c r="Q78" s="34"/>
    </row>
    <row r="79" spans="1:17" ht="12.75" customHeight="1">
      <c r="A79" s="36" t="s">
        <v>187</v>
      </c>
      <c r="B79" s="37">
        <v>2918</v>
      </c>
      <c r="C79" s="37">
        <v>2911</v>
      </c>
      <c r="D79" s="37">
        <v>2918</v>
      </c>
      <c r="E79" s="37">
        <v>2922</v>
      </c>
      <c r="F79" s="35">
        <v>2922</v>
      </c>
      <c r="G79" s="37">
        <v>2956</v>
      </c>
      <c r="H79" s="37">
        <v>2987</v>
      </c>
      <c r="I79" s="37">
        <v>3031</v>
      </c>
      <c r="J79" s="37">
        <v>3027</v>
      </c>
      <c r="K79" s="35">
        <v>3027</v>
      </c>
      <c r="L79" s="37">
        <v>3043</v>
      </c>
      <c r="M79" s="37">
        <v>3036</v>
      </c>
      <c r="N79" s="37">
        <v>3040</v>
      </c>
      <c r="O79" s="37">
        <v>3062</v>
      </c>
      <c r="P79" s="35">
        <v>3062</v>
      </c>
      <c r="Q79" s="37"/>
    </row>
    <row r="80" spans="1:17" ht="12.75" customHeight="1">
      <c r="A80" s="33" t="s">
        <v>188</v>
      </c>
      <c r="B80" s="34">
        <v>899</v>
      </c>
      <c r="C80" s="34">
        <v>892</v>
      </c>
      <c r="D80" s="34">
        <v>891</v>
      </c>
      <c r="E80" s="34">
        <v>889</v>
      </c>
      <c r="F80" s="35">
        <v>889</v>
      </c>
      <c r="G80" s="34">
        <v>901</v>
      </c>
      <c r="H80" s="34">
        <v>911</v>
      </c>
      <c r="I80" s="34">
        <v>927</v>
      </c>
      <c r="J80" s="34">
        <v>921</v>
      </c>
      <c r="K80" s="35">
        <v>921</v>
      </c>
      <c r="L80" s="34">
        <v>924</v>
      </c>
      <c r="M80" s="34">
        <v>917</v>
      </c>
      <c r="N80" s="34">
        <v>915</v>
      </c>
      <c r="O80" s="34">
        <v>921</v>
      </c>
      <c r="P80" s="35">
        <v>921</v>
      </c>
      <c r="Q80" s="34"/>
    </row>
    <row r="81" spans="1:17" ht="13.5" customHeight="1" thickBot="1">
      <c r="A81" s="38" t="s">
        <v>39</v>
      </c>
      <c r="B81" s="39">
        <f t="shared" ref="B81:P81" si="10">B73+B74+B75+B76+B77+B78+B79+B80</f>
        <v>32954</v>
      </c>
      <c r="C81" s="39">
        <f t="shared" si="10"/>
        <v>32932</v>
      </c>
      <c r="D81" s="39">
        <f t="shared" si="10"/>
        <v>33012</v>
      </c>
      <c r="E81" s="39">
        <f t="shared" si="10"/>
        <v>33073</v>
      </c>
      <c r="F81" s="40">
        <f t="shared" si="10"/>
        <v>33073</v>
      </c>
      <c r="G81" s="39">
        <f t="shared" si="10"/>
        <v>33354</v>
      </c>
      <c r="H81" s="39">
        <f t="shared" si="10"/>
        <v>33610</v>
      </c>
      <c r="I81" s="39">
        <f t="shared" si="10"/>
        <v>33961</v>
      </c>
      <c r="J81" s="39">
        <f t="shared" si="10"/>
        <v>33964</v>
      </c>
      <c r="K81" s="40">
        <f t="shared" si="10"/>
        <v>33964</v>
      </c>
      <c r="L81" s="39">
        <f t="shared" si="10"/>
        <v>34114</v>
      </c>
      <c r="M81" s="39">
        <f t="shared" si="10"/>
        <v>34092</v>
      </c>
      <c r="N81" s="39">
        <f t="shared" si="10"/>
        <v>34153</v>
      </c>
      <c r="O81" s="39">
        <f t="shared" si="10"/>
        <v>34342</v>
      </c>
      <c r="P81" s="40">
        <f t="shared" si="10"/>
        <v>34342</v>
      </c>
      <c r="Q81" s="39"/>
    </row>
    <row r="82" spans="1:17" ht="4.5" customHeight="1"/>
    <row r="83" spans="1:17" ht="13.5" customHeight="1" thickBot="1">
      <c r="A83" s="44" t="s">
        <v>38</v>
      </c>
      <c r="B83" s="45">
        <f t="shared" ref="B83:P83" si="11">B68+B81</f>
        <v>48333</v>
      </c>
      <c r="C83" s="45">
        <f t="shared" si="11"/>
        <v>47938</v>
      </c>
      <c r="D83" s="45">
        <f t="shared" si="11"/>
        <v>47329</v>
      </c>
      <c r="E83" s="45">
        <f t="shared" si="11"/>
        <v>46711</v>
      </c>
      <c r="F83" s="40">
        <f t="shared" si="11"/>
        <v>46711</v>
      </c>
      <c r="G83" s="45">
        <f t="shared" si="11"/>
        <v>48187</v>
      </c>
      <c r="H83" s="45">
        <f t="shared" si="11"/>
        <v>49331</v>
      </c>
      <c r="I83" s="45">
        <f t="shared" si="11"/>
        <v>48886</v>
      </c>
      <c r="J83" s="45">
        <f t="shared" si="11"/>
        <v>48423</v>
      </c>
      <c r="K83" s="40">
        <f t="shared" si="11"/>
        <v>48423</v>
      </c>
      <c r="L83" s="45">
        <f t="shared" si="11"/>
        <v>49570</v>
      </c>
      <c r="M83" s="45">
        <f t="shared" si="11"/>
        <v>50328</v>
      </c>
      <c r="N83" s="45">
        <f t="shared" si="11"/>
        <v>49442</v>
      </c>
      <c r="O83" s="45">
        <f t="shared" si="11"/>
        <v>49375</v>
      </c>
      <c r="P83" s="40">
        <f t="shared" si="11"/>
        <v>49375</v>
      </c>
      <c r="Q83" s="45"/>
    </row>
    <row r="84" spans="1:17" ht="4.5" customHeight="1"/>
    <row r="85" spans="1:17" ht="13.5" customHeight="1">
      <c r="A85" s="41" t="s">
        <v>37</v>
      </c>
      <c r="B85" s="42"/>
      <c r="C85" s="42"/>
      <c r="D85" s="42"/>
      <c r="E85" s="42"/>
      <c r="F85" s="43"/>
      <c r="G85" s="42"/>
      <c r="H85" s="42"/>
      <c r="I85" s="42"/>
      <c r="J85" s="42"/>
      <c r="K85" s="43"/>
      <c r="L85" s="42"/>
      <c r="M85" s="42"/>
      <c r="N85" s="42"/>
      <c r="O85" s="42"/>
      <c r="P85" s="43"/>
      <c r="Q85" s="42"/>
    </row>
    <row r="86" spans="1:17" ht="12.75" customHeight="1">
      <c r="A86" s="33" t="s">
        <v>189</v>
      </c>
      <c r="B86" s="34">
        <v>1000</v>
      </c>
      <c r="C86" s="34">
        <v>1000</v>
      </c>
      <c r="D86" s="34">
        <v>1000</v>
      </c>
      <c r="E86" s="34">
        <v>1000</v>
      </c>
      <c r="F86" s="35">
        <v>1000</v>
      </c>
      <c r="G86" s="34">
        <v>1000</v>
      </c>
      <c r="H86" s="34">
        <v>1000</v>
      </c>
      <c r="I86" s="34">
        <v>1000</v>
      </c>
      <c r="J86" s="34">
        <v>1000</v>
      </c>
      <c r="K86" s="35">
        <v>1000</v>
      </c>
      <c r="L86" s="34">
        <v>1000</v>
      </c>
      <c r="M86" s="34">
        <v>1000</v>
      </c>
      <c r="N86" s="34">
        <v>1000</v>
      </c>
      <c r="O86" s="34">
        <v>1000</v>
      </c>
      <c r="P86" s="35">
        <v>1000</v>
      </c>
      <c r="Q86" s="34"/>
    </row>
    <row r="87" spans="1:17" ht="12.75" customHeight="1">
      <c r="A87" s="36" t="s">
        <v>190</v>
      </c>
      <c r="B87" s="37">
        <v>434</v>
      </c>
      <c r="C87" s="37">
        <v>434</v>
      </c>
      <c r="D87" s="37">
        <v>434</v>
      </c>
      <c r="E87" s="37">
        <v>434</v>
      </c>
      <c r="F87" s="35">
        <v>434</v>
      </c>
      <c r="G87" s="37">
        <v>434</v>
      </c>
      <c r="H87" s="37">
        <v>434</v>
      </c>
      <c r="I87" s="37">
        <v>434</v>
      </c>
      <c r="J87" s="37">
        <v>434</v>
      </c>
      <c r="K87" s="35">
        <v>434</v>
      </c>
      <c r="L87" s="37">
        <v>434</v>
      </c>
      <c r="M87" s="37">
        <v>434</v>
      </c>
      <c r="N87" s="37">
        <v>434</v>
      </c>
      <c r="O87" s="37">
        <v>434</v>
      </c>
      <c r="P87" s="35">
        <v>434</v>
      </c>
      <c r="Q87" s="37"/>
    </row>
    <row r="88" spans="1:17" ht="12.75" customHeight="1">
      <c r="A88" s="33" t="s">
        <v>191</v>
      </c>
      <c r="B88" s="34">
        <v>18556</v>
      </c>
      <c r="C88" s="34">
        <v>18542</v>
      </c>
      <c r="D88" s="34">
        <v>18574</v>
      </c>
      <c r="E88" s="34">
        <v>18597</v>
      </c>
      <c r="F88" s="35">
        <v>18597</v>
      </c>
      <c r="G88" s="34">
        <v>18715</v>
      </c>
      <c r="H88" s="34">
        <v>18823</v>
      </c>
      <c r="I88" s="34">
        <v>18972</v>
      </c>
      <c r="J88" s="34">
        <v>18970</v>
      </c>
      <c r="K88" s="35">
        <v>18970</v>
      </c>
      <c r="L88" s="34">
        <v>19031</v>
      </c>
      <c r="M88" s="34">
        <v>19018</v>
      </c>
      <c r="N88" s="34">
        <v>19041</v>
      </c>
      <c r="O88" s="34">
        <v>19118</v>
      </c>
      <c r="P88" s="35">
        <v>19118</v>
      </c>
      <c r="Q88" s="34"/>
    </row>
    <row r="89" spans="1:17" ht="12.75" customHeight="1">
      <c r="A89" s="36" t="s">
        <v>192</v>
      </c>
      <c r="B89" s="37">
        <v>36262</v>
      </c>
      <c r="C89" s="37">
        <v>37532</v>
      </c>
      <c r="D89" s="37">
        <v>38478</v>
      </c>
      <c r="E89" s="37">
        <v>41112</v>
      </c>
      <c r="F89" s="35">
        <v>41112</v>
      </c>
      <c r="G89" s="37">
        <v>39084</v>
      </c>
      <c r="H89" s="37">
        <v>39020</v>
      </c>
      <c r="I89" s="37">
        <v>39896</v>
      </c>
      <c r="J89" s="37">
        <v>42616</v>
      </c>
      <c r="K89" s="35">
        <v>42616</v>
      </c>
      <c r="L89" s="37">
        <v>40748</v>
      </c>
      <c r="M89" s="37">
        <v>41127</v>
      </c>
      <c r="N89" s="37">
        <v>42242</v>
      </c>
      <c r="O89" s="37">
        <v>44457</v>
      </c>
      <c r="P89" s="35">
        <v>44457</v>
      </c>
      <c r="Q89" s="37"/>
    </row>
    <row r="90" spans="1:17" ht="12.75" customHeight="1">
      <c r="A90" s="33" t="s">
        <v>193</v>
      </c>
      <c r="B90" s="48">
        <v>-10654</v>
      </c>
      <c r="C90" s="48">
        <v>-10941</v>
      </c>
      <c r="D90" s="48">
        <v>-11206</v>
      </c>
      <c r="E90" s="48">
        <v>-11698</v>
      </c>
      <c r="F90" s="66">
        <v>-11698</v>
      </c>
      <c r="G90" s="48">
        <v>-12045</v>
      </c>
      <c r="H90" s="48">
        <v>-12435</v>
      </c>
      <c r="I90" s="48">
        <v>-12722</v>
      </c>
      <c r="J90" s="48">
        <v>-13448</v>
      </c>
      <c r="K90" s="66">
        <v>-13448</v>
      </c>
      <c r="L90" s="48">
        <v>-13867</v>
      </c>
      <c r="M90" s="48">
        <v>-14338</v>
      </c>
      <c r="N90" s="48">
        <v>-14704</v>
      </c>
      <c r="O90" s="48">
        <v>-15288</v>
      </c>
      <c r="P90" s="66">
        <v>-15288</v>
      </c>
      <c r="Q90" s="34"/>
    </row>
    <row r="91" spans="1:17" ht="12.75" customHeight="1">
      <c r="A91" s="36" t="s">
        <v>194</v>
      </c>
      <c r="B91" s="67">
        <v>-1456</v>
      </c>
      <c r="C91" s="67">
        <v>-1567</v>
      </c>
      <c r="D91" s="67">
        <v>-1345</v>
      </c>
      <c r="E91" s="67">
        <v>-1234</v>
      </c>
      <c r="F91" s="66">
        <v>-1234</v>
      </c>
      <c r="G91" s="67">
        <v>-1456</v>
      </c>
      <c r="H91" s="67">
        <v>-1678</v>
      </c>
      <c r="I91" s="67">
        <v>-1567</v>
      </c>
      <c r="J91" s="67">
        <v>-1345</v>
      </c>
      <c r="K91" s="66">
        <v>-1345</v>
      </c>
      <c r="L91" s="67">
        <v>-1456</v>
      </c>
      <c r="M91" s="67">
        <v>-1678</v>
      </c>
      <c r="N91" s="67">
        <v>-1890</v>
      </c>
      <c r="O91" s="67">
        <v>-1567</v>
      </c>
      <c r="P91" s="66">
        <v>-1567</v>
      </c>
      <c r="Q91" s="37"/>
    </row>
    <row r="92" spans="1:17" ht="12.75" customHeight="1">
      <c r="A92" s="33" t="s">
        <v>195</v>
      </c>
      <c r="B92" s="34">
        <v>2368</v>
      </c>
      <c r="C92" s="34">
        <v>2362</v>
      </c>
      <c r="D92" s="34">
        <v>2368</v>
      </c>
      <c r="E92" s="34">
        <v>2371</v>
      </c>
      <c r="F92" s="35">
        <v>2371</v>
      </c>
      <c r="G92" s="34">
        <v>2399</v>
      </c>
      <c r="H92" s="34">
        <v>2424</v>
      </c>
      <c r="I92" s="34">
        <v>2460</v>
      </c>
      <c r="J92" s="34">
        <v>2457</v>
      </c>
      <c r="K92" s="35">
        <v>2457</v>
      </c>
      <c r="L92" s="34">
        <v>2470</v>
      </c>
      <c r="M92" s="34">
        <v>2464</v>
      </c>
      <c r="N92" s="34">
        <v>2467</v>
      </c>
      <c r="O92" s="34">
        <v>2485</v>
      </c>
      <c r="P92" s="35">
        <v>2485</v>
      </c>
      <c r="Q92" s="34"/>
    </row>
    <row r="93" spans="1:17" ht="13.5" customHeight="1" thickBot="1">
      <c r="A93" s="38" t="s">
        <v>36</v>
      </c>
      <c r="B93" s="39">
        <f t="shared" ref="B93:P93" si="12">B86+B87+B88+B89+B90+B91+B92</f>
        <v>46510</v>
      </c>
      <c r="C93" s="39">
        <f t="shared" si="12"/>
        <v>47362</v>
      </c>
      <c r="D93" s="39">
        <f t="shared" si="12"/>
        <v>48303</v>
      </c>
      <c r="E93" s="39">
        <f t="shared" si="12"/>
        <v>50582</v>
      </c>
      <c r="F93" s="40">
        <f t="shared" si="12"/>
        <v>50582</v>
      </c>
      <c r="G93" s="39">
        <f t="shared" si="12"/>
        <v>48131</v>
      </c>
      <c r="H93" s="39">
        <f t="shared" si="12"/>
        <v>47588</v>
      </c>
      <c r="I93" s="39">
        <f t="shared" si="12"/>
        <v>48473</v>
      </c>
      <c r="J93" s="39">
        <f t="shared" si="12"/>
        <v>50684</v>
      </c>
      <c r="K93" s="40">
        <f t="shared" si="12"/>
        <v>50684</v>
      </c>
      <c r="L93" s="39">
        <f t="shared" si="12"/>
        <v>48360</v>
      </c>
      <c r="M93" s="39">
        <f t="shared" si="12"/>
        <v>48027</v>
      </c>
      <c r="N93" s="39">
        <f t="shared" si="12"/>
        <v>48590</v>
      </c>
      <c r="O93" s="39">
        <f t="shared" si="12"/>
        <v>50639</v>
      </c>
      <c r="P93" s="40">
        <f t="shared" si="12"/>
        <v>50639</v>
      </c>
      <c r="Q93" s="39"/>
    </row>
    <row r="94" spans="1:17" ht="4.5" customHeight="1"/>
    <row r="95" spans="1:17" ht="13.5" customHeight="1" thickBot="1">
      <c r="A95" s="52" t="s">
        <v>196</v>
      </c>
      <c r="B95" s="53">
        <f t="shared" ref="B95:P95" si="13">B83+B93</f>
        <v>94843</v>
      </c>
      <c r="C95" s="53">
        <f t="shared" si="13"/>
        <v>95300</v>
      </c>
      <c r="D95" s="53">
        <f t="shared" si="13"/>
        <v>95632</v>
      </c>
      <c r="E95" s="53">
        <f t="shared" si="13"/>
        <v>97293</v>
      </c>
      <c r="F95" s="40">
        <f t="shared" si="13"/>
        <v>97293</v>
      </c>
      <c r="G95" s="53">
        <f t="shared" si="13"/>
        <v>96318</v>
      </c>
      <c r="H95" s="53">
        <f t="shared" si="13"/>
        <v>96919</v>
      </c>
      <c r="I95" s="53">
        <f t="shared" si="13"/>
        <v>97359</v>
      </c>
      <c r="J95" s="53">
        <f t="shared" si="13"/>
        <v>99107</v>
      </c>
      <c r="K95" s="40">
        <f t="shared" si="13"/>
        <v>99107</v>
      </c>
      <c r="L95" s="53">
        <f t="shared" si="13"/>
        <v>97930</v>
      </c>
      <c r="M95" s="53">
        <f t="shared" si="13"/>
        <v>98355</v>
      </c>
      <c r="N95" s="53">
        <f t="shared" si="13"/>
        <v>98032</v>
      </c>
      <c r="O95" s="53">
        <f t="shared" si="13"/>
        <v>100014</v>
      </c>
      <c r="P95" s="40">
        <f t="shared" si="13"/>
        <v>100014</v>
      </c>
      <c r="Q95" s="53"/>
    </row>
    <row r="96" spans="1:17" ht="4.5" customHeight="1"/>
    <row r="97" spans="1:17" ht="4.5" customHeight="1"/>
    <row r="98" spans="1:17" ht="13.5" customHeight="1">
      <c r="A98" s="41" t="s">
        <v>197</v>
      </c>
      <c r="B98" s="42"/>
      <c r="C98" s="42"/>
      <c r="D98" s="42"/>
      <c r="E98" s="42"/>
      <c r="F98" s="43"/>
      <c r="G98" s="42"/>
      <c r="H98" s="42"/>
      <c r="I98" s="42"/>
      <c r="J98" s="42"/>
      <c r="K98" s="43"/>
      <c r="L98" s="42"/>
      <c r="M98" s="42"/>
      <c r="N98" s="42"/>
      <c r="O98" s="42"/>
      <c r="P98" s="43"/>
      <c r="Q98" s="42"/>
    </row>
    <row r="99" spans="1:17" ht="12.75" customHeight="1">
      <c r="A99" s="33" t="s">
        <v>198</v>
      </c>
      <c r="B99" s="34">
        <f t="shared" ref="B99:P99" si="14">B63+B64+B73-B14-B15</f>
        <v>19545</v>
      </c>
      <c r="C99" s="34">
        <f t="shared" si="14"/>
        <v>19137</v>
      </c>
      <c r="D99" s="34">
        <f t="shared" si="14"/>
        <v>17934</v>
      </c>
      <c r="E99" s="34">
        <f t="shared" si="14"/>
        <v>15967</v>
      </c>
      <c r="F99" s="35">
        <f t="shared" si="14"/>
        <v>15967</v>
      </c>
      <c r="G99" s="34">
        <f t="shared" si="14"/>
        <v>18110</v>
      </c>
      <c r="H99" s="34">
        <f t="shared" si="14"/>
        <v>19240</v>
      </c>
      <c r="I99" s="34">
        <f t="shared" si="14"/>
        <v>18196</v>
      </c>
      <c r="J99" s="34">
        <f t="shared" si="14"/>
        <v>16311</v>
      </c>
      <c r="K99" s="35">
        <f t="shared" si="14"/>
        <v>16311</v>
      </c>
      <c r="L99" s="34">
        <f t="shared" si="14"/>
        <v>18267</v>
      </c>
      <c r="M99" s="34">
        <f t="shared" si="14"/>
        <v>19102</v>
      </c>
      <c r="N99" s="34">
        <f t="shared" si="14"/>
        <v>17912</v>
      </c>
      <c r="O99" s="34">
        <f t="shared" si="14"/>
        <v>16301</v>
      </c>
      <c r="P99" s="35">
        <f t="shared" si="14"/>
        <v>16301</v>
      </c>
      <c r="Q99" s="34"/>
    </row>
    <row r="100" spans="1:17" ht="12.75" customHeight="1">
      <c r="A100" s="36" t="s">
        <v>199</v>
      </c>
      <c r="B100" s="68">
        <f t="shared" ref="B100:P100" si="15">IF(B68&lt;&gt;0,B28/B68,0)</f>
        <v>0.71929254177774893</v>
      </c>
      <c r="C100" s="68">
        <f t="shared" si="15"/>
        <v>0.76775956284153002</v>
      </c>
      <c r="D100" s="68">
        <f t="shared" si="15"/>
        <v>0.81853740308723899</v>
      </c>
      <c r="E100" s="68">
        <f t="shared" si="15"/>
        <v>0.9947206335239771</v>
      </c>
      <c r="F100" s="64">
        <f t="shared" si="15"/>
        <v>0.9947206335239771</v>
      </c>
      <c r="G100" s="68">
        <f t="shared" si="15"/>
        <v>0.82276006202386576</v>
      </c>
      <c r="H100" s="68">
        <f t="shared" si="15"/>
        <v>0.79148909102474396</v>
      </c>
      <c r="I100" s="68">
        <f t="shared" si="15"/>
        <v>0.83068676716917922</v>
      </c>
      <c r="J100" s="68">
        <f t="shared" si="15"/>
        <v>0.99543536897434126</v>
      </c>
      <c r="K100" s="64">
        <f t="shared" si="15"/>
        <v>0.99543536897434126</v>
      </c>
      <c r="L100" s="68">
        <f t="shared" si="15"/>
        <v>0.83980331262939956</v>
      </c>
      <c r="M100" s="68">
        <f t="shared" si="15"/>
        <v>0.82446415373244641</v>
      </c>
      <c r="N100" s="68">
        <f t="shared" si="15"/>
        <v>0.86853293217345806</v>
      </c>
      <c r="O100" s="68">
        <f t="shared" si="15"/>
        <v>1.0151001130845474</v>
      </c>
      <c r="P100" s="64">
        <f t="shared" si="15"/>
        <v>1.0151001130845474</v>
      </c>
      <c r="Q100" s="68"/>
    </row>
    <row r="101" spans="1:17" ht="12.75" customHeight="1">
      <c r="A101" s="33" t="s">
        <v>200</v>
      </c>
      <c r="B101" s="63">
        <f t="shared" ref="B101:P101" si="16">IF(B93&lt;&gt;0,B83/B93,0)</f>
        <v>1.039195871855515</v>
      </c>
      <c r="C101" s="63">
        <f t="shared" si="16"/>
        <v>1.0121616485790297</v>
      </c>
      <c r="D101" s="63">
        <f t="shared" si="16"/>
        <v>0.97983562097592281</v>
      </c>
      <c r="E101" s="63">
        <f t="shared" si="16"/>
        <v>0.92347079988928871</v>
      </c>
      <c r="F101" s="64">
        <f t="shared" si="16"/>
        <v>0.92347079988928871</v>
      </c>
      <c r="G101" s="63">
        <f t="shared" si="16"/>
        <v>1.0011634913049801</v>
      </c>
      <c r="H101" s="63">
        <f t="shared" si="16"/>
        <v>1.0366268807262335</v>
      </c>
      <c r="I101" s="63">
        <f t="shared" si="16"/>
        <v>1.0085202071256163</v>
      </c>
      <c r="J101" s="63">
        <f t="shared" si="16"/>
        <v>0.95539026122642257</v>
      </c>
      <c r="K101" s="64">
        <f t="shared" si="16"/>
        <v>0.95539026122642257</v>
      </c>
      <c r="L101" s="63">
        <f t="shared" si="16"/>
        <v>1.0250206782464848</v>
      </c>
      <c r="M101" s="63">
        <f t="shared" si="16"/>
        <v>1.0479105503154476</v>
      </c>
      <c r="N101" s="63">
        <f t="shared" si="16"/>
        <v>1.0175344721136037</v>
      </c>
      <c r="O101" s="63">
        <f t="shared" si="16"/>
        <v>0.9750390015600624</v>
      </c>
      <c r="P101" s="64">
        <f t="shared" si="16"/>
        <v>0.9750390015600624</v>
      </c>
      <c r="Q101" s="63"/>
    </row>
    <row r="102" spans="1:17" ht="4.5" customHeight="1"/>
    <row r="103" spans="1:17" ht="4.5" customHeight="1"/>
    <row r="104" spans="1:17" ht="12.75" customHeight="1">
      <c r="A104" s="65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E37"/>
  <sheetViews>
    <sheetView zoomScale="77" workbookViewId="0"/>
  </sheetViews>
  <sheetFormatPr defaultRowHeight="15.6"/>
  <cols>
    <col min="1" max="1" width="76.33203125" style="8" bestFit="1" customWidth="1"/>
    <col min="2" max="2" width="16.33203125" style="8" customWidth="1"/>
    <col min="3" max="16384" width="8.88671875" style="8"/>
  </cols>
  <sheetData>
    <row r="1" spans="1:4">
      <c r="A1" s="7" t="s">
        <v>6</v>
      </c>
      <c r="B1" s="7" t="s">
        <v>0</v>
      </c>
      <c r="C1" s="7" t="s">
        <v>12</v>
      </c>
    </row>
    <row r="2" spans="1:4">
      <c r="A2" s="3" t="s">
        <v>273</v>
      </c>
      <c r="B2" s="9"/>
      <c r="C2" s="16" t="s">
        <v>24</v>
      </c>
    </row>
    <row r="3" spans="1:4">
      <c r="A3" s="3" t="s">
        <v>274</v>
      </c>
      <c r="B3" s="9"/>
      <c r="C3" s="16" t="s">
        <v>24</v>
      </c>
    </row>
    <row r="4" spans="1:4">
      <c r="A4" s="3" t="s">
        <v>275</v>
      </c>
      <c r="B4" s="9"/>
      <c r="C4" s="16" t="s">
        <v>24</v>
      </c>
    </row>
    <row r="5" spans="1:4">
      <c r="A5" s="3" t="s">
        <v>276</v>
      </c>
      <c r="B5" s="9"/>
      <c r="C5" s="16" t="s">
        <v>24</v>
      </c>
    </row>
    <row r="6" spans="1:4">
      <c r="A6" s="3" t="s">
        <v>277</v>
      </c>
      <c r="B6" s="9"/>
      <c r="C6" s="16" t="s">
        <v>24</v>
      </c>
    </row>
    <row r="7" spans="1:4">
      <c r="A7" s="3" t="s">
        <v>278</v>
      </c>
      <c r="B7" s="9"/>
      <c r="C7" s="16" t="s">
        <v>24</v>
      </c>
    </row>
    <row r="8" spans="1:4">
      <c r="A8" s="3" t="s">
        <v>279</v>
      </c>
      <c r="B8" s="9"/>
      <c r="C8" s="16" t="s">
        <v>24</v>
      </c>
      <c r="D8" s="8" t="s">
        <v>54</v>
      </c>
    </row>
    <row r="9" spans="1:4">
      <c r="A9" s="3" t="s">
        <v>280</v>
      </c>
      <c r="B9" s="9"/>
      <c r="C9" s="16" t="s">
        <v>24</v>
      </c>
    </row>
    <row r="10" spans="1:4">
      <c r="A10" s="3" t="s">
        <v>281</v>
      </c>
      <c r="B10" s="9"/>
      <c r="C10" s="16" t="s">
        <v>24</v>
      </c>
    </row>
    <row r="11" spans="1:4">
      <c r="A11" s="3" t="s">
        <v>282</v>
      </c>
      <c r="B11" s="9"/>
      <c r="C11" s="16" t="s">
        <v>24</v>
      </c>
    </row>
    <row r="12" spans="1:4">
      <c r="A12" s="3" t="s">
        <v>283</v>
      </c>
      <c r="B12" s="9"/>
      <c r="C12" s="16" t="s">
        <v>24</v>
      </c>
    </row>
    <row r="13" spans="1:4">
      <c r="A13" s="3" t="s">
        <v>284</v>
      </c>
      <c r="B13" s="9"/>
      <c r="C13" s="16" t="s">
        <v>24</v>
      </c>
    </row>
    <row r="14" spans="1:4">
      <c r="A14" s="3" t="s">
        <v>285</v>
      </c>
      <c r="B14" s="9"/>
      <c r="C14" s="16" t="s">
        <v>24</v>
      </c>
    </row>
    <row r="15" spans="1:4">
      <c r="A15" s="3" t="s">
        <v>286</v>
      </c>
      <c r="B15" s="9"/>
      <c r="C15" s="16" t="s">
        <v>24</v>
      </c>
    </row>
    <row r="16" spans="1:4">
      <c r="A16" s="3" t="s">
        <v>287</v>
      </c>
      <c r="B16" s="9"/>
      <c r="C16" s="16" t="s">
        <v>24</v>
      </c>
    </row>
    <row r="17" spans="1:5">
      <c r="A17" s="3" t="s">
        <v>288</v>
      </c>
      <c r="B17" s="9"/>
      <c r="C17" s="16" t="s">
        <v>24</v>
      </c>
    </row>
    <row r="18" spans="1:5">
      <c r="A18" s="3" t="s">
        <v>289</v>
      </c>
      <c r="B18" s="9"/>
      <c r="C18" s="16" t="s">
        <v>24</v>
      </c>
    </row>
    <row r="19" spans="1:5">
      <c r="A19" s="3" t="s">
        <v>290</v>
      </c>
      <c r="B19" s="9"/>
      <c r="C19" s="16" t="s">
        <v>24</v>
      </c>
    </row>
    <row r="20" spans="1:5">
      <c r="A20" s="3" t="s">
        <v>291</v>
      </c>
      <c r="B20" s="9"/>
      <c r="C20" s="16" t="s">
        <v>24</v>
      </c>
    </row>
    <row r="21" spans="1:5">
      <c r="A21" s="3" t="s">
        <v>292</v>
      </c>
      <c r="B21" s="9"/>
      <c r="C21" s="16" t="s">
        <v>24</v>
      </c>
    </row>
    <row r="22" spans="1:5">
      <c r="A22" s="3" t="s">
        <v>293</v>
      </c>
      <c r="B22" s="9"/>
      <c r="C22" s="16" t="s">
        <v>24</v>
      </c>
    </row>
    <row r="23" spans="1:5">
      <c r="A23" s="3" t="s">
        <v>297</v>
      </c>
      <c r="B23" s="9"/>
      <c r="C23" s="16" t="s">
        <v>24</v>
      </c>
    </row>
    <row r="24" spans="1:5">
      <c r="A24" s="3" t="s">
        <v>294</v>
      </c>
      <c r="B24" s="9"/>
      <c r="C24" s="16" t="s">
        <v>24</v>
      </c>
    </row>
    <row r="25" spans="1:5">
      <c r="A25" s="3" t="s">
        <v>295</v>
      </c>
      <c r="B25" s="9"/>
      <c r="C25" s="16" t="s">
        <v>24</v>
      </c>
    </row>
    <row r="26" spans="1:5">
      <c r="A26" s="3" t="s">
        <v>296</v>
      </c>
      <c r="B26" s="9"/>
      <c r="C26" s="16" t="s">
        <v>24</v>
      </c>
    </row>
    <row r="27" spans="1:5">
      <c r="A27" s="3" t="s">
        <v>298</v>
      </c>
      <c r="B27" s="9"/>
      <c r="C27" s="16" t="s">
        <v>2</v>
      </c>
    </row>
    <row r="28" spans="1:5">
      <c r="A28" s="3" t="s">
        <v>299</v>
      </c>
      <c r="B28" s="9"/>
      <c r="C28" s="16" t="s">
        <v>2</v>
      </c>
    </row>
    <row r="29" spans="1:5">
      <c r="A29" s="3" t="s">
        <v>300</v>
      </c>
      <c r="B29" s="9"/>
      <c r="C29" s="16" t="s">
        <v>2</v>
      </c>
      <c r="E29" s="8" t="s">
        <v>54</v>
      </c>
    </row>
    <row r="30" spans="1:5">
      <c r="A30" s="3" t="s">
        <v>301</v>
      </c>
      <c r="B30" s="9"/>
      <c r="C30" s="16" t="s">
        <v>2</v>
      </c>
      <c r="E30" s="8" t="s">
        <v>54</v>
      </c>
    </row>
    <row r="31" spans="1:5">
      <c r="A31" s="3" t="s">
        <v>302</v>
      </c>
      <c r="B31" s="9"/>
      <c r="C31" s="16" t="s">
        <v>2</v>
      </c>
    </row>
    <row r="32" spans="1:5">
      <c r="A32" s="3" t="s">
        <v>303</v>
      </c>
      <c r="B32" s="9"/>
      <c r="C32" s="16" t="s">
        <v>2</v>
      </c>
    </row>
    <row r="33" spans="1:5">
      <c r="A33" s="3" t="s">
        <v>304</v>
      </c>
      <c r="B33" s="9"/>
      <c r="C33" s="16" t="s">
        <v>2</v>
      </c>
      <c r="D33" s="8" t="s">
        <v>54</v>
      </c>
    </row>
    <row r="34" spans="1:5">
      <c r="A34" s="3" t="s">
        <v>305</v>
      </c>
      <c r="B34" s="9"/>
      <c r="C34" s="16" t="s">
        <v>2</v>
      </c>
      <c r="D34" s="8" t="s">
        <v>54</v>
      </c>
    </row>
    <row r="35" spans="1:5">
      <c r="A35" s="3" t="s">
        <v>306</v>
      </c>
      <c r="B35" s="9"/>
      <c r="C35" s="16" t="s">
        <v>2</v>
      </c>
      <c r="D35" s="8" t="s">
        <v>54</v>
      </c>
      <c r="E35" s="8" t="s">
        <v>54</v>
      </c>
    </row>
    <row r="36" spans="1:5">
      <c r="A36" s="3" t="s">
        <v>307</v>
      </c>
      <c r="B36" s="9"/>
      <c r="C36" s="16" t="s">
        <v>2</v>
      </c>
    </row>
    <row r="37" spans="1:5">
      <c r="A37" s="3" t="s">
        <v>308</v>
      </c>
      <c r="B37" s="9"/>
      <c r="C37" s="16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</vt:lpstr>
      <vt:lpstr>HRCB IS</vt:lpstr>
      <vt:lpstr>HRCB BS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2026-04-26T12:36:34Z</dcterms:modified>
</cp:coreProperties>
</file>