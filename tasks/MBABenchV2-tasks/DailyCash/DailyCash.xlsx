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Financing Waterfall\DailyCash\starting_files\"/>
    </mc:Choice>
  </mc:AlternateContent>
  <xr:revisionPtr revIDLastSave="0" documentId="13_ncr:1_{1836DF4E-9C2E-4509-91DB-FEE65610EB1A}" xr6:coauthVersionLast="47" xr6:coauthVersionMax="47" xr10:uidLastSave="{00000000-0000-0000-0000-000000000000}"/>
  <bookViews>
    <workbookView xWindow="-108" yWindow="-108" windowWidth="23256" windowHeight="12456" xr2:uid="{9D050BFD-007E-4C38-9D7B-ED1AFA0D54D5}"/>
  </bookViews>
  <sheets>
    <sheet name="Instructions" sheetId="10" r:id="rId1"/>
    <sheet name="Assumptions" sheetId="9" r:id="rId2"/>
    <sheet name="Questions" sheetId="11"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<sst xmlns="http://schemas.openxmlformats.org/spreadsheetml/2006/main" count="499" uniqueCount="268">
  <si>
    <t>[$]</t>
  </si>
  <si>
    <t>[years]</t>
  </si>
  <si>
    <t>[%]</t>
  </si>
  <si>
    <t>End Sheet</t>
  </si>
  <si>
    <t>Cash</t>
  </si>
  <si>
    <t>Year Number</t>
  </si>
  <si>
    <t>Senior debt - Tranche 1 - scheduled repayment</t>
  </si>
  <si>
    <t>Senior debt - Tranche 2 - scheduled repayment</t>
  </si>
  <si>
    <t>Yearly Inputs</t>
  </si>
  <si>
    <t>Model Start date</t>
  </si>
  <si>
    <t>Revolver limit</t>
  </si>
  <si>
    <t>Class A shares (existing) - vesting year</t>
  </si>
  <si>
    <t>Class B shares (existing) - vesting year</t>
  </si>
  <si>
    <t>Class C shares (existing) - vesting year</t>
  </si>
  <si>
    <t>Class A shares - # issued</t>
  </si>
  <si>
    <t>Class B shares - # issued</t>
  </si>
  <si>
    <t>Class C shares - # issued</t>
  </si>
  <si>
    <t>Class A shares - price as issue</t>
  </si>
  <si>
    <t>Class B shares - price at issue</t>
  </si>
  <si>
    <t>Class C shares - price at issue</t>
  </si>
  <si>
    <t>Interest rates</t>
  </si>
  <si>
    <t>Shares</t>
  </si>
  <si>
    <t>Opening Balances</t>
  </si>
  <si>
    <t>Shares issued</t>
  </si>
  <si>
    <t>Senior debt - Tranche 3 - scheduled repayment</t>
  </si>
  <si>
    <t>Cash float (min.)</t>
  </si>
  <si>
    <t>Model length</t>
  </si>
  <si>
    <t>Revolver facility</t>
  </si>
  <si>
    <t>Senior debt (Tranche 1)</t>
  </si>
  <si>
    <t>Senior debt (Tranche 2)</t>
  </si>
  <si>
    <t>Senior debt (Tranche 3)</t>
  </si>
  <si>
    <t>Assumptions sheet may be also in the text on the Instructions tab - please use the assumptions on this sheet for your model</t>
  </si>
  <si>
    <t>Finance Task</t>
  </si>
  <si>
    <t>There is a hierarchy, which payments are made in which order. Payments may be delayed or not made, if there are insufficient funds available.</t>
  </si>
  <si>
    <t>[$k]</t>
  </si>
  <si>
    <t>Convertible debt (regular)</t>
  </si>
  <si>
    <t>Questions (please round your answers to two decimal places)</t>
  </si>
  <si>
    <t>Answers</t>
  </si>
  <si>
    <t>What is the total dividend paid (over the entire model period) for Class A shares?</t>
  </si>
  <si>
    <t>What is the total dividend paid (over the entire model period) for Class B shares?</t>
  </si>
  <si>
    <t>What is the total dividend paid (over the entire model period) for Class C shares?</t>
  </si>
  <si>
    <t>Unit</t>
  </si>
  <si>
    <t>Cash - positive balances</t>
  </si>
  <si>
    <t>Cash - negative balances</t>
  </si>
  <si>
    <t>Revolver</t>
  </si>
  <si>
    <t>Senior debt - Tranche 1</t>
  </si>
  <si>
    <t>Senior debt - Tranche 2</t>
  </si>
  <si>
    <t>Senior debt - Tranche 3</t>
  </si>
  <si>
    <t>Convertible interest debt (regular)</t>
  </si>
  <si>
    <t>[Act/360]</t>
  </si>
  <si>
    <t>[30/360 US]</t>
  </si>
  <si>
    <t>[Act/Act]</t>
  </si>
  <si>
    <t>Interest rates convention - Day Count Conventions</t>
  </si>
  <si>
    <t>Interest rates convention - Quoting Conventions</t>
  </si>
  <si>
    <t>All interest rates are given p.a., but might have different interest rate conventions (both for day count and quoting).</t>
  </si>
  <si>
    <t>Nominal</t>
  </si>
  <si>
    <t>EAR</t>
  </si>
  <si>
    <t>$k to $m</t>
  </si>
  <si>
    <t>[million]</t>
  </si>
  <si>
    <t>[$m]</t>
  </si>
  <si>
    <t>Senior debt - Tranche 4 - scheduled repayment</t>
  </si>
  <si>
    <t>Senior debt - Tranche 5 - scheduled repayment</t>
  </si>
  <si>
    <t>Senior debt - Tranche 4</t>
  </si>
  <si>
    <t>Senior debt - Tranche 5</t>
  </si>
  <si>
    <t>Senior debt (Tranche 5)</t>
  </si>
  <si>
    <t>Senior debt (Tranche 4)</t>
  </si>
  <si>
    <t>Senior debt (Tranche 6)</t>
  </si>
  <si>
    <t>Senior debt - Tranche 6 - scheduled repayment</t>
  </si>
  <si>
    <t>Senior debt - Tranche 6</t>
  </si>
  <si>
    <t>All necessary information regarding amounts, repayment, interest rates and equity/shares are given in the tab Assumptions.</t>
  </si>
  <si>
    <t>Subordinated debt</t>
  </si>
  <si>
    <t>On a separate tab, create a summary showing the annual cash flows for the situation described above - you may wanna use your debt waterfall model for that purpose.</t>
  </si>
  <si>
    <t>Subordinated Convertible debt</t>
  </si>
  <si>
    <t>Subordinated Convertible interest debt</t>
  </si>
  <si>
    <t>Debt Waterfall Modeling - Daily Cash</t>
  </si>
  <si>
    <t>FCF Forecast</t>
  </si>
  <si>
    <t>FCF Daily Baseline</t>
  </si>
  <si>
    <t>Annual growth</t>
  </si>
  <si>
    <t>Weekday factor - Monday</t>
  </si>
  <si>
    <t>Weekday factor - Tuesday</t>
  </si>
  <si>
    <t>Weekday factor - Wednesday</t>
  </si>
  <si>
    <t>Weekday factor - Thursday</t>
  </si>
  <si>
    <t>Weekday factor - Friday</t>
  </si>
  <si>
    <t>Weekday factor - Saturday</t>
  </si>
  <si>
    <t>Weekday factor - Sunday</t>
  </si>
  <si>
    <t>Month factor - January</t>
  </si>
  <si>
    <t>Month factor - February</t>
  </si>
  <si>
    <t>Month factor - March</t>
  </si>
  <si>
    <t>Month factor - April</t>
  </si>
  <si>
    <t>Month factor - May</t>
  </si>
  <si>
    <t>Month factor - June</t>
  </si>
  <si>
    <t>Month factor - July</t>
  </si>
  <si>
    <t>Month factor - August</t>
  </si>
  <si>
    <t>Month factor - September</t>
  </si>
  <si>
    <t>Month factor - October</t>
  </si>
  <si>
    <t>Month factor - December</t>
  </si>
  <si>
    <t>Month factor - November</t>
  </si>
  <si>
    <t>(2029)</t>
  </si>
  <si>
    <t>FCF Forecast:</t>
  </si>
  <si>
    <t>The repayment schedule is shown on an annual basis - break it down into repayments based on the information provided.</t>
  </si>
  <si>
    <t>- Daily FCF baseline - increased every year by the given percentage (once a year at beginning of the year)</t>
  </si>
  <si>
    <t>- FCF = Current Daily Baseline * (1+Weekday factor) * (1+Month factor)</t>
  </si>
  <si>
    <t>Create a Debt Waterfall (daily and dynamic model that also takes into account possible convention changes, using a meaningful unit of currency) on a new sheet and answer the questions with the results from your model.</t>
  </si>
  <si>
    <t>1. Interest on cash balances (assume that this is not part of available FCF) and on the revolver are always made, even if this would mean, that the cash balance would become negative.</t>
  </si>
  <si>
    <t>Senior debt - Tranche 7</t>
  </si>
  <si>
    <t>Senior debt - Tranche 8</t>
  </si>
  <si>
    <t>[Act/365]</t>
  </si>
  <si>
    <t>Class B shares (new) - vesting period</t>
  </si>
  <si>
    <t>One C share is worth 0.4 A shares</t>
  </si>
  <si>
    <t>One B share is worth 0.55 A share</t>
  </si>
  <si>
    <t>Senior debt - Tranche 8 - scheduled repayment</t>
  </si>
  <si>
    <t>Senior debt - Tranche 7 - scheduled repayment</t>
  </si>
  <si>
    <t>Senior debt (Tranche 7)</t>
  </si>
  <si>
    <t>Senior debt (Tranche 8)</t>
  </si>
  <si>
    <t>New Shares</t>
  </si>
  <si>
    <t>Convertible interest debt - Class B share converstion @</t>
  </si>
  <si>
    <t>Subordinated Convertible interest debt - Class B share converstion @</t>
  </si>
  <si>
    <t>(please note that new Class B shares resulting from the conversion must also observe a two-year holding period starting from the conversion date before they become eligible for dividends - with the regular vesting period for Class B shares serving as the minimum requirement; therefore, the later of the regular vesting period for Class B shares and the conversion date plus the two-year waiting period is used)</t>
  </si>
  <si>
    <t>- Cash balances: Daily</t>
  </si>
  <si>
    <t>- Repayment of Senior Debt 2: First day of the month (if weekend-day, then on the next weekday)</t>
  </si>
  <si>
    <t>- Repayment of Senior Debt 3: First day of the month (if weekend-day, then on the next weekday)</t>
  </si>
  <si>
    <t>- Repayment of Senior Debt 6: 15th of each month (if weekend-day, then on the next weekday)</t>
  </si>
  <si>
    <t>- Repayment of Senior Debt 1: First day of the month (regardless if weekday or not)</t>
  </si>
  <si>
    <t>- Repayment of Senior Debt 4: 15th of each month (regardless if weekday or not)</t>
  </si>
  <si>
    <t>- Repayment of Senior Debt 5: 15th of each month (regardless if weekday or not)</t>
  </si>
  <si>
    <t>- Repayment of Senior Debt 7: Last day of the month (regardless if weekday or not)</t>
  </si>
  <si>
    <t>- Repayment of Senior Debt 8: Last weekday of the month</t>
  </si>
  <si>
    <t>- Repayment of Subordinated debt: First day of the month (regardless if weekday or not)</t>
  </si>
  <si>
    <t>Payment dates:</t>
  </si>
  <si>
    <t>- Interest on Subordinate debt: First day of the month (regardless if weekday or not)</t>
  </si>
  <si>
    <t>- Minimum Cash float should be ensured daily</t>
  </si>
  <si>
    <t>- Revolver can be used/repaid daily</t>
  </si>
  <si>
    <t>18. Interest on Subordinated debt (if the full interest amount cannot be paid, the unpaid interest is capitalized into the balance of the subordinated debt)</t>
  </si>
  <si>
    <r>
      <t>20.</t>
    </r>
    <r>
      <rPr>
        <sz val="7"/>
        <color theme="1"/>
        <rFont val="Times New Roman"/>
        <family val="1"/>
      </rPr>
      <t xml:space="preserve"> </t>
    </r>
    <r>
      <rPr>
        <sz val="12"/>
        <color theme="1"/>
        <rFont val="Aptos"/>
        <family val="2"/>
      </rPr>
      <t>Interest on the Convertible interest debt (regular) (no repayments, if the full interest amount cannot be paid, the unpaid interest is converted into Class B equity at $11 per share)</t>
    </r>
  </si>
  <si>
    <t>Subordinated Convertible debt (Tranche 2)</t>
  </si>
  <si>
    <t>Subordinated Convertible interest debt (Tranche 2) - Class B share converstion @</t>
  </si>
  <si>
    <r>
      <t>21.</t>
    </r>
    <r>
      <rPr>
        <sz val="7"/>
        <color theme="1"/>
        <rFont val="Times New Roman"/>
        <family val="1"/>
      </rPr>
      <t xml:space="preserve"> </t>
    </r>
    <r>
      <rPr>
        <sz val="12"/>
        <color theme="1"/>
        <rFont val="Aptos"/>
        <family val="2"/>
      </rPr>
      <t>Interest on the Subordinated Convertible interest debt (no repayments, if the full interest amount cannot be paid, the unpaid interest is converted into Class B equity at $10.5 per share)</t>
    </r>
  </si>
  <si>
    <r>
      <t>22.</t>
    </r>
    <r>
      <rPr>
        <sz val="7"/>
        <color theme="1"/>
        <rFont val="Times New Roman"/>
        <family val="1"/>
      </rPr>
      <t xml:space="preserve"> </t>
    </r>
    <r>
      <rPr>
        <sz val="12"/>
        <color theme="1"/>
        <rFont val="Aptos"/>
        <family val="2"/>
      </rPr>
      <t>Interest on the Subordinated Convertible interest debt (Tranche 2) (no repayments, if the full interest amount cannot be paid, the unpaid interest is converted into Class B equity at $10 per share)</t>
    </r>
  </si>
  <si>
    <t>- Interest on Convertible interest debt (all tranches): Daily</t>
  </si>
  <si>
    <t>This is not a matter of forward planning - payments are not being delayed or suspended in order to cover other priority items in the future; just follow the hierarchie and conditions on a daily basis.</t>
  </si>
  <si>
    <t>- Interest on Senior Debt (all Tranches): First day of the month (regardless if weekday or not)</t>
  </si>
  <si>
    <t xml:space="preserve"> </t>
  </si>
  <si>
    <t>- Profit distributions: Last weekday of every month</t>
  </si>
  <si>
    <t>(equal repayment every month)</t>
  </si>
  <si>
    <t>General inputs</t>
  </si>
  <si>
    <t>Months per year</t>
  </si>
  <si>
    <t>If repayment is rolled forward, catch-up repayment is only possible at the next scheduled payment day.</t>
  </si>
  <si>
    <t>How much cash was used for Dividend Payout in the year 2032?</t>
  </si>
  <si>
    <t>How much cash was used for Interest on Revolver in the year 2032?</t>
  </si>
  <si>
    <t>How much cash was used for Interest on Revolver in the year 2035?</t>
  </si>
  <si>
    <t>How much cash was used for Interest on Revolver in the year 2037?</t>
  </si>
  <si>
    <t>How much cash was used for Interest on Revolver in the year 2038?</t>
  </si>
  <si>
    <t>How much cash was used for Interest on Senior Debt tranches in the year 2034?</t>
  </si>
  <si>
    <t>How much cash was used for Interest Payment Convertible Debt (regular) in the year 2030?</t>
  </si>
  <si>
    <t>How much cash was used for Interest Payment Convertible Debt (regular) in the year 2032?</t>
  </si>
  <si>
    <t>How much cash was used for Interest Payment Subordinated Convertible Debt (both tranches) in the year 2033?</t>
  </si>
  <si>
    <t>How much cash was used for Interest Payment Subordinated Convertible Debt (both tranches) in the year 2034?</t>
  </si>
  <si>
    <t>How much cash was used for Interest Payment Subordinated Debt in the year 2034?</t>
  </si>
  <si>
    <t>How much cash was used for Interest Payment Subordinated Debt in the year 2037?</t>
  </si>
  <si>
    <t>How much cash was used for Repayment of Senior Debt Tranche 1 in the year 2030?</t>
  </si>
  <si>
    <t>How much cash was used for Repayment of Senior Debt Tranche 1 in the year 2031?</t>
  </si>
  <si>
    <t>How much cash was used for Repayment of Senior Debt Tranche 2 in the year 2036?</t>
  </si>
  <si>
    <t>How much cash was used for Repayment of Senior Debt Tranche 5 in the year 2037?</t>
  </si>
  <si>
    <t>How much cash was used for Repayment of Senior Debt Tranche 7 in the year 2037?</t>
  </si>
  <si>
    <t>How much cash was used for Repayment of Senior Debt Tranche 8 in the year 2037?</t>
  </si>
  <si>
    <t>How much cash was used for Repayment of Subordinated Debt in the year 2034?</t>
  </si>
  <si>
    <t>25. Profit distributions: Any excess liquidity (at the date of distribution) is distributed to the shareholders (as long as the cash balance is above min. float as well as the revolver facility repaid fully). Distributions are made in proportion to the number and weighting of shares held eligible for dividends (factoring in the different rights and vesting periods).</t>
  </si>
  <si>
    <t>A company has a complex financing structure, consisting of cash, a revolver facility, eight tranches of senior debt, one tranche of Subordinated debt, three tranches of convertible debt and three classes of equity.</t>
  </si>
  <si>
    <t>The whole model should be a daily model in the end.</t>
  </si>
  <si>
    <t>How much cash was used for Interest Payment Convertible Debt (regular) in the year 2031?</t>
  </si>
  <si>
    <t>How much cash was used for Interest on Revolver in the year 2039?</t>
  </si>
  <si>
    <t>How much cash was used for Interest on Revolver in the year 2036?</t>
  </si>
  <si>
    <t>19. Repayment of Subordinated debt (if funds are not sufficient to repay in total, partial repayment for that month) – repayment every month is equal to the current opening balance for that month divided by the months remaining in the model, subject to available cash)</t>
  </si>
  <si>
    <t>Hint: Some of the factors are quite large relative to their formatting - that's fine as it is.</t>
  </si>
  <si>
    <t>What is the account balance (closing) for Cash on 01/10/2038?</t>
  </si>
  <si>
    <t>What is the account balance (closing) for Cash on 03/08/2039?</t>
  </si>
  <si>
    <t>What is the account balance (closing) for Cash on 03/23/2030?</t>
  </si>
  <si>
    <t>What is the account balance (closing) for Cash on 04/21/2036?</t>
  </si>
  <si>
    <t>What is the account balance (closing) for Cash on 04/24/2030?</t>
  </si>
  <si>
    <t>What is the account balance (closing) for Cash on 04/25/2032?</t>
  </si>
  <si>
    <t>What is the account balance (closing) for Cash on 05/12/2036?</t>
  </si>
  <si>
    <t>What is the account balance (closing) for Cash on 07/27/2034?</t>
  </si>
  <si>
    <t>What is the account balance (closing) for Cash on 09/26/2038?</t>
  </si>
  <si>
    <t>What is the account balance (closing) for Cash on 10/02/2033?</t>
  </si>
  <si>
    <t>What is the account balance (closing) for Cash on 11/18/2038?</t>
  </si>
  <si>
    <t>What is the account balance (closing) for Cash on 12/14/2036?</t>
  </si>
  <si>
    <t>What is the account balance (closing) for Cash on 12/31/2036?</t>
  </si>
  <si>
    <t>What is the account balance (closing) for Class B shares (Equity value) on 02/26/2031?</t>
  </si>
  <si>
    <t>What is the account balance (closing) for Class B shares (Equity value) on 04/17/2030?</t>
  </si>
  <si>
    <t>What is the account balance (closing) for Class B shares (Equity value) on 06/05/2032?</t>
  </si>
  <si>
    <t>What is the account balance (closing) for Class B shares (Equity value) on 06/23/2032?</t>
  </si>
  <si>
    <t>What is the account balance (closing) for Class B shares (Equity value) on 06/25/2033?</t>
  </si>
  <si>
    <t>What is the account balance (closing) for Class B shares (Equity value) on 07/02/2032?</t>
  </si>
  <si>
    <t>What is the account balance (closing) for Class B shares (Equity value) on 12/23/2036?</t>
  </si>
  <si>
    <t>What is the account balance (closing) for Class B shares (Equity value) on 12/24/2033?</t>
  </si>
  <si>
    <t>What is the account balance (closing) for Convertible debt (regular) on 06/04/2034?</t>
  </si>
  <si>
    <t>What is the account balance (closing) for Convertible debt (regular) on 08/13/2030?</t>
  </si>
  <si>
    <t>What is the account balance (closing) for Convertible debt (regular) on 08/29/2035?</t>
  </si>
  <si>
    <t>What is the account balance (closing) for Revolver facility on 02/14/2032?</t>
  </si>
  <si>
    <t>What is the account balance (closing) for Revolver facility on 02/18/2030?</t>
  </si>
  <si>
    <t>What is the account balance (closing) for Revolver facility on 03/08/2034?</t>
  </si>
  <si>
    <t>What is the account balance (closing) for Revolver facility on 11/11/2034?</t>
  </si>
  <si>
    <t>What is the account balance (closing) for Senior debt (Tranche 1) on 01/04/2033?</t>
  </si>
  <si>
    <t>What is the account balance (closing) for Senior debt (Tranche 1) on 06/19/2034?</t>
  </si>
  <si>
    <t>What is the account balance (closing) for Senior debt (Tranche 1) on 10/08/2032?</t>
  </si>
  <si>
    <t>What is the account balance (closing) for Senior debt (Tranche 2) on 03/06/2037?</t>
  </si>
  <si>
    <t>What is the account balance (closing) for Senior debt (Tranche 2) on 04/11/2032?</t>
  </si>
  <si>
    <t>What is the account balance (closing) for Senior debt (Tranche 2) on 09/19/2032?</t>
  </si>
  <si>
    <t>What is the account balance (closing) for Senior debt (Tranche 2) on 11/07/2033?</t>
  </si>
  <si>
    <t>What is the account balance (closing) for Senior debt (Tranche 3) on 02/03/2037?</t>
  </si>
  <si>
    <t>What is the account balance (closing) for Senior debt (Tranche 3) on 04/26/2033?</t>
  </si>
  <si>
    <t>What is the account balance (closing) for Senior debt (Tranche 3) on 07/22/2037?</t>
  </si>
  <si>
    <t>What is the account balance (closing) for Senior debt (Tranche 3) on 08/14/2031?</t>
  </si>
  <si>
    <t>What is the account balance (closing) for Senior debt (Tranche 3) on 11/05/2034?</t>
  </si>
  <si>
    <t>What is the account balance (closing) for Senior debt (Tranche 3) on 12/28/2037?</t>
  </si>
  <si>
    <t>What is the account balance (closing) for Senior debt (Tranche 4) on 01/30/2033?</t>
  </si>
  <si>
    <t>What is the account balance (closing) for Senior debt (Tranche 4) on 03/20/2036?</t>
  </si>
  <si>
    <t>What is the account balance (closing) for Senior debt (Tranche 4) on 08/29/2034?</t>
  </si>
  <si>
    <t>What is the account balance (closing) for Senior debt (Tranche 4) on 08/31/2030?</t>
  </si>
  <si>
    <t>What is the account balance (closing) for Senior debt (Tranche 5) on 02/17/2031?</t>
  </si>
  <si>
    <t>What is the account balance (closing) for Senior debt (Tranche 5) on 02/26/2037?</t>
  </si>
  <si>
    <t>What is the account balance (closing) for Senior debt (Tranche 5) on 06/09/2032?</t>
  </si>
  <si>
    <t>What is the account balance (closing) for Senior debt (Tranche 5) on 09/02/2038?</t>
  </si>
  <si>
    <t>What is the account balance (closing) for Senior debt (Tranche 5) on 09/19/2030?</t>
  </si>
  <si>
    <t>What is the account balance (closing) for Senior debt (Tranche 5) on 12/02/2035?</t>
  </si>
  <si>
    <t>What is the account balance (closing) for Senior debt (Tranche 6) on 01/31/2033?</t>
  </si>
  <si>
    <t>What is the account balance (closing) for Senior debt (Tranche 6) on 03/18/2038?</t>
  </si>
  <si>
    <t>What is the account balance (closing) for Senior debt (Tranche 6) on 06/07/2036?</t>
  </si>
  <si>
    <t>What is the account balance (closing) for Senior debt (Tranche 7) on 08/22/2032?</t>
  </si>
  <si>
    <t>What is the account balance (closing) for Senior debt (Tranche 7) on 09/27/2031?</t>
  </si>
  <si>
    <t>What is the account balance (closing) for Senior debt (Tranche 8) on 07/08/2035?</t>
  </si>
  <si>
    <t>What is the account balance (closing) for Senior debt (Tranche 8) on 08/15/2035?</t>
  </si>
  <si>
    <t>What is the account balance (closing) for Senior debt (Tranche 8) on 08/18/2035?</t>
  </si>
  <si>
    <t>What is the account balance (closing) for Senior debt (Tranche 8) on 12/20/2031?</t>
  </si>
  <si>
    <t>What is the account balance (closing) for Subordinated convertible debt (Tranche 2) on 08/28/2035?</t>
  </si>
  <si>
    <t>What is the account balance (closing) for Subordinated convertible debt on 01/23/2032?</t>
  </si>
  <si>
    <t>What is the account balance (closing) for Subordinated convertible debt on 08/20/2038?</t>
  </si>
  <si>
    <t>What is the account balance (closing) for Subordinated convertible debt on 10/05/2037?</t>
  </si>
  <si>
    <t>What is the account balance (closing) for Subordinated convertible debt on 11/30/2037?</t>
  </si>
  <si>
    <t>What is the account balance (closing) for Subordinated debt on 01/23/2033?</t>
  </si>
  <si>
    <t>What is the account balance (closing) for Subordinated debt on 05/18/2030?</t>
  </si>
  <si>
    <t>What is the account balance (closing) for Subordinated debt on 06/06/2039?</t>
  </si>
  <si>
    <t>What is the account balance (closing) for Subordinated debt on 06/30/2033?</t>
  </si>
  <si>
    <t>What is the account balance (closing) for Subordinated debt on 10/18/2034?</t>
  </si>
  <si>
    <t>What is the account balance (closing) for Subordinated debt on 12/08/2036?</t>
  </si>
  <si>
    <t>What is the account balance (closing) for Revolver facility on 04/13/2033?</t>
  </si>
  <si>
    <t>What is the account balance (closing) for Revolver facility on 05/20/2032?</t>
  </si>
  <si>
    <t>What is the account balance (closing) for Revolver facility on 06/09/2038?</t>
  </si>
  <si>
    <t>What is the account balance (closing) for Revolver facility on 06/12/2035?</t>
  </si>
  <si>
    <t>2. Interest on Senior debt Tranche 8 (if funds are not sufficient to pay interest in total, partial interest payment  – if the full interest payment is not possible, the unpaid portion is capitalized)</t>
  </si>
  <si>
    <t>3. Interest on Senior debt Tranche 7 (if funds are not sufficient to pay interest in total, partial interest payment  – if the full interest payment is not possible, the unpaid portion is capitalized)</t>
  </si>
  <si>
    <t>5. Interest on Senior debt Tranche 5 (if funds are not sufficient to pay interest in total, partial interest payment  – if the full interest payment is not possible, the unpaid portion is capitalized)</t>
  </si>
  <si>
    <t>6. Interest on Senior debt Tranche 4 (if funds are not sufficient to pay interest in total, partial interest payment  – if the full interest payment is not possible, the unpaid portion is capitalized)</t>
  </si>
  <si>
    <t>7. Interest on Senior debt Tranche 3 (if funds are not sufficient to pay interest in total, partial interest payment  – if the full interest payment is not possible, the unpaid portion is capitalized)</t>
  </si>
  <si>
    <t>8. Interest on Senior debt Tranche 2 (if funds are not sufficient to pay interest in total, partial interest payment  – if the full interest payment is not possible, the unpaid portion is capitalized)</t>
  </si>
  <si>
    <t>9. Interest on Senior debt Tranche 1 (if funds are not sufficient to pay interest in total, partial interest payment  – if the full interest payment is not possible, the unpaid portion is capitalized)</t>
  </si>
  <si>
    <t>(January, 1st)</t>
  </si>
  <si>
    <t>4. Interest on Senior debt Tranche 6 (if funds are not sufficient to pay interest in total, partial interest payment  – if the full interest payment is not possible, the unpaid portion is capitalized)</t>
  </si>
  <si>
    <t>10. Repayment of Senior debt Tranche 8 (if funds are not sufficient to repay in total, partial repayment for that month – if the full scheduled repayment is not possible, the unpaid portion is added to the next payment date's obligation. On the next scheduled payment day, the required repayment equals the difference between the actual outstanding balance and the scheduled remaining balance (i.e., the standard monthly installment plus any accumulated unpaid prior installments and any capitalized interest), subject to available cash)</t>
  </si>
  <si>
    <t>11. Repayment of Senior debt Tranche 7 (if funds are not sufficient to repay in total, partial repayment for that month – if the full scheduled repayment is not possible, the unpaid portion is added to the next payment date's obligation. On the next scheduled payment day, the required repayment equals the difference between the actual outstanding balance and the scheduled remaining balance (i.e., the standard monthly installment plus any accumulated unpaid prior installments and any capitalized interest), subject to available cash)</t>
  </si>
  <si>
    <t>12. Repayment of Senior debt Tranche 6 (if funds are not sufficient to repay in total, partial repayment for that month – if the full scheduled repayment is not possible, the unpaid portion is added to the next payment date's obligation. On the next scheduled payment day, the required repayment equals the difference between the actual outstanding balance and the scheduled remaining balance (i.e., the standard monthly installment plus any accumulated unpaid prior installments and any capitalized interest), subject to available cash)</t>
  </si>
  <si>
    <t>13. Repayment of Senior debt Tranche 5 (if funds are not sufficient to repay in total, partial repayment for that month – if the full scheduled repayment is not possible, the unpaid portion is added to the next payment date's obligation. On the next scheduled payment day, the required repayment equals the difference between the actual outstanding balance and the scheduled remaining balance (i.e., the standard monthly installment plus any accumulated unpaid prior installments and any capitalized interest), subject to available cash)</t>
  </si>
  <si>
    <t>14. Repayment of Senior debt Tranche 4 (if funds are not sufficient to repay in total, partial repayment for that month – if the full scheduled repayment is not possible, the unpaid portion is added to the next payment date's obligation. On the next scheduled payment day, the required repayment equals the difference between the actual outstanding balance and the scheduled remaining balance (i.e., the standard monthly installment plus any accumulated unpaid prior installments and any capitalized interest), subject to available cash)</t>
  </si>
  <si>
    <t>15. Repayment of Senior debt Tranche 3 (if funds are not sufficient to repay in total, partial repayment for that month – if the full scheduled repayment is not possible, the unpaid portion is added to the next payment date's obligation. On the next scheduled payment day, the required repayment equals the difference between the actual outstanding balance and the scheduled remaining balance (i.e., the standard monthly installment plus any accumulated unpaid prior installments and any capitalized interest), subject to available cash)</t>
  </si>
  <si>
    <t>16. Repayment of Senior debt Tranche 2 (if funds are not sufficient to repay in total, partial repayment for that month – if the full scheduled repayment is not possible, the unpaid portion is added to the next payment date's obligation. On the next scheduled payment day, the required repayment equals the difference between the actual outstanding balance and the scheduled remaining balance (i.e., the standard monthly installment plus any accumulated unpaid prior installments and any capitalized interest), subject to available cash)</t>
  </si>
  <si>
    <t>17. Repayment of Senior debt Tranche 1 (if funds are not sufficient to repay in total, partial repayment for that month – if the full scheduled repayment is not possible, the unpaid portion is added to the next payment date's obligation. On the next scheduled payment day, the required repayment equals the difference between the actual outstanding balance and the scheduled remaining balance (i.e., the standard monthly installment plus any accumulated unpaid prior installments and any capitalized interest), subject to available cash)</t>
  </si>
  <si>
    <t>All payments are made at the end of the day. For instruments with daily interest (cash, convertibles), interest accrues daily based on each day's opening balance. For instruments with monthly interest payments (senior debt, subordinated debt), interest is calculated on the payment date based on the opening balance on that same day (i.e., the closing balance of the prior day) and the number of days in the current calendar month (per the applicable day count convention), and paid as a lump sum on the payment date.</t>
  </si>
  <si>
    <t>23/24. Ensure minimum cash float and manage the revolver: Draw the revolver to bring cash to the minimum float (up to the revolver limit), or repay outstanding revolver draws from any excess above the minimum float.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</si>
</sst>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0.00_);\(#,##0.00\);\-"/>
  </numFmts>
  <fonts count="18">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0"/>
      <color rgb="FF0000FF"/>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rial"/>
      <family val="2"/>
    </font>
    <font>
      <sz val="10"/>
      <color rgb="FF0000FF"/>
      <name val="Arial"/>
      <family val="2"/>
    </font>
    <font>
      <sz val="8"/>
      <name val="Aptos Narrow"/>
      <family val="2"/>
      <scheme val="minor"/>
    </font>
    <font>
      <sz val="11"/>
      <color theme="1"/>
      <name val="Roboto"/>
    </font>
    <font>
      <sz val="11"/>
      <name val="Roboto"/>
    </font>
    <font>
      <b/>
      <sz val="48"/>
      <color theme="0"/>
      <name val="ROBOTECH GP"/>
      <family val="2"/>
    </font>
    <font>
      <b/>
      <sz val="24"/>
      <color theme="0"/>
      <name val="ROBOTECH GP"/>
      <family val="2"/>
    </font>
    <font>
      <sz val="12"/>
      <color theme="1"/>
      <name val="Aptos"/>
      <family val="2"/>
    </font>
    <font>
      <sz val="7"/>
      <color theme="1"/>
      <name val="Times New Roman"/>
      <family val="1"/>
    </font>
    <font>
      <b/>
      <sz val="12"/>
      <color theme="1"/>
      <name val="Aptos Narrow"/>
      <family val="2"/>
      <scheme val="minor"/>
    </font>
  </fonts>
  <fills count="7">
    <fill>
      <patternFill patternType="none"/>
    </fill>
    <fill>
      <patternFill patternType="gray125"/>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gradientFill>
        <stop position="0">
          <color rgb="FF007B00"/>
        </stop>
        <stop position="1">
          <color rgb="FF020024"/>
        </stop>
      </gradientFill>
    </fill>
    <fill>
      <patternFill patternType="solid">
        <fgColor theme="7" tint="0.79998168889431442"/>
        <bgColor indexed="64"/>
      </patternFill>
    </fill>
  </fills>
  <borders count="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8">
    <xf numFmtId="0" fontId="0" fillId="0" borderId="0"/>
    <xf numFmtId="0" fontId="1" fillId="0" borderId="0"/>
    <xf numFmtId="0" fontId="3" fillId="0" borderId="0"/>
    <xf numFmtId="9" fontId="1" fillId="0" borderId="0" applyFont="0" applyFill="0" applyBorder="0" applyAlignment="0" applyProtection="0"/>
    <xf numFmtId="4" fontId="6" fillId="3" borderId="1">
      <alignment horizontal="left"/>
    </xf>
    <xf numFmtId="164" fontId="8" fillId="0" borderId="0" applyBorder="0"/>
    <xf numFmtId="164" fontId="9" fillId="2" borderId="2">
      <protection locked="0"/>
    </xf>
    <xf numFmtId="0" fontId="9" fillId="0" borderId="0" applyNumberFormat="0" applyFill="0" applyBorder="0">
      <alignment horizontal="right"/>
    </xf>
  </cellStyleXfs>
  <cellXfs count="34">
    <xf numFmtId="0" fontId="0" fillId="0" borderId="0" xfId="0"/>
    <xf numFmtId="4" fontId="0" fillId="0" borderId="0" xfId="0" applyNumberFormat="1"/>
    <xf numFmtId="0" fontId="2" fillId="0" borderId="0" xfId="0" applyFont="1"/>
    <xf numFmtId="0" fontId="5" fillId="0" borderId="0" xfId="0" applyFont="1"/>
    <xf numFmtId="4" fontId="5" fillId="2" borderId="2" xfId="0" applyNumberFormat="1" applyFont="1" applyFill="1" applyBorder="1"/>
    <xf numFmtId="4" fontId="7" fillId="4" borderId="1" xfId="4" applyFont="1" applyFill="1">
      <alignment horizontal="left"/>
    </xf>
    <xf numFmtId="4" fontId="2" fillId="4" borderId="1" xfId="4" applyFont="1" applyFill="1">
      <alignment horizontal="left"/>
    </xf>
    <xf numFmtId="10" fontId="5" fillId="2" borderId="2" xfId="3" applyNumberFormat="1" applyFont="1" applyFill="1" applyBorder="1"/>
    <xf numFmtId="0" fontId="4" fillId="0" borderId="0" xfId="0" applyFont="1"/>
    <xf numFmtId="14" fontId="5" fillId="2" borderId="2" xfId="0" applyNumberFormat="1" applyFont="1" applyFill="1" applyBorder="1"/>
    <xf numFmtId="3" fontId="5" fillId="2" borderId="2" xfId="0" applyNumberFormat="1" applyFont="1" applyFill="1" applyBorder="1"/>
    <xf numFmtId="1" fontId="5" fillId="2" borderId="2" xfId="0" applyNumberFormat="1" applyFont="1" applyFill="1" applyBorder="1"/>
    <xf numFmtId="0" fontId="11" fillId="0" borderId="0" xfId="1" applyFont="1"/>
    <xf numFmtId="0" fontId="12" fillId="0" borderId="0" xfId="1" applyFont="1"/>
    <xf numFmtId="0" fontId="11" fillId="0" borderId="0" xfId="1" applyFont="1" applyAlignment="1">
      <alignment horizontal="center"/>
    </xf>
    <xf numFmtId="0" fontId="12" fillId="0" borderId="0" xfId="1" applyFont="1" applyAlignment="1">
      <alignment horizontal="center"/>
    </xf>
    <xf numFmtId="0" fontId="15" fillId="0" borderId="0" xfId="0" applyFont="1" applyAlignment="1">
      <alignment vertical="center"/>
    </xf>
    <xf numFmtId="0" fontId="15" fillId="0" borderId="0" xfId="0" applyFont="1" applyAlignment="1">
      <alignment horizontal="left" vertical="center" indent="6"/>
    </xf>
    <xf numFmtId="10" fontId="0" fillId="0" borderId="0" xfId="0" applyNumberFormat="1"/>
    <xf numFmtId="0" fontId="17" fillId="0" borderId="0" xfId="2" applyFont="1"/>
    <xf numFmtId="0" fontId="3" fillId="0" borderId="0" xfId="2"/>
    <xf numFmtId="0" fontId="11" fillId="0" borderId="0" xfId="1" applyFont="1" applyAlignment="1">
      <alignment horizontal="left"/>
    </xf>
    <xf numFmtId="4" fontId="11" fillId="6" borderId="2" xfId="1" applyNumberFormat="1" applyFont="1" applyFill="1" applyBorder="1" applyAlignment="1">
      <alignment horizontal="center"/>
    </xf>
    <xf numFmtId="0" fontId="0" fillId="0" borderId="0" xfId="0" quotePrefix="1"/>
    <xf numFmtId="0" fontId="15" fillId="0" borderId="0" xfId="0" quotePrefix="1" applyFont="1" applyAlignment="1">
      <alignment vertical="center"/>
    </xf>
    <xf numFmtId="0" fontId="15" fillId="0" borderId="0" xfId="0" quotePrefix="1" applyFont="1" applyAlignment="1">
      <alignment horizontal="left" vertical="center"/>
    </xf>
    <xf numFmtId="165" fontId="9" fillId="0" borderId="0" xfId="7" applyNumberFormat="1" applyAlignment="1">
      <alignment horizontal="left"/>
    </xf>
    <xf numFmtId="0" fontId="0" fillId="0" borderId="0" xfId="0" applyAlignment="1">
      <alignment horizontal="left"/>
    </xf>
    <xf numFmtId="4" fontId="5" fillId="0" borderId="0" xfId="0" applyNumberFormat="1" applyFont="1"/>
    <xf numFmtId="0" fontId="13" fillId="5" borderId="3" xfId="2" applyFont="1" applyFill="1" applyBorder="1" applyAlignment="1">
      <alignment horizontal="center" vertical="center"/>
    </xf>
    <xf numFmtId="0" fontId="13" fillId="5" borderId="1" xfId="2" applyFont="1" applyFill="1" applyBorder="1" applyAlignment="1">
      <alignment horizontal="center" vertical="center"/>
    </xf>
    <xf numFmtId="0" fontId="13" fillId="5" borderId="4" xfId="2" applyFont="1" applyFill="1" applyBorder="1" applyAlignment="1">
      <alignment horizontal="center" vertical="center"/>
    </xf>
    <xf numFmtId="0" fontId="14" fillId="5" borderId="5" xfId="2" applyFont="1" applyFill="1" applyBorder="1" applyAlignment="1">
      <alignment horizontal="center" vertical="center"/>
    </xf>
    <xf numFmtId="0" fontId="14" fillId="5" borderId="0" xfId="2" applyFont="1" applyFill="1" applyAlignment="1">
      <alignment horizontal="center" vertical="center"/>
    </xf>
  </cellXfs>
  <cellStyles count="8">
    <cellStyle name="M Section Header" xfId="4" xr:uid="{F944F0E6-F034-49F8-8B3F-D0C9E50BA2F6}"/>
    <cellStyle name="M Units" xfId="7" xr:uid="{B591442F-CADB-4FD5-9324-DD1119747805}"/>
    <cellStyle name="M-A 0dp" xfId="6" xr:uid="{80AB76FC-3C43-4EFF-B2A6-1E81FFBC781B}"/>
    <cellStyle name="M-C 0dp Num" xfId="5" xr:uid="{C7EF620F-9501-4FBB-93FF-813E47ED464B}"/>
    <cellStyle name="Normal" xfId="0" builtinId="0"/>
    <cellStyle name="Normal 2" xfId="2" xr:uid="{037B3D13-DA10-4240-9E6B-55FD128391C9}"/>
    <cellStyle name="Normal 3" xfId="1" xr:uid="{1C87C372-71EA-4FEE-904D-475CC6E05479}"/>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05585-2C4B-4272-9AD0-C24F524B71E1}">
  <sheetPr>
    <tabColor theme="8" tint="-0.249977111117893"/>
  </sheetPr>
  <dimension ref="A1:K66"/>
  <sheetViews>
    <sheetView showGridLines="0" tabSelected="1" zoomScale="79" zoomScaleNormal="80" zoomScaleSheetLayoutView="100" workbookViewId="0"/>
  </sheetViews>
  <sheetFormatPr defaultColWidth="5.21875" defaultRowHeight="14.4"/>
  <cols>
    <col min="1" max="1" width="1.88671875" style="12" customWidth="1"/>
    <col min="2" max="2" width="32.109375" style="14" customWidth="1"/>
    <col min="3" max="3" width="17.109375" style="14" bestFit="1" customWidth="1"/>
    <col min="4" max="4" width="20.88671875" style="14" bestFit="1" customWidth="1"/>
    <col min="5" max="5" width="24.109375" style="14" customWidth="1"/>
    <col min="6" max="6" width="21.5546875" style="14" customWidth="1"/>
    <col min="7" max="7" width="26.33203125" style="14" bestFit="1" customWidth="1"/>
    <col min="8" max="8" width="40.109375" style="14" customWidth="1"/>
    <col min="9" max="9" width="23.5546875" style="15" customWidth="1"/>
    <col min="10" max="10" width="23.5546875" style="13" customWidth="1"/>
    <col min="11" max="11" width="27.77734375" style="13" customWidth="1"/>
    <col min="12" max="12" width="20.5546875" style="13" customWidth="1"/>
    <col min="13" max="376" width="11.109375" style="13" bestFit="1" customWidth="1"/>
    <col min="377" max="377" width="5.21875" style="13"/>
    <col min="378" max="383" width="9.6640625" style="13" customWidth="1"/>
    <col min="384" max="384" width="5.21875" style="13"/>
    <col min="385" max="393" width="9.6640625" style="13" customWidth="1"/>
    <col min="394" max="16384" width="5.21875" style="13"/>
  </cols>
  <sheetData>
    <row r="1" spans="2:11" ht="15" customHeight="1">
      <c r="B1" s="12"/>
      <c r="C1" s="12"/>
      <c r="D1" s="12"/>
      <c r="E1" s="12"/>
      <c r="F1" s="12"/>
      <c r="G1" s="12"/>
      <c r="H1" s="12"/>
      <c r="I1" s="12"/>
      <c r="J1" s="12"/>
      <c r="K1" s="12"/>
    </row>
    <row r="2" spans="2:11" ht="60.75" customHeight="1">
      <c r="B2" s="29" t="s">
        <v>32</v>
      </c>
      <c r="C2" s="30"/>
      <c r="D2" s="30"/>
      <c r="E2" s="30"/>
      <c r="F2" s="30"/>
      <c r="G2" s="30"/>
      <c r="H2" s="30"/>
      <c r="I2" s="30"/>
      <c r="J2" s="30"/>
      <c r="K2" s="31"/>
    </row>
    <row r="3" spans="2:11" ht="15" customHeight="1">
      <c r="B3" s="12"/>
      <c r="C3" s="12"/>
      <c r="D3" s="12"/>
      <c r="E3" s="12"/>
      <c r="F3" s="12"/>
      <c r="G3" s="12"/>
      <c r="H3" s="12"/>
      <c r="I3" s="12"/>
      <c r="J3" s="12"/>
      <c r="K3" s="12"/>
    </row>
    <row r="4" spans="2:11" ht="33.75" customHeight="1">
      <c r="B4" s="32" t="s">
        <v>74</v>
      </c>
      <c r="C4" s="33"/>
      <c r="D4" s="33"/>
      <c r="E4" s="33"/>
      <c r="F4" s="33"/>
      <c r="G4" s="33"/>
      <c r="H4" s="33"/>
      <c r="I4" s="33"/>
      <c r="J4" s="12"/>
    </row>
    <row r="5" spans="2:11" ht="15" customHeight="1">
      <c r="B5" s="12"/>
      <c r="C5" s="12"/>
      <c r="D5" s="12"/>
      <c r="E5" s="12"/>
      <c r="F5" s="12"/>
      <c r="G5" s="12"/>
      <c r="H5" s="12"/>
      <c r="I5" s="12"/>
      <c r="J5" s="12"/>
      <c r="K5" s="12"/>
    </row>
    <row r="6" spans="2:11" ht="15.6">
      <c r="B6" s="16" t="s">
        <v>167</v>
      </c>
    </row>
    <row r="7" spans="2:11" ht="15.6">
      <c r="B7" s="16" t="s">
        <v>69</v>
      </c>
    </row>
    <row r="8" spans="2:11" ht="15.6">
      <c r="B8" s="16" t="s">
        <v>54</v>
      </c>
    </row>
    <row r="9" spans="2:11" ht="15.6">
      <c r="B9" s="16" t="s">
        <v>168</v>
      </c>
    </row>
    <row r="10" spans="2:11" ht="15.6">
      <c r="B10" s="16" t="s">
        <v>266</v>
      </c>
    </row>
    <row r="11" spans="2:11" ht="15.6">
      <c r="B11" s="16" t="s">
        <v>99</v>
      </c>
    </row>
    <row r="12" spans="2:11" ht="15.6">
      <c r="B12" s="16" t="s">
        <v>98</v>
      </c>
    </row>
    <row r="13" spans="2:11" ht="15.6">
      <c r="B13" s="24" t="s">
        <v>100</v>
      </c>
    </row>
    <row r="14" spans="2:11" ht="15.6">
      <c r="B14" s="24" t="s">
        <v>101</v>
      </c>
    </row>
    <row r="15" spans="2:11" ht="15.6">
      <c r="B15" s="24" t="s">
        <v>173</v>
      </c>
    </row>
    <row r="16" spans="2:11" ht="15.6">
      <c r="B16" s="16"/>
    </row>
    <row r="17" spans="2:2" ht="15.6">
      <c r="B17" s="16" t="s">
        <v>33</v>
      </c>
    </row>
    <row r="18" spans="2:2" ht="15.6">
      <c r="B18" s="17" t="s">
        <v>103</v>
      </c>
    </row>
    <row r="19" spans="2:2" ht="15.6">
      <c r="B19" s="17" t="s">
        <v>249</v>
      </c>
    </row>
    <row r="20" spans="2:2" ht="15.6">
      <c r="B20" s="17" t="s">
        <v>250</v>
      </c>
    </row>
    <row r="21" spans="2:2" ht="15.6">
      <c r="B21" s="17" t="s">
        <v>257</v>
      </c>
    </row>
    <row r="22" spans="2:2" ht="15.6">
      <c r="B22" s="17" t="s">
        <v>251</v>
      </c>
    </row>
    <row r="23" spans="2:2" ht="15.6">
      <c r="B23" s="17" t="s">
        <v>252</v>
      </c>
    </row>
    <row r="24" spans="2:2" ht="15.6">
      <c r="B24" s="17" t="s">
        <v>253</v>
      </c>
    </row>
    <row r="25" spans="2:2" ht="15.6">
      <c r="B25" s="17" t="s">
        <v>254</v>
      </c>
    </row>
    <row r="26" spans="2:2" ht="15.6">
      <c r="B26" s="17" t="s">
        <v>255</v>
      </c>
    </row>
    <row r="27" spans="2:2" ht="15.6">
      <c r="B27" s="17" t="s">
        <v>258</v>
      </c>
    </row>
    <row r="28" spans="2:2" ht="15.6">
      <c r="B28" s="17" t="s">
        <v>259</v>
      </c>
    </row>
    <row r="29" spans="2:2" ht="15.6">
      <c r="B29" s="17" t="s">
        <v>260</v>
      </c>
    </row>
    <row r="30" spans="2:2" ht="15.6">
      <c r="B30" s="17" t="s">
        <v>261</v>
      </c>
    </row>
    <row r="31" spans="2:2" ht="15.6">
      <c r="B31" s="17" t="s">
        <v>262</v>
      </c>
    </row>
    <row r="32" spans="2:2" ht="15.6">
      <c r="B32" s="17" t="s">
        <v>263</v>
      </c>
    </row>
    <row r="33" spans="2:2" ht="15.6">
      <c r="B33" s="17" t="s">
        <v>264</v>
      </c>
    </row>
    <row r="34" spans="2:2" ht="15.6">
      <c r="B34" s="17" t="s">
        <v>265</v>
      </c>
    </row>
    <row r="35" spans="2:2" ht="15.6">
      <c r="B35" s="17" t="s">
        <v>132</v>
      </c>
    </row>
    <row r="36" spans="2:2" ht="15.6">
      <c r="B36" s="17" t="s">
        <v>172</v>
      </c>
    </row>
    <row r="37" spans="2:2" ht="15.6">
      <c r="B37" s="17" t="s">
        <v>133</v>
      </c>
    </row>
    <row r="38" spans="2:2" ht="15.6">
      <c r="B38" s="17" t="s">
        <v>136</v>
      </c>
    </row>
    <row r="39" spans="2:2" ht="15.6">
      <c r="B39" s="17" t="s">
        <v>137</v>
      </c>
    </row>
    <row r="40" spans="2:2" ht="15.6">
      <c r="B40" s="17" t="s">
        <v>267</v>
      </c>
    </row>
    <row r="41" spans="2:2" ht="15.6">
      <c r="B41" s="17" t="s">
        <v>166</v>
      </c>
    </row>
    <row r="42" spans="2:2" ht="15.6">
      <c r="B42" s="17" t="s">
        <v>117</v>
      </c>
    </row>
    <row r="43" spans="2:2" ht="15.6">
      <c r="B43" s="17"/>
    </row>
    <row r="44" spans="2:2" ht="15.6">
      <c r="B44" s="16" t="s">
        <v>128</v>
      </c>
    </row>
    <row r="45" spans="2:2" ht="15.6">
      <c r="B45" s="25" t="s">
        <v>118</v>
      </c>
    </row>
    <row r="46" spans="2:2" ht="15.6">
      <c r="B46" s="25" t="s">
        <v>140</v>
      </c>
    </row>
    <row r="47" spans="2:2" ht="15.6">
      <c r="B47" s="24" t="s">
        <v>122</v>
      </c>
    </row>
    <row r="48" spans="2:2" ht="15.6">
      <c r="B48" s="24" t="s">
        <v>119</v>
      </c>
    </row>
    <row r="49" spans="2:2" ht="15.6">
      <c r="B49" s="24" t="s">
        <v>120</v>
      </c>
    </row>
    <row r="50" spans="2:2" ht="15.6">
      <c r="B50" s="24" t="s">
        <v>123</v>
      </c>
    </row>
    <row r="51" spans="2:2" ht="15.6">
      <c r="B51" s="24" t="s">
        <v>124</v>
      </c>
    </row>
    <row r="52" spans="2:2" ht="15.6">
      <c r="B52" s="24" t="s">
        <v>121</v>
      </c>
    </row>
    <row r="53" spans="2:2" ht="15.6">
      <c r="B53" s="24" t="s">
        <v>125</v>
      </c>
    </row>
    <row r="54" spans="2:2" ht="15.6">
      <c r="B54" s="24" t="s">
        <v>126</v>
      </c>
    </row>
    <row r="55" spans="2:2" ht="15.6">
      <c r="B55" s="24" t="s">
        <v>129</v>
      </c>
    </row>
    <row r="56" spans="2:2" ht="15.6">
      <c r="B56" s="24" t="s">
        <v>127</v>
      </c>
    </row>
    <row r="57" spans="2:2" ht="15.6">
      <c r="B57" s="24" t="s">
        <v>138</v>
      </c>
    </row>
    <row r="58" spans="2:2" ht="15.6">
      <c r="B58" s="24" t="s">
        <v>130</v>
      </c>
    </row>
    <row r="59" spans="2:2" ht="15.6">
      <c r="B59" s="24" t="s">
        <v>131</v>
      </c>
    </row>
    <row r="60" spans="2:2" ht="15.6">
      <c r="B60" s="24" t="s">
        <v>142</v>
      </c>
    </row>
    <row r="61" spans="2:2" ht="15.6">
      <c r="B61" s="24"/>
    </row>
    <row r="62" spans="2:2" ht="15.6">
      <c r="B62" s="24" t="s">
        <v>146</v>
      </c>
    </row>
    <row r="63" spans="2:2" ht="15.6">
      <c r="B63" s="24" t="s">
        <v>139</v>
      </c>
    </row>
    <row r="64" spans="2:2" ht="15.6">
      <c r="B64" s="16"/>
    </row>
    <row r="65" spans="2:2" ht="15.6">
      <c r="B65" s="16" t="s">
        <v>102</v>
      </c>
    </row>
    <row r="66" spans="2:2" ht="15.6">
      <c r="B66" s="16" t="s">
        <v>71</v>
      </c>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P131"/>
  <sheetViews>
    <sheetView showGridLines="0" zoomScale="84" workbookViewId="0"/>
  </sheetViews>
  <sheetFormatPr defaultRowHeight="14.4"/>
  <cols>
    <col min="1" max="1" width="4.77734375" style="2" customWidth="1"/>
    <col min="2" max="2" width="5.33203125" style="2" customWidth="1"/>
    <col min="3" max="3" width="67.88671875" bestFit="1" customWidth="1"/>
    <col min="4" max="4" width="10.109375" bestFit="1" customWidth="1"/>
    <col min="5" max="5" width="9.88671875" bestFit="1" customWidth="1"/>
    <col min="6" max="7" width="9" customWidth="1"/>
    <col min="8" max="8" width="10.109375" bestFit="1" customWidth="1"/>
    <col min="9" max="9" width="9.21875" bestFit="1" customWidth="1"/>
    <col min="10" max="10" width="9.109375" bestFit="1" customWidth="1"/>
    <col min="11" max="14" width="10.21875" bestFit="1" customWidth="1"/>
    <col min="15" max="17" width="9.109375" bestFit="1" customWidth="1"/>
    <col min="18" max="18" width="9.77734375" bestFit="1" customWidth="1"/>
    <col min="19" max="19" width="9.109375" bestFit="1" customWidth="1"/>
    <col min="20" max="20" width="9" bestFit="1" customWidth="1"/>
    <col min="21" max="22" width="9.109375" bestFit="1" customWidth="1"/>
    <col min="23" max="25" width="9" bestFit="1" customWidth="1"/>
    <col min="26" max="26" width="9.77734375" bestFit="1" customWidth="1"/>
    <col min="27" max="30" width="9.109375" bestFit="1" customWidth="1"/>
    <col min="31" max="32" width="9" bestFit="1" customWidth="1"/>
    <col min="33" max="35" width="9.109375" bestFit="1" customWidth="1"/>
    <col min="36" max="36" width="9" bestFit="1" customWidth="1"/>
    <col min="37" max="45" width="9.109375" bestFit="1" customWidth="1"/>
    <col min="46" max="46" width="9.77734375" bestFit="1" customWidth="1"/>
    <col min="47" max="48" width="9.109375" bestFit="1" customWidth="1"/>
    <col min="49" max="50" width="9" bestFit="1" customWidth="1"/>
    <col min="51" max="53" width="9.109375" bestFit="1" customWidth="1"/>
    <col min="54" max="54" width="9.77734375" bestFit="1" customWidth="1"/>
    <col min="55" max="55" width="9.109375" bestFit="1" customWidth="1"/>
    <col min="56" max="56" width="9" bestFit="1" customWidth="1"/>
    <col min="57" max="57" width="9.109375" bestFit="1" customWidth="1"/>
    <col min="58" max="59" width="9" bestFit="1" customWidth="1"/>
    <col min="60" max="60" width="9.109375" bestFit="1" customWidth="1"/>
    <col min="61" max="61" width="9.77734375" bestFit="1" customWidth="1"/>
    <col min="62" max="62" width="9.109375" bestFit="1" customWidth="1"/>
    <col min="63" max="63" width="9" bestFit="1" customWidth="1"/>
    <col min="64" max="64" width="9.109375" bestFit="1" customWidth="1"/>
    <col min="65" max="65" width="9" bestFit="1" customWidth="1"/>
    <col min="66" max="69" width="9.109375" bestFit="1" customWidth="1"/>
    <col min="70" max="70" width="9.77734375" bestFit="1" customWidth="1"/>
    <col min="71" max="71" width="9" bestFit="1" customWidth="1"/>
    <col min="72" max="74" width="9.109375" bestFit="1" customWidth="1"/>
    <col min="75" max="75" width="9" bestFit="1" customWidth="1"/>
    <col min="76" max="77" width="9.109375" bestFit="1" customWidth="1"/>
    <col min="78" max="80" width="9" bestFit="1" customWidth="1"/>
    <col min="81" max="84" width="9.109375" bestFit="1" customWidth="1"/>
    <col min="85" max="85" width="9.77734375" bestFit="1" customWidth="1"/>
    <col min="86" max="86" width="9.109375" bestFit="1" customWidth="1"/>
    <col min="87" max="89" width="9" bestFit="1" customWidth="1"/>
    <col min="90" max="90" width="9.109375" bestFit="1" customWidth="1"/>
    <col min="91" max="91" width="9.77734375" bestFit="1" customWidth="1"/>
    <col min="92" max="96" width="9.109375" bestFit="1" customWidth="1"/>
    <col min="97" max="97" width="9" bestFit="1" customWidth="1"/>
    <col min="98" max="103" width="9.109375" bestFit="1" customWidth="1"/>
    <col min="104" max="104" width="9" bestFit="1" customWidth="1"/>
    <col min="105" max="106" width="9.109375" bestFit="1" customWidth="1"/>
    <col min="107" max="107" width="9" bestFit="1" customWidth="1"/>
    <col min="108" max="108" width="9.109375" bestFit="1" customWidth="1"/>
    <col min="109" max="109" width="9.77734375" bestFit="1" customWidth="1"/>
    <col min="110" max="113" width="9.109375" bestFit="1" customWidth="1"/>
    <col min="114" max="114" width="9.77734375" bestFit="1" customWidth="1"/>
    <col min="115" max="116" width="9.109375" bestFit="1" customWidth="1"/>
    <col min="117" max="118" width="9.77734375" bestFit="1" customWidth="1"/>
    <col min="119" max="119" width="9.109375" bestFit="1" customWidth="1"/>
    <col min="120" max="123" width="9.77734375" bestFit="1" customWidth="1"/>
    <col min="124" max="130" width="9.109375" bestFit="1" customWidth="1"/>
    <col min="131" max="131" width="9" bestFit="1" customWidth="1"/>
    <col min="132" max="132" width="9.109375" bestFit="1" customWidth="1"/>
    <col min="133" max="133" width="9" bestFit="1" customWidth="1"/>
    <col min="134" max="135" width="9.109375" bestFit="1" customWidth="1"/>
    <col min="136" max="136" width="9.77734375" bestFit="1" customWidth="1"/>
    <col min="137" max="138" width="9.109375" bestFit="1" customWidth="1"/>
    <col min="139" max="139" width="9" bestFit="1" customWidth="1"/>
    <col min="140" max="141" width="9.109375" bestFit="1" customWidth="1"/>
    <col min="142" max="143" width="9.77734375" bestFit="1" customWidth="1"/>
    <col min="144" max="146" width="9.109375" bestFit="1" customWidth="1"/>
    <col min="147" max="148" width="9" bestFit="1" customWidth="1"/>
    <col min="149" max="151" width="9.109375" bestFit="1" customWidth="1"/>
    <col min="152" max="152" width="9" bestFit="1" customWidth="1"/>
    <col min="153" max="154" width="9.77734375" bestFit="1" customWidth="1"/>
    <col min="155" max="155" width="9.109375" bestFit="1" customWidth="1"/>
    <col min="156" max="156" width="9" bestFit="1" customWidth="1"/>
    <col min="157" max="162" width="9.109375" bestFit="1" customWidth="1"/>
    <col min="163" max="163" width="9" bestFit="1" customWidth="1"/>
    <col min="164" max="168" width="9.109375" bestFit="1" customWidth="1"/>
    <col min="169" max="169" width="9" bestFit="1" customWidth="1"/>
    <col min="170" max="170" width="9.109375" bestFit="1" customWidth="1"/>
    <col min="171" max="171" width="9.77734375" bestFit="1" customWidth="1"/>
    <col min="172" max="175" width="9.109375" bestFit="1" customWidth="1"/>
    <col min="176" max="176" width="9" bestFit="1" customWidth="1"/>
    <col min="177" max="184" width="9.109375" bestFit="1" customWidth="1"/>
    <col min="185" max="185" width="9.77734375" bestFit="1" customWidth="1"/>
    <col min="186" max="190" width="9.109375" bestFit="1" customWidth="1"/>
    <col min="191" max="191" width="10.109375" bestFit="1" customWidth="1"/>
    <col min="192" max="192" width="9" bestFit="1" customWidth="1"/>
    <col min="193" max="193" width="9.77734375" bestFit="1" customWidth="1"/>
    <col min="194" max="195" width="9.109375" bestFit="1" customWidth="1"/>
    <col min="196" max="196" width="10.109375" bestFit="1" customWidth="1"/>
    <col min="197" max="198" width="9.109375" bestFit="1" customWidth="1"/>
    <col min="199" max="199" width="9.77734375" bestFit="1" customWidth="1"/>
    <col min="200" max="200" width="9.109375" bestFit="1" customWidth="1"/>
    <col min="201" max="201" width="9" bestFit="1" customWidth="1"/>
    <col min="202" max="203" width="10.109375" bestFit="1" customWidth="1"/>
    <col min="204" max="204" width="9" bestFit="1" customWidth="1"/>
    <col min="205" max="207" width="9.109375" bestFit="1" customWidth="1"/>
    <col min="208" max="208" width="10.77734375" bestFit="1" customWidth="1"/>
    <col min="209" max="209" width="9.109375" bestFit="1" customWidth="1"/>
    <col min="210" max="210" width="9" bestFit="1" customWidth="1"/>
    <col min="211" max="211" width="10.109375" bestFit="1" customWidth="1"/>
    <col min="212" max="212" width="9" bestFit="1" customWidth="1"/>
    <col min="213" max="215" width="9.109375" bestFit="1" customWidth="1"/>
    <col min="216" max="216" width="9" bestFit="1" customWidth="1"/>
    <col min="217" max="217" width="9.109375" bestFit="1" customWidth="1"/>
    <col min="218" max="218" width="9.77734375" bestFit="1" customWidth="1"/>
    <col min="219" max="220" width="9.109375" bestFit="1" customWidth="1"/>
    <col min="221" max="221" width="10.109375" bestFit="1" customWidth="1"/>
    <col min="222" max="222" width="9.109375" bestFit="1" customWidth="1"/>
    <col min="223" max="223" width="10.109375" bestFit="1" customWidth="1"/>
    <col min="224" max="225" width="9.109375" bestFit="1" customWidth="1"/>
    <col min="226" max="226" width="9.77734375" bestFit="1" customWidth="1"/>
    <col min="227" max="227" width="9.109375" bestFit="1" customWidth="1"/>
    <col min="228" max="228" width="9.77734375" bestFit="1" customWidth="1"/>
    <col min="229" max="229" width="9" bestFit="1" customWidth="1"/>
    <col min="230" max="230" width="9.77734375" bestFit="1" customWidth="1"/>
    <col min="231" max="233" width="9.109375" bestFit="1" customWidth="1"/>
    <col min="234" max="234" width="9" bestFit="1" customWidth="1"/>
  </cols>
  <sheetData>
    <row r="1" spans="1:6">
      <c r="A1" s="2" t="str">
        <f>Instructions!B2&amp;": "&amp;Instructions!B4</f>
        <v>Finance Task: Debt Waterfall Modeling - Daily Cash</v>
      </c>
    </row>
    <row r="2" spans="1:6">
      <c r="A2" s="2" t="s">
        <v>31</v>
      </c>
    </row>
    <row r="4" spans="1:6" s="5" customFormat="1" ht="14.4" customHeight="1">
      <c r="B4" s="6" t="s">
        <v>75</v>
      </c>
    </row>
    <row r="6" spans="1:6">
      <c r="C6" t="s">
        <v>76</v>
      </c>
      <c r="D6" s="4">
        <v>555</v>
      </c>
      <c r="E6" s="3" t="s">
        <v>34</v>
      </c>
      <c r="F6" s="23" t="s">
        <v>97</v>
      </c>
    </row>
    <row r="7" spans="1:6">
      <c r="C7" t="s">
        <v>77</v>
      </c>
      <c r="D7" s="7">
        <v>1.7000000000000001E-2</v>
      </c>
      <c r="E7" s="3" t="s">
        <v>2</v>
      </c>
    </row>
    <row r="8" spans="1:6">
      <c r="C8" t="s">
        <v>78</v>
      </c>
      <c r="D8" s="7">
        <v>-0.05</v>
      </c>
      <c r="E8" s="3" t="s">
        <v>2</v>
      </c>
    </row>
    <row r="9" spans="1:6">
      <c r="C9" t="s">
        <v>79</v>
      </c>
      <c r="D9" s="7">
        <v>-0.06</v>
      </c>
      <c r="E9" s="3" t="s">
        <v>2</v>
      </c>
    </row>
    <row r="10" spans="1:6">
      <c r="C10" t="s">
        <v>80</v>
      </c>
      <c r="D10" s="7">
        <v>-7.0000000000000007E-2</v>
      </c>
      <c r="E10" s="3" t="s">
        <v>2</v>
      </c>
    </row>
    <row r="11" spans="1:6">
      <c r="C11" t="s">
        <v>81</v>
      </c>
      <c r="D11" s="7">
        <v>-7.8899999999999998E-2</v>
      </c>
      <c r="E11" s="3" t="s">
        <v>2</v>
      </c>
    </row>
    <row r="12" spans="1:6">
      <c r="C12" t="s">
        <v>82</v>
      </c>
      <c r="D12" s="7">
        <v>0.02</v>
      </c>
      <c r="E12" s="3" t="s">
        <v>2</v>
      </c>
    </row>
    <row r="13" spans="1:6">
      <c r="C13" t="s">
        <v>83</v>
      </c>
      <c r="D13" s="7">
        <v>0.06</v>
      </c>
      <c r="E13" s="3" t="s">
        <v>2</v>
      </c>
    </row>
    <row r="14" spans="1:6">
      <c r="C14" t="s">
        <v>84</v>
      </c>
      <c r="D14" s="7">
        <v>0.11</v>
      </c>
      <c r="E14" s="3" t="s">
        <v>2</v>
      </c>
    </row>
    <row r="15" spans="1:6">
      <c r="C15" t="s">
        <v>85</v>
      </c>
      <c r="D15" s="7">
        <v>-2.2000000000000002</v>
      </c>
      <c r="E15" s="3" t="s">
        <v>2</v>
      </c>
    </row>
    <row r="16" spans="1:6">
      <c r="C16" t="s">
        <v>86</v>
      </c>
      <c r="D16" s="7">
        <v>-1.2</v>
      </c>
      <c r="E16" s="3" t="s">
        <v>2</v>
      </c>
    </row>
    <row r="17" spans="2:16">
      <c r="C17" t="s">
        <v>87</v>
      </c>
      <c r="D17" s="7">
        <v>-0.8</v>
      </c>
      <c r="E17" s="3" t="s">
        <v>2</v>
      </c>
    </row>
    <row r="18" spans="2:16">
      <c r="C18" t="s">
        <v>88</v>
      </c>
      <c r="D18" s="7">
        <v>0.6</v>
      </c>
      <c r="E18" s="3" t="s">
        <v>2</v>
      </c>
    </row>
    <row r="19" spans="2:16">
      <c r="C19" t="s">
        <v>89</v>
      </c>
      <c r="D19" s="7">
        <v>1.1000000000000001</v>
      </c>
      <c r="E19" s="3" t="s">
        <v>2</v>
      </c>
    </row>
    <row r="20" spans="2:16">
      <c r="C20" t="s">
        <v>90</v>
      </c>
      <c r="D20" s="7">
        <v>1.3</v>
      </c>
      <c r="E20" s="3" t="s">
        <v>2</v>
      </c>
    </row>
    <row r="21" spans="2:16">
      <c r="C21" t="s">
        <v>91</v>
      </c>
      <c r="D21" s="7">
        <v>-0.1</v>
      </c>
      <c r="E21" s="3" t="s">
        <v>2</v>
      </c>
    </row>
    <row r="22" spans="2:16">
      <c r="C22" t="s">
        <v>92</v>
      </c>
      <c r="D22" s="7">
        <v>-0.4425</v>
      </c>
      <c r="E22" s="3" t="s">
        <v>2</v>
      </c>
    </row>
    <row r="23" spans="2:16">
      <c r="C23" t="s">
        <v>93</v>
      </c>
      <c r="D23" s="7">
        <v>0.02</v>
      </c>
      <c r="E23" s="3" t="s">
        <v>2</v>
      </c>
    </row>
    <row r="24" spans="2:16">
      <c r="C24" t="s">
        <v>94</v>
      </c>
      <c r="D24" s="7">
        <v>0.5</v>
      </c>
      <c r="E24" s="3" t="s">
        <v>2</v>
      </c>
    </row>
    <row r="25" spans="2:16">
      <c r="C25" t="s">
        <v>96</v>
      </c>
      <c r="D25" s="7">
        <v>0.8</v>
      </c>
      <c r="E25" s="3" t="s">
        <v>2</v>
      </c>
    </row>
    <row r="26" spans="2:16">
      <c r="C26" t="s">
        <v>95</v>
      </c>
      <c r="D26" s="7">
        <v>2</v>
      </c>
      <c r="E26" s="3" t="s">
        <v>2</v>
      </c>
    </row>
    <row r="28" spans="2:16" s="5" customFormat="1" ht="14.4" customHeight="1">
      <c r="B28" s="6" t="s">
        <v>8</v>
      </c>
    </row>
    <row r="30" spans="2:16">
      <c r="C30" t="s">
        <v>5</v>
      </c>
      <c r="E30" s="10">
        <v>1</v>
      </c>
      <c r="F30" s="10">
        <v>2</v>
      </c>
      <c r="G30" s="10">
        <v>3</v>
      </c>
      <c r="H30" s="10">
        <v>4</v>
      </c>
      <c r="I30" s="10">
        <v>5</v>
      </c>
      <c r="J30" s="10">
        <v>6</v>
      </c>
      <c r="K30" s="10">
        <v>7</v>
      </c>
      <c r="L30" s="10">
        <v>8</v>
      </c>
      <c r="M30" s="10">
        <v>9</v>
      </c>
      <c r="N30" s="10">
        <v>10</v>
      </c>
    </row>
    <row r="31" spans="2:16">
      <c r="C31" t="s">
        <v>25</v>
      </c>
      <c r="D31" s="3" t="s">
        <v>59</v>
      </c>
      <c r="E31" s="4">
        <v>5</v>
      </c>
      <c r="F31" s="4">
        <v>5.5</v>
      </c>
      <c r="G31" s="4">
        <v>6</v>
      </c>
      <c r="H31" s="4">
        <v>6.5</v>
      </c>
      <c r="I31" s="4">
        <v>7</v>
      </c>
      <c r="J31" s="4">
        <v>7.5</v>
      </c>
      <c r="K31" s="4">
        <v>8</v>
      </c>
      <c r="L31" s="4">
        <v>8.5</v>
      </c>
      <c r="M31" s="4">
        <v>9</v>
      </c>
      <c r="N31" s="4">
        <v>9.5</v>
      </c>
    </row>
    <row r="32" spans="2:16">
      <c r="C32" t="s">
        <v>6</v>
      </c>
      <c r="D32" s="3" t="s">
        <v>59</v>
      </c>
      <c r="E32" s="4">
        <v>15</v>
      </c>
      <c r="F32" s="4">
        <v>15</v>
      </c>
      <c r="G32" s="4">
        <v>15</v>
      </c>
      <c r="H32" s="4">
        <v>15</v>
      </c>
      <c r="I32" s="4">
        <v>15</v>
      </c>
      <c r="J32" s="4">
        <v>15</v>
      </c>
      <c r="K32" s="4">
        <v>15</v>
      </c>
      <c r="L32" s="4">
        <v>15</v>
      </c>
      <c r="M32" s="4">
        <v>15</v>
      </c>
      <c r="N32" s="4">
        <v>10</v>
      </c>
      <c r="P32" t="s">
        <v>143</v>
      </c>
    </row>
    <row r="33" spans="2:16">
      <c r="C33" t="s">
        <v>7</v>
      </c>
      <c r="D33" s="3" t="s">
        <v>59</v>
      </c>
      <c r="E33" s="4">
        <v>16</v>
      </c>
      <c r="F33" s="4">
        <v>16</v>
      </c>
      <c r="G33" s="4">
        <v>16</v>
      </c>
      <c r="H33" s="4">
        <v>16</v>
      </c>
      <c r="I33" s="4">
        <v>24</v>
      </c>
      <c r="J33" s="4">
        <v>24</v>
      </c>
      <c r="K33" s="4">
        <v>24</v>
      </c>
      <c r="L33" s="4">
        <v>14</v>
      </c>
      <c r="M33" s="4">
        <v>0</v>
      </c>
      <c r="N33" s="4">
        <v>0</v>
      </c>
      <c r="P33" t="s">
        <v>143</v>
      </c>
    </row>
    <row r="34" spans="2:16">
      <c r="C34" t="s">
        <v>24</v>
      </c>
      <c r="D34" s="3" t="s">
        <v>59</v>
      </c>
      <c r="E34" s="4">
        <v>10</v>
      </c>
      <c r="F34" s="4">
        <v>9</v>
      </c>
      <c r="G34" s="4">
        <v>8</v>
      </c>
      <c r="H34" s="4">
        <v>7</v>
      </c>
      <c r="I34" s="4">
        <v>6</v>
      </c>
      <c r="J34" s="4">
        <v>5</v>
      </c>
      <c r="K34" s="4">
        <v>4</v>
      </c>
      <c r="L34" s="4">
        <v>3</v>
      </c>
      <c r="M34" s="4">
        <v>2</v>
      </c>
      <c r="N34" s="4">
        <v>1</v>
      </c>
      <c r="P34" t="s">
        <v>143</v>
      </c>
    </row>
    <row r="35" spans="2:16">
      <c r="C35" t="s">
        <v>60</v>
      </c>
      <c r="D35" s="3" t="s">
        <v>59</v>
      </c>
      <c r="E35" s="4">
        <v>10</v>
      </c>
      <c r="F35" s="4">
        <v>10</v>
      </c>
      <c r="G35" s="4">
        <v>10</v>
      </c>
      <c r="H35" s="4">
        <v>10</v>
      </c>
      <c r="I35" s="4">
        <v>10</v>
      </c>
      <c r="J35" s="4">
        <v>0</v>
      </c>
      <c r="K35" s="4">
        <v>0</v>
      </c>
      <c r="L35" s="4">
        <v>0</v>
      </c>
      <c r="M35" s="4">
        <v>0</v>
      </c>
      <c r="N35" s="4">
        <v>0</v>
      </c>
      <c r="P35" t="s">
        <v>143</v>
      </c>
    </row>
    <row r="36" spans="2:16">
      <c r="C36" t="s">
        <v>61</v>
      </c>
      <c r="D36" s="3" t="s">
        <v>59</v>
      </c>
      <c r="E36" s="4">
        <v>10</v>
      </c>
      <c r="F36" s="4">
        <v>10</v>
      </c>
      <c r="G36" s="4">
        <v>10</v>
      </c>
      <c r="H36" s="4">
        <v>10</v>
      </c>
      <c r="I36" s="4">
        <v>10</v>
      </c>
      <c r="J36" s="4">
        <v>0</v>
      </c>
      <c r="K36" s="4">
        <v>0</v>
      </c>
      <c r="L36" s="4">
        <v>0</v>
      </c>
      <c r="M36" s="4">
        <v>0</v>
      </c>
      <c r="N36" s="4">
        <v>0</v>
      </c>
      <c r="P36" t="s">
        <v>143</v>
      </c>
    </row>
    <row r="37" spans="2:16">
      <c r="C37" t="s">
        <v>67</v>
      </c>
      <c r="D37" s="3" t="s">
        <v>59</v>
      </c>
      <c r="E37" s="4">
        <v>1</v>
      </c>
      <c r="F37" s="4">
        <v>2</v>
      </c>
      <c r="G37" s="4">
        <v>3</v>
      </c>
      <c r="H37" s="4">
        <v>4</v>
      </c>
      <c r="I37" s="4">
        <v>5</v>
      </c>
      <c r="J37" s="4">
        <v>6</v>
      </c>
      <c r="K37" s="4">
        <v>7</v>
      </c>
      <c r="L37" s="4">
        <v>8</v>
      </c>
      <c r="M37" s="4">
        <v>9</v>
      </c>
      <c r="N37" s="4">
        <v>10</v>
      </c>
      <c r="P37" t="s">
        <v>143</v>
      </c>
    </row>
    <row r="38" spans="2:16">
      <c r="C38" t="s">
        <v>111</v>
      </c>
      <c r="D38" s="3" t="s">
        <v>59</v>
      </c>
      <c r="E38" s="4">
        <v>0</v>
      </c>
      <c r="F38" s="4">
        <v>0</v>
      </c>
      <c r="G38" s="4">
        <v>4</v>
      </c>
      <c r="H38" s="4">
        <v>5</v>
      </c>
      <c r="I38" s="4">
        <v>6</v>
      </c>
      <c r="J38" s="4">
        <v>7</v>
      </c>
      <c r="K38" s="4">
        <v>8</v>
      </c>
      <c r="L38" s="4">
        <v>9</v>
      </c>
      <c r="M38" s="4">
        <v>10</v>
      </c>
      <c r="N38" s="4">
        <v>6</v>
      </c>
      <c r="P38" t="s">
        <v>143</v>
      </c>
    </row>
    <row r="39" spans="2:16">
      <c r="C39" t="s">
        <v>110</v>
      </c>
      <c r="D39" s="3" t="s">
        <v>59</v>
      </c>
      <c r="E39" s="4">
        <v>10</v>
      </c>
      <c r="F39" s="4">
        <v>10</v>
      </c>
      <c r="G39" s="4">
        <v>10</v>
      </c>
      <c r="H39" s="4">
        <v>20</v>
      </c>
      <c r="I39" s="4">
        <v>10</v>
      </c>
      <c r="J39" s="4">
        <v>0</v>
      </c>
      <c r="K39" s="4">
        <v>0</v>
      </c>
      <c r="L39" s="4">
        <v>0</v>
      </c>
      <c r="M39" s="4">
        <v>0</v>
      </c>
      <c r="N39" s="4">
        <v>0</v>
      </c>
      <c r="P39" t="s">
        <v>143</v>
      </c>
    </row>
    <row r="40" spans="2:16">
      <c r="E40" s="1"/>
    </row>
    <row r="41" spans="2:16" s="5" customFormat="1" ht="14.4" customHeight="1">
      <c r="B41" s="6" t="s">
        <v>144</v>
      </c>
    </row>
    <row r="43" spans="2:16">
      <c r="C43" t="s">
        <v>9</v>
      </c>
      <c r="D43" s="9">
        <v>47484</v>
      </c>
      <c r="E43" s="3"/>
      <c r="G43" s="1"/>
    </row>
    <row r="44" spans="2:16">
      <c r="C44" t="s">
        <v>26</v>
      </c>
      <c r="D44" s="10">
        <v>10</v>
      </c>
      <c r="E44" s="3" t="s">
        <v>1</v>
      </c>
      <c r="F44" s="1"/>
      <c r="G44" s="1"/>
      <c r="H44" s="1"/>
    </row>
    <row r="45" spans="2:16">
      <c r="C45" t="s">
        <v>57</v>
      </c>
      <c r="D45" s="10">
        <v>1000</v>
      </c>
      <c r="E45" s="3"/>
      <c r="F45" s="1"/>
      <c r="G45" s="1"/>
    </row>
    <row r="46" spans="2:16">
      <c r="C46" t="s">
        <v>10</v>
      </c>
      <c r="D46" s="4">
        <v>15050</v>
      </c>
      <c r="E46" s="3" t="s">
        <v>34</v>
      </c>
      <c r="G46" s="1"/>
    </row>
    <row r="47" spans="2:16">
      <c r="C47" t="s">
        <v>145</v>
      </c>
      <c r="D47" s="10">
        <v>12</v>
      </c>
      <c r="E47" s="3"/>
      <c r="G47" s="1"/>
    </row>
    <row r="48" spans="2:16">
      <c r="D48" s="28"/>
      <c r="E48" s="3"/>
      <c r="G48" s="1"/>
    </row>
    <row r="49" spans="2:8">
      <c r="B49" s="2" t="s">
        <v>20</v>
      </c>
      <c r="G49" s="1"/>
    </row>
    <row r="50" spans="2:8">
      <c r="C50" t="s">
        <v>42</v>
      </c>
      <c r="D50" s="7">
        <v>1.4999999999999999E-2</v>
      </c>
      <c r="E50" s="3" t="s">
        <v>2</v>
      </c>
      <c r="F50" s="18"/>
      <c r="G50" s="1"/>
      <c r="H50" s="1"/>
    </row>
    <row r="51" spans="2:8">
      <c r="C51" t="s">
        <v>43</v>
      </c>
      <c r="D51" s="7">
        <v>0.23499999999999999</v>
      </c>
      <c r="E51" s="3" t="s">
        <v>2</v>
      </c>
      <c r="G51" s="1"/>
    </row>
    <row r="52" spans="2:8">
      <c r="C52" t="s">
        <v>44</v>
      </c>
      <c r="D52" s="7">
        <v>0.13499999999999998</v>
      </c>
      <c r="E52" s="3" t="s">
        <v>2</v>
      </c>
      <c r="G52" s="1"/>
    </row>
    <row r="53" spans="2:8">
      <c r="C53" t="s">
        <v>45</v>
      </c>
      <c r="D53" s="7">
        <v>2.4999999999999998E-2</v>
      </c>
      <c r="E53" s="3" t="s">
        <v>2</v>
      </c>
      <c r="F53" s="18"/>
      <c r="G53" s="1"/>
    </row>
    <row r="54" spans="2:8">
      <c r="C54" t="s">
        <v>46</v>
      </c>
      <c r="D54" s="7">
        <v>7.0000000000000007E-2</v>
      </c>
      <c r="E54" s="3" t="s">
        <v>2</v>
      </c>
      <c r="G54" s="1"/>
    </row>
    <row r="55" spans="2:8">
      <c r="C55" t="s">
        <v>47</v>
      </c>
      <c r="D55" s="7">
        <v>5.7500000000000002E-2</v>
      </c>
      <c r="E55" s="3" t="s">
        <v>2</v>
      </c>
      <c r="G55" s="1"/>
    </row>
    <row r="56" spans="2:8">
      <c r="C56" t="s">
        <v>62</v>
      </c>
      <c r="D56" s="7">
        <v>7.2499999999999995E-2</v>
      </c>
      <c r="E56" s="3" t="s">
        <v>2</v>
      </c>
      <c r="G56" s="1"/>
    </row>
    <row r="57" spans="2:8">
      <c r="C57" t="s">
        <v>63</v>
      </c>
      <c r="D57" s="7">
        <v>7.2500000000000009E-2</v>
      </c>
      <c r="E57" s="3" t="s">
        <v>2</v>
      </c>
    </row>
    <row r="58" spans="2:8">
      <c r="C58" t="s">
        <v>68</v>
      </c>
      <c r="D58" s="7">
        <v>7.5175000000000006E-2</v>
      </c>
      <c r="E58" s="3" t="s">
        <v>2</v>
      </c>
    </row>
    <row r="59" spans="2:8">
      <c r="C59" t="s">
        <v>104</v>
      </c>
      <c r="D59" s="7">
        <v>4.9999999999999996E-2</v>
      </c>
      <c r="E59" s="3" t="s">
        <v>2</v>
      </c>
    </row>
    <row r="60" spans="2:8">
      <c r="C60" t="s">
        <v>105</v>
      </c>
      <c r="D60" s="7">
        <v>4.7500000000000001E-2</v>
      </c>
      <c r="E60" s="3" t="s">
        <v>2</v>
      </c>
    </row>
    <row r="61" spans="2:8">
      <c r="C61" t="s">
        <v>70</v>
      </c>
      <c r="D61" s="7">
        <v>0.13750000000000001</v>
      </c>
      <c r="E61" s="3" t="s">
        <v>2</v>
      </c>
    </row>
    <row r="62" spans="2:8">
      <c r="C62" t="s">
        <v>35</v>
      </c>
      <c r="D62" s="7">
        <v>0.10625</v>
      </c>
      <c r="E62" s="3" t="s">
        <v>2</v>
      </c>
    </row>
    <row r="63" spans="2:8">
      <c r="C63" t="s">
        <v>72</v>
      </c>
      <c r="D63" s="7">
        <v>0.1295</v>
      </c>
      <c r="E63" s="3" t="s">
        <v>2</v>
      </c>
    </row>
    <row r="64" spans="2:8">
      <c r="C64" t="s">
        <v>134</v>
      </c>
      <c r="D64" s="7">
        <v>0.13</v>
      </c>
      <c r="E64" s="3" t="s">
        <v>2</v>
      </c>
    </row>
    <row r="65" spans="2:6">
      <c r="B65" s="2" t="s">
        <v>52</v>
      </c>
    </row>
    <row r="66" spans="2:6">
      <c r="C66" t="s">
        <v>42</v>
      </c>
      <c r="D66" s="7" t="s">
        <v>49</v>
      </c>
      <c r="E66" s="3"/>
      <c r="F66" s="18"/>
    </row>
    <row r="67" spans="2:6">
      <c r="C67" t="s">
        <v>43</v>
      </c>
      <c r="D67" s="7" t="s">
        <v>49</v>
      </c>
      <c r="E67" s="3"/>
    </row>
    <row r="68" spans="2:6">
      <c r="C68" t="s">
        <v>44</v>
      </c>
      <c r="D68" s="7" t="s">
        <v>49</v>
      </c>
      <c r="E68" s="3"/>
    </row>
    <row r="69" spans="2:6">
      <c r="C69" t="s">
        <v>45</v>
      </c>
      <c r="D69" s="7" t="s">
        <v>49</v>
      </c>
      <c r="E69" s="3"/>
      <c r="F69" s="18"/>
    </row>
    <row r="70" spans="2:6">
      <c r="C70" t="s">
        <v>46</v>
      </c>
      <c r="D70" s="7" t="s">
        <v>106</v>
      </c>
      <c r="E70" s="3"/>
    </row>
    <row r="71" spans="2:6">
      <c r="C71" t="s">
        <v>47</v>
      </c>
      <c r="D71" s="7" t="s">
        <v>50</v>
      </c>
      <c r="E71" s="3"/>
    </row>
    <row r="72" spans="2:6">
      <c r="C72" t="s">
        <v>62</v>
      </c>
      <c r="D72" s="7" t="s">
        <v>50</v>
      </c>
      <c r="E72" s="3"/>
    </row>
    <row r="73" spans="2:6">
      <c r="C73" t="s">
        <v>63</v>
      </c>
      <c r="D73" s="7" t="s">
        <v>50</v>
      </c>
      <c r="E73" s="3"/>
    </row>
    <row r="74" spans="2:6">
      <c r="C74" t="s">
        <v>68</v>
      </c>
      <c r="D74" s="7" t="s">
        <v>50</v>
      </c>
      <c r="E74" s="3"/>
    </row>
    <row r="75" spans="2:6">
      <c r="C75" t="s">
        <v>104</v>
      </c>
      <c r="D75" s="7" t="s">
        <v>49</v>
      </c>
      <c r="E75" s="3"/>
    </row>
    <row r="76" spans="2:6">
      <c r="C76" t="s">
        <v>105</v>
      </c>
      <c r="D76" s="7" t="s">
        <v>106</v>
      </c>
      <c r="E76" s="3"/>
    </row>
    <row r="77" spans="2:6">
      <c r="C77" t="s">
        <v>70</v>
      </c>
      <c r="D77" s="7" t="s">
        <v>49</v>
      </c>
      <c r="E77" s="3"/>
    </row>
    <row r="78" spans="2:6">
      <c r="C78" t="s">
        <v>35</v>
      </c>
      <c r="D78" s="7" t="s">
        <v>51</v>
      </c>
      <c r="E78" s="3"/>
    </row>
    <row r="79" spans="2:6">
      <c r="C79" t="s">
        <v>72</v>
      </c>
      <c r="D79" s="7" t="s">
        <v>51</v>
      </c>
      <c r="E79" s="3"/>
    </row>
    <row r="80" spans="2:6">
      <c r="C80" t="s">
        <v>134</v>
      </c>
      <c r="D80" s="7" t="s">
        <v>51</v>
      </c>
      <c r="E80" s="3"/>
    </row>
    <row r="81" spans="2:6">
      <c r="B81" s="2" t="s">
        <v>53</v>
      </c>
    </row>
    <row r="82" spans="2:6">
      <c r="C82" t="s">
        <v>42</v>
      </c>
      <c r="D82" s="7" t="s">
        <v>55</v>
      </c>
      <c r="E82" s="3"/>
    </row>
    <row r="83" spans="2:6">
      <c r="C83" t="s">
        <v>43</v>
      </c>
      <c r="D83" s="7" t="s">
        <v>55</v>
      </c>
      <c r="E83" s="3"/>
    </row>
    <row r="84" spans="2:6">
      <c r="C84" t="s">
        <v>44</v>
      </c>
      <c r="D84" s="7" t="s">
        <v>55</v>
      </c>
      <c r="E84" s="3"/>
    </row>
    <row r="85" spans="2:6">
      <c r="C85" t="s">
        <v>45</v>
      </c>
      <c r="D85" s="7" t="s">
        <v>55</v>
      </c>
      <c r="E85" s="3"/>
      <c r="F85" s="18"/>
    </row>
    <row r="86" spans="2:6">
      <c r="C86" t="s">
        <v>46</v>
      </c>
      <c r="D86" s="7" t="s">
        <v>56</v>
      </c>
      <c r="E86" s="3"/>
    </row>
    <row r="87" spans="2:6">
      <c r="C87" t="s">
        <v>47</v>
      </c>
      <c r="D87" s="7" t="s">
        <v>56</v>
      </c>
      <c r="E87" s="3"/>
    </row>
    <row r="88" spans="2:6">
      <c r="C88" t="s">
        <v>62</v>
      </c>
      <c r="D88" s="7" t="s">
        <v>56</v>
      </c>
      <c r="E88" s="3"/>
    </row>
    <row r="89" spans="2:6">
      <c r="C89" t="s">
        <v>63</v>
      </c>
      <c r="D89" s="7" t="s">
        <v>56</v>
      </c>
      <c r="E89" s="3"/>
    </row>
    <row r="90" spans="2:6">
      <c r="C90" t="s">
        <v>68</v>
      </c>
      <c r="D90" s="7" t="s">
        <v>56</v>
      </c>
      <c r="E90" s="3"/>
    </row>
    <row r="91" spans="2:6">
      <c r="C91" t="s">
        <v>104</v>
      </c>
      <c r="D91" s="7" t="s">
        <v>56</v>
      </c>
      <c r="E91" s="3"/>
    </row>
    <row r="92" spans="2:6">
      <c r="C92" t="s">
        <v>105</v>
      </c>
      <c r="D92" s="7" t="s">
        <v>56</v>
      </c>
      <c r="E92" s="3"/>
    </row>
    <row r="93" spans="2:6">
      <c r="C93" t="s">
        <v>70</v>
      </c>
      <c r="D93" s="7" t="s">
        <v>55</v>
      </c>
      <c r="E93" s="3"/>
    </row>
    <row r="94" spans="2:6">
      <c r="C94" t="s">
        <v>35</v>
      </c>
      <c r="D94" s="7" t="s">
        <v>55</v>
      </c>
      <c r="E94" s="3"/>
    </row>
    <row r="95" spans="2:6">
      <c r="C95" t="s">
        <v>72</v>
      </c>
      <c r="D95" s="7" t="s">
        <v>55</v>
      </c>
      <c r="E95" s="3"/>
    </row>
    <row r="96" spans="2:6">
      <c r="C96" t="s">
        <v>134</v>
      </c>
      <c r="D96" s="7" t="s">
        <v>55</v>
      </c>
      <c r="E96" s="3"/>
    </row>
    <row r="97" spans="1:7">
      <c r="B97" s="2" t="s">
        <v>21</v>
      </c>
    </row>
    <row r="98" spans="1:7">
      <c r="C98" t="s">
        <v>11</v>
      </c>
      <c r="D98" s="11">
        <v>2031</v>
      </c>
      <c r="F98" t="s">
        <v>256</v>
      </c>
    </row>
    <row r="99" spans="1:7">
      <c r="C99" t="s">
        <v>12</v>
      </c>
      <c r="D99" s="11">
        <v>2033</v>
      </c>
      <c r="F99" t="s">
        <v>256</v>
      </c>
    </row>
    <row r="100" spans="1:7">
      <c r="C100" t="s">
        <v>13</v>
      </c>
      <c r="D100" s="11">
        <v>2032</v>
      </c>
      <c r="F100" t="s">
        <v>256</v>
      </c>
    </row>
    <row r="101" spans="1:7">
      <c r="A101"/>
      <c r="C101" t="s">
        <v>107</v>
      </c>
      <c r="D101" s="11">
        <v>2</v>
      </c>
      <c r="E101" s="3" t="s">
        <v>1</v>
      </c>
    </row>
    <row r="102" spans="1:7">
      <c r="A102"/>
      <c r="C102" t="s">
        <v>109</v>
      </c>
      <c r="D102" s="4">
        <v>0.55000000000000004</v>
      </c>
    </row>
    <row r="103" spans="1:7">
      <c r="A103"/>
      <c r="C103" t="s">
        <v>108</v>
      </c>
      <c r="D103" s="4">
        <v>0.4</v>
      </c>
    </row>
    <row r="104" spans="1:7">
      <c r="A104"/>
      <c r="B104" s="2" t="s">
        <v>22</v>
      </c>
    </row>
    <row r="105" spans="1:7">
      <c r="A105"/>
      <c r="C105" t="s">
        <v>4</v>
      </c>
      <c r="D105" s="4">
        <v>12.345677999999999</v>
      </c>
      <c r="E105" s="3" t="s">
        <v>59</v>
      </c>
    </row>
    <row r="106" spans="1:7">
      <c r="A106"/>
      <c r="C106" t="s">
        <v>27</v>
      </c>
      <c r="D106" s="4">
        <v>0</v>
      </c>
      <c r="E106" s="3" t="s">
        <v>59</v>
      </c>
    </row>
    <row r="107" spans="1:7">
      <c r="A107"/>
      <c r="C107" t="s">
        <v>28</v>
      </c>
      <c r="D107" s="4">
        <v>145</v>
      </c>
      <c r="E107" s="3" t="s">
        <v>59</v>
      </c>
      <c r="F107" s="1"/>
      <c r="G107" s="1"/>
    </row>
    <row r="108" spans="1:7">
      <c r="A108"/>
      <c r="C108" t="s">
        <v>29</v>
      </c>
      <c r="D108" s="4">
        <v>150</v>
      </c>
      <c r="E108" s="3" t="s">
        <v>59</v>
      </c>
    </row>
    <row r="109" spans="1:7">
      <c r="A109"/>
      <c r="C109" t="s">
        <v>30</v>
      </c>
      <c r="D109" s="4">
        <v>224</v>
      </c>
      <c r="E109" s="3" t="s">
        <v>59</v>
      </c>
    </row>
    <row r="110" spans="1:7">
      <c r="A110"/>
      <c r="C110" t="s">
        <v>65</v>
      </c>
      <c r="D110" s="4">
        <v>55</v>
      </c>
      <c r="E110" s="3" t="s">
        <v>59</v>
      </c>
    </row>
    <row r="111" spans="1:7">
      <c r="A111"/>
      <c r="C111" t="s">
        <v>64</v>
      </c>
      <c r="D111" s="4">
        <v>50</v>
      </c>
      <c r="E111" s="3" t="s">
        <v>59</v>
      </c>
    </row>
    <row r="112" spans="1:7">
      <c r="A112"/>
      <c r="C112" t="s">
        <v>66</v>
      </c>
      <c r="D112" s="4">
        <v>70</v>
      </c>
      <c r="E112" s="3" t="s">
        <v>59</v>
      </c>
    </row>
    <row r="113" spans="1:7">
      <c r="A113"/>
      <c r="C113" t="s">
        <v>112</v>
      </c>
      <c r="D113" s="4">
        <v>55</v>
      </c>
      <c r="E113" s="3" t="s">
        <v>59</v>
      </c>
    </row>
    <row r="114" spans="1:7">
      <c r="A114"/>
      <c r="C114" t="s">
        <v>113</v>
      </c>
      <c r="D114" s="4">
        <v>60</v>
      </c>
      <c r="E114" s="3" t="s">
        <v>59</v>
      </c>
    </row>
    <row r="115" spans="1:7">
      <c r="A115"/>
      <c r="C115" t="s">
        <v>70</v>
      </c>
      <c r="D115" s="4">
        <v>220</v>
      </c>
      <c r="E115" s="3" t="s">
        <v>59</v>
      </c>
    </row>
    <row r="116" spans="1:7">
      <c r="A116"/>
      <c r="C116" t="s">
        <v>48</v>
      </c>
      <c r="D116" s="4">
        <v>225</v>
      </c>
      <c r="E116" s="3" t="s">
        <v>59</v>
      </c>
    </row>
    <row r="117" spans="1:7">
      <c r="A117"/>
      <c r="C117" t="s">
        <v>73</v>
      </c>
      <c r="D117" s="4">
        <v>297.55</v>
      </c>
      <c r="E117" s="3" t="s">
        <v>59</v>
      </c>
    </row>
    <row r="118" spans="1:7">
      <c r="A118"/>
      <c r="C118" t="s">
        <v>134</v>
      </c>
      <c r="D118" s="4">
        <v>200</v>
      </c>
      <c r="E118" s="3" t="s">
        <v>59</v>
      </c>
    </row>
    <row r="119" spans="1:7">
      <c r="A119"/>
      <c r="B119" s="2" t="s">
        <v>23</v>
      </c>
    </row>
    <row r="120" spans="1:7">
      <c r="A120"/>
      <c r="C120" t="s">
        <v>14</v>
      </c>
      <c r="D120" s="4">
        <v>10</v>
      </c>
      <c r="E120" s="26" t="s">
        <v>58</v>
      </c>
    </row>
    <row r="121" spans="1:7">
      <c r="A121"/>
      <c r="C121" t="s">
        <v>15</v>
      </c>
      <c r="D121" s="4">
        <v>5</v>
      </c>
      <c r="E121" s="26" t="s">
        <v>58</v>
      </c>
    </row>
    <row r="122" spans="1:7">
      <c r="A122"/>
      <c r="C122" t="s">
        <v>16</v>
      </c>
      <c r="D122" s="4">
        <v>11.111110999999999</v>
      </c>
      <c r="E122" s="26" t="s">
        <v>58</v>
      </c>
    </row>
    <row r="123" spans="1:7">
      <c r="A123"/>
      <c r="C123" t="s">
        <v>17</v>
      </c>
      <c r="D123" s="4">
        <v>5</v>
      </c>
      <c r="E123" s="26" t="s">
        <v>0</v>
      </c>
      <c r="G123" s="1"/>
    </row>
    <row r="124" spans="1:7">
      <c r="A124"/>
      <c r="C124" t="s">
        <v>18</v>
      </c>
      <c r="D124" s="4">
        <v>11</v>
      </c>
      <c r="E124" s="26" t="s">
        <v>0</v>
      </c>
    </row>
    <row r="125" spans="1:7">
      <c r="A125"/>
      <c r="C125" t="s">
        <v>19</v>
      </c>
      <c r="D125" s="4">
        <v>9</v>
      </c>
      <c r="E125" s="26" t="s">
        <v>0</v>
      </c>
    </row>
    <row r="126" spans="1:7">
      <c r="A126"/>
      <c r="B126" s="2" t="s">
        <v>114</v>
      </c>
      <c r="E126" s="27"/>
    </row>
    <row r="127" spans="1:7">
      <c r="A127"/>
      <c r="C127" t="s">
        <v>115</v>
      </c>
      <c r="D127" s="4">
        <v>11</v>
      </c>
      <c r="E127" s="26" t="s">
        <v>0</v>
      </c>
    </row>
    <row r="128" spans="1:7">
      <c r="A128"/>
      <c r="C128" t="s">
        <v>116</v>
      </c>
      <c r="D128" s="4">
        <v>10.5</v>
      </c>
      <c r="E128" s="26" t="s">
        <v>0</v>
      </c>
    </row>
    <row r="129" spans="1:5">
      <c r="A129"/>
      <c r="C129" t="s">
        <v>135</v>
      </c>
      <c r="D129" s="4">
        <v>10</v>
      </c>
      <c r="E129" s="26" t="s">
        <v>0</v>
      </c>
    </row>
    <row r="131" spans="1:5" s="5" customFormat="1" ht="14.4" customHeight="1">
      <c r="B131" s="6" t="s">
        <v>3</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5180-73C3-404B-AFCC-AC8D4B9E2E97}">
  <sheetPr>
    <tabColor theme="8" tint="0.79998168889431442"/>
  </sheetPr>
  <dimension ref="A1:D101"/>
  <sheetViews>
    <sheetView zoomScale="77" workbookViewId="0"/>
  </sheetViews>
  <sheetFormatPr defaultRowHeight="15.6"/>
  <cols>
    <col min="1" max="1" width="104.33203125" style="20" bestFit="1" customWidth="1"/>
    <col min="2" max="2" width="16.33203125" style="20" customWidth="1"/>
    <col min="3" max="16384" width="8.88671875" style="20"/>
  </cols>
  <sheetData>
    <row r="1" spans="1:4">
      <c r="A1" s="19" t="s">
        <v>36</v>
      </c>
      <c r="B1" s="19" t="s">
        <v>37</v>
      </c>
      <c r="C1" s="19" t="s">
        <v>41</v>
      </c>
    </row>
    <row r="2" spans="1:4">
      <c r="A2" s="21" t="s">
        <v>174</v>
      </c>
      <c r="B2" s="22"/>
      <c r="C2" s="8" t="s">
        <v>34</v>
      </c>
    </row>
    <row r="3" spans="1:4">
      <c r="A3" s="21" t="s">
        <v>175</v>
      </c>
      <c r="B3" s="22"/>
      <c r="C3" s="8" t="s">
        <v>34</v>
      </c>
    </row>
    <row r="4" spans="1:4">
      <c r="A4" s="21" t="s">
        <v>176</v>
      </c>
      <c r="B4" s="22"/>
      <c r="C4" s="8" t="s">
        <v>34</v>
      </c>
    </row>
    <row r="5" spans="1:4">
      <c r="A5" s="21" t="s">
        <v>177</v>
      </c>
      <c r="B5" s="22"/>
      <c r="C5" s="8" t="s">
        <v>34</v>
      </c>
    </row>
    <row r="6" spans="1:4">
      <c r="A6" s="21" t="s">
        <v>178</v>
      </c>
      <c r="B6" s="22"/>
      <c r="C6" s="8" t="s">
        <v>34</v>
      </c>
      <c r="D6" s="20" t="s">
        <v>141</v>
      </c>
    </row>
    <row r="7" spans="1:4">
      <c r="A7" s="21" t="s">
        <v>179</v>
      </c>
      <c r="B7" s="22"/>
      <c r="C7" s="8" t="s">
        <v>34</v>
      </c>
    </row>
    <row r="8" spans="1:4">
      <c r="A8" s="21" t="s">
        <v>180</v>
      </c>
      <c r="B8" s="22"/>
      <c r="C8" s="8" t="s">
        <v>34</v>
      </c>
    </row>
    <row r="9" spans="1:4">
      <c r="A9" s="21" t="s">
        <v>181</v>
      </c>
      <c r="B9" s="22"/>
      <c r="C9" s="8" t="s">
        <v>34</v>
      </c>
    </row>
    <row r="10" spans="1:4">
      <c r="A10" s="21" t="s">
        <v>182</v>
      </c>
      <c r="B10" s="22"/>
      <c r="C10" s="8" t="s">
        <v>34</v>
      </c>
    </row>
    <row r="11" spans="1:4">
      <c r="A11" s="21" t="s">
        <v>183</v>
      </c>
      <c r="B11" s="22"/>
      <c r="C11" s="8" t="s">
        <v>34</v>
      </c>
    </row>
    <row r="12" spans="1:4">
      <c r="A12" s="21" t="s">
        <v>184</v>
      </c>
      <c r="B12" s="22"/>
      <c r="C12" s="8" t="s">
        <v>34</v>
      </c>
    </row>
    <row r="13" spans="1:4">
      <c r="A13" s="21" t="s">
        <v>185</v>
      </c>
      <c r="B13" s="22"/>
      <c r="C13" s="8" t="s">
        <v>34</v>
      </c>
    </row>
    <row r="14" spans="1:4">
      <c r="A14" s="21" t="s">
        <v>186</v>
      </c>
      <c r="B14" s="22"/>
      <c r="C14" s="8" t="s">
        <v>34</v>
      </c>
    </row>
    <row r="15" spans="1:4">
      <c r="A15" s="21" t="s">
        <v>187</v>
      </c>
      <c r="B15" s="22"/>
      <c r="C15" s="8" t="s">
        <v>34</v>
      </c>
    </row>
    <row r="16" spans="1:4">
      <c r="A16" s="21" t="s">
        <v>188</v>
      </c>
      <c r="B16" s="22"/>
      <c r="C16" s="8" t="s">
        <v>34</v>
      </c>
    </row>
    <row r="17" spans="1:3">
      <c r="A17" s="21" t="s">
        <v>189</v>
      </c>
      <c r="B17" s="22"/>
      <c r="C17" s="8" t="s">
        <v>34</v>
      </c>
    </row>
    <row r="18" spans="1:3">
      <c r="A18" s="21" t="s">
        <v>190</v>
      </c>
      <c r="B18" s="22"/>
      <c r="C18" s="8" t="s">
        <v>34</v>
      </c>
    </row>
    <row r="19" spans="1:3">
      <c r="A19" s="21" t="s">
        <v>191</v>
      </c>
      <c r="B19" s="22"/>
      <c r="C19" s="8" t="s">
        <v>34</v>
      </c>
    </row>
    <row r="20" spans="1:3">
      <c r="A20" s="21" t="s">
        <v>192</v>
      </c>
      <c r="B20" s="22"/>
      <c r="C20" s="8" t="s">
        <v>34</v>
      </c>
    </row>
    <row r="21" spans="1:3">
      <c r="A21" s="21" t="s">
        <v>193</v>
      </c>
      <c r="B21" s="22"/>
      <c r="C21" s="8" t="s">
        <v>34</v>
      </c>
    </row>
    <row r="22" spans="1:3">
      <c r="A22" s="21" t="s">
        <v>194</v>
      </c>
      <c r="B22" s="22"/>
      <c r="C22" s="8" t="s">
        <v>34</v>
      </c>
    </row>
    <row r="23" spans="1:3">
      <c r="A23" s="21" t="s">
        <v>195</v>
      </c>
      <c r="B23" s="22"/>
      <c r="C23" s="8" t="s">
        <v>34</v>
      </c>
    </row>
    <row r="24" spans="1:3">
      <c r="A24" s="21" t="s">
        <v>196</v>
      </c>
      <c r="B24" s="22"/>
      <c r="C24" s="8" t="s">
        <v>34</v>
      </c>
    </row>
    <row r="25" spans="1:3">
      <c r="A25" s="21" t="s">
        <v>197</v>
      </c>
      <c r="B25" s="22"/>
      <c r="C25" s="8" t="s">
        <v>34</v>
      </c>
    </row>
    <row r="26" spans="1:3">
      <c r="A26" s="21" t="s">
        <v>198</v>
      </c>
      <c r="B26" s="22"/>
      <c r="C26" s="8" t="s">
        <v>34</v>
      </c>
    </row>
    <row r="27" spans="1:3">
      <c r="A27" s="21" t="s">
        <v>199</v>
      </c>
      <c r="B27" s="22"/>
      <c r="C27" s="8" t="s">
        <v>34</v>
      </c>
    </row>
    <row r="28" spans="1:3">
      <c r="A28" s="21" t="s">
        <v>200</v>
      </c>
      <c r="B28" s="22"/>
      <c r="C28" s="8" t="s">
        <v>34</v>
      </c>
    </row>
    <row r="29" spans="1:3">
      <c r="A29" s="21" t="s">
        <v>245</v>
      </c>
      <c r="B29" s="22"/>
      <c r="C29" s="8" t="s">
        <v>34</v>
      </c>
    </row>
    <row r="30" spans="1:3">
      <c r="A30" s="21" t="s">
        <v>246</v>
      </c>
      <c r="B30" s="22"/>
      <c r="C30" s="8" t="s">
        <v>34</v>
      </c>
    </row>
    <row r="31" spans="1:3">
      <c r="A31" s="21" t="s">
        <v>247</v>
      </c>
      <c r="B31" s="22"/>
      <c r="C31" s="8" t="s">
        <v>34</v>
      </c>
    </row>
    <row r="32" spans="1:3">
      <c r="A32" s="21" t="s">
        <v>248</v>
      </c>
      <c r="B32" s="22"/>
      <c r="C32" s="8" t="s">
        <v>34</v>
      </c>
    </row>
    <row r="33" spans="1:3">
      <c r="A33" s="21" t="s">
        <v>201</v>
      </c>
      <c r="B33" s="22"/>
      <c r="C33" s="8" t="s">
        <v>34</v>
      </c>
    </row>
    <row r="34" spans="1:3">
      <c r="A34" s="21" t="s">
        <v>202</v>
      </c>
      <c r="B34" s="22"/>
      <c r="C34" s="8" t="s">
        <v>34</v>
      </c>
    </row>
    <row r="35" spans="1:3">
      <c r="A35" s="21" t="s">
        <v>203</v>
      </c>
      <c r="B35" s="22"/>
      <c r="C35" s="8" t="s">
        <v>34</v>
      </c>
    </row>
    <row r="36" spans="1:3">
      <c r="A36" s="21" t="s">
        <v>204</v>
      </c>
      <c r="B36" s="22"/>
      <c r="C36" s="8" t="s">
        <v>34</v>
      </c>
    </row>
    <row r="37" spans="1:3">
      <c r="A37" s="21" t="s">
        <v>205</v>
      </c>
      <c r="B37" s="22"/>
      <c r="C37" s="8" t="s">
        <v>34</v>
      </c>
    </row>
    <row r="38" spans="1:3">
      <c r="A38" s="21" t="s">
        <v>206</v>
      </c>
      <c r="B38" s="22"/>
      <c r="C38" s="8" t="s">
        <v>34</v>
      </c>
    </row>
    <row r="39" spans="1:3">
      <c r="A39" s="21" t="s">
        <v>207</v>
      </c>
      <c r="B39" s="22"/>
      <c r="C39" s="8" t="s">
        <v>34</v>
      </c>
    </row>
    <row r="40" spans="1:3">
      <c r="A40" s="21" t="s">
        <v>208</v>
      </c>
      <c r="B40" s="22"/>
      <c r="C40" s="8" t="s">
        <v>34</v>
      </c>
    </row>
    <row r="41" spans="1:3">
      <c r="A41" s="21" t="s">
        <v>209</v>
      </c>
      <c r="B41" s="22"/>
      <c r="C41" s="8" t="s">
        <v>34</v>
      </c>
    </row>
    <row r="42" spans="1:3">
      <c r="A42" s="21" t="s">
        <v>210</v>
      </c>
      <c r="B42" s="22"/>
      <c r="C42" s="8" t="s">
        <v>34</v>
      </c>
    </row>
    <row r="43" spans="1:3">
      <c r="A43" s="21" t="s">
        <v>211</v>
      </c>
      <c r="B43" s="22"/>
      <c r="C43" s="8" t="s">
        <v>34</v>
      </c>
    </row>
    <row r="44" spans="1:3">
      <c r="A44" s="21" t="s">
        <v>212</v>
      </c>
      <c r="B44" s="22"/>
      <c r="C44" s="8" t="s">
        <v>34</v>
      </c>
    </row>
    <row r="45" spans="1:3">
      <c r="A45" s="21" t="s">
        <v>213</v>
      </c>
      <c r="B45" s="22"/>
      <c r="C45" s="8" t="s">
        <v>34</v>
      </c>
    </row>
    <row r="46" spans="1:3">
      <c r="A46" s="21" t="s">
        <v>214</v>
      </c>
      <c r="B46" s="22"/>
      <c r="C46" s="8" t="s">
        <v>34</v>
      </c>
    </row>
    <row r="47" spans="1:3">
      <c r="A47" s="21" t="s">
        <v>215</v>
      </c>
      <c r="B47" s="22"/>
      <c r="C47" s="8" t="s">
        <v>34</v>
      </c>
    </row>
    <row r="48" spans="1:3">
      <c r="A48" s="21" t="s">
        <v>216</v>
      </c>
      <c r="B48" s="22"/>
      <c r="C48" s="8" t="s">
        <v>34</v>
      </c>
    </row>
    <row r="49" spans="1:3">
      <c r="A49" s="21" t="s">
        <v>217</v>
      </c>
      <c r="B49" s="22"/>
      <c r="C49" s="8" t="s">
        <v>34</v>
      </c>
    </row>
    <row r="50" spans="1:3">
      <c r="A50" s="21" t="s">
        <v>218</v>
      </c>
      <c r="B50" s="22"/>
      <c r="C50" s="8" t="s">
        <v>34</v>
      </c>
    </row>
    <row r="51" spans="1:3">
      <c r="A51" s="21" t="s">
        <v>219</v>
      </c>
      <c r="B51" s="22"/>
      <c r="C51" s="8" t="s">
        <v>34</v>
      </c>
    </row>
    <row r="52" spans="1:3">
      <c r="A52" s="21" t="s">
        <v>220</v>
      </c>
      <c r="B52" s="22"/>
      <c r="C52" s="8" t="s">
        <v>34</v>
      </c>
    </row>
    <row r="53" spans="1:3">
      <c r="A53" s="21" t="s">
        <v>221</v>
      </c>
      <c r="B53" s="22"/>
      <c r="C53" s="8" t="s">
        <v>34</v>
      </c>
    </row>
    <row r="54" spans="1:3">
      <c r="A54" s="21" t="s">
        <v>222</v>
      </c>
      <c r="B54" s="22"/>
      <c r="C54" s="8" t="s">
        <v>34</v>
      </c>
    </row>
    <row r="55" spans="1:3">
      <c r="A55" s="21" t="s">
        <v>223</v>
      </c>
      <c r="B55" s="22"/>
      <c r="C55" s="8" t="s">
        <v>34</v>
      </c>
    </row>
    <row r="56" spans="1:3">
      <c r="A56" s="21" t="s">
        <v>224</v>
      </c>
      <c r="B56" s="22"/>
      <c r="C56" s="8" t="s">
        <v>34</v>
      </c>
    </row>
    <row r="57" spans="1:3">
      <c r="A57" s="21" t="s">
        <v>225</v>
      </c>
      <c r="B57" s="22"/>
      <c r="C57" s="8" t="s">
        <v>34</v>
      </c>
    </row>
    <row r="58" spans="1:3">
      <c r="A58" s="21" t="s">
        <v>226</v>
      </c>
      <c r="B58" s="22"/>
      <c r="C58" s="8" t="s">
        <v>34</v>
      </c>
    </row>
    <row r="59" spans="1:3">
      <c r="A59" s="21" t="s">
        <v>227</v>
      </c>
      <c r="B59" s="22"/>
      <c r="C59" s="8" t="s">
        <v>34</v>
      </c>
    </row>
    <row r="60" spans="1:3">
      <c r="A60" s="21" t="s">
        <v>228</v>
      </c>
      <c r="B60" s="22"/>
      <c r="C60" s="8" t="s">
        <v>34</v>
      </c>
    </row>
    <row r="61" spans="1:3">
      <c r="A61" s="21" t="s">
        <v>229</v>
      </c>
      <c r="B61" s="22"/>
      <c r="C61" s="8" t="s">
        <v>34</v>
      </c>
    </row>
    <row r="62" spans="1:3">
      <c r="A62" s="21" t="s">
        <v>230</v>
      </c>
      <c r="B62" s="22"/>
      <c r="C62" s="8" t="s">
        <v>34</v>
      </c>
    </row>
    <row r="63" spans="1:3">
      <c r="A63" s="21" t="s">
        <v>231</v>
      </c>
      <c r="B63" s="22"/>
      <c r="C63" s="8" t="s">
        <v>34</v>
      </c>
    </row>
    <row r="64" spans="1:3">
      <c r="A64" s="21" t="s">
        <v>232</v>
      </c>
      <c r="B64" s="22"/>
      <c r="C64" s="8" t="s">
        <v>34</v>
      </c>
    </row>
    <row r="65" spans="1:3">
      <c r="A65" s="21" t="s">
        <v>233</v>
      </c>
      <c r="B65" s="22"/>
      <c r="C65" s="8" t="s">
        <v>34</v>
      </c>
    </row>
    <row r="66" spans="1:3">
      <c r="A66" s="21" t="s">
        <v>234</v>
      </c>
      <c r="B66" s="22"/>
      <c r="C66" s="8" t="s">
        <v>34</v>
      </c>
    </row>
    <row r="67" spans="1:3">
      <c r="A67" s="21" t="s">
        <v>235</v>
      </c>
      <c r="B67" s="22"/>
      <c r="C67" s="8" t="s">
        <v>34</v>
      </c>
    </row>
    <row r="68" spans="1:3">
      <c r="A68" s="21" t="s">
        <v>236</v>
      </c>
      <c r="B68" s="22"/>
      <c r="C68" s="8" t="s">
        <v>34</v>
      </c>
    </row>
    <row r="69" spans="1:3">
      <c r="A69" s="21" t="s">
        <v>237</v>
      </c>
      <c r="B69" s="22"/>
      <c r="C69" s="8" t="s">
        <v>34</v>
      </c>
    </row>
    <row r="70" spans="1:3">
      <c r="A70" s="21" t="s">
        <v>238</v>
      </c>
      <c r="B70" s="22"/>
      <c r="C70" s="8" t="s">
        <v>34</v>
      </c>
    </row>
    <row r="71" spans="1:3">
      <c r="A71" s="21" t="s">
        <v>239</v>
      </c>
      <c r="B71" s="22"/>
      <c r="C71" s="8" t="s">
        <v>34</v>
      </c>
    </row>
    <row r="72" spans="1:3">
      <c r="A72" s="21" t="s">
        <v>240</v>
      </c>
      <c r="B72" s="22"/>
      <c r="C72" s="8" t="s">
        <v>34</v>
      </c>
    </row>
    <row r="73" spans="1:3">
      <c r="A73" s="21" t="s">
        <v>241</v>
      </c>
      <c r="B73" s="22"/>
      <c r="C73" s="8" t="s">
        <v>34</v>
      </c>
    </row>
    <row r="74" spans="1:3">
      <c r="A74" s="21" t="s">
        <v>242</v>
      </c>
      <c r="B74" s="22"/>
      <c r="C74" s="8" t="s">
        <v>34</v>
      </c>
    </row>
    <row r="75" spans="1:3">
      <c r="A75" s="21" t="s">
        <v>243</v>
      </c>
      <c r="B75" s="22"/>
      <c r="C75" s="8" t="s">
        <v>34</v>
      </c>
    </row>
    <row r="76" spans="1:3">
      <c r="A76" s="21" t="s">
        <v>244</v>
      </c>
      <c r="B76" s="22"/>
      <c r="C76" s="8" t="s">
        <v>34</v>
      </c>
    </row>
    <row r="77" spans="1:3">
      <c r="A77" s="21" t="s">
        <v>147</v>
      </c>
      <c r="B77" s="22"/>
      <c r="C77" s="8" t="s">
        <v>34</v>
      </c>
    </row>
    <row r="78" spans="1:3">
      <c r="A78" s="21" t="s">
        <v>148</v>
      </c>
      <c r="B78" s="22"/>
      <c r="C78" s="8" t="s">
        <v>34</v>
      </c>
    </row>
    <row r="79" spans="1:3">
      <c r="A79" s="21" t="s">
        <v>149</v>
      </c>
      <c r="B79" s="22"/>
      <c r="C79" s="8" t="s">
        <v>34</v>
      </c>
    </row>
    <row r="80" spans="1:3">
      <c r="A80" s="21" t="s">
        <v>171</v>
      </c>
      <c r="B80" s="22"/>
      <c r="C80" s="8" t="s">
        <v>34</v>
      </c>
    </row>
    <row r="81" spans="1:4">
      <c r="A81" s="21" t="s">
        <v>150</v>
      </c>
      <c r="B81" s="22"/>
      <c r="C81" s="8" t="s">
        <v>34</v>
      </c>
    </row>
    <row r="82" spans="1:4">
      <c r="A82" s="21" t="s">
        <v>151</v>
      </c>
      <c r="B82" s="22"/>
      <c r="C82" s="8" t="s">
        <v>34</v>
      </c>
    </row>
    <row r="83" spans="1:4">
      <c r="A83" s="21" t="s">
        <v>170</v>
      </c>
      <c r="B83" s="22"/>
      <c r="C83" s="8" t="s">
        <v>34</v>
      </c>
    </row>
    <row r="84" spans="1:4">
      <c r="A84" s="21" t="s">
        <v>152</v>
      </c>
      <c r="B84" s="22"/>
      <c r="C84" s="8" t="s">
        <v>34</v>
      </c>
      <c r="D84" s="20" t="s">
        <v>141</v>
      </c>
    </row>
    <row r="85" spans="1:4">
      <c r="A85" s="21" t="s">
        <v>153</v>
      </c>
      <c r="B85" s="22"/>
      <c r="C85" s="8" t="s">
        <v>34</v>
      </c>
    </row>
    <row r="86" spans="1:4">
      <c r="A86" s="21" t="s">
        <v>169</v>
      </c>
      <c r="B86" s="22"/>
      <c r="C86" s="8" t="s">
        <v>34</v>
      </c>
    </row>
    <row r="87" spans="1:4">
      <c r="A87" s="21" t="s">
        <v>154</v>
      </c>
      <c r="B87" s="22"/>
      <c r="C87" s="8" t="s">
        <v>34</v>
      </c>
    </row>
    <row r="88" spans="1:4">
      <c r="A88" s="21" t="s">
        <v>155</v>
      </c>
      <c r="B88" s="22"/>
      <c r="C88" s="8" t="s">
        <v>34</v>
      </c>
    </row>
    <row r="89" spans="1:4">
      <c r="A89" s="21" t="s">
        <v>156</v>
      </c>
      <c r="B89" s="22"/>
      <c r="C89" s="8" t="s">
        <v>34</v>
      </c>
    </row>
    <row r="90" spans="1:4">
      <c r="A90" s="21" t="s">
        <v>157</v>
      </c>
      <c r="B90" s="22"/>
      <c r="C90" s="8" t="s">
        <v>34</v>
      </c>
    </row>
    <row r="91" spans="1:4">
      <c r="A91" s="21" t="s">
        <v>158</v>
      </c>
      <c r="B91" s="22"/>
      <c r="C91" s="8" t="s">
        <v>34</v>
      </c>
    </row>
    <row r="92" spans="1:4">
      <c r="A92" s="21" t="s">
        <v>159</v>
      </c>
      <c r="B92" s="22"/>
      <c r="C92" s="8" t="s">
        <v>34</v>
      </c>
    </row>
    <row r="93" spans="1:4">
      <c r="A93" s="21" t="s">
        <v>160</v>
      </c>
      <c r="B93" s="22"/>
      <c r="C93" s="8" t="s">
        <v>34</v>
      </c>
    </row>
    <row r="94" spans="1:4">
      <c r="A94" s="21" t="s">
        <v>161</v>
      </c>
      <c r="B94" s="22"/>
      <c r="C94" s="8" t="s">
        <v>34</v>
      </c>
    </row>
    <row r="95" spans="1:4">
      <c r="A95" s="21" t="s">
        <v>162</v>
      </c>
      <c r="B95" s="22"/>
      <c r="C95" s="8" t="s">
        <v>34</v>
      </c>
    </row>
    <row r="96" spans="1:4">
      <c r="A96" s="21" t="s">
        <v>163</v>
      </c>
      <c r="B96" s="22"/>
      <c r="C96" s="8" t="s">
        <v>34</v>
      </c>
    </row>
    <row r="97" spans="1:3">
      <c r="A97" s="21" t="s">
        <v>164</v>
      </c>
      <c r="B97" s="22"/>
      <c r="C97" s="8" t="s">
        <v>34</v>
      </c>
    </row>
    <row r="98" spans="1:3">
      <c r="A98" s="21" t="s">
        <v>165</v>
      </c>
      <c r="B98" s="22"/>
      <c r="C98" s="8" t="s">
        <v>34</v>
      </c>
    </row>
    <row r="99" spans="1:3">
      <c r="A99" s="21" t="s">
        <v>38</v>
      </c>
      <c r="B99" s="22"/>
      <c r="C99" s="8" t="s">
        <v>34</v>
      </c>
    </row>
    <row r="100" spans="1:3">
      <c r="A100" s="21" t="s">
        <v>39</v>
      </c>
      <c r="B100" s="22"/>
      <c r="C100" s="8" t="s">
        <v>34</v>
      </c>
    </row>
    <row r="101" spans="1:3">
      <c r="A101" s="21" t="s">
        <v>40</v>
      </c>
      <c r="B101" s="22"/>
      <c r="C101" s="8" t="s">
        <v>34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2026-05-03T16:15:37Z</dcterms:modified>
</cp:coreProperties>
</file>