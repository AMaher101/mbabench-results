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lia\Downloads\BizBench New Models\Financing Waterfall\CashNiagara\starting_files\"/>
    </mc:Choice>
  </mc:AlternateContent>
  <xr:revisionPtr revIDLastSave="0" documentId="13_ncr:1_{F9DCE859-4ABB-425C-9040-98CC484D6FCB}" xr6:coauthVersionLast="47" xr6:coauthVersionMax="47" xr10:uidLastSave="{00000000-0000-0000-0000-000000000000}"/>
  <bookViews>
    <workbookView xWindow="-108" yWindow="-108" windowWidth="23256" windowHeight="12456" xr2:uid="{9D050BFD-007E-4C38-9D7B-ED1AFA0D54D5}"/>
  </bookViews>
  <sheets>
    <sheet name="Instructions" sheetId="10" r:id="rId1"/>
    <sheet name="Assumptions" sheetId="9" r:id="rId2"/>
    <sheet name="Questions" sheetId="11" r:id="rId3"/>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Instructions!#REF!</definedName>
    <definedName name="solver_typ" localSheetId="0" hidden="1">1</definedName>
    <definedName name="solver_val" localSheetId="0" hidden="1">0</definedName>
    <definedName name="solver_ver" localSheetId="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calcChain>
</file>

<file path=xl/sharedStrings.xml><?xml version="1.0" encoding="utf-8"?>
<sst xmlns="http://schemas.openxmlformats.org/spreadsheetml/2006/main" count="272" uniqueCount="150">
  <si>
    <t>[$]</t>
  </si>
  <si>
    <t>[years]</t>
  </si>
  <si>
    <t>[%]</t>
  </si>
  <si>
    <t>End Sheet</t>
  </si>
  <si>
    <t>Cash</t>
  </si>
  <si>
    <t>Available FCF</t>
  </si>
  <si>
    <t>Year Number</t>
  </si>
  <si>
    <t>Senior debt - Tranche 1 - scheduled repayment</t>
  </si>
  <si>
    <t>Senior debt - Tranche 2 - scheduled repayment</t>
  </si>
  <si>
    <t>Yearly Inputs</t>
  </si>
  <si>
    <t>Model Start date</t>
  </si>
  <si>
    <t>Revolver limit</t>
  </si>
  <si>
    <t>Class A shares (existing) - vesting year</t>
  </si>
  <si>
    <t>Class B shares (existing) - vesting year</t>
  </si>
  <si>
    <t>Class C shares (existing) - vesting year</t>
  </si>
  <si>
    <t>Class C shares (new) - vesting period</t>
  </si>
  <si>
    <t>Class A shares - # issued</t>
  </si>
  <si>
    <t>Class B shares - # issued</t>
  </si>
  <si>
    <t>Class C shares - # issued</t>
  </si>
  <si>
    <t>Class A shares - price as issue</t>
  </si>
  <si>
    <t>Class B shares - price at issue</t>
  </si>
  <si>
    <t>Class C shares - price at issue</t>
  </si>
  <si>
    <t>Interest rates</t>
  </si>
  <si>
    <t>Shares</t>
  </si>
  <si>
    <t>Opening Balances</t>
  </si>
  <si>
    <t>Shares issued</t>
  </si>
  <si>
    <t>Senior debt - Tranche 3 - scheduled repayment</t>
  </si>
  <si>
    <t>Class D shares (existing) - vesting year</t>
  </si>
  <si>
    <t>Class D shares - price at issue</t>
  </si>
  <si>
    <t>Cash float (min.)</t>
  </si>
  <si>
    <t>Model length</t>
  </si>
  <si>
    <t>Revolver facility</t>
  </si>
  <si>
    <t>Senior debt (Tranche 1)</t>
  </si>
  <si>
    <t>Senior debt (Tranche 2)</t>
  </si>
  <si>
    <t>Senior debt (Tranche 3)</t>
  </si>
  <si>
    <t>Class D shares - # issued</t>
  </si>
  <si>
    <t>Assumptions sheet may be also in the text on the Instructions tab - please use the assumptions on this sheet for your model</t>
  </si>
  <si>
    <t>Finance Task</t>
  </si>
  <si>
    <t>There is a hierarchy, which payments are made in which order. Payments may be delayed or not made, if there are insufficient funds available.</t>
  </si>
  <si>
    <t>Opening Inputs</t>
  </si>
  <si>
    <t>[$k]</t>
  </si>
  <si>
    <t>Convertible debt (regular)</t>
  </si>
  <si>
    <t>Questions (please round your answers to two decimal places)</t>
  </si>
  <si>
    <t>Answers</t>
  </si>
  <si>
    <t>What is the total dividend paid (over the entire model period) for Class A shares?</t>
  </si>
  <si>
    <t>What is the total dividend paid (over the entire model period) for Class B shares?</t>
  </si>
  <si>
    <t>What is the total dividend paid (over the entire model period) for Class C shares?</t>
  </si>
  <si>
    <t>What is the total dividend paid (over the entire model period) for Class D shares?</t>
  </si>
  <si>
    <t>What is the total dividend paid (over the entire model period) for Class E shares?</t>
  </si>
  <si>
    <t>Unit</t>
  </si>
  <si>
    <t>Cash - positive balances</t>
  </si>
  <si>
    <t>Cash - negative balances</t>
  </si>
  <si>
    <t>Revolver</t>
  </si>
  <si>
    <t>Senior debt - Tranche 1</t>
  </si>
  <si>
    <t>Senior debt - Tranche 2</t>
  </si>
  <si>
    <t>Senior debt - Tranche 3</t>
  </si>
  <si>
    <t>Convertible interest debt (regular)</t>
  </si>
  <si>
    <t>[Act/360]</t>
  </si>
  <si>
    <t>[30/360 US]</t>
  </si>
  <si>
    <t>[Act/Act]</t>
  </si>
  <si>
    <t>Interest rates convention - Day Count Conventions</t>
  </si>
  <si>
    <t>Interest rates convention - Quoting Conventions</t>
  </si>
  <si>
    <t>All interest rates are given p.a., but might have different interest rate conventions (both for day count and quoting).</t>
  </si>
  <si>
    <t>Nominal</t>
  </si>
  <si>
    <t>EAR</t>
  </si>
  <si>
    <t>$k to $m</t>
  </si>
  <si>
    <t>Month Number</t>
  </si>
  <si>
    <t>[million]</t>
  </si>
  <si>
    <t>[$m]</t>
  </si>
  <si>
    <t>1. Interest on cash balances (assume that this is not part of available FCF), interest on all tranches of Senior debt and on the revolver are always made, even if this would mean, that the cash balance would become negative.</t>
  </si>
  <si>
    <t>Senior debt - Tranche 4 - scheduled repayment</t>
  </si>
  <si>
    <t>Senior debt - Tranche 5 - scheduled repayment</t>
  </si>
  <si>
    <t>Senior debt - Tranche 4</t>
  </si>
  <si>
    <t>Senior debt - Tranche 5</t>
  </si>
  <si>
    <t>Class E shares - # issued</t>
  </si>
  <si>
    <t>Class E shares - price at issue</t>
  </si>
  <si>
    <t>Senior debt (Tranche 5)</t>
  </si>
  <si>
    <t>Senior debt (Tranche 4)</t>
  </si>
  <si>
    <t>Class E shares (existing) - vesting year</t>
  </si>
  <si>
    <t>Quarterly Inputs</t>
  </si>
  <si>
    <t>Quarters per year</t>
  </si>
  <si>
    <t>Senior debt (Tranche 6)</t>
  </si>
  <si>
    <t>Senior debt - Tranche 6 - scheduled repayment</t>
  </si>
  <si>
    <t>Senior debt - Tranche 6</t>
  </si>
  <si>
    <t>2. Repayment of Senior debt Tranche 6 (if funds are not sufficient to repay in total, partial repayment for that month  – if the full scheduled repayment is not possible, the unpaid portion is rolled forward, until the repayment is back on track)</t>
  </si>
  <si>
    <t>3. Repayment of Senior debt Tranche 5 (if funds are not sufficient to repay in total, partial repayment for that month  – if the full scheduled repayment is not possible, the unpaid portion is rolled forward, until the repayment is back on track)</t>
  </si>
  <si>
    <t>4. Repayment of Senior debt Tranche 4 (if funds are not sufficient to repay in total, partial repayment for that month  – if the full scheduled repayment is not possible, the unpaid portion is rolled forward, until the repayment is back on track)</t>
  </si>
  <si>
    <t>5. Repayment of Senior debt Tranche 3 (if funds are not sufficient to repay in total, partial repayment for that month  – if the full scheduled repayment is not possible, the unpaid portion is rolled forward, until the repayment is back on track)</t>
  </si>
  <si>
    <t>6. Repayment of Senior debt Tranche 2 (if funds are not sufficient to repay in total, partial repayment for that month  – if the full scheduled repayment is not possible, the unpaid portion is rolled forward, until the repayment is back on track)</t>
  </si>
  <si>
    <t>7. Repayment of Senior debt Tranche 1 (if funds are not sufficient to repay in total, partial repayment for that month  – if the full scheduled repayment is not possible, the unpaid portion is rolled forward, until the repayment is back on track)</t>
  </si>
  <si>
    <t>12. Ensuring minimum cash float (by drawing the revolver (13.) up to the limit given)</t>
  </si>
  <si>
    <t>13. Repay or Draw revolver facility (up to limit given)</t>
  </si>
  <si>
    <r>
      <t>10.</t>
    </r>
    <r>
      <rPr>
        <sz val="7"/>
        <color theme="1"/>
        <rFont val="Times New Roman"/>
        <family val="1"/>
      </rPr>
      <t xml:space="preserve"> </t>
    </r>
    <r>
      <rPr>
        <sz val="12"/>
        <color theme="1"/>
        <rFont val="Aptos"/>
        <family val="2"/>
      </rPr>
      <t>Interest on the Convertible interest debt (regular) (no repayments, if the full interest amount cannot be paid, the unpaid interest is converted into Class D equity at $15.68 per share)</t>
    </r>
  </si>
  <si>
    <t>All necessary information regarding amounts, repayment, interest rates and equity/shares are given in the tab Assumptions.</t>
  </si>
  <si>
    <t>The whole model should be a quarterly model in the end – assume that all payments are made at the end of the quarter (interest is therefore calculated based on the opening balances).</t>
  </si>
  <si>
    <t>The repayment schedule is shown on an annual basis - break it down into quarterly repayments by assuming equal quarterly repayments.</t>
  </si>
  <si>
    <t>Create a Debt Waterfall (quarterly and dynamic model that also takes into account possible convention changes, using a meaningful unit of currency) on a new sheet and answer the questions with the results from your model.</t>
  </si>
  <si>
    <t>9. Interest on Subordinated debt (if the full interest amount cannot be paid, the unpaid interest is capitalized into the balance of the subordinated debt)</t>
  </si>
  <si>
    <t>Subordinated debt</t>
  </si>
  <si>
    <t>[quarters]</t>
  </si>
  <si>
    <t>Class D shares (new) - vesting period</t>
  </si>
  <si>
    <t>(please note that new Class C shares resulting from the convertible bond must also observe a three-year holding period starting from the conversion date before they become eligible for dividends - with the regular vesting period for Class C shares serving as the minimum requirement; therefore, the later of the regular vesting period for Class C shares and the conversion date plus the three-year waiting period is used)</t>
  </si>
  <si>
    <t>(please note that new Class D shares resulting from the convertible bond must also observe a two-quarter holding period starting from the conversion date before they become eligible for dividends - with the regular vesting period for Class D shares serving as the minimum requirement; therefore, the later of the regular vesting period for Class D shares and the conversion date plus the two-quarter waiting period is used)</t>
  </si>
  <si>
    <t>14. Profit distributions (quarterly): Any excess liquidity is distributed to the shareholders (as long as all above payments are made and the cash balance is above min. float as well as the revolver facility repaid fully). Distributions are made in proportion to the number and weighting of shares held eligible for dividends (factoring in the different rights (given in relation to Share Class C) and vesting periods).</t>
  </si>
  <si>
    <t>What is the account balance for Cash in Q2-2034?</t>
  </si>
  <si>
    <t>What is the account balance for Cash in Q3-2032?</t>
  </si>
  <si>
    <t>What is the account balance for Cash in Q3-2033?</t>
  </si>
  <si>
    <t>What is the account balance for Class C shares in Q3-2039?</t>
  </si>
  <si>
    <t>What is the account balance for Class D shares in Q3-2038?</t>
  </si>
  <si>
    <t>What is the account balance for Class D shares in Q4-2024?</t>
  </si>
  <si>
    <t>What is the account balance for Convertible debt (regular) in Q1-2040?</t>
  </si>
  <si>
    <t>What is the account balance for Convertible debt (regular) in Q2-2026?</t>
  </si>
  <si>
    <t>What is the account balance for Convertible debt (regular) in Q3-2032?</t>
  </si>
  <si>
    <t>What is the account balance for Revolver facility in Q2-2032?</t>
  </si>
  <si>
    <t>What is the account balance for Revolver facility in Q3-2033?</t>
  </si>
  <si>
    <t>What is the account balance for Revolver facility in Q4-2042?</t>
  </si>
  <si>
    <t>What is the account balance for Senior debt (Tranche 1) in Q3-2035?</t>
  </si>
  <si>
    <t>What is the account balance for Senior debt (Tranche 2) in Q2-2039?</t>
  </si>
  <si>
    <t>What is the account balance for Senior debt (Tranche 2) in Q3-2038?</t>
  </si>
  <si>
    <t>What is the account balance for Senior debt (Tranche 3) in Q2-2039?</t>
  </si>
  <si>
    <t>What is the account balance for Senior debt (Tranche 3) in Q3-2029?</t>
  </si>
  <si>
    <t>What is the account balance for Senior debt (Tranche 3) in Q3-2041?</t>
  </si>
  <si>
    <t>What is the account balance for Senior debt (Tranche 4) in Q1-2040?</t>
  </si>
  <si>
    <t>What is the account balance for Senior debt (Tranche 6) in Q3-2037?</t>
  </si>
  <si>
    <t>What is the account balance for Subordinated debt in Q1-2031?</t>
  </si>
  <si>
    <t>What is the account balance for Subordinated debt in Q3-2037?</t>
  </si>
  <si>
    <t>What is the account balance for Subordinated debt in Q3-2042?</t>
  </si>
  <si>
    <t>What is the account balance for Revolver facility in Q2-2024?</t>
  </si>
  <si>
    <t>What is the account balance for Revolver facility in Q3-2030?</t>
  </si>
  <si>
    <t>How much cash was used for Dividend Payout in the year 2028?</t>
  </si>
  <si>
    <t>How much cash was used for Interest on Senior Debt tranches in the year 2027?</t>
  </si>
  <si>
    <t>How much cash was used for Interest Payment Subordinated Debt in the year 2038?</t>
  </si>
  <si>
    <t>How much cash was used for Repayment of Senior Debt Tranche 3 in the year 2029?</t>
  </si>
  <si>
    <t>How much cash was used for Repayment of Senior Debt Tranche 3 in the year 2040?</t>
  </si>
  <si>
    <t>How much cash was used for Repayment of Senior Debt Tranche 4 in the year 2025?</t>
  </si>
  <si>
    <t>How much cash was used for Repayment of Senior Debt Tranche 4 in the year 2035?</t>
  </si>
  <si>
    <t>How much cash was used for Repayment of Senior Debt Tranche 6 in the year 2036?</t>
  </si>
  <si>
    <t>How much cash was used for Interest on Senior Debt tranches in the year 2026?</t>
  </si>
  <si>
    <t>On a separate tab, create a summary showing the annual cash flows for the situation described above - you may wanna use your debt waterfall model for that purpose.</t>
  </si>
  <si>
    <t>Debt Waterfall Modeling - Cash Niagara</t>
  </si>
  <si>
    <t>A company has a complex financing structure, consisting of cash, a revolver facility, six tranches of senior debt, one trance of Subordinated debt, two tranches of convertible debt and five classes of equity.</t>
  </si>
  <si>
    <t>11. Interest on the Subordinated Convertible interest debt (no repayments, if the full interest amount cannot be paid, the unpaid interest is converted into Class C equity at $103.4 per share)</t>
  </si>
  <si>
    <t>Subordinated Convertible debt</t>
  </si>
  <si>
    <t>Subordinated Convertible interest debt</t>
  </si>
  <si>
    <t>How much cash was used for Interest Payment Subordinated Convertible Debt in the year 2037?</t>
  </si>
  <si>
    <t>One A share is worth 0.3 C share</t>
  </si>
  <si>
    <t>One B share is worth 0.25 C shares</t>
  </si>
  <si>
    <t>One D share is worth 0.15 C shares</t>
  </si>
  <si>
    <t>One E share is worth 0.1 C shares</t>
  </si>
  <si>
    <t>8. Repayment of Subordinated debt (if funds are not sufficient to repay in total, partial repayment for that month  – if the full scheduled repayment is not possible, the unpaid portion is rolled forward, until the repayment is back on track) - repayment every quarter is equal to the current opening balance for that quarter divided by the quarters remaining in the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</si>
</sst>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0\);\-"/>
    <numFmt numFmtId="165" formatCode="#,##0.00_);\(#,##0.00\);\-"/>
  </numFmts>
  <fonts count="18">
    <font>
      <sz val="11"/>
      <color theme="1"/>
      <name val="Aptos Narrow"/>
      <family val="2"/>
      <scheme val="minor"/>
    </font>
    <font>
      <sz val="11"/>
      <color theme="1"/>
      <name val="Aptos Narrow"/>
      <family val="2"/>
      <scheme val="minor"/>
    </font>
    <font>
      <b/>
      <sz val="11"/>
      <color theme="1"/>
      <name val="Aptos Narrow"/>
      <family val="2"/>
      <scheme val="minor"/>
    </font>
    <font>
      <sz val="12"/>
      <color theme="1"/>
      <name val="Aptos Narrow"/>
      <family val="2"/>
      <scheme val="minor"/>
    </font>
    <font>
      <sz val="10"/>
      <color rgb="FF0000FF"/>
      <name val="Aptos Narrow"/>
      <family val="2"/>
      <scheme val="minor"/>
    </font>
    <font>
      <sz val="11"/>
      <color rgb="FF0000FF"/>
      <name val="Aptos Narrow"/>
      <family val="2"/>
      <scheme val="minor"/>
    </font>
    <font>
      <b/>
      <sz val="10"/>
      <color theme="1"/>
      <name val="Arial"/>
      <family val="2"/>
    </font>
    <font>
      <b/>
      <sz val="10"/>
      <color theme="1"/>
      <name val="Aptos Narrow"/>
      <family val="2"/>
      <scheme val="minor"/>
    </font>
    <font>
      <sz val="10"/>
      <color theme="1"/>
      <name val="Arial"/>
      <family val="2"/>
    </font>
    <font>
      <sz val="10"/>
      <color rgb="FF0000FF"/>
      <name val="Arial"/>
      <family val="2"/>
    </font>
    <font>
      <sz val="8"/>
      <name val="Aptos Narrow"/>
      <family val="2"/>
      <scheme val="minor"/>
    </font>
    <font>
      <sz val="11"/>
      <color theme="1"/>
      <name val="Roboto"/>
    </font>
    <font>
      <sz val="11"/>
      <name val="Roboto"/>
    </font>
    <font>
      <b/>
      <sz val="48"/>
      <color theme="0"/>
      <name val="ROBOTECH GP"/>
      <family val="2"/>
    </font>
    <font>
      <b/>
      <sz val="24"/>
      <color theme="0"/>
      <name val="ROBOTECH GP"/>
      <family val="2"/>
    </font>
    <font>
      <sz val="12"/>
      <color theme="1"/>
      <name val="Aptos"/>
      <family val="2"/>
    </font>
    <font>
      <sz val="7"/>
      <color theme="1"/>
      <name val="Times New Roman"/>
      <family val="1"/>
    </font>
    <font>
      <b/>
      <sz val="12"/>
      <color theme="1"/>
      <name val="Aptos Narrow"/>
      <family val="2"/>
      <scheme val="minor"/>
    </font>
  </fonts>
  <fills count="7">
    <fill>
      <patternFill patternType="none"/>
    </fill>
    <fill>
      <patternFill patternType="gray125"/>
    </fill>
    <fill>
      <patternFill patternType="solid">
        <fgColor rgb="FFFFFFCC"/>
        <bgColor indexed="64"/>
      </patternFill>
    </fill>
    <fill>
      <patternFill patternType="solid">
        <fgColor theme="3" tint="0.79998168889431442"/>
        <bgColor indexed="64"/>
      </patternFill>
    </fill>
    <fill>
      <patternFill patternType="solid">
        <fgColor theme="8" tint="0.79998168889431442"/>
        <bgColor indexed="64"/>
      </patternFill>
    </fill>
    <fill>
      <gradientFill>
        <stop position="0">
          <color rgb="FF007B00"/>
        </stop>
        <stop position="1">
          <color rgb="FF020024"/>
        </stop>
      </gradientFill>
    </fill>
    <fill>
      <patternFill patternType="solid">
        <fgColor theme="7" tint="0.79998168889431442"/>
        <bgColor indexed="64"/>
      </patternFill>
    </fill>
  </fills>
  <borders count="6">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8">
    <xf numFmtId="0" fontId="0" fillId="0" borderId="0"/>
    <xf numFmtId="0" fontId="1" fillId="0" borderId="0"/>
    <xf numFmtId="0" fontId="3" fillId="0" borderId="0"/>
    <xf numFmtId="9" fontId="1" fillId="0" borderId="0" applyFont="0" applyFill="0" applyBorder="0" applyAlignment="0" applyProtection="0"/>
    <xf numFmtId="4" fontId="6" fillId="3" borderId="1">
      <alignment horizontal="left"/>
    </xf>
    <xf numFmtId="164" fontId="8" fillId="0" borderId="0" applyBorder="0"/>
    <xf numFmtId="164" fontId="9" fillId="2" borderId="2">
      <protection locked="0"/>
    </xf>
    <xf numFmtId="0" fontId="9" fillId="0" borderId="0" applyNumberFormat="0" applyFill="0" applyBorder="0">
      <alignment horizontal="right"/>
    </xf>
  </cellStyleXfs>
  <cellXfs count="29">
    <xf numFmtId="0" fontId="0" fillId="0" borderId="0" xfId="0"/>
    <xf numFmtId="4" fontId="0" fillId="0" borderId="0" xfId="0" applyNumberFormat="1"/>
    <xf numFmtId="0" fontId="2" fillId="0" borderId="0" xfId="0" applyFont="1"/>
    <xf numFmtId="0" fontId="5" fillId="0" borderId="0" xfId="0" applyFont="1"/>
    <xf numFmtId="4" fontId="5" fillId="2" borderId="2" xfId="0" applyNumberFormat="1" applyFont="1" applyFill="1" applyBorder="1"/>
    <xf numFmtId="4" fontId="7" fillId="4" borderId="1" xfId="4" applyFont="1" applyFill="1">
      <alignment horizontal="left"/>
    </xf>
    <xf numFmtId="4" fontId="2" fillId="4" borderId="1" xfId="4" applyFont="1" applyFill="1">
      <alignment horizontal="left"/>
    </xf>
    <xf numFmtId="10" fontId="5" fillId="2" borderId="2" xfId="3" applyNumberFormat="1" applyFont="1" applyFill="1" applyBorder="1"/>
    <xf numFmtId="0" fontId="4" fillId="0" borderId="0" xfId="0" applyFont="1"/>
    <xf numFmtId="14" fontId="5" fillId="2" borderId="2" xfId="0" applyNumberFormat="1" applyFont="1" applyFill="1" applyBorder="1"/>
    <xf numFmtId="3" fontId="5" fillId="2" borderId="2" xfId="0" applyNumberFormat="1" applyFont="1" applyFill="1" applyBorder="1"/>
    <xf numFmtId="1" fontId="5" fillId="2" borderId="2" xfId="0" applyNumberFormat="1" applyFont="1" applyFill="1" applyBorder="1"/>
    <xf numFmtId="165" fontId="9" fillId="0" borderId="0" xfId="7" applyNumberFormat="1">
      <alignment horizontal="right"/>
    </xf>
    <xf numFmtId="0" fontId="11" fillId="0" borderId="0" xfId="1" applyFont="1"/>
    <xf numFmtId="0" fontId="12" fillId="0" borderId="0" xfId="1" applyFont="1"/>
    <xf numFmtId="0" fontId="11" fillId="0" borderId="0" xfId="1" applyFont="1" applyAlignment="1">
      <alignment horizontal="center"/>
    </xf>
    <xf numFmtId="0" fontId="12" fillId="0" borderId="0" xfId="1" applyFont="1" applyAlignment="1">
      <alignment horizontal="center"/>
    </xf>
    <xf numFmtId="0" fontId="15" fillId="0" borderId="0" xfId="0" applyFont="1" applyAlignment="1">
      <alignment vertical="center"/>
    </xf>
    <xf numFmtId="0" fontId="15" fillId="0" borderId="0" xfId="0" applyFont="1" applyAlignment="1">
      <alignment horizontal="left" vertical="center" indent="6"/>
    </xf>
    <xf numFmtId="10" fontId="0" fillId="0" borderId="0" xfId="0" applyNumberFormat="1"/>
    <xf numFmtId="0" fontId="17" fillId="0" borderId="0" xfId="2" applyFont="1"/>
    <xf numFmtId="0" fontId="3" fillId="0" borderId="0" xfId="2"/>
    <xf numFmtId="0" fontId="11" fillId="0" borderId="0" xfId="1" applyFont="1" applyAlignment="1">
      <alignment horizontal="left"/>
    </xf>
    <xf numFmtId="4" fontId="11" fillId="6" borderId="2" xfId="1" applyNumberFormat="1" applyFont="1" applyFill="1" applyBorder="1" applyAlignment="1">
      <alignment horizontal="center"/>
    </xf>
    <xf numFmtId="0" fontId="13" fillId="5" borderId="3" xfId="2" applyFont="1" applyFill="1" applyBorder="1" applyAlignment="1">
      <alignment horizontal="center" vertical="center"/>
    </xf>
    <xf numFmtId="0" fontId="13" fillId="5" borderId="1" xfId="2" applyFont="1" applyFill="1" applyBorder="1" applyAlignment="1">
      <alignment horizontal="center" vertical="center"/>
    </xf>
    <xf numFmtId="0" fontId="13" fillId="5" borderId="4" xfId="2" applyFont="1" applyFill="1" applyBorder="1" applyAlignment="1">
      <alignment horizontal="center" vertical="center"/>
    </xf>
    <xf numFmtId="0" fontId="14" fillId="5" borderId="5" xfId="2" applyFont="1" applyFill="1" applyBorder="1" applyAlignment="1">
      <alignment horizontal="center" vertical="center"/>
    </xf>
    <xf numFmtId="0" fontId="14" fillId="5" borderId="0" xfId="2" applyFont="1" applyFill="1" applyAlignment="1">
      <alignment horizontal="center" vertical="center"/>
    </xf>
  </cellXfs>
  <cellStyles count="8">
    <cellStyle name="M Section Header" xfId="4" xr:uid="{F944F0E6-F034-49F8-8B3F-D0C9E50BA2F6}"/>
    <cellStyle name="M Units" xfId="7" xr:uid="{B591442F-CADB-4FD5-9324-DD1119747805}"/>
    <cellStyle name="M-A 0dp" xfId="6" xr:uid="{80AB76FC-3C43-4EFF-B2A6-1E81FFBC781B}"/>
    <cellStyle name="M-C 0dp Num" xfId="5" xr:uid="{C7EF620F-9501-4FBB-93FF-813E47ED464B}"/>
    <cellStyle name="Normal" xfId="0" builtinId="0"/>
    <cellStyle name="Normal 2" xfId="2" xr:uid="{037B3D13-DA10-4240-9E6B-55FD128391C9}"/>
    <cellStyle name="Normal 3" xfId="1" xr:uid="{1C87C372-71EA-4FEE-904D-475CC6E05479}"/>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05585-2C4B-4272-9AD0-C24F524B71E1}">
  <sheetPr>
    <tabColor theme="8" tint="-0.249977111117893"/>
  </sheetPr>
  <dimension ref="A1:K30"/>
  <sheetViews>
    <sheetView showGridLines="0" tabSelected="1" zoomScale="79" zoomScaleNormal="80" zoomScaleSheetLayoutView="100" workbookViewId="0"/>
  </sheetViews>
  <sheetFormatPr defaultColWidth="5.21875" defaultRowHeight="14.4"/>
  <cols>
    <col min="1" max="1" width="1.88671875" style="13" customWidth="1"/>
    <col min="2" max="2" width="32.109375" style="15" customWidth="1"/>
    <col min="3" max="3" width="17.109375" style="15" bestFit="1" customWidth="1"/>
    <col min="4" max="4" width="20.88671875" style="15" bestFit="1" customWidth="1"/>
    <col min="5" max="5" width="24.109375" style="15" customWidth="1"/>
    <col min="6" max="6" width="21.5546875" style="15" customWidth="1"/>
    <col min="7" max="7" width="26.33203125" style="15" bestFit="1" customWidth="1"/>
    <col min="8" max="8" width="40.109375" style="15" customWidth="1"/>
    <col min="9" max="9" width="23.5546875" style="16" customWidth="1"/>
    <col min="10" max="10" width="23.5546875" style="14" customWidth="1"/>
    <col min="11" max="11" width="27.77734375" style="14" customWidth="1"/>
    <col min="12" max="12" width="20.5546875" style="14" customWidth="1"/>
    <col min="13" max="376" width="11.109375" style="14" bestFit="1" customWidth="1"/>
    <col min="377" max="377" width="5.21875" style="14"/>
    <col min="378" max="383" width="9.6640625" style="14" customWidth="1"/>
    <col min="384" max="384" width="5.21875" style="14"/>
    <col min="385" max="393" width="9.6640625" style="14" customWidth="1"/>
    <col min="394" max="16384" width="5.21875" style="14"/>
  </cols>
  <sheetData>
    <row r="1" spans="2:11" ht="15" customHeight="1">
      <c r="B1" s="13"/>
      <c r="C1" s="13"/>
      <c r="D1" s="13"/>
      <c r="E1" s="13"/>
      <c r="F1" s="13"/>
      <c r="G1" s="13"/>
      <c r="H1" s="13"/>
      <c r="I1" s="13"/>
      <c r="J1" s="13"/>
      <c r="K1" s="13"/>
    </row>
    <row r="2" spans="2:11" ht="60.75" customHeight="1">
      <c r="B2" s="24" t="s">
        <v>37</v>
      </c>
      <c r="C2" s="25"/>
      <c r="D2" s="25"/>
      <c r="E2" s="25"/>
      <c r="F2" s="25"/>
      <c r="G2" s="25"/>
      <c r="H2" s="25"/>
      <c r="I2" s="25"/>
      <c r="J2" s="25"/>
      <c r="K2" s="26"/>
    </row>
    <row r="3" spans="2:11" ht="15" customHeight="1">
      <c r="B3" s="13"/>
      <c r="C3" s="13"/>
      <c r="D3" s="13"/>
      <c r="E3" s="13"/>
      <c r="F3" s="13"/>
      <c r="G3" s="13"/>
      <c r="H3" s="13"/>
      <c r="I3" s="13"/>
      <c r="J3" s="13"/>
      <c r="K3" s="13"/>
    </row>
    <row r="4" spans="2:11" ht="33.75" customHeight="1">
      <c r="B4" s="27" t="s">
        <v>139</v>
      </c>
      <c r="C4" s="28"/>
      <c r="D4" s="28"/>
      <c r="E4" s="28"/>
      <c r="F4" s="28"/>
      <c r="G4" s="28"/>
      <c r="H4" s="28"/>
      <c r="I4" s="28"/>
      <c r="J4" s="13"/>
    </row>
    <row r="5" spans="2:11" ht="15" customHeight="1">
      <c r="B5" s="13"/>
      <c r="C5" s="13"/>
      <c r="D5" s="13"/>
      <c r="E5" s="13"/>
      <c r="F5" s="13"/>
      <c r="G5" s="13"/>
      <c r="H5" s="13"/>
      <c r="I5" s="13"/>
      <c r="J5" s="13"/>
      <c r="K5" s="13"/>
    </row>
    <row r="6" spans="2:11" ht="15.6">
      <c r="B6" s="17" t="s">
        <v>140</v>
      </c>
    </row>
    <row r="7" spans="2:11" ht="15.6">
      <c r="B7" s="17" t="s">
        <v>93</v>
      </c>
    </row>
    <row r="8" spans="2:11" ht="15.6">
      <c r="B8" s="17" t="s">
        <v>62</v>
      </c>
    </row>
    <row r="9" spans="2:11" ht="15.6">
      <c r="B9" s="17" t="s">
        <v>94</v>
      </c>
    </row>
    <row r="10" spans="2:11" ht="15.6">
      <c r="B10" s="17" t="s">
        <v>95</v>
      </c>
    </row>
    <row r="11" spans="2:11" ht="15.6">
      <c r="B11" s="17" t="s">
        <v>38</v>
      </c>
    </row>
    <row r="12" spans="2:11" ht="15.6">
      <c r="B12" s="18" t="s">
        <v>69</v>
      </c>
    </row>
    <row r="13" spans="2:11" ht="15.6">
      <c r="B13" s="18" t="s">
        <v>84</v>
      </c>
    </row>
    <row r="14" spans="2:11" ht="15.6">
      <c r="B14" s="18" t="s">
        <v>85</v>
      </c>
    </row>
    <row r="15" spans="2:11" ht="15.6">
      <c r="B15" s="18" t="s">
        <v>86</v>
      </c>
    </row>
    <row r="16" spans="2:11" ht="15.6">
      <c r="B16" s="18" t="s">
        <v>87</v>
      </c>
    </row>
    <row r="17" spans="2:2" ht="15.6">
      <c r="B17" s="18" t="s">
        <v>88</v>
      </c>
    </row>
    <row r="18" spans="2:2" ht="15.6">
      <c r="B18" s="18" t="s">
        <v>89</v>
      </c>
    </row>
    <row r="19" spans="2:2" ht="15.6">
      <c r="B19" s="18" t="s">
        <v>149</v>
      </c>
    </row>
    <row r="20" spans="2:2" ht="15.6">
      <c r="B20" s="18" t="s">
        <v>97</v>
      </c>
    </row>
    <row r="21" spans="2:2" ht="15.6">
      <c r="B21" s="18" t="s">
        <v>92</v>
      </c>
    </row>
    <row r="22" spans="2:2" ht="15.6">
      <c r="B22" s="18" t="s">
        <v>141</v>
      </c>
    </row>
    <row r="23" spans="2:2" ht="15.6">
      <c r="B23" s="18" t="s">
        <v>90</v>
      </c>
    </row>
    <row r="24" spans="2:2" ht="15.6">
      <c r="B24" s="18" t="s">
        <v>91</v>
      </c>
    </row>
    <row r="25" spans="2:2" ht="15.6">
      <c r="B25" s="18" t="s">
        <v>103</v>
      </c>
    </row>
    <row r="26" spans="2:2" ht="15.6">
      <c r="B26" s="18" t="s">
        <v>101</v>
      </c>
    </row>
    <row r="27" spans="2:2" ht="15.6">
      <c r="B27" s="18" t="s">
        <v>102</v>
      </c>
    </row>
    <row r="28" spans="2:2" ht="15.6">
      <c r="B28" s="18"/>
    </row>
    <row r="29" spans="2:2" ht="15.6">
      <c r="B29" s="17" t="s">
        <v>96</v>
      </c>
    </row>
    <row r="30" spans="2:2">
      <c r="B30" s="22" t="s">
        <v>138</v>
      </c>
    </row>
  </sheetData>
  <mergeCells count="2">
    <mergeCell ref="B2:K2"/>
    <mergeCell ref="B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E261-F997-467D-9A31-CC6BD1702C23}">
  <sheetPr>
    <tabColor theme="8" tint="0.39997558519241921"/>
  </sheetPr>
  <dimension ref="A1:IJ102"/>
  <sheetViews>
    <sheetView showGridLines="0" zoomScale="84" workbookViewId="0"/>
  </sheetViews>
  <sheetFormatPr defaultRowHeight="14.4"/>
  <cols>
    <col min="1" max="1" width="4.77734375" style="2" customWidth="1"/>
    <col min="2" max="2" width="5.33203125" style="2" customWidth="1"/>
    <col min="3" max="3" width="47.21875" bestFit="1" customWidth="1"/>
    <col min="4" max="4" width="10.109375" bestFit="1" customWidth="1"/>
    <col min="5" max="5" width="9.88671875" bestFit="1" customWidth="1"/>
    <col min="6" max="7" width="9" customWidth="1"/>
    <col min="8" max="8" width="10.109375" bestFit="1" customWidth="1"/>
    <col min="9" max="9" width="9.21875" bestFit="1" customWidth="1"/>
    <col min="10" max="10" width="9.109375" bestFit="1" customWidth="1"/>
    <col min="11" max="24" width="10.21875" bestFit="1" customWidth="1"/>
    <col min="25" max="27" width="9.109375" bestFit="1" customWidth="1"/>
    <col min="28" max="28" width="9.77734375" bestFit="1" customWidth="1"/>
    <col min="29" max="29" width="9.109375" bestFit="1" customWidth="1"/>
    <col min="30" max="30" width="9" bestFit="1" customWidth="1"/>
    <col min="31" max="32" width="9.109375" bestFit="1" customWidth="1"/>
    <col min="33" max="35" width="9" bestFit="1" customWidth="1"/>
    <col min="36" max="36" width="9.77734375" bestFit="1" customWidth="1"/>
    <col min="37" max="40" width="9.109375" bestFit="1" customWidth="1"/>
    <col min="41" max="42" width="9" bestFit="1" customWidth="1"/>
    <col min="43" max="45" width="9.109375" bestFit="1" customWidth="1"/>
    <col min="46" max="46" width="9" bestFit="1" customWidth="1"/>
    <col min="47" max="55" width="9.109375" bestFit="1" customWidth="1"/>
    <col min="56" max="56" width="9.77734375" bestFit="1" customWidth="1"/>
    <col min="57" max="58" width="9.109375" bestFit="1" customWidth="1"/>
    <col min="59" max="60" width="9" bestFit="1" customWidth="1"/>
    <col min="61" max="63" width="9.109375" bestFit="1" customWidth="1"/>
    <col min="64" max="64" width="9.77734375" bestFit="1" customWidth="1"/>
    <col min="65" max="65" width="9.109375" bestFit="1" customWidth="1"/>
    <col min="66" max="66" width="9" bestFit="1" customWidth="1"/>
    <col min="67" max="67" width="9.109375" bestFit="1" customWidth="1"/>
    <col min="68" max="69" width="9" bestFit="1" customWidth="1"/>
    <col min="70" max="70" width="9.109375" bestFit="1" customWidth="1"/>
    <col min="71" max="71" width="9.77734375" bestFit="1" customWidth="1"/>
    <col min="72" max="72" width="9.109375" bestFit="1" customWidth="1"/>
    <col min="73" max="73" width="9" bestFit="1" customWidth="1"/>
    <col min="74" max="74" width="9.109375" bestFit="1" customWidth="1"/>
    <col min="75" max="75" width="9" bestFit="1" customWidth="1"/>
    <col min="76" max="79" width="9.109375" bestFit="1" customWidth="1"/>
    <col min="80" max="80" width="9.77734375" bestFit="1" customWidth="1"/>
    <col min="81" max="81" width="9" bestFit="1" customWidth="1"/>
    <col min="82" max="84" width="9.109375" bestFit="1" customWidth="1"/>
    <col min="85" max="85" width="9" bestFit="1" customWidth="1"/>
    <col min="86" max="87" width="9.109375" bestFit="1" customWidth="1"/>
    <col min="88" max="90" width="9" bestFit="1" customWidth="1"/>
    <col min="91" max="94" width="9.109375" bestFit="1" customWidth="1"/>
    <col min="95" max="95" width="9.77734375" bestFit="1" customWidth="1"/>
    <col min="96" max="96" width="9.109375" bestFit="1" customWidth="1"/>
    <col min="97" max="99" width="9" bestFit="1" customWidth="1"/>
    <col min="100" max="100" width="9.109375" bestFit="1" customWidth="1"/>
    <col min="101" max="101" width="9.77734375" bestFit="1" customWidth="1"/>
    <col min="102" max="106" width="9.109375" bestFit="1" customWidth="1"/>
    <col min="107" max="107" width="9" bestFit="1" customWidth="1"/>
    <col min="108" max="113" width="9.109375" bestFit="1" customWidth="1"/>
    <col min="114" max="114" width="9" bestFit="1" customWidth="1"/>
    <col min="115" max="116" width="9.109375" bestFit="1" customWidth="1"/>
    <col min="117" max="117" width="9" bestFit="1" customWidth="1"/>
    <col min="118" max="118" width="9.109375" bestFit="1" customWidth="1"/>
    <col min="119" max="119" width="9.77734375" bestFit="1" customWidth="1"/>
    <col min="120" max="123" width="9.109375" bestFit="1" customWidth="1"/>
    <col min="124" max="124" width="9.77734375" bestFit="1" customWidth="1"/>
    <col min="125" max="126" width="9.109375" bestFit="1" customWidth="1"/>
    <col min="127" max="128" width="9.77734375" bestFit="1" customWidth="1"/>
    <col min="129" max="129" width="9.109375" bestFit="1" customWidth="1"/>
    <col min="130" max="133" width="9.77734375" bestFit="1" customWidth="1"/>
    <col min="134" max="140" width="9.109375" bestFit="1" customWidth="1"/>
    <col min="141" max="141" width="9" bestFit="1" customWidth="1"/>
    <col min="142" max="142" width="9.109375" bestFit="1" customWidth="1"/>
    <col min="143" max="143" width="9" bestFit="1" customWidth="1"/>
    <col min="144" max="145" width="9.109375" bestFit="1" customWidth="1"/>
    <col min="146" max="146" width="9.77734375" bestFit="1" customWidth="1"/>
    <col min="147" max="148" width="9.109375" bestFit="1" customWidth="1"/>
    <col min="149" max="149" width="9" bestFit="1" customWidth="1"/>
    <col min="150" max="151" width="9.109375" bestFit="1" customWidth="1"/>
    <col min="152" max="153" width="9.77734375" bestFit="1" customWidth="1"/>
    <col min="154" max="156" width="9.109375" bestFit="1" customWidth="1"/>
    <col min="157" max="158" width="9" bestFit="1" customWidth="1"/>
    <col min="159" max="161" width="9.109375" bestFit="1" customWidth="1"/>
    <col min="162" max="162" width="9" bestFit="1" customWidth="1"/>
    <col min="163" max="164" width="9.77734375" bestFit="1" customWidth="1"/>
    <col min="165" max="165" width="9.109375" bestFit="1" customWidth="1"/>
    <col min="166" max="166" width="9" bestFit="1" customWidth="1"/>
    <col min="167" max="172" width="9.109375" bestFit="1" customWidth="1"/>
    <col min="173" max="173" width="9" bestFit="1" customWidth="1"/>
    <col min="174" max="178" width="9.109375" bestFit="1" customWidth="1"/>
    <col min="179" max="179" width="9" bestFit="1" customWidth="1"/>
    <col min="180" max="180" width="9.109375" bestFit="1" customWidth="1"/>
    <col min="181" max="181" width="9.77734375" bestFit="1" customWidth="1"/>
    <col min="182" max="185" width="9.109375" bestFit="1" customWidth="1"/>
    <col min="186" max="186" width="9" bestFit="1" customWidth="1"/>
    <col min="187" max="194" width="9.109375" bestFit="1" customWidth="1"/>
    <col min="195" max="195" width="9.77734375" bestFit="1" customWidth="1"/>
    <col min="196" max="200" width="9.109375" bestFit="1" customWidth="1"/>
    <col min="201" max="201" width="10.109375" bestFit="1" customWidth="1"/>
    <col min="202" max="202" width="9" bestFit="1" customWidth="1"/>
    <col min="203" max="203" width="9.77734375" bestFit="1" customWidth="1"/>
    <col min="204" max="205" width="9.109375" bestFit="1" customWidth="1"/>
    <col min="206" max="206" width="10.109375" bestFit="1" customWidth="1"/>
    <col min="207" max="208" width="9.109375" bestFit="1" customWidth="1"/>
    <col min="209" max="209" width="9.77734375" bestFit="1" customWidth="1"/>
    <col min="210" max="210" width="9.109375" bestFit="1" customWidth="1"/>
    <col min="211" max="211" width="9" bestFit="1" customWidth="1"/>
    <col min="212" max="213" width="10.109375" bestFit="1" customWidth="1"/>
    <col min="214" max="214" width="9" bestFit="1" customWidth="1"/>
    <col min="215" max="217" width="9.109375" bestFit="1" customWidth="1"/>
    <col min="218" max="218" width="10.77734375" bestFit="1" customWidth="1"/>
    <col min="219" max="219" width="9.109375" bestFit="1" customWidth="1"/>
    <col min="220" max="220" width="9" bestFit="1" customWidth="1"/>
    <col min="221" max="221" width="10.109375" bestFit="1" customWidth="1"/>
    <col min="222" max="222" width="9" bestFit="1" customWidth="1"/>
    <col min="223" max="225" width="9.109375" bestFit="1" customWidth="1"/>
    <col min="226" max="226" width="9" bestFit="1" customWidth="1"/>
    <col min="227" max="227" width="9.109375" bestFit="1" customWidth="1"/>
    <col min="228" max="228" width="9.77734375" bestFit="1" customWidth="1"/>
    <col min="229" max="230" width="9.109375" bestFit="1" customWidth="1"/>
    <col min="231" max="231" width="10.109375" bestFit="1" customWidth="1"/>
    <col min="232" max="232" width="9.109375" bestFit="1" customWidth="1"/>
    <col min="233" max="233" width="10.109375" bestFit="1" customWidth="1"/>
    <col min="234" max="235" width="9.109375" bestFit="1" customWidth="1"/>
    <col min="236" max="236" width="9.77734375" bestFit="1" customWidth="1"/>
    <col min="237" max="237" width="9.109375" bestFit="1" customWidth="1"/>
    <col min="238" max="238" width="9.77734375" bestFit="1" customWidth="1"/>
    <col min="239" max="239" width="9" bestFit="1" customWidth="1"/>
    <col min="240" max="240" width="9.77734375" bestFit="1" customWidth="1"/>
    <col min="241" max="243" width="9.109375" bestFit="1" customWidth="1"/>
    <col min="244" max="244" width="9" bestFit="1" customWidth="1"/>
  </cols>
  <sheetData>
    <row r="1" spans="1:24">
      <c r="A1" s="2" t="str">
        <f>Instructions!B2&amp;": "&amp;Instructions!B4</f>
        <v>Finance Task: Debt Waterfall Modeling - Cash Niagara</v>
      </c>
    </row>
    <row r="2" spans="1:24">
      <c r="A2" s="2" t="s">
        <v>36</v>
      </c>
    </row>
    <row r="4" spans="1:24" s="5" customFormat="1" ht="14.4" customHeight="1">
      <c r="B4" s="6" t="s">
        <v>9</v>
      </c>
    </row>
    <row r="6" spans="1:24">
      <c r="C6" t="s">
        <v>6</v>
      </c>
      <c r="E6" s="10">
        <v>1</v>
      </c>
      <c r="F6" s="10">
        <v>2</v>
      </c>
      <c r="G6" s="10">
        <v>3</v>
      </c>
      <c r="H6" s="10">
        <v>4</v>
      </c>
      <c r="I6" s="10">
        <v>5</v>
      </c>
      <c r="J6" s="10">
        <v>6</v>
      </c>
      <c r="K6" s="10">
        <v>7</v>
      </c>
      <c r="L6" s="10">
        <v>8</v>
      </c>
      <c r="M6" s="10">
        <v>9</v>
      </c>
      <c r="N6" s="10">
        <v>10</v>
      </c>
      <c r="O6" s="10">
        <v>11</v>
      </c>
      <c r="P6" s="10">
        <v>12</v>
      </c>
      <c r="Q6" s="10">
        <v>13</v>
      </c>
      <c r="R6" s="10">
        <v>14</v>
      </c>
      <c r="S6" s="10">
        <v>15</v>
      </c>
      <c r="T6" s="10">
        <v>16</v>
      </c>
      <c r="U6" s="10">
        <v>17</v>
      </c>
      <c r="V6" s="10">
        <v>18</v>
      </c>
      <c r="W6" s="10">
        <v>19</v>
      </c>
      <c r="X6" s="10">
        <v>20</v>
      </c>
    </row>
    <row r="7" spans="1:24">
      <c r="C7" t="s">
        <v>29</v>
      </c>
      <c r="D7" s="3" t="s">
        <v>68</v>
      </c>
      <c r="E7" s="4">
        <v>18</v>
      </c>
      <c r="F7" s="4">
        <v>18</v>
      </c>
      <c r="G7" s="4">
        <v>18</v>
      </c>
      <c r="H7" s="4">
        <v>18</v>
      </c>
      <c r="I7" s="4">
        <v>18</v>
      </c>
      <c r="J7" s="4">
        <v>18</v>
      </c>
      <c r="K7" s="4">
        <v>18</v>
      </c>
      <c r="L7" s="4">
        <v>18</v>
      </c>
      <c r="M7" s="4">
        <v>24</v>
      </c>
      <c r="N7" s="4">
        <v>24</v>
      </c>
      <c r="O7" s="4">
        <v>24</v>
      </c>
      <c r="P7" s="4">
        <v>24</v>
      </c>
      <c r="Q7" s="4">
        <v>24</v>
      </c>
      <c r="R7" s="4">
        <v>24</v>
      </c>
      <c r="S7" s="4">
        <v>24</v>
      </c>
      <c r="T7" s="4">
        <v>30</v>
      </c>
      <c r="U7" s="4">
        <v>30</v>
      </c>
      <c r="V7" s="4">
        <v>30</v>
      </c>
      <c r="W7" s="4">
        <v>36</v>
      </c>
      <c r="X7" s="4">
        <v>40</v>
      </c>
    </row>
    <row r="8" spans="1:24">
      <c r="C8" t="s">
        <v>7</v>
      </c>
      <c r="D8" s="3" t="s">
        <v>68</v>
      </c>
      <c r="E8" s="4">
        <v>13.280000000000001</v>
      </c>
      <c r="F8" s="4">
        <v>13.280000000000001</v>
      </c>
      <c r="G8" s="4">
        <v>13.280000000000001</v>
      </c>
      <c r="H8" s="4">
        <v>13.280000000000001</v>
      </c>
      <c r="I8" s="4">
        <v>13.280000000000001</v>
      </c>
      <c r="J8" s="4">
        <v>13.280000000000001</v>
      </c>
      <c r="K8" s="4">
        <v>13.280000000000001</v>
      </c>
      <c r="L8" s="4">
        <v>13.280000000000001</v>
      </c>
      <c r="M8" s="4">
        <v>13.280000000000001</v>
      </c>
      <c r="N8" s="4">
        <v>13.280000000000001</v>
      </c>
      <c r="O8" s="4">
        <v>13.280000000000001</v>
      </c>
      <c r="P8" s="4">
        <v>13.280000000000001</v>
      </c>
      <c r="Q8" s="4">
        <v>13.280000000000001</v>
      </c>
      <c r="R8" s="4">
        <v>13.280000000000001</v>
      </c>
      <c r="S8" s="4">
        <v>13.280000000000001</v>
      </c>
      <c r="T8" s="4">
        <v>26.560000000000002</v>
      </c>
      <c r="U8" s="4">
        <v>26.560000000000002</v>
      </c>
      <c r="V8" s="4">
        <v>26.560000000000002</v>
      </c>
      <c r="W8" s="4">
        <v>26.560000000000002</v>
      </c>
      <c r="X8" s="4">
        <v>26.560000000000002</v>
      </c>
    </row>
    <row r="9" spans="1:24">
      <c r="C9" t="s">
        <v>8</v>
      </c>
      <c r="D9" s="3" t="s">
        <v>68</v>
      </c>
      <c r="E9" s="4">
        <v>41.333333333333329</v>
      </c>
      <c r="F9" s="4">
        <v>41.333333333333329</v>
      </c>
      <c r="G9" s="4">
        <v>41.333333333333329</v>
      </c>
      <c r="H9" s="4">
        <v>41.333333333333329</v>
      </c>
      <c r="I9" s="4">
        <v>41.333333333333329</v>
      </c>
      <c r="J9" s="4">
        <v>41.333333333333329</v>
      </c>
      <c r="K9" s="4">
        <v>41.333333333333329</v>
      </c>
      <c r="L9" s="4">
        <v>41.333333333333329</v>
      </c>
      <c r="M9" s="4">
        <v>41.333333333333329</v>
      </c>
      <c r="N9" s="4">
        <v>41.333333333333329</v>
      </c>
      <c r="O9" s="4">
        <v>41.333333333333329</v>
      </c>
      <c r="P9" s="4">
        <v>41.333333333333329</v>
      </c>
      <c r="Q9" s="4">
        <v>41.333333333333329</v>
      </c>
      <c r="R9" s="4">
        <v>41.333333333333329</v>
      </c>
      <c r="S9" s="4">
        <v>41.333333333333329</v>
      </c>
      <c r="T9" s="4">
        <v>82.666666666666657</v>
      </c>
      <c r="U9" s="4">
        <v>82.666666666666657</v>
      </c>
      <c r="V9" s="4">
        <v>82.666666666666657</v>
      </c>
      <c r="W9" s="4">
        <v>82.666666666666657</v>
      </c>
      <c r="X9" s="4">
        <v>82.666666666666657</v>
      </c>
    </row>
    <row r="10" spans="1:24">
      <c r="C10" t="s">
        <v>26</v>
      </c>
      <c r="D10" s="3" t="s">
        <v>68</v>
      </c>
      <c r="E10" s="4">
        <v>7.0857142857142863</v>
      </c>
      <c r="F10" s="4">
        <v>7.0857142857142863</v>
      </c>
      <c r="G10" s="4">
        <v>7.0857142857142863</v>
      </c>
      <c r="H10" s="4">
        <v>7.0857142857142863</v>
      </c>
      <c r="I10" s="4">
        <v>7.0857142857142863</v>
      </c>
      <c r="J10" s="4">
        <v>7.0857142857142863</v>
      </c>
      <c r="K10" s="4">
        <v>7.0857142857142863</v>
      </c>
      <c r="L10" s="4">
        <v>7.0857142857142863</v>
      </c>
      <c r="M10" s="4">
        <v>7.0857142857142863</v>
      </c>
      <c r="N10" s="4">
        <v>7.0857142857142863</v>
      </c>
      <c r="O10" s="4">
        <v>7.0857142857142863</v>
      </c>
      <c r="P10" s="4">
        <v>7.0857142857142863</v>
      </c>
      <c r="Q10" s="4">
        <v>7.0857142857142863</v>
      </c>
      <c r="R10" s="4">
        <v>7.0857142857142863</v>
      </c>
      <c r="S10" s="4">
        <v>7.0857142857142863</v>
      </c>
      <c r="T10" s="4">
        <v>14.171428571428573</v>
      </c>
      <c r="U10" s="4">
        <v>14.171428571428573</v>
      </c>
      <c r="V10" s="4">
        <v>14.171428571428573</v>
      </c>
      <c r="W10" s="4">
        <v>14.171428571428573</v>
      </c>
      <c r="X10" s="4">
        <v>14.171428571428573</v>
      </c>
    </row>
    <row r="11" spans="1:24">
      <c r="C11" t="s">
        <v>70</v>
      </c>
      <c r="D11" s="3" t="s">
        <v>68</v>
      </c>
      <c r="E11" s="4">
        <v>37.6</v>
      </c>
      <c r="F11" s="4">
        <v>37.6</v>
      </c>
      <c r="G11" s="4">
        <v>37.6</v>
      </c>
      <c r="H11" s="4">
        <v>37.6</v>
      </c>
      <c r="I11" s="4">
        <v>37.6</v>
      </c>
      <c r="J11" s="4">
        <v>37.6</v>
      </c>
      <c r="K11" s="4">
        <v>37.6</v>
      </c>
      <c r="L11" s="4">
        <v>37.6</v>
      </c>
      <c r="M11" s="4">
        <v>37.6</v>
      </c>
      <c r="N11" s="4">
        <v>37.6</v>
      </c>
      <c r="O11" s="4">
        <v>37.6</v>
      </c>
      <c r="P11" s="4">
        <v>37.6</v>
      </c>
      <c r="Q11" s="4">
        <v>37.6</v>
      </c>
      <c r="R11" s="4">
        <v>37.6</v>
      </c>
      <c r="S11" s="4">
        <v>37.6</v>
      </c>
      <c r="T11" s="4">
        <v>75.183999999999997</v>
      </c>
      <c r="U11" s="4">
        <v>75.183999999999997</v>
      </c>
      <c r="V11" s="4">
        <v>75.183999999999997</v>
      </c>
      <c r="W11" s="4">
        <v>75.183999999999997</v>
      </c>
      <c r="X11" s="4">
        <v>75.183999999999997</v>
      </c>
    </row>
    <row r="12" spans="1:24">
      <c r="C12" t="s">
        <v>71</v>
      </c>
      <c r="D12" s="3" t="s">
        <v>68</v>
      </c>
      <c r="E12" s="4">
        <v>121.72</v>
      </c>
      <c r="F12" s="4">
        <v>121.72</v>
      </c>
      <c r="G12" s="4">
        <v>121.72</v>
      </c>
      <c r="H12" s="4">
        <v>121.72</v>
      </c>
      <c r="I12" s="4">
        <v>121.72</v>
      </c>
      <c r="J12" s="4">
        <v>121.72</v>
      </c>
      <c r="K12" s="4">
        <v>121.72</v>
      </c>
      <c r="L12" s="4">
        <v>121.72</v>
      </c>
      <c r="M12" s="4">
        <v>121.72</v>
      </c>
      <c r="N12" s="4">
        <v>121.72</v>
      </c>
      <c r="O12" s="4">
        <v>121.72</v>
      </c>
      <c r="P12" s="4">
        <v>121.72</v>
      </c>
      <c r="Q12" s="4">
        <v>121.72</v>
      </c>
      <c r="R12" s="4">
        <v>121.72</v>
      </c>
      <c r="S12" s="4">
        <v>121.72</v>
      </c>
      <c r="T12" s="4">
        <v>243.44</v>
      </c>
      <c r="U12" s="4">
        <v>243.44</v>
      </c>
      <c r="V12" s="4">
        <v>243.44</v>
      </c>
      <c r="W12" s="4">
        <v>243.44</v>
      </c>
      <c r="X12" s="4">
        <v>243.44</v>
      </c>
    </row>
    <row r="13" spans="1:24">
      <c r="C13" t="s">
        <v>82</v>
      </c>
      <c r="D13" s="3" t="s">
        <v>68</v>
      </c>
      <c r="E13" s="4">
        <v>48.688000000000002</v>
      </c>
      <c r="F13" s="4">
        <v>48.688000000000002</v>
      </c>
      <c r="G13" s="4">
        <v>48.688000000000002</v>
      </c>
      <c r="H13" s="4">
        <v>48.688000000000002</v>
      </c>
      <c r="I13" s="4">
        <v>48.688000000000002</v>
      </c>
      <c r="J13" s="4">
        <v>48.688000000000002</v>
      </c>
      <c r="K13" s="4">
        <v>48.688000000000002</v>
      </c>
      <c r="L13" s="4">
        <v>48.688000000000002</v>
      </c>
      <c r="M13" s="4">
        <v>48.688000000000002</v>
      </c>
      <c r="N13" s="4">
        <v>48.688000000000002</v>
      </c>
      <c r="O13" s="4">
        <v>48.688000000000002</v>
      </c>
      <c r="P13" s="4">
        <v>48.688000000000002</v>
      </c>
      <c r="Q13" s="4">
        <v>48.688000000000002</v>
      </c>
      <c r="R13" s="4">
        <v>48.688000000000002</v>
      </c>
      <c r="S13" s="4">
        <v>48.688000000000002</v>
      </c>
      <c r="T13" s="4">
        <v>97.376000000000005</v>
      </c>
      <c r="U13" s="4">
        <v>97.376000000000005</v>
      </c>
      <c r="V13" s="4">
        <v>97.376000000000005</v>
      </c>
      <c r="W13" s="4">
        <v>97.376000000000005</v>
      </c>
      <c r="X13" s="4">
        <v>97.376000000000005</v>
      </c>
    </row>
    <row r="14" spans="1:24">
      <c r="E14" s="1"/>
    </row>
    <row r="15" spans="1:24" s="5" customFormat="1" ht="14.4" customHeight="1">
      <c r="B15" s="6" t="s">
        <v>79</v>
      </c>
    </row>
    <row r="17" spans="2:244">
      <c r="C17" t="s">
        <v>66</v>
      </c>
      <c r="E17" s="10">
        <v>1</v>
      </c>
      <c r="F17" s="10">
        <v>2</v>
      </c>
      <c r="G17" s="10">
        <v>3</v>
      </c>
      <c r="H17" s="10">
        <v>4</v>
      </c>
      <c r="I17" s="10">
        <v>5</v>
      </c>
      <c r="J17" s="10">
        <v>6</v>
      </c>
      <c r="K17" s="10">
        <v>7</v>
      </c>
      <c r="L17" s="10">
        <v>8</v>
      </c>
      <c r="M17" s="10">
        <v>9</v>
      </c>
      <c r="N17" s="10">
        <v>10</v>
      </c>
      <c r="O17" s="10">
        <v>11</v>
      </c>
      <c r="P17" s="10">
        <v>12</v>
      </c>
      <c r="Q17" s="10">
        <v>13</v>
      </c>
      <c r="R17" s="10">
        <v>14</v>
      </c>
      <c r="S17" s="10">
        <v>15</v>
      </c>
      <c r="T17" s="10">
        <v>16</v>
      </c>
      <c r="U17" s="10">
        <v>17</v>
      </c>
      <c r="V17" s="10">
        <v>18</v>
      </c>
      <c r="W17" s="10">
        <v>19</v>
      </c>
      <c r="X17" s="10">
        <v>20</v>
      </c>
      <c r="Y17" s="10">
        <v>21</v>
      </c>
      <c r="Z17" s="10">
        <v>22</v>
      </c>
      <c r="AA17" s="10">
        <v>23</v>
      </c>
      <c r="AB17" s="10">
        <v>24</v>
      </c>
      <c r="AC17" s="10">
        <v>25</v>
      </c>
      <c r="AD17" s="10">
        <v>26</v>
      </c>
      <c r="AE17" s="10">
        <v>27</v>
      </c>
      <c r="AF17" s="10">
        <v>28</v>
      </c>
      <c r="AG17" s="10">
        <v>29</v>
      </c>
      <c r="AH17" s="10">
        <v>30</v>
      </c>
      <c r="AI17" s="10">
        <v>31</v>
      </c>
      <c r="AJ17" s="10">
        <v>32</v>
      </c>
      <c r="AK17" s="10">
        <v>33</v>
      </c>
      <c r="AL17" s="10">
        <v>34</v>
      </c>
      <c r="AM17" s="10">
        <v>35</v>
      </c>
      <c r="AN17" s="10">
        <v>36</v>
      </c>
      <c r="AO17" s="10">
        <v>37</v>
      </c>
      <c r="AP17" s="10">
        <v>38</v>
      </c>
      <c r="AQ17" s="10">
        <v>39</v>
      </c>
      <c r="AR17" s="10">
        <v>40</v>
      </c>
      <c r="AS17" s="10">
        <v>41</v>
      </c>
      <c r="AT17" s="10">
        <v>42</v>
      </c>
      <c r="AU17" s="10">
        <v>43</v>
      </c>
      <c r="AV17" s="10">
        <v>44</v>
      </c>
      <c r="AW17" s="10">
        <v>45</v>
      </c>
      <c r="AX17" s="10">
        <v>46</v>
      </c>
      <c r="AY17" s="10">
        <v>47</v>
      </c>
      <c r="AZ17" s="10">
        <v>48</v>
      </c>
      <c r="BA17" s="10">
        <v>49</v>
      </c>
      <c r="BB17" s="10">
        <v>50</v>
      </c>
      <c r="BC17" s="10">
        <v>51</v>
      </c>
      <c r="BD17" s="10">
        <v>52</v>
      </c>
      <c r="BE17" s="10">
        <v>53</v>
      </c>
      <c r="BF17" s="10">
        <v>54</v>
      </c>
      <c r="BG17" s="10">
        <v>55</v>
      </c>
      <c r="BH17" s="10">
        <v>56</v>
      </c>
      <c r="BI17" s="10">
        <v>57</v>
      </c>
      <c r="BJ17" s="10">
        <v>58</v>
      </c>
      <c r="BK17" s="10">
        <v>59</v>
      </c>
      <c r="BL17" s="10">
        <v>60</v>
      </c>
      <c r="BM17" s="10">
        <v>61</v>
      </c>
      <c r="BN17" s="10">
        <v>62</v>
      </c>
      <c r="BO17" s="10">
        <v>63</v>
      </c>
      <c r="BP17" s="10">
        <v>64</v>
      </c>
      <c r="BQ17" s="10">
        <v>65</v>
      </c>
      <c r="BR17" s="10">
        <v>66</v>
      </c>
      <c r="BS17" s="10">
        <v>67</v>
      </c>
      <c r="BT17" s="10">
        <v>68</v>
      </c>
      <c r="BU17" s="10">
        <v>69</v>
      </c>
      <c r="BV17" s="10">
        <v>70</v>
      </c>
      <c r="BW17" s="10">
        <v>71</v>
      </c>
      <c r="BX17" s="10">
        <v>72</v>
      </c>
      <c r="BY17" s="10">
        <v>73</v>
      </c>
      <c r="BZ17" s="10">
        <v>74</v>
      </c>
      <c r="CA17" s="10">
        <v>75</v>
      </c>
      <c r="CB17" s="10">
        <v>76</v>
      </c>
      <c r="CC17" s="10">
        <v>77</v>
      </c>
      <c r="CD17" s="10">
        <v>78</v>
      </c>
      <c r="CE17" s="10">
        <v>79</v>
      </c>
      <c r="CF17" s="10">
        <v>80</v>
      </c>
      <c r="CG17" s="10">
        <v>81</v>
      </c>
      <c r="CH17" s="10">
        <v>82</v>
      </c>
      <c r="CI17" s="10">
        <v>83</v>
      </c>
      <c r="CJ17" s="10">
        <v>84</v>
      </c>
      <c r="CK17" s="10">
        <v>85</v>
      </c>
      <c r="CL17" s="10">
        <v>86</v>
      </c>
      <c r="CM17" s="10">
        <v>87</v>
      </c>
      <c r="CN17" s="10">
        <v>88</v>
      </c>
      <c r="CO17" s="10">
        <v>89</v>
      </c>
      <c r="CP17" s="10">
        <v>90</v>
      </c>
      <c r="CQ17" s="10">
        <v>91</v>
      </c>
      <c r="CR17" s="10">
        <v>92</v>
      </c>
      <c r="CS17" s="10">
        <v>93</v>
      </c>
      <c r="CT17" s="10">
        <v>94</v>
      </c>
      <c r="CU17" s="10">
        <v>95</v>
      </c>
      <c r="CV17" s="10">
        <v>96</v>
      </c>
      <c r="CW17" s="10">
        <v>97</v>
      </c>
      <c r="CX17" s="10">
        <v>98</v>
      </c>
      <c r="CY17" s="10">
        <v>99</v>
      </c>
      <c r="CZ17" s="10">
        <v>100</v>
      </c>
      <c r="DA17" s="10">
        <v>101</v>
      </c>
      <c r="DB17" s="10">
        <v>102</v>
      </c>
      <c r="DC17" s="10">
        <v>103</v>
      </c>
      <c r="DD17" s="10">
        <v>104</v>
      </c>
      <c r="DE17" s="10">
        <v>105</v>
      </c>
      <c r="DF17" s="10">
        <v>106</v>
      </c>
      <c r="DG17" s="10">
        <v>107</v>
      </c>
      <c r="DH17" s="10">
        <v>108</v>
      </c>
      <c r="DI17" s="10">
        <v>109</v>
      </c>
      <c r="DJ17" s="10">
        <v>110</v>
      </c>
      <c r="DK17" s="10">
        <v>111</v>
      </c>
      <c r="DL17" s="10">
        <v>112</v>
      </c>
      <c r="DM17" s="10">
        <v>113</v>
      </c>
      <c r="DN17" s="10">
        <v>114</v>
      </c>
      <c r="DO17" s="10">
        <v>115</v>
      </c>
      <c r="DP17" s="10">
        <v>116</v>
      </c>
      <c r="DQ17" s="10">
        <v>117</v>
      </c>
      <c r="DR17" s="10">
        <v>118</v>
      </c>
      <c r="DS17" s="10">
        <v>119</v>
      </c>
      <c r="DT17" s="10">
        <v>120</v>
      </c>
      <c r="DU17" s="10">
        <v>121</v>
      </c>
      <c r="DV17" s="10">
        <v>122</v>
      </c>
      <c r="DW17" s="10">
        <v>123</v>
      </c>
      <c r="DX17" s="10">
        <v>124</v>
      </c>
      <c r="DY17" s="10">
        <v>125</v>
      </c>
      <c r="DZ17" s="10">
        <v>126</v>
      </c>
      <c r="EA17" s="10">
        <v>127</v>
      </c>
      <c r="EB17" s="10">
        <v>128</v>
      </c>
      <c r="EC17" s="10">
        <v>129</v>
      </c>
      <c r="ED17" s="10">
        <v>130</v>
      </c>
      <c r="EE17" s="10">
        <v>131</v>
      </c>
      <c r="EF17" s="10">
        <v>132</v>
      </c>
      <c r="EG17" s="10">
        <v>133</v>
      </c>
      <c r="EH17" s="10">
        <v>134</v>
      </c>
      <c r="EI17" s="10">
        <v>135</v>
      </c>
      <c r="EJ17" s="10">
        <v>136</v>
      </c>
      <c r="EK17" s="10">
        <v>137</v>
      </c>
      <c r="EL17" s="10">
        <v>138</v>
      </c>
      <c r="EM17" s="10">
        <v>139</v>
      </c>
      <c r="EN17" s="10">
        <v>140</v>
      </c>
      <c r="EO17" s="10">
        <v>141</v>
      </c>
      <c r="EP17" s="10">
        <v>142</v>
      </c>
      <c r="EQ17" s="10">
        <v>143</v>
      </c>
      <c r="ER17" s="10">
        <v>144</v>
      </c>
      <c r="ES17" s="10">
        <v>145</v>
      </c>
      <c r="ET17" s="10">
        <v>146</v>
      </c>
      <c r="EU17" s="10">
        <v>147</v>
      </c>
      <c r="EV17" s="10">
        <v>148</v>
      </c>
      <c r="EW17" s="10">
        <v>149</v>
      </c>
      <c r="EX17" s="10">
        <v>150</v>
      </c>
      <c r="EY17" s="10">
        <v>151</v>
      </c>
      <c r="EZ17" s="10">
        <v>152</v>
      </c>
      <c r="FA17" s="10">
        <v>153</v>
      </c>
      <c r="FB17" s="10">
        <v>154</v>
      </c>
      <c r="FC17" s="10">
        <v>155</v>
      </c>
      <c r="FD17" s="10">
        <v>156</v>
      </c>
      <c r="FE17" s="10">
        <v>157</v>
      </c>
      <c r="FF17" s="10">
        <v>158</v>
      </c>
      <c r="FG17" s="10">
        <v>159</v>
      </c>
      <c r="FH17" s="10">
        <v>160</v>
      </c>
      <c r="FI17" s="10">
        <v>161</v>
      </c>
      <c r="FJ17" s="10">
        <v>162</v>
      </c>
      <c r="FK17" s="10">
        <v>163</v>
      </c>
      <c r="FL17" s="10">
        <v>164</v>
      </c>
      <c r="FM17" s="10">
        <v>165</v>
      </c>
      <c r="FN17" s="10">
        <v>166</v>
      </c>
      <c r="FO17" s="10">
        <v>167</v>
      </c>
      <c r="FP17" s="10">
        <v>168</v>
      </c>
      <c r="FQ17" s="10">
        <v>169</v>
      </c>
      <c r="FR17" s="10">
        <v>170</v>
      </c>
      <c r="FS17" s="10">
        <v>171</v>
      </c>
      <c r="FT17" s="10">
        <v>172</v>
      </c>
      <c r="FU17" s="10">
        <v>173</v>
      </c>
      <c r="FV17" s="10">
        <v>174</v>
      </c>
      <c r="FW17" s="10">
        <v>175</v>
      </c>
      <c r="FX17" s="10">
        <v>176</v>
      </c>
      <c r="FY17" s="10">
        <v>177</v>
      </c>
      <c r="FZ17" s="10">
        <v>178</v>
      </c>
      <c r="GA17" s="10">
        <v>179</v>
      </c>
      <c r="GB17" s="10">
        <v>180</v>
      </c>
      <c r="GC17" s="10">
        <v>181</v>
      </c>
      <c r="GD17" s="10">
        <v>182</v>
      </c>
      <c r="GE17" s="10">
        <v>183</v>
      </c>
      <c r="GF17" s="10">
        <v>184</v>
      </c>
      <c r="GG17" s="10">
        <v>185</v>
      </c>
      <c r="GH17" s="10">
        <v>186</v>
      </c>
      <c r="GI17" s="10">
        <v>187</v>
      </c>
      <c r="GJ17" s="10">
        <v>188</v>
      </c>
      <c r="GK17" s="10">
        <v>189</v>
      </c>
      <c r="GL17" s="10">
        <v>190</v>
      </c>
      <c r="GM17" s="10">
        <v>191</v>
      </c>
      <c r="GN17" s="10">
        <v>192</v>
      </c>
      <c r="GO17" s="10">
        <v>193</v>
      </c>
      <c r="GP17" s="10">
        <v>194</v>
      </c>
      <c r="GQ17" s="10">
        <v>195</v>
      </c>
      <c r="GR17" s="10">
        <v>196</v>
      </c>
      <c r="GS17" s="10">
        <v>197</v>
      </c>
      <c r="GT17" s="10">
        <v>198</v>
      </c>
      <c r="GU17" s="10">
        <v>199</v>
      </c>
      <c r="GV17" s="10">
        <v>200</v>
      </c>
      <c r="GW17" s="10">
        <v>201</v>
      </c>
      <c r="GX17" s="10">
        <v>202</v>
      </c>
      <c r="GY17" s="10">
        <v>203</v>
      </c>
      <c r="GZ17" s="10">
        <v>204</v>
      </c>
      <c r="HA17" s="10">
        <v>205</v>
      </c>
      <c r="HB17" s="10">
        <v>206</v>
      </c>
      <c r="HC17" s="10">
        <v>207</v>
      </c>
      <c r="HD17" s="10">
        <v>208</v>
      </c>
      <c r="HE17" s="10">
        <v>209</v>
      </c>
      <c r="HF17" s="10">
        <v>210</v>
      </c>
      <c r="HG17" s="10">
        <v>211</v>
      </c>
      <c r="HH17" s="10">
        <v>212</v>
      </c>
      <c r="HI17" s="10">
        <v>213</v>
      </c>
      <c r="HJ17" s="10">
        <v>214</v>
      </c>
      <c r="HK17" s="10">
        <v>215</v>
      </c>
      <c r="HL17" s="10">
        <v>216</v>
      </c>
      <c r="HM17" s="10">
        <v>217</v>
      </c>
      <c r="HN17" s="10">
        <v>218</v>
      </c>
      <c r="HO17" s="10">
        <v>219</v>
      </c>
      <c r="HP17" s="10">
        <v>220</v>
      </c>
      <c r="HQ17" s="10">
        <v>221</v>
      </c>
      <c r="HR17" s="10">
        <v>222</v>
      </c>
      <c r="HS17" s="10">
        <v>223</v>
      </c>
      <c r="HT17" s="10">
        <v>224</v>
      </c>
      <c r="HU17" s="10">
        <v>225</v>
      </c>
      <c r="HV17" s="10">
        <v>226</v>
      </c>
      <c r="HW17" s="10">
        <v>227</v>
      </c>
      <c r="HX17" s="10">
        <v>228</v>
      </c>
      <c r="HY17" s="10">
        <v>229</v>
      </c>
      <c r="HZ17" s="10">
        <v>230</v>
      </c>
      <c r="IA17" s="10">
        <v>231</v>
      </c>
      <c r="IB17" s="10">
        <v>232</v>
      </c>
      <c r="IC17" s="10">
        <v>233</v>
      </c>
      <c r="ID17" s="10">
        <v>234</v>
      </c>
      <c r="IE17" s="10">
        <v>235</v>
      </c>
      <c r="IF17" s="10">
        <v>236</v>
      </c>
      <c r="IG17" s="10">
        <v>237</v>
      </c>
      <c r="IH17" s="10">
        <v>238</v>
      </c>
      <c r="II17" s="10">
        <v>239</v>
      </c>
      <c r="IJ17" s="10">
        <v>240</v>
      </c>
    </row>
    <row r="18" spans="2:244">
      <c r="C18" t="s">
        <v>5</v>
      </c>
      <c r="D18" s="3" t="s">
        <v>40</v>
      </c>
      <c r="E18" s="4">
        <v>416290.54399999999</v>
      </c>
      <c r="F18" s="4">
        <v>456642.65599999996</v>
      </c>
      <c r="G18" s="4">
        <v>360956.67200000002</v>
      </c>
      <c r="H18" s="4">
        <v>480912.70399999997</v>
      </c>
      <c r="I18" s="4">
        <v>455976.51199999999</v>
      </c>
      <c r="J18" s="4">
        <v>380034.94400000002</v>
      </c>
      <c r="K18" s="4">
        <v>463768.20799999998</v>
      </c>
      <c r="L18" s="4">
        <v>448820.864</v>
      </c>
      <c r="M18" s="4">
        <v>392553.87199999997</v>
      </c>
      <c r="N18" s="4">
        <v>462996.51199999999</v>
      </c>
      <c r="O18" s="4">
        <v>462650.19199999998</v>
      </c>
      <c r="P18" s="4">
        <v>361586.52800000005</v>
      </c>
      <c r="Q18" s="4">
        <v>484526.96</v>
      </c>
      <c r="R18" s="4">
        <v>374585.26400000002</v>
      </c>
      <c r="S18" s="4">
        <v>69445.695999999996</v>
      </c>
      <c r="T18" s="4">
        <v>404830.44799999997</v>
      </c>
      <c r="U18" s="4">
        <v>418505.12</v>
      </c>
      <c r="V18" s="4">
        <v>409257.152</v>
      </c>
      <c r="W18" s="4">
        <v>418753.80799999996</v>
      </c>
      <c r="X18" s="4">
        <v>429391.52</v>
      </c>
      <c r="Y18" s="4">
        <v>382332.32</v>
      </c>
      <c r="Z18" s="4">
        <v>426432.31999999995</v>
      </c>
      <c r="AA18" s="4">
        <v>438558.12800000003</v>
      </c>
      <c r="AB18" s="4">
        <v>492427.37599999999</v>
      </c>
      <c r="AC18" s="4">
        <v>437565.39199999999</v>
      </c>
      <c r="AD18" s="4">
        <v>427234.68799999997</v>
      </c>
      <c r="AE18" s="4">
        <v>-100</v>
      </c>
      <c r="AF18" s="4">
        <v>0</v>
      </c>
      <c r="AG18" s="4">
        <v>200</v>
      </c>
      <c r="AH18" s="4">
        <v>438871.61599999998</v>
      </c>
      <c r="AI18" s="4">
        <v>394850.38399999996</v>
      </c>
      <c r="AJ18" s="4">
        <v>446506.49599999998</v>
      </c>
      <c r="AK18" s="4">
        <v>438539.26399999997</v>
      </c>
      <c r="AL18" s="4">
        <v>384442.06400000001</v>
      </c>
      <c r="AM18" s="4">
        <v>398575.66399999999</v>
      </c>
      <c r="AN18" s="4">
        <v>1523285.3599999999</v>
      </c>
      <c r="AO18" s="4">
        <v>404220.60800000001</v>
      </c>
      <c r="AP18" s="4">
        <v>467560.88</v>
      </c>
      <c r="AQ18" s="4">
        <v>496802.38399999996</v>
      </c>
      <c r="AR18" s="4">
        <v>432110.52799999999</v>
      </c>
      <c r="AS18" s="4">
        <v>430189.85600000003</v>
      </c>
      <c r="AT18" s="4">
        <v>372070.592</v>
      </c>
      <c r="AU18" s="4">
        <v>360366.272</v>
      </c>
      <c r="AV18" s="4">
        <v>450365.26399999997</v>
      </c>
      <c r="AW18" s="4">
        <v>368274.17599999998</v>
      </c>
      <c r="AX18" s="4">
        <v>452030.33599999995</v>
      </c>
      <c r="AY18" s="4">
        <v>471348.22400000005</v>
      </c>
      <c r="AZ18" s="4">
        <v>490933.23200000002</v>
      </c>
      <c r="BA18" s="4">
        <v>383859.29599999997</v>
      </c>
      <c r="BB18" s="4">
        <v>389574.08</v>
      </c>
      <c r="BC18" s="4">
        <v>433807.28</v>
      </c>
      <c r="BD18" s="4">
        <v>426511.08799999999</v>
      </c>
      <c r="BE18" s="4">
        <v>490803.48800000001</v>
      </c>
      <c r="BF18" s="4">
        <v>456479.64800000004</v>
      </c>
      <c r="BG18" s="4">
        <v>410951.45600000001</v>
      </c>
      <c r="BH18" s="4">
        <v>366240.89600000001</v>
      </c>
      <c r="BI18" s="4">
        <v>375117.05600000004</v>
      </c>
      <c r="BJ18" s="4">
        <v>416928.17599999998</v>
      </c>
      <c r="BK18" s="4">
        <v>413643.24799999996</v>
      </c>
      <c r="BL18" s="4">
        <v>371624.04800000001</v>
      </c>
      <c r="BM18" s="4">
        <v>410581.80799999996</v>
      </c>
      <c r="BN18" s="4">
        <v>393121.80799999996</v>
      </c>
      <c r="BO18" s="4">
        <v>429402.75199999998</v>
      </c>
      <c r="BP18" s="4">
        <v>1488802.4000000001</v>
      </c>
      <c r="BQ18" s="4">
        <v>442006.35200000001</v>
      </c>
      <c r="BR18" s="4">
        <v>489625.85600000003</v>
      </c>
      <c r="BS18" s="4">
        <v>450129.68</v>
      </c>
      <c r="BT18" s="4">
        <v>368265.96799999999</v>
      </c>
      <c r="BU18" s="4">
        <v>492192.08</v>
      </c>
      <c r="BV18" s="4">
        <v>486109.51999999996</v>
      </c>
      <c r="BW18" s="4">
        <v>417172.68799999997</v>
      </c>
      <c r="BX18" s="4">
        <v>408371.40799999994</v>
      </c>
      <c r="BY18" s="4">
        <v>428649.63199999998</v>
      </c>
      <c r="BZ18" s="4">
        <v>405163.66399999999</v>
      </c>
      <c r="CA18" s="4">
        <v>465546.46400000004</v>
      </c>
      <c r="CB18" s="4">
        <v>392494.68799999997</v>
      </c>
      <c r="CC18" s="4">
        <v>409720.83199999999</v>
      </c>
      <c r="CD18" s="4">
        <v>407807.07199999999</v>
      </c>
      <c r="CE18" s="4">
        <v>472063.18400000001</v>
      </c>
      <c r="CF18" s="4">
        <v>419130.51199999999</v>
      </c>
      <c r="CG18" s="4">
        <v>418303.95199999999</v>
      </c>
      <c r="CH18" s="4">
        <v>460076.91200000001</v>
      </c>
      <c r="CI18" s="4">
        <v>495852.12799999997</v>
      </c>
      <c r="CJ18" s="4">
        <v>382221.152</v>
      </c>
      <c r="CK18" s="4">
        <v>495426.75199999998</v>
      </c>
      <c r="CL18" s="4">
        <v>380398.97600000002</v>
      </c>
      <c r="CM18" s="4">
        <v>473819.84</v>
      </c>
      <c r="CN18" s="4">
        <v>411663.10399999993</v>
      </c>
      <c r="CO18" s="4">
        <v>434475.29599999997</v>
      </c>
      <c r="CP18" s="4">
        <v>374137.85600000003</v>
      </c>
      <c r="CQ18" s="4">
        <v>374554.44799999997</v>
      </c>
      <c r="CR18" s="4">
        <v>459306.07999999996</v>
      </c>
      <c r="CS18" s="4">
        <v>391170.17599999998</v>
      </c>
      <c r="CT18" s="4">
        <v>486449.50399999996</v>
      </c>
      <c r="CU18" s="4">
        <v>415279.80799999996</v>
      </c>
      <c r="CV18" s="4">
        <v>410401.08799999999</v>
      </c>
      <c r="CW18" s="4">
        <v>445429.80799999996</v>
      </c>
      <c r="CX18" s="4">
        <v>389222</v>
      </c>
      <c r="CY18" s="4">
        <v>395101.23199999996</v>
      </c>
      <c r="CZ18" s="4">
        <v>383370.56</v>
      </c>
      <c r="DA18" s="4">
        <v>487168.49599999998</v>
      </c>
      <c r="DB18" s="4">
        <v>425689.56799999997</v>
      </c>
      <c r="DC18" s="4">
        <v>477247.18400000001</v>
      </c>
      <c r="DD18" s="4">
        <v>380164.54399999999</v>
      </c>
      <c r="DE18" s="4">
        <v>379302.41600000003</v>
      </c>
      <c r="DF18" s="4">
        <v>361586.52800000005</v>
      </c>
      <c r="DG18" s="4">
        <v>209732.47999999998</v>
      </c>
      <c r="DH18" s="4">
        <v>365409.87200000003</v>
      </c>
      <c r="DI18" s="4">
        <v>450178.92799999996</v>
      </c>
      <c r="DJ18" s="4">
        <v>367533.728</v>
      </c>
      <c r="DK18" s="4">
        <v>459558.22400000005</v>
      </c>
      <c r="DL18" s="4">
        <v>488712.89600000001</v>
      </c>
      <c r="DM18" s="4">
        <v>437130.36800000002</v>
      </c>
      <c r="DN18" s="4">
        <v>418764.89599999995</v>
      </c>
      <c r="DO18" s="4">
        <v>-106923.51999999999</v>
      </c>
      <c r="DP18" s="4">
        <v>386466.70399999997</v>
      </c>
      <c r="DQ18" s="4">
        <v>454742.14399999997</v>
      </c>
      <c r="DR18" s="4">
        <v>486637.13599999994</v>
      </c>
      <c r="DS18" s="4">
        <v>369558.80000000005</v>
      </c>
      <c r="DT18" s="4">
        <v>382839.05600000004</v>
      </c>
      <c r="DU18" s="4">
        <v>401767.56799999997</v>
      </c>
      <c r="DV18" s="4">
        <v>484089.05599999998</v>
      </c>
      <c r="DW18" s="4">
        <v>373685.26400000002</v>
      </c>
      <c r="DX18" s="4">
        <v>427521.39199999999</v>
      </c>
      <c r="DY18" s="4">
        <v>461212.64</v>
      </c>
      <c r="DZ18" s="4">
        <v>472384.44800000003</v>
      </c>
      <c r="EA18" s="4">
        <v>467034.41599999997</v>
      </c>
      <c r="EB18" s="4">
        <v>496881.44</v>
      </c>
      <c r="EC18" s="4">
        <v>365223.68000000005</v>
      </c>
      <c r="ED18" s="4">
        <v>382938.12800000003</v>
      </c>
      <c r="EE18" s="4">
        <v>389457.44</v>
      </c>
      <c r="EF18" s="4">
        <v>498593.31199999998</v>
      </c>
      <c r="EG18" s="4">
        <v>943439.84</v>
      </c>
      <c r="EH18" s="4">
        <v>489236.47999999998</v>
      </c>
      <c r="EI18" s="4">
        <v>428128.92799999996</v>
      </c>
      <c r="EJ18" s="4">
        <v>395214.12800000003</v>
      </c>
      <c r="EK18" s="4">
        <v>493091.64799999999</v>
      </c>
      <c r="EL18" s="4">
        <v>484610.62400000001</v>
      </c>
      <c r="EM18" s="4">
        <v>492277.04000000004</v>
      </c>
      <c r="EN18" s="4">
        <v>409646.24</v>
      </c>
      <c r="EO18" s="4">
        <v>426881.45600000001</v>
      </c>
      <c r="EP18" s="4">
        <v>433771.712</v>
      </c>
      <c r="EQ18" s="4">
        <v>367631.07200000004</v>
      </c>
      <c r="ER18" s="4">
        <v>426085.56799999997</v>
      </c>
      <c r="ES18" s="4">
        <v>436610.24</v>
      </c>
      <c r="ET18" s="4">
        <v>428579.21600000001</v>
      </c>
      <c r="EU18" s="4">
        <v>444725.07199999999</v>
      </c>
      <c r="EV18" s="4">
        <v>406552.54399999999</v>
      </c>
      <c r="EW18" s="4">
        <v>440626.83199999999</v>
      </c>
      <c r="EX18" s="4">
        <v>527042.67200000002</v>
      </c>
      <c r="EY18" s="4">
        <v>469873.66399999999</v>
      </c>
      <c r="EZ18" s="4">
        <v>459813.82400000002</v>
      </c>
      <c r="FA18" s="4">
        <v>410441.26399999997</v>
      </c>
      <c r="FB18" s="4">
        <v>484909.13599999994</v>
      </c>
      <c r="FC18" s="4">
        <v>433192.39999999997</v>
      </c>
      <c r="FD18" s="4">
        <v>359678.96</v>
      </c>
      <c r="FE18" s="4">
        <v>417105.87199999997</v>
      </c>
      <c r="FF18" s="4">
        <v>439760.38399999996</v>
      </c>
      <c r="FG18" s="4">
        <v>477701.93599999999</v>
      </c>
      <c r="FH18" s="4">
        <v>363763.66399999999</v>
      </c>
      <c r="FI18" s="4">
        <v>404049.82400000002</v>
      </c>
      <c r="FJ18" s="4">
        <v>465398.576</v>
      </c>
      <c r="FK18" s="4">
        <v>387157.18400000001</v>
      </c>
      <c r="FL18" s="4">
        <v>465515.64800000004</v>
      </c>
      <c r="FM18" s="4">
        <v>362028.17599999998</v>
      </c>
      <c r="FN18" s="4">
        <v>412679.45600000001</v>
      </c>
      <c r="FO18" s="4">
        <v>452390.04800000001</v>
      </c>
      <c r="FP18" s="4">
        <v>401620.39999999997</v>
      </c>
      <c r="FQ18" s="4">
        <v>404684.864</v>
      </c>
      <c r="FR18" s="4">
        <v>493607.02400000003</v>
      </c>
      <c r="FS18" s="4">
        <v>384732.22399999999</v>
      </c>
      <c r="FT18" s="4">
        <v>375517.95199999999</v>
      </c>
      <c r="FU18" s="4">
        <v>378472.83200000005</v>
      </c>
      <c r="FV18" s="4">
        <v>481678.49599999998</v>
      </c>
      <c r="FW18" s="4">
        <v>462189.96799999999</v>
      </c>
      <c r="FX18" s="4">
        <v>435180.03200000001</v>
      </c>
      <c r="FY18" s="4">
        <v>362513.16800000006</v>
      </c>
      <c r="FZ18" s="4">
        <v>399854.38399999996</v>
      </c>
      <c r="GA18" s="4">
        <v>461079.58399999997</v>
      </c>
      <c r="GB18" s="4">
        <v>450271.66399999999</v>
      </c>
      <c r="GC18" s="4">
        <v>422086.39999999997</v>
      </c>
      <c r="GD18" s="4">
        <v>414624.17599999998</v>
      </c>
      <c r="GE18" s="4">
        <v>371321.36</v>
      </c>
      <c r="GF18" s="4">
        <v>444452.33600000001</v>
      </c>
      <c r="GG18" s="4">
        <v>452551.18400000001</v>
      </c>
      <c r="GH18" s="4">
        <v>492516.65600000002</v>
      </c>
      <c r="GI18" s="4">
        <v>492529.18400000001</v>
      </c>
      <c r="GJ18" s="4">
        <v>411490.016</v>
      </c>
      <c r="GK18" s="4">
        <v>361803.24800000002</v>
      </c>
      <c r="GL18" s="4">
        <v>410385.82400000002</v>
      </c>
      <c r="GM18" s="4">
        <v>400446.22399999999</v>
      </c>
      <c r="GN18" s="4">
        <v>405164.52799999999</v>
      </c>
      <c r="GO18" s="4">
        <v>395792.576</v>
      </c>
      <c r="GP18" s="4">
        <v>427629.96799999999</v>
      </c>
      <c r="GQ18" s="4">
        <v>363992.48</v>
      </c>
      <c r="GR18" s="4">
        <v>495170.43200000003</v>
      </c>
      <c r="GS18" s="4">
        <v>429336.8</v>
      </c>
      <c r="GT18" s="4">
        <v>511238.38399999996</v>
      </c>
      <c r="GU18" s="4">
        <v>525638.52799999993</v>
      </c>
      <c r="GV18" s="4">
        <v>401274.22399999999</v>
      </c>
      <c r="GW18" s="4">
        <v>451320.70399999997</v>
      </c>
      <c r="GX18" s="4">
        <v>398160.22399999999</v>
      </c>
      <c r="GY18" s="4">
        <v>432982.44799999997</v>
      </c>
      <c r="GZ18" s="4">
        <v>361565.36</v>
      </c>
      <c r="HA18" s="4">
        <v>209876.47999999998</v>
      </c>
      <c r="HB18" s="4">
        <v>209876.47999999998</v>
      </c>
      <c r="HC18" s="4">
        <v>209876.47999999998</v>
      </c>
      <c r="HD18" s="4">
        <v>502305.92</v>
      </c>
      <c r="HE18" s="4">
        <v>519448.97599999997</v>
      </c>
      <c r="HF18" s="4">
        <v>394424.28799999994</v>
      </c>
      <c r="HG18" s="4">
        <v>401906.81599999999</v>
      </c>
      <c r="HH18" s="4">
        <v>483706.73599999998</v>
      </c>
      <c r="HI18" s="4">
        <v>511672.83199999999</v>
      </c>
      <c r="HJ18" s="4">
        <v>-590123.52000000002</v>
      </c>
      <c r="HK18" s="4">
        <v>460569.10399999993</v>
      </c>
      <c r="HL18" s="4">
        <v>407041.13599999994</v>
      </c>
      <c r="HM18" s="4">
        <v>488609.21599999996</v>
      </c>
      <c r="HN18" s="4">
        <v>484513.27999999997</v>
      </c>
      <c r="HO18" s="4">
        <v>434600.28799999994</v>
      </c>
      <c r="HP18" s="4">
        <v>522461.74399999995</v>
      </c>
      <c r="HQ18" s="4">
        <v>422329.04</v>
      </c>
      <c r="HR18" s="4">
        <v>370998.94400000002</v>
      </c>
      <c r="HS18" s="4">
        <v>522215.64799999999</v>
      </c>
      <c r="HT18" s="4">
        <v>389497.90399999998</v>
      </c>
      <c r="HU18" s="4">
        <v>452429.79200000002</v>
      </c>
      <c r="HV18" s="4">
        <v>551698.49600000004</v>
      </c>
      <c r="HW18" s="4">
        <v>521706.60800000001</v>
      </c>
      <c r="HX18" s="4">
        <v>394994.67200000002</v>
      </c>
      <c r="HY18" s="4">
        <v>707641.28</v>
      </c>
      <c r="HZ18" s="4">
        <v>707641.28</v>
      </c>
      <c r="IA18" s="4">
        <v>707641.28</v>
      </c>
      <c r="IB18" s="4">
        <v>508006.16</v>
      </c>
      <c r="IC18" s="4">
        <v>529352.14399999997</v>
      </c>
      <c r="ID18" s="4">
        <v>513165.39199999999</v>
      </c>
      <c r="IE18" s="4">
        <v>491064.56</v>
      </c>
      <c r="IF18" s="4">
        <v>411692.48</v>
      </c>
      <c r="IG18" s="4">
        <v>479412.51199999999</v>
      </c>
      <c r="IH18" s="4">
        <v>549261.72799999989</v>
      </c>
      <c r="II18" s="4">
        <v>411716.81599999999</v>
      </c>
      <c r="IJ18" s="4">
        <v>430240.68799999997</v>
      </c>
    </row>
    <row r="19" spans="2:244">
      <c r="E19" s="1"/>
    </row>
    <row r="20" spans="2:244" s="5" customFormat="1" ht="14.4" customHeight="1">
      <c r="B20" s="6" t="s">
        <v>39</v>
      </c>
    </row>
    <row r="22" spans="2:244">
      <c r="C22" t="s">
        <v>10</v>
      </c>
      <c r="D22" s="9">
        <v>45292</v>
      </c>
      <c r="E22" s="3"/>
    </row>
    <row r="23" spans="2:244">
      <c r="C23" t="s">
        <v>30</v>
      </c>
      <c r="D23" s="10">
        <v>20</v>
      </c>
      <c r="E23" s="3" t="s">
        <v>1</v>
      </c>
      <c r="F23" s="1"/>
      <c r="G23" s="1"/>
      <c r="H23" s="1"/>
    </row>
    <row r="24" spans="2:244">
      <c r="C24" t="s">
        <v>80</v>
      </c>
      <c r="D24" s="10">
        <v>4</v>
      </c>
      <c r="E24" s="3"/>
      <c r="F24" s="1"/>
    </row>
    <row r="25" spans="2:244">
      <c r="C25" t="s">
        <v>65</v>
      </c>
      <c r="D25" s="10">
        <v>1000</v>
      </c>
      <c r="E25" s="3"/>
      <c r="F25" s="1"/>
    </row>
    <row r="26" spans="2:244">
      <c r="C26" t="s">
        <v>11</v>
      </c>
      <c r="D26" s="4">
        <v>19500</v>
      </c>
      <c r="E26" s="3" t="s">
        <v>40</v>
      </c>
    </row>
    <row r="27" spans="2:244">
      <c r="B27" s="2" t="s">
        <v>22</v>
      </c>
    </row>
    <row r="28" spans="2:244">
      <c r="C28" t="s">
        <v>50</v>
      </c>
      <c r="D28" s="7">
        <v>2.75E-2</v>
      </c>
      <c r="E28" s="3" t="s">
        <v>2</v>
      </c>
      <c r="F28" s="19"/>
      <c r="H28" s="19"/>
    </row>
    <row r="29" spans="2:244">
      <c r="C29" t="s">
        <v>51</v>
      </c>
      <c r="D29" s="7">
        <v>0.24249999999999999</v>
      </c>
      <c r="E29" s="3" t="s">
        <v>2</v>
      </c>
    </row>
    <row r="30" spans="2:244">
      <c r="C30" t="s">
        <v>52</v>
      </c>
      <c r="D30" s="7">
        <v>0.14499999999999999</v>
      </c>
      <c r="E30" s="3" t="s">
        <v>2</v>
      </c>
    </row>
    <row r="31" spans="2:244">
      <c r="C31" t="s">
        <v>53</v>
      </c>
      <c r="D31" s="7">
        <v>4.4999999999999998E-2</v>
      </c>
      <c r="E31" s="3" t="s">
        <v>2</v>
      </c>
      <c r="F31" s="19"/>
    </row>
    <row r="32" spans="2:244">
      <c r="C32" t="s">
        <v>54</v>
      </c>
      <c r="D32" s="7">
        <v>5.2499999999999998E-2</v>
      </c>
      <c r="E32" s="3" t="s">
        <v>2</v>
      </c>
    </row>
    <row r="33" spans="2:6">
      <c r="C33" t="s">
        <v>55</v>
      </c>
      <c r="D33" s="7">
        <v>6.5000000000000002E-2</v>
      </c>
      <c r="E33" s="3" t="s">
        <v>2</v>
      </c>
    </row>
    <row r="34" spans="2:6">
      <c r="C34" t="s">
        <v>72</v>
      </c>
      <c r="D34" s="7">
        <v>7.2499999999999995E-2</v>
      </c>
      <c r="E34" s="3" t="s">
        <v>2</v>
      </c>
    </row>
    <row r="35" spans="2:6">
      <c r="C35" t="s">
        <v>73</v>
      </c>
      <c r="D35" s="7">
        <v>7.5000000000000011E-2</v>
      </c>
      <c r="E35" s="3" t="s">
        <v>2</v>
      </c>
    </row>
    <row r="36" spans="2:6">
      <c r="C36" t="s">
        <v>83</v>
      </c>
      <c r="D36" s="7">
        <v>6.2675000000000008E-2</v>
      </c>
      <c r="E36" s="3" t="s">
        <v>2</v>
      </c>
    </row>
    <row r="37" spans="2:6">
      <c r="C37" t="s">
        <v>98</v>
      </c>
      <c r="D37" s="7">
        <v>0.12</v>
      </c>
      <c r="E37" s="3" t="s">
        <v>2</v>
      </c>
    </row>
    <row r="38" spans="2:6">
      <c r="C38" t="s">
        <v>41</v>
      </c>
      <c r="D38" s="7">
        <v>0.12125</v>
      </c>
      <c r="E38" s="3" t="s">
        <v>2</v>
      </c>
    </row>
    <row r="39" spans="2:6">
      <c r="C39" t="s">
        <v>142</v>
      </c>
      <c r="D39" s="7">
        <v>0.1245</v>
      </c>
      <c r="E39" s="3" t="s">
        <v>2</v>
      </c>
    </row>
    <row r="40" spans="2:6">
      <c r="B40" s="2" t="s">
        <v>60</v>
      </c>
    </row>
    <row r="41" spans="2:6">
      <c r="C41" t="s">
        <v>50</v>
      </c>
      <c r="D41" s="7" t="s">
        <v>57</v>
      </c>
      <c r="E41" s="3"/>
    </row>
    <row r="42" spans="2:6">
      <c r="C42" t="s">
        <v>51</v>
      </c>
      <c r="D42" s="7" t="s">
        <v>57</v>
      </c>
      <c r="E42" s="3"/>
    </row>
    <row r="43" spans="2:6">
      <c r="C43" t="s">
        <v>52</v>
      </c>
      <c r="D43" s="7" t="s">
        <v>57</v>
      </c>
      <c r="E43" s="3"/>
    </row>
    <row r="44" spans="2:6">
      <c r="C44" t="s">
        <v>53</v>
      </c>
      <c r="D44" s="7" t="s">
        <v>58</v>
      </c>
      <c r="E44" s="3"/>
      <c r="F44" s="19"/>
    </row>
    <row r="45" spans="2:6">
      <c r="C45" t="s">
        <v>54</v>
      </c>
      <c r="D45" s="7" t="s">
        <v>58</v>
      </c>
      <c r="E45" s="3"/>
    </row>
    <row r="46" spans="2:6">
      <c r="C46" t="s">
        <v>55</v>
      </c>
      <c r="D46" s="7" t="s">
        <v>58</v>
      </c>
      <c r="E46" s="3"/>
    </row>
    <row r="47" spans="2:6">
      <c r="C47" t="s">
        <v>72</v>
      </c>
      <c r="D47" s="7" t="s">
        <v>58</v>
      </c>
      <c r="E47" s="3"/>
    </row>
    <row r="48" spans="2:6">
      <c r="C48" t="s">
        <v>73</v>
      </c>
      <c r="D48" s="7" t="s">
        <v>58</v>
      </c>
      <c r="E48" s="3"/>
    </row>
    <row r="49" spans="2:6">
      <c r="C49" t="s">
        <v>83</v>
      </c>
      <c r="D49" s="7" t="s">
        <v>58</v>
      </c>
      <c r="E49" s="3"/>
    </row>
    <row r="50" spans="2:6">
      <c r="C50" t="s">
        <v>98</v>
      </c>
      <c r="D50" s="7" t="s">
        <v>57</v>
      </c>
      <c r="E50" s="3"/>
    </row>
    <row r="51" spans="2:6">
      <c r="C51" t="s">
        <v>41</v>
      </c>
      <c r="D51" s="7" t="s">
        <v>59</v>
      </c>
      <c r="E51" s="3"/>
    </row>
    <row r="52" spans="2:6">
      <c r="C52" t="s">
        <v>142</v>
      </c>
      <c r="D52" s="7" t="s">
        <v>59</v>
      </c>
      <c r="E52" s="3"/>
    </row>
    <row r="53" spans="2:6">
      <c r="B53" s="2" t="s">
        <v>61</v>
      </c>
    </row>
    <row r="54" spans="2:6">
      <c r="C54" t="s">
        <v>50</v>
      </c>
      <c r="D54" s="7" t="s">
        <v>63</v>
      </c>
      <c r="E54" s="3"/>
    </row>
    <row r="55" spans="2:6">
      <c r="C55" t="s">
        <v>51</v>
      </c>
      <c r="D55" s="7" t="s">
        <v>63</v>
      </c>
      <c r="E55" s="3"/>
    </row>
    <row r="56" spans="2:6">
      <c r="C56" t="s">
        <v>52</v>
      </c>
      <c r="D56" s="7" t="s">
        <v>63</v>
      </c>
      <c r="E56" s="3"/>
    </row>
    <row r="57" spans="2:6">
      <c r="C57" t="s">
        <v>53</v>
      </c>
      <c r="D57" s="7" t="s">
        <v>63</v>
      </c>
      <c r="E57" s="3"/>
      <c r="F57" s="19"/>
    </row>
    <row r="58" spans="2:6">
      <c r="C58" t="s">
        <v>54</v>
      </c>
      <c r="D58" s="7" t="s">
        <v>64</v>
      </c>
      <c r="E58" s="3"/>
    </row>
    <row r="59" spans="2:6">
      <c r="C59" t="s">
        <v>55</v>
      </c>
      <c r="D59" s="7" t="s">
        <v>64</v>
      </c>
      <c r="E59" s="3"/>
    </row>
    <row r="60" spans="2:6">
      <c r="C60" t="s">
        <v>72</v>
      </c>
      <c r="D60" s="7" t="s">
        <v>64</v>
      </c>
      <c r="E60" s="3"/>
    </row>
    <row r="61" spans="2:6">
      <c r="C61" t="s">
        <v>73</v>
      </c>
      <c r="D61" s="7" t="s">
        <v>64</v>
      </c>
      <c r="E61" s="3"/>
    </row>
    <row r="62" spans="2:6">
      <c r="C62" t="s">
        <v>83</v>
      </c>
      <c r="D62" s="7" t="s">
        <v>64</v>
      </c>
      <c r="E62" s="3"/>
    </row>
    <row r="63" spans="2:6">
      <c r="C63" t="s">
        <v>98</v>
      </c>
      <c r="D63" s="7" t="s">
        <v>63</v>
      </c>
      <c r="E63" s="3"/>
    </row>
    <row r="64" spans="2:6">
      <c r="C64" t="s">
        <v>41</v>
      </c>
      <c r="D64" s="7" t="s">
        <v>63</v>
      </c>
      <c r="E64" s="3"/>
    </row>
    <row r="65" spans="2:5">
      <c r="C65" t="s">
        <v>142</v>
      </c>
      <c r="D65" s="7" t="s">
        <v>63</v>
      </c>
      <c r="E65" s="3"/>
    </row>
    <row r="66" spans="2:5">
      <c r="B66" s="2" t="s">
        <v>23</v>
      </c>
    </row>
    <row r="67" spans="2:5">
      <c r="C67" t="s">
        <v>12</v>
      </c>
      <c r="D67" s="11">
        <v>2028</v>
      </c>
    </row>
    <row r="68" spans="2:5">
      <c r="C68" t="s">
        <v>13</v>
      </c>
      <c r="D68" s="11">
        <v>2027</v>
      </c>
    </row>
    <row r="69" spans="2:5">
      <c r="C69" t="s">
        <v>14</v>
      </c>
      <c r="D69" s="11">
        <v>2028</v>
      </c>
    </row>
    <row r="70" spans="2:5">
      <c r="C70" t="s">
        <v>27</v>
      </c>
      <c r="D70" s="11">
        <v>2027</v>
      </c>
    </row>
    <row r="71" spans="2:5">
      <c r="C71" t="s">
        <v>78</v>
      </c>
      <c r="D71" s="11">
        <v>2028</v>
      </c>
    </row>
    <row r="72" spans="2:5" customFormat="1">
      <c r="B72" s="2"/>
      <c r="C72" t="s">
        <v>15</v>
      </c>
      <c r="D72" s="11">
        <v>3</v>
      </c>
      <c r="E72" s="3" t="s">
        <v>1</v>
      </c>
    </row>
    <row r="73" spans="2:5" customFormat="1">
      <c r="B73" s="2"/>
      <c r="C73" t="s">
        <v>100</v>
      </c>
      <c r="D73" s="11">
        <v>2</v>
      </c>
      <c r="E73" s="3" t="s">
        <v>99</v>
      </c>
    </row>
    <row r="74" spans="2:5" customFormat="1">
      <c r="B74" s="2"/>
      <c r="C74" t="s">
        <v>145</v>
      </c>
      <c r="D74" s="4">
        <v>0.3</v>
      </c>
    </row>
    <row r="75" spans="2:5" customFormat="1">
      <c r="B75" s="2"/>
      <c r="C75" t="s">
        <v>146</v>
      </c>
      <c r="D75" s="4">
        <v>0.25</v>
      </c>
    </row>
    <row r="76" spans="2:5" customFormat="1">
      <c r="B76" s="2"/>
      <c r="C76" t="s">
        <v>147</v>
      </c>
      <c r="D76" s="4">
        <v>0.15</v>
      </c>
    </row>
    <row r="77" spans="2:5" customFormat="1">
      <c r="B77" s="2"/>
      <c r="C77" t="s">
        <v>148</v>
      </c>
      <c r="D77" s="4">
        <v>0.1</v>
      </c>
    </row>
    <row r="78" spans="2:5" customFormat="1">
      <c r="B78" s="2" t="s">
        <v>24</v>
      </c>
    </row>
    <row r="79" spans="2:5" customFormat="1">
      <c r="B79" s="2"/>
      <c r="C79" t="s">
        <v>4</v>
      </c>
      <c r="D79" s="4">
        <v>17.7775</v>
      </c>
      <c r="E79" s="3" t="s">
        <v>68</v>
      </c>
    </row>
    <row r="80" spans="2:5" customFormat="1">
      <c r="B80" s="2"/>
      <c r="C80" t="s">
        <v>31</v>
      </c>
      <c r="D80" s="4">
        <v>4.5670000000000002</v>
      </c>
      <c r="E80" s="3" t="s">
        <v>68</v>
      </c>
    </row>
    <row r="81" spans="2:7" customFormat="1">
      <c r="B81" s="2"/>
      <c r="C81" t="s">
        <v>32</v>
      </c>
      <c r="D81" s="4">
        <v>332</v>
      </c>
      <c r="E81" s="3" t="s">
        <v>68</v>
      </c>
      <c r="F81" s="1"/>
      <c r="G81" s="1"/>
    </row>
    <row r="82" spans="2:7" customFormat="1">
      <c r="B82" s="2"/>
      <c r="C82" t="s">
        <v>33</v>
      </c>
      <c r="D82" s="4">
        <v>1033.333333333333</v>
      </c>
      <c r="E82" s="3" t="s">
        <v>68</v>
      </c>
    </row>
    <row r="83" spans="2:7" customFormat="1">
      <c r="B83" s="2"/>
      <c r="C83" t="s">
        <v>34</v>
      </c>
      <c r="D83" s="4">
        <v>177.1428571428572</v>
      </c>
      <c r="E83" s="3" t="s">
        <v>68</v>
      </c>
    </row>
    <row r="84" spans="2:7" customFormat="1">
      <c r="B84" s="2"/>
      <c r="C84" t="s">
        <v>77</v>
      </c>
      <c r="D84" s="4">
        <v>1409.8799999999999</v>
      </c>
      <c r="E84" s="3" t="s">
        <v>68</v>
      </c>
    </row>
    <row r="85" spans="2:7" customFormat="1">
      <c r="B85" s="2"/>
      <c r="C85" t="s">
        <v>76</v>
      </c>
      <c r="D85" s="4">
        <v>4564.5000000000009</v>
      </c>
      <c r="E85" s="3" t="s">
        <v>68</v>
      </c>
    </row>
    <row r="86" spans="2:7" customFormat="1">
      <c r="B86" s="2"/>
      <c r="C86" t="s">
        <v>81</v>
      </c>
      <c r="D86" s="4">
        <v>1825.7999999999997</v>
      </c>
      <c r="E86" s="3" t="s">
        <v>68</v>
      </c>
    </row>
    <row r="87" spans="2:7" customFormat="1">
      <c r="B87" s="2"/>
      <c r="C87" t="s">
        <v>98</v>
      </c>
      <c r="D87" s="4">
        <v>2887.85</v>
      </c>
      <c r="E87" s="3" t="s">
        <v>68</v>
      </c>
    </row>
    <row r="88" spans="2:7" customFormat="1">
      <c r="B88" s="2"/>
      <c r="C88" t="s">
        <v>56</v>
      </c>
      <c r="D88" s="4">
        <v>1200</v>
      </c>
      <c r="E88" s="3" t="s">
        <v>68</v>
      </c>
    </row>
    <row r="89" spans="2:7" customFormat="1">
      <c r="B89" s="2"/>
      <c r="C89" t="s">
        <v>143</v>
      </c>
      <c r="D89" s="4">
        <v>1775.55</v>
      </c>
      <c r="E89" s="3" t="s">
        <v>68</v>
      </c>
    </row>
    <row r="90" spans="2:7" customFormat="1">
      <c r="B90" s="2" t="s">
        <v>25</v>
      </c>
    </row>
    <row r="91" spans="2:7" customFormat="1">
      <c r="B91" s="2"/>
      <c r="C91" t="s">
        <v>16</v>
      </c>
      <c r="D91" s="4">
        <v>36.36</v>
      </c>
      <c r="E91" s="12" t="s">
        <v>67</v>
      </c>
    </row>
    <row r="92" spans="2:7" customFormat="1">
      <c r="B92" s="2"/>
      <c r="C92" t="s">
        <v>17</v>
      </c>
      <c r="D92" s="4">
        <v>12.48</v>
      </c>
      <c r="E92" s="12" t="s">
        <v>67</v>
      </c>
    </row>
    <row r="93" spans="2:7" customFormat="1">
      <c r="B93" s="2"/>
      <c r="C93" t="s">
        <v>18</v>
      </c>
      <c r="D93" s="4">
        <v>5.0399999999999991</v>
      </c>
      <c r="E93" s="12" t="s">
        <v>67</v>
      </c>
    </row>
    <row r="94" spans="2:7" customFormat="1">
      <c r="B94" s="2"/>
      <c r="C94" t="s">
        <v>35</v>
      </c>
      <c r="D94" s="4">
        <v>3.7125000000000004</v>
      </c>
      <c r="E94" s="12" t="s">
        <v>67</v>
      </c>
    </row>
    <row r="95" spans="2:7" customFormat="1">
      <c r="B95" s="2"/>
      <c r="C95" t="s">
        <v>74</v>
      </c>
      <c r="D95" s="4">
        <v>6</v>
      </c>
      <c r="E95" s="12" t="s">
        <v>67</v>
      </c>
    </row>
    <row r="96" spans="2:7" customFormat="1">
      <c r="B96" s="2"/>
      <c r="C96" t="s">
        <v>19</v>
      </c>
      <c r="D96" s="4">
        <v>27.72</v>
      </c>
      <c r="E96" s="12" t="s">
        <v>0</v>
      </c>
      <c r="G96" s="1"/>
    </row>
    <row r="97" spans="2:5" customFormat="1">
      <c r="B97" s="2"/>
      <c r="C97" t="s">
        <v>20</v>
      </c>
      <c r="D97" s="4">
        <v>23.96</v>
      </c>
      <c r="E97" s="12" t="s">
        <v>0</v>
      </c>
    </row>
    <row r="98" spans="2:5" customFormat="1">
      <c r="B98" s="2"/>
      <c r="C98" t="s">
        <v>21</v>
      </c>
      <c r="D98" s="4">
        <v>103.4</v>
      </c>
      <c r="E98" s="12" t="s">
        <v>0</v>
      </c>
    </row>
    <row r="99" spans="2:5" customFormat="1">
      <c r="B99" s="2"/>
      <c r="C99" t="s">
        <v>28</v>
      </c>
      <c r="D99" s="4">
        <v>15.679999999999998</v>
      </c>
      <c r="E99" s="12" t="s">
        <v>0</v>
      </c>
    </row>
    <row r="100" spans="2:5" customFormat="1">
      <c r="B100" s="2"/>
      <c r="C100" t="s">
        <v>75</v>
      </c>
      <c r="D100" s="4">
        <v>11.2</v>
      </c>
      <c r="E100" s="12" t="s">
        <v>0</v>
      </c>
    </row>
    <row r="102" spans="2:5" s="5" customFormat="1" ht="14.4" customHeight="1">
      <c r="B102" s="6" t="s">
        <v>3</v>
      </c>
    </row>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15180-73C3-404B-AFCC-AC8D4B9E2E97}">
  <sheetPr>
    <tabColor theme="8" tint="0.79998168889431442"/>
  </sheetPr>
  <dimension ref="A1:C41"/>
  <sheetViews>
    <sheetView zoomScale="77" workbookViewId="0"/>
  </sheetViews>
  <sheetFormatPr defaultRowHeight="15.6"/>
  <cols>
    <col min="1" max="1" width="88.109375" style="21" bestFit="1" customWidth="1"/>
    <col min="2" max="2" width="16.33203125" style="21" customWidth="1"/>
    <col min="3" max="16384" width="8.88671875" style="21"/>
  </cols>
  <sheetData>
    <row r="1" spans="1:3">
      <c r="A1" s="20" t="s">
        <v>42</v>
      </c>
      <c r="B1" s="20" t="s">
        <v>43</v>
      </c>
      <c r="C1" s="20" t="s">
        <v>49</v>
      </c>
    </row>
    <row r="2" spans="1:3">
      <c r="A2" s="22" t="s">
        <v>104</v>
      </c>
      <c r="B2" s="23"/>
      <c r="C2" s="8" t="s">
        <v>40</v>
      </c>
    </row>
    <row r="3" spans="1:3">
      <c r="A3" s="22" t="s">
        <v>105</v>
      </c>
      <c r="B3" s="23"/>
      <c r="C3" s="8" t="s">
        <v>40</v>
      </c>
    </row>
    <row r="4" spans="1:3">
      <c r="A4" s="22" t="s">
        <v>106</v>
      </c>
      <c r="B4" s="23"/>
      <c r="C4" s="8" t="s">
        <v>40</v>
      </c>
    </row>
    <row r="5" spans="1:3">
      <c r="A5" s="22" t="s">
        <v>107</v>
      </c>
      <c r="B5" s="23"/>
      <c r="C5" s="8" t="s">
        <v>40</v>
      </c>
    </row>
    <row r="6" spans="1:3">
      <c r="A6" s="22" t="s">
        <v>108</v>
      </c>
      <c r="B6" s="23"/>
      <c r="C6" s="8" t="s">
        <v>40</v>
      </c>
    </row>
    <row r="7" spans="1:3">
      <c r="A7" s="22" t="s">
        <v>109</v>
      </c>
      <c r="B7" s="23"/>
      <c r="C7" s="8" t="s">
        <v>40</v>
      </c>
    </row>
    <row r="8" spans="1:3">
      <c r="A8" s="22" t="s">
        <v>110</v>
      </c>
      <c r="B8" s="23"/>
      <c r="C8" s="8" t="s">
        <v>40</v>
      </c>
    </row>
    <row r="9" spans="1:3">
      <c r="A9" s="22" t="s">
        <v>111</v>
      </c>
      <c r="B9" s="23"/>
      <c r="C9" s="8" t="s">
        <v>40</v>
      </c>
    </row>
    <row r="10" spans="1:3">
      <c r="A10" s="22" t="s">
        <v>112</v>
      </c>
      <c r="B10" s="23"/>
      <c r="C10" s="8" t="s">
        <v>40</v>
      </c>
    </row>
    <row r="11" spans="1:3">
      <c r="A11" s="22" t="s">
        <v>127</v>
      </c>
      <c r="B11" s="23"/>
      <c r="C11" s="8" t="s">
        <v>40</v>
      </c>
    </row>
    <row r="12" spans="1:3">
      <c r="A12" s="22" t="s">
        <v>128</v>
      </c>
      <c r="B12" s="23"/>
      <c r="C12" s="8" t="s">
        <v>40</v>
      </c>
    </row>
    <row r="13" spans="1:3">
      <c r="A13" s="22" t="s">
        <v>113</v>
      </c>
      <c r="B13" s="23"/>
      <c r="C13" s="8" t="s">
        <v>40</v>
      </c>
    </row>
    <row r="14" spans="1:3">
      <c r="A14" s="22" t="s">
        <v>114</v>
      </c>
      <c r="B14" s="23"/>
      <c r="C14" s="8" t="s">
        <v>40</v>
      </c>
    </row>
    <row r="15" spans="1:3">
      <c r="A15" s="22" t="s">
        <v>115</v>
      </c>
      <c r="B15" s="23"/>
      <c r="C15" s="8" t="s">
        <v>40</v>
      </c>
    </row>
    <row r="16" spans="1:3">
      <c r="A16" s="22" t="s">
        <v>116</v>
      </c>
      <c r="B16" s="23"/>
      <c r="C16" s="8" t="s">
        <v>40</v>
      </c>
    </row>
    <row r="17" spans="1:3">
      <c r="A17" s="22" t="s">
        <v>117</v>
      </c>
      <c r="B17" s="23"/>
      <c r="C17" s="8" t="s">
        <v>40</v>
      </c>
    </row>
    <row r="18" spans="1:3">
      <c r="A18" s="22" t="s">
        <v>118</v>
      </c>
      <c r="B18" s="23"/>
      <c r="C18" s="8" t="s">
        <v>40</v>
      </c>
    </row>
    <row r="19" spans="1:3">
      <c r="A19" s="22" t="s">
        <v>119</v>
      </c>
      <c r="B19" s="23"/>
      <c r="C19" s="8" t="s">
        <v>40</v>
      </c>
    </row>
    <row r="20" spans="1:3">
      <c r="A20" s="22" t="s">
        <v>120</v>
      </c>
      <c r="B20" s="23"/>
      <c r="C20" s="8" t="s">
        <v>40</v>
      </c>
    </row>
    <row r="21" spans="1:3">
      <c r="A21" s="22" t="s">
        <v>121</v>
      </c>
      <c r="B21" s="23"/>
      <c r="C21" s="8" t="s">
        <v>40</v>
      </c>
    </row>
    <row r="22" spans="1:3">
      <c r="A22" s="22" t="s">
        <v>122</v>
      </c>
      <c r="B22" s="23"/>
      <c r="C22" s="8" t="s">
        <v>40</v>
      </c>
    </row>
    <row r="23" spans="1:3">
      <c r="A23" s="22" t="s">
        <v>123</v>
      </c>
      <c r="B23" s="23"/>
      <c r="C23" s="8" t="s">
        <v>40</v>
      </c>
    </row>
    <row r="24" spans="1:3">
      <c r="A24" s="22" t="s">
        <v>124</v>
      </c>
      <c r="B24" s="23"/>
      <c r="C24" s="8" t="s">
        <v>40</v>
      </c>
    </row>
    <row r="25" spans="1:3">
      <c r="A25" s="22" t="s">
        <v>125</v>
      </c>
      <c r="B25" s="23"/>
      <c r="C25" s="8" t="s">
        <v>40</v>
      </c>
    </row>
    <row r="26" spans="1:3">
      <c r="A26" s="22" t="s">
        <v>126</v>
      </c>
      <c r="B26" s="23"/>
      <c r="C26" s="8" t="s">
        <v>40</v>
      </c>
    </row>
    <row r="27" spans="1:3">
      <c r="A27" s="22" t="s">
        <v>129</v>
      </c>
      <c r="B27" s="23"/>
      <c r="C27" s="8" t="s">
        <v>40</v>
      </c>
    </row>
    <row r="28" spans="1:3">
      <c r="A28" s="22" t="s">
        <v>137</v>
      </c>
      <c r="B28" s="23"/>
      <c r="C28" s="8" t="s">
        <v>40</v>
      </c>
    </row>
    <row r="29" spans="1:3">
      <c r="A29" s="22" t="s">
        <v>130</v>
      </c>
      <c r="B29" s="23"/>
      <c r="C29" s="8" t="s">
        <v>40</v>
      </c>
    </row>
    <row r="30" spans="1:3">
      <c r="A30" s="22" t="s">
        <v>144</v>
      </c>
      <c r="B30" s="23"/>
      <c r="C30" s="8" t="s">
        <v>40</v>
      </c>
    </row>
    <row r="31" spans="1:3">
      <c r="A31" s="22" t="s">
        <v>131</v>
      </c>
      <c r="B31" s="23"/>
      <c r="C31" s="8" t="s">
        <v>40</v>
      </c>
    </row>
    <row r="32" spans="1:3">
      <c r="A32" s="22" t="s">
        <v>132</v>
      </c>
      <c r="B32" s="23"/>
      <c r="C32" s="8" t="s">
        <v>40</v>
      </c>
    </row>
    <row r="33" spans="1:3">
      <c r="A33" s="22" t="s">
        <v>133</v>
      </c>
      <c r="B33" s="23"/>
      <c r="C33" s="8" t="s">
        <v>40</v>
      </c>
    </row>
    <row r="34" spans="1:3">
      <c r="A34" s="22" t="s">
        <v>134</v>
      </c>
      <c r="B34" s="23"/>
      <c r="C34" s="8" t="s">
        <v>40</v>
      </c>
    </row>
    <row r="35" spans="1:3">
      <c r="A35" s="22" t="s">
        <v>135</v>
      </c>
      <c r="B35" s="23"/>
      <c r="C35" s="8" t="s">
        <v>40</v>
      </c>
    </row>
    <row r="36" spans="1:3">
      <c r="A36" s="22" t="s">
        <v>136</v>
      </c>
      <c r="B36" s="23"/>
      <c r="C36" s="8" t="s">
        <v>40</v>
      </c>
    </row>
    <row r="37" spans="1:3">
      <c r="A37" s="22" t="s">
        <v>44</v>
      </c>
      <c r="B37" s="23"/>
      <c r="C37" s="8" t="s">
        <v>40</v>
      </c>
    </row>
    <row r="38" spans="1:3">
      <c r="A38" s="22" t="s">
        <v>45</v>
      </c>
      <c r="B38" s="23"/>
      <c r="C38" s="8" t="s">
        <v>40</v>
      </c>
    </row>
    <row r="39" spans="1:3">
      <c r="A39" s="22" t="s">
        <v>46</v>
      </c>
      <c r="B39" s="23"/>
      <c r="C39" s="8" t="s">
        <v>40</v>
      </c>
    </row>
    <row r="40" spans="1:3">
      <c r="A40" s="22" t="s">
        <v>47</v>
      </c>
      <c r="B40" s="23"/>
      <c r="C40" s="8" t="s">
        <v>40</v>
      </c>
    </row>
    <row r="41" spans="1:3">
      <c r="A41" s="22" t="s">
        <v>48</v>
      </c>
      <c r="B41" s="23"/>
      <c r="C41" s="8" t="s">
        <v>40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Assumptions</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Pöltl</dc:creator>
  <cp:lastModifiedBy>Julian Pöltl</cp:lastModifiedBy>
  <dcterms:created xsi:type="dcterms:W3CDTF">2025-10-30T13:30:27Z</dcterms:created>
  <dcterms:modified xsi:type="dcterms:W3CDTF">2026-04-28T02:00:18Z</dcterms:modified>
</cp:coreProperties>
</file>