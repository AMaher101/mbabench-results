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Comparables\NextEraEnergy\starting_files\"/>
    </mc:Choice>
  </mc:AlternateContent>
  <xr:revisionPtr revIDLastSave="0" documentId="13_ncr:1_{16177666-18FA-4799-B6E6-22A531B842B8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s" sheetId="21" r:id="rId2"/>
    <sheet name="Comp" sheetId="20" r:id="rId3"/>
    <sheet name="Questions" sheetId="6" r:id="rId4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1" l="1"/>
</calcChain>
</file>

<file path=xl/sharedStrings.xml><?xml version="1.0" encoding="utf-8"?>
<sst xmlns="http://schemas.openxmlformats.org/spreadsheetml/2006/main" count="132" uniqueCount="109">
  <si>
    <t>Answers</t>
  </si>
  <si>
    <t>End Sheet</t>
  </si>
  <si>
    <t>Questions (please round your answers to two decimal places)</t>
  </si>
  <si>
    <t xml:space="preserve"> </t>
  </si>
  <si>
    <t>Answer the questions using your calculated ratios.</t>
  </si>
  <si>
    <t>EBIT</t>
  </si>
  <si>
    <t>Net Income</t>
  </si>
  <si>
    <t>EBITDA</t>
  </si>
  <si>
    <t>Valuation Task</t>
  </si>
  <si>
    <t>Company</t>
  </si>
  <si>
    <t>Fiscal</t>
  </si>
  <si>
    <t>Name</t>
  </si>
  <si>
    <t>Ticker</t>
  </si>
  <si>
    <t>Period</t>
  </si>
  <si>
    <t>03/31/2026</t>
  </si>
  <si>
    <t>12/2025</t>
  </si>
  <si>
    <t>Price</t>
  </si>
  <si>
    <t>Enterprise</t>
  </si>
  <si>
    <t>Value</t>
  </si>
  <si>
    <t>Shares Out</t>
  </si>
  <si>
    <t>(M)</t>
  </si>
  <si>
    <t>Calculate the following metrics based on the data:</t>
  </si>
  <si>
    <t>FY</t>
  </si>
  <si>
    <t>- EV/Sales</t>
  </si>
  <si>
    <t>- EV/EBITDA</t>
  </si>
  <si>
    <t>- P/E</t>
  </si>
  <si>
    <t>Unit</t>
  </si>
  <si>
    <t>Market Data</t>
  </si>
  <si>
    <t>Answer the questions with the help of your valuation model.</t>
  </si>
  <si>
    <t>What is the implied share value using the 25th Percentile of EV/EBITDA?</t>
  </si>
  <si>
    <t>What is the implied share value using the 75th Percentile of EV/EBITDA?</t>
  </si>
  <si>
    <t>What is the implied share value using the 75th Percentile of EV/Sales?</t>
  </si>
  <si>
    <t>What is the implied share value using the 75th Percentile of P/E?</t>
  </si>
  <si>
    <t>What is the implied share value using the 75th Percentile of Price/Sales?</t>
  </si>
  <si>
    <t>What is the implied share value using the Average of EV/Sales?</t>
  </si>
  <si>
    <t>What is the implied share value using the Average of P/E?</t>
  </si>
  <si>
    <t>What is the implied share value using the Average of Price/Sales?</t>
  </si>
  <si>
    <t>What is the implied share value using the Median of P/E?</t>
  </si>
  <si>
    <t>What is the implied share value using the Median of Price/Sales?</t>
  </si>
  <si>
    <t>You do not have to judge the selection and no adjustments are needed (use provided financials without modification, unless specifically stated).</t>
  </si>
  <si>
    <t>- Price/Sales (Market Cap/Sales)</t>
  </si>
  <si>
    <t>12/31/2025</t>
  </si>
  <si>
    <t>What is the implied share value using the 25th Percentile of EV/Sales?</t>
  </si>
  <si>
    <t>What is the implied share value using the 25th Percentile of P/E?</t>
  </si>
  <si>
    <t>What is the implied share value using the 25th Percentile of Price/Sales?</t>
  </si>
  <si>
    <t>What is the implied share value using the Average of EV/EBITDA?</t>
  </si>
  <si>
    <t>What is the implied share value using the Median of EV/EBITDA?</t>
  </si>
  <si>
    <t>What is the implied share value using the Median of EV/Sales?</t>
  </si>
  <si>
    <t>Comparables - NextEra Energy</t>
  </si>
  <si>
    <t>NextEra Energy</t>
  </si>
  <si>
    <t>Value NextEra Energy (price per share) based on the 75th Percentile, Average, Median and 25th Percentile of all selected measures separately.</t>
  </si>
  <si>
    <t>Assumptions sheet may be also in the text on the Instructions tab - please use the assumptions on this sheet for your model</t>
  </si>
  <si>
    <t>Target</t>
  </si>
  <si>
    <t>Target Company</t>
  </si>
  <si>
    <t>You have been provided with data about comparables of the company NextEra Energy.</t>
  </si>
  <si>
    <t>FX rates</t>
  </si>
  <si>
    <t>Currency</t>
  </si>
  <si>
    <t>Average Rate</t>
  </si>
  <si>
    <t>Spot Rate</t>
  </si>
  <si>
    <t>Current Rate</t>
  </si>
  <si>
    <t>USD/EUR</t>
  </si>
  <si>
    <t>USD/CAD</t>
  </si>
  <si>
    <t>USD/JPY</t>
  </si>
  <si>
    <t>USD/GBP</t>
  </si>
  <si>
    <t>USD/HKD</t>
  </si>
  <si>
    <t>NEE-US</t>
  </si>
  <si>
    <t>Constellation Energy</t>
  </si>
  <si>
    <t>CEG-US</t>
  </si>
  <si>
    <t>National Grid</t>
  </si>
  <si>
    <t>NG-GB</t>
  </si>
  <si>
    <t>09/30/2025</t>
  </si>
  <si>
    <t>ENGIE</t>
  </si>
  <si>
    <t>ENGI-FR</t>
  </si>
  <si>
    <t>RWE</t>
  </si>
  <si>
    <t>RWE-DE</t>
  </si>
  <si>
    <t>E.ON</t>
  </si>
  <si>
    <t>EOAN-DE</t>
  </si>
  <si>
    <t>Brookfield Renewable Partners</t>
  </si>
  <si>
    <t>BEP.UT-CA</t>
  </si>
  <si>
    <t>Fortis</t>
  </si>
  <si>
    <t>FTS-CA</t>
  </si>
  <si>
    <t>Hydro One</t>
  </si>
  <si>
    <t>H-CA</t>
  </si>
  <si>
    <t>Kansai Electric Power</t>
  </si>
  <si>
    <t>9503-JP</t>
  </si>
  <si>
    <t>CLP Holdings</t>
  </si>
  <si>
    <t>2-HK</t>
  </si>
  <si>
    <t>06/30/2025</t>
  </si>
  <si>
    <t>Southern</t>
  </si>
  <si>
    <t>SO-US</t>
  </si>
  <si>
    <t>Duke Energy</t>
  </si>
  <si>
    <t>DUK-US</t>
  </si>
  <si>
    <t>American Electric Power</t>
  </si>
  <si>
    <t>AEP-US</t>
  </si>
  <si>
    <t>Dominion Energy</t>
  </si>
  <si>
    <t>D-US</t>
  </si>
  <si>
    <t>Entergy</t>
  </si>
  <si>
    <t>ETR-US</t>
  </si>
  <si>
    <t>Exelon</t>
  </si>
  <si>
    <t>EXC-US</t>
  </si>
  <si>
    <t>Iberdrola</t>
  </si>
  <si>
    <t>IBE-ES</t>
  </si>
  <si>
    <t>Enel</t>
  </si>
  <si>
    <t>ENEL-IT</t>
  </si>
  <si>
    <t>(LC m)</t>
  </si>
  <si>
    <t>(LC)</t>
  </si>
  <si>
    <t>Revenue</t>
  </si>
  <si>
    <t>Mind the currency in the given Comp data (use the Current Rate for market data items)!</t>
  </si>
  <si>
    <t>Calculate the Maximum, 75th Percentile, Average, Median, 25th Percentile and Minimum for the selected metrics. Exclude any negative or undefined multiples from the statistical calculations for the affected metric - also exclude any multiples from the calculations that are strictly more than one (population) standard deviation away from the average (i.e., multiples falling exactly at avg ± 1σ are retained) regarding the respective metric (the average should exclude negative or undefined multiple).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</si>
</sst>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9" fillId="0" borderId="0"/>
    <xf numFmtId="0" fontId="12" fillId="0" borderId="0" applyNumberFormat="0" applyFill="0" applyBorder="0">
      <alignment horizontal="right"/>
    </xf>
  </cellStyleXfs>
  <cellXfs count="26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0" fontId="2" fillId="0" borderId="0" xfId="1" quotePrefix="1" applyFont="1"/>
    <xf numFmtId="0" fontId="8" fillId="6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4" fontId="0" fillId="7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14" fontId="10" fillId="8" borderId="5" xfId="0" applyNumberFormat="1" applyFont="1" applyFill="1" applyBorder="1"/>
    <xf numFmtId="0" fontId="11" fillId="0" borderId="0" xfId="0" applyFont="1"/>
    <xf numFmtId="4" fontId="11" fillId="5" borderId="2" xfId="3" applyFont="1" applyFill="1">
      <alignment horizontal="left"/>
    </xf>
    <xf numFmtId="4" fontId="10" fillId="8" borderId="5" xfId="0" applyNumberFormat="1" applyFont="1" applyFill="1" applyBorder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6">
    <cellStyle name="M Section Header" xfId="3" xr:uid="{F944F0E6-F034-49F8-8B3F-D0C9E50BA2F6}"/>
    <cellStyle name="M Units" xfId="5" xr:uid="{EB9A03A7-C535-49C4-A2FD-2988FFA27155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1" t="s">
        <v>8</v>
      </c>
      <c r="C2" s="22"/>
      <c r="D2" s="22"/>
      <c r="E2" s="22"/>
      <c r="F2" s="22"/>
      <c r="G2" s="22"/>
      <c r="H2" s="22"/>
      <c r="I2" s="22"/>
      <c r="J2" s="22"/>
      <c r="K2" s="23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4" t="s">
        <v>48</v>
      </c>
      <c r="C4" s="25"/>
      <c r="D4" s="25"/>
      <c r="E4" s="25"/>
      <c r="F4" s="25"/>
      <c r="G4" s="25"/>
      <c r="H4" s="25"/>
      <c r="I4" s="25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54</v>
      </c>
      <c r="C6" s="1"/>
      <c r="D6" s="1"/>
      <c r="F6" s="1"/>
      <c r="G6" s="1"/>
      <c r="H6" s="1"/>
      <c r="I6" s="1"/>
      <c r="J6" s="1"/>
      <c r="K6" s="1"/>
    </row>
    <row r="7" spans="2:11" ht="15" customHeight="1">
      <c r="B7" s="1" t="s">
        <v>39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21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9" t="s">
        <v>40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9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9" t="s">
        <v>24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9" t="s">
        <v>25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1" t="s">
        <v>108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1" t="s">
        <v>107</v>
      </c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1" t="s">
        <v>50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" t="s">
        <v>28</v>
      </c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ht="1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 ht="15" customHeight="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 ht="1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 ht="15" customHeight="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>
      <c r="B36" s="3" t="s">
        <v>4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A6F4-1FFE-4EE8-8EC8-17A066541B0F}">
  <sheetPr>
    <tabColor theme="8" tint="0.39997558519241921"/>
  </sheetPr>
  <dimension ref="A1:F18"/>
  <sheetViews>
    <sheetView showGridLines="0" zoomScale="84" workbookViewId="0"/>
  </sheetViews>
  <sheetFormatPr defaultRowHeight="14.4"/>
  <cols>
    <col min="1" max="1" width="4.77734375" style="18" customWidth="1"/>
    <col min="2" max="2" width="5.33203125" style="18" customWidth="1"/>
    <col min="3" max="3" width="47.21875" bestFit="1" customWidth="1"/>
    <col min="4" max="4" width="13.109375" bestFit="1" customWidth="1"/>
    <col min="5" max="5" width="9.77734375" bestFit="1" customWidth="1"/>
    <col min="6" max="7" width="9" customWidth="1"/>
    <col min="9" max="9" width="9.109375" bestFit="1" customWidth="1"/>
    <col min="11" max="24" width="10.109375" bestFit="1" customWidth="1"/>
  </cols>
  <sheetData>
    <row r="1" spans="1:6">
      <c r="A1" s="18" t="str">
        <f>Instructions!B2&amp;": "&amp;Instructions!B4</f>
        <v>Valuation Task: Comparables - NextEra Energy</v>
      </c>
    </row>
    <row r="2" spans="1:6">
      <c r="A2" s="18" t="s">
        <v>51</v>
      </c>
    </row>
    <row r="4" spans="1:6" s="19" customFormat="1" ht="14.4" customHeight="1">
      <c r="B4" s="19" t="s">
        <v>52</v>
      </c>
    </row>
    <row r="6" spans="1:6">
      <c r="C6" t="s">
        <v>53</v>
      </c>
      <c r="D6" s="17" t="s">
        <v>49</v>
      </c>
    </row>
    <row r="8" spans="1:6" s="19" customFormat="1" ht="14.4" customHeight="1">
      <c r="B8" s="19" t="s">
        <v>55</v>
      </c>
    </row>
    <row r="11" spans="1:6">
      <c r="C11" t="s">
        <v>56</v>
      </c>
      <c r="D11" t="s">
        <v>57</v>
      </c>
      <c r="E11" t="s">
        <v>58</v>
      </c>
      <c r="F11" t="s">
        <v>59</v>
      </c>
    </row>
    <row r="12" spans="1:6">
      <c r="C12" t="s">
        <v>60</v>
      </c>
      <c r="D12" s="20">
        <v>0.91</v>
      </c>
      <c r="E12" s="20">
        <v>0.93</v>
      </c>
      <c r="F12" s="20">
        <v>0.95</v>
      </c>
    </row>
    <row r="13" spans="1:6">
      <c r="C13" t="s">
        <v>61</v>
      </c>
      <c r="D13" s="20">
        <v>1.32</v>
      </c>
      <c r="E13" s="20">
        <v>1.29</v>
      </c>
      <c r="F13" s="20">
        <v>1.31</v>
      </c>
    </row>
    <row r="14" spans="1:6">
      <c r="C14" t="s">
        <v>62</v>
      </c>
      <c r="D14" s="20">
        <v>148.5</v>
      </c>
      <c r="E14" s="20">
        <v>151</v>
      </c>
      <c r="F14" s="20">
        <v>149.19999999999999</v>
      </c>
    </row>
    <row r="15" spans="1:6">
      <c r="C15" t="s">
        <v>63</v>
      </c>
      <c r="D15" s="20">
        <v>0.79</v>
      </c>
      <c r="E15" s="20">
        <v>0.77</v>
      </c>
      <c r="F15" s="20">
        <v>0.8</v>
      </c>
    </row>
    <row r="16" spans="1:6">
      <c r="C16" t="s">
        <v>64</v>
      </c>
      <c r="D16" s="20">
        <v>7.82</v>
      </c>
      <c r="E16" s="20">
        <v>7.8</v>
      </c>
      <c r="F16" s="20">
        <v>7.85</v>
      </c>
    </row>
    <row r="18" spans="2:2" s="19" customFormat="1" ht="14.4" customHeight="1">
      <c r="B18" s="19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A989-530C-4648-AD36-DDF2474C28DC}">
  <sheetPr>
    <tabColor theme="8" tint="0.39997558519241921"/>
  </sheetPr>
  <dimension ref="A1:J23"/>
  <sheetViews>
    <sheetView workbookViewId="0"/>
  </sheetViews>
  <sheetFormatPr defaultRowHeight="14.4"/>
  <cols>
    <col min="2" max="2" width="9.88671875" bestFit="1" customWidth="1"/>
    <col min="4" max="4" width="10.109375" bestFit="1" customWidth="1"/>
  </cols>
  <sheetData>
    <row r="1" spans="1:10">
      <c r="A1" s="10"/>
      <c r="B1" s="10"/>
      <c r="C1" s="10"/>
      <c r="D1" s="10" t="s">
        <v>106</v>
      </c>
      <c r="E1" s="10" t="s">
        <v>7</v>
      </c>
      <c r="F1" s="10" t="s">
        <v>5</v>
      </c>
      <c r="G1" s="10" t="s">
        <v>6</v>
      </c>
      <c r="H1" s="10"/>
      <c r="I1" s="10" t="s">
        <v>27</v>
      </c>
      <c r="J1" s="10"/>
    </row>
    <row r="2" spans="1:10">
      <c r="A2" s="10" t="s">
        <v>9</v>
      </c>
      <c r="B2" s="10"/>
      <c r="C2" s="10" t="s">
        <v>10</v>
      </c>
      <c r="D2" s="10"/>
      <c r="E2" s="10"/>
      <c r="F2" s="10"/>
      <c r="G2" s="10"/>
      <c r="H2" s="10" t="s">
        <v>17</v>
      </c>
      <c r="I2" s="10"/>
      <c r="J2" s="10" t="s">
        <v>19</v>
      </c>
    </row>
    <row r="3" spans="1:10">
      <c r="A3" s="10" t="s">
        <v>11</v>
      </c>
      <c r="B3" s="10" t="s">
        <v>12</v>
      </c>
      <c r="C3" s="10" t="s">
        <v>13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18</v>
      </c>
      <c r="I3" s="10" t="s">
        <v>16</v>
      </c>
      <c r="J3" s="10"/>
    </row>
    <row r="4" spans="1:10">
      <c r="A4" s="10" t="s">
        <v>26</v>
      </c>
      <c r="B4" s="10"/>
      <c r="C4" s="10"/>
      <c r="D4" s="10" t="s">
        <v>104</v>
      </c>
      <c r="E4" s="10" t="s">
        <v>104</v>
      </c>
      <c r="F4" s="10" t="s">
        <v>104</v>
      </c>
      <c r="G4" s="10" t="s">
        <v>104</v>
      </c>
      <c r="H4" s="10" t="s">
        <v>104</v>
      </c>
      <c r="I4" s="10" t="s">
        <v>105</v>
      </c>
      <c r="J4" s="10" t="s">
        <v>20</v>
      </c>
    </row>
    <row r="5" spans="1:10">
      <c r="A5" s="11" t="s">
        <v>49</v>
      </c>
      <c r="B5" s="11" t="s">
        <v>65</v>
      </c>
      <c r="C5" s="11" t="s">
        <v>14</v>
      </c>
      <c r="D5" s="15">
        <v>27562.999968360884</v>
      </c>
      <c r="E5" s="12">
        <v>14836</v>
      </c>
      <c r="F5" s="12">
        <v>7446.9999969717119</v>
      </c>
      <c r="G5" s="12">
        <v>8182.9999011068685</v>
      </c>
      <c r="H5" s="12">
        <v>306312.00209099997</v>
      </c>
      <c r="I5" s="15">
        <v>94.830001999999993</v>
      </c>
      <c r="J5" s="12">
        <v>2108.6470749999999</v>
      </c>
    </row>
    <row r="6" spans="1:10">
      <c r="A6" s="13" t="s">
        <v>66</v>
      </c>
      <c r="B6" s="13" t="s">
        <v>67</v>
      </c>
      <c r="C6" s="13" t="s">
        <v>15</v>
      </c>
      <c r="D6" s="16">
        <v>26848.999914183496</v>
      </c>
      <c r="E6" s="14">
        <v>6639</v>
      </c>
      <c r="F6" s="14">
        <v>4037.9999114334846</v>
      </c>
      <c r="G6" s="14">
        <v>2318.9999411578628</v>
      </c>
      <c r="H6" s="14">
        <v>121116.783746</v>
      </c>
      <c r="I6" s="16">
        <v>315.17001299999998</v>
      </c>
      <c r="J6" s="14">
        <v>363.12397800000002</v>
      </c>
    </row>
    <row r="7" spans="1:10">
      <c r="A7" s="11" t="s">
        <v>68</v>
      </c>
      <c r="B7" s="11" t="s">
        <v>69</v>
      </c>
      <c r="C7" s="11" t="s">
        <v>70</v>
      </c>
      <c r="D7" s="15">
        <v>22826.907095389943</v>
      </c>
      <c r="E7" s="12">
        <v>9648.0961100000004</v>
      </c>
      <c r="F7" s="12">
        <v>6750.6640093141796</v>
      </c>
      <c r="G7" s="12">
        <v>3750.0787133477902</v>
      </c>
      <c r="H7" s="12">
        <v>142790.464484</v>
      </c>
      <c r="I7" s="15">
        <v>17.535395000000001</v>
      </c>
      <c r="J7" s="12">
        <v>4975.3959130000003</v>
      </c>
    </row>
    <row r="8" spans="1:10">
      <c r="A8" s="13" t="s">
        <v>71</v>
      </c>
      <c r="B8" s="13" t="s">
        <v>72</v>
      </c>
      <c r="C8" s="13" t="s">
        <v>15</v>
      </c>
      <c r="D8" s="16">
        <v>81194.413660605933</v>
      </c>
      <c r="E8" s="14">
        <v>15396.060359999999</v>
      </c>
      <c r="F8" s="14">
        <v>9582.7555070968156</v>
      </c>
      <c r="G8" s="14">
        <v>4162.1953405672111</v>
      </c>
      <c r="H8" s="14">
        <v>127472.210039</v>
      </c>
      <c r="I8" s="16">
        <v>33.189407000000003</v>
      </c>
      <c r="J8" s="14">
        <v>2543.87763</v>
      </c>
    </row>
    <row r="9" spans="1:10">
      <c r="A9" s="11" t="s">
        <v>73</v>
      </c>
      <c r="B9" s="11" t="s">
        <v>74</v>
      </c>
      <c r="C9" s="11" t="s">
        <v>15</v>
      </c>
      <c r="D9" s="15">
        <v>19894.572011827775</v>
      </c>
      <c r="E9" s="12">
        <v>3297.7047600000001</v>
      </c>
      <c r="F9" s="12">
        <v>1049.5775377365578</v>
      </c>
      <c r="G9" s="12">
        <v>3533.5775910123125</v>
      </c>
      <c r="H9" s="12">
        <v>57565.925517999996</v>
      </c>
      <c r="I9" s="15">
        <v>71.284469999999999</v>
      </c>
      <c r="J9" s="12">
        <v>743.84121700000003</v>
      </c>
    </row>
    <row r="10" spans="1:10">
      <c r="A10" s="13" t="s">
        <v>75</v>
      </c>
      <c r="B10" s="13" t="s">
        <v>76</v>
      </c>
      <c r="C10" s="13" t="s">
        <v>15</v>
      </c>
      <c r="D10" s="16">
        <v>88823.599784538732</v>
      </c>
      <c r="E10" s="14">
        <v>10753.090690000001</v>
      </c>
      <c r="F10" s="14">
        <v>6484.8093906976619</v>
      </c>
      <c r="G10" s="14">
        <v>1956.9544445649747</v>
      </c>
      <c r="H10" s="14">
        <v>95103.668051999994</v>
      </c>
      <c r="I10" s="16">
        <v>21.946321000000001</v>
      </c>
      <c r="J10" s="14">
        <v>2613.0779579999999</v>
      </c>
    </row>
    <row r="11" spans="1:10">
      <c r="A11" s="11" t="s">
        <v>77</v>
      </c>
      <c r="B11" s="11" t="s">
        <v>78</v>
      </c>
      <c r="C11" s="11" t="s">
        <v>15</v>
      </c>
      <c r="D11" s="15">
        <v>6534.9999378897037</v>
      </c>
      <c r="E11" s="12">
        <v>3408.9999699999998</v>
      </c>
      <c r="F11" s="12">
        <v>983.99996969781478</v>
      </c>
      <c r="G11" s="12">
        <v>-36.999993348342677</v>
      </c>
      <c r="H11" s="12">
        <v>52480.978567999999</v>
      </c>
      <c r="I11" s="15">
        <v>33.785026999999999</v>
      </c>
      <c r="J11" s="12">
        <v>684.057954</v>
      </c>
    </row>
    <row r="12" spans="1:10">
      <c r="A12" s="13" t="s">
        <v>79</v>
      </c>
      <c r="B12" s="13" t="s">
        <v>80</v>
      </c>
      <c r="C12" s="13" t="s">
        <v>15</v>
      </c>
      <c r="D12" s="16">
        <v>8709.7255845926102</v>
      </c>
      <c r="E12" s="14">
        <v>3971.2627000000002</v>
      </c>
      <c r="F12" s="14">
        <v>2499.1258944903834</v>
      </c>
      <c r="G12" s="14">
        <v>1287.493497325697</v>
      </c>
      <c r="H12" s="14">
        <v>56297.062875000003</v>
      </c>
      <c r="I12" s="16">
        <v>56.406303000000001</v>
      </c>
      <c r="J12" s="14">
        <v>507.70682099999999</v>
      </c>
    </row>
    <row r="13" spans="1:10">
      <c r="A13" s="11" t="s">
        <v>81</v>
      </c>
      <c r="B13" s="11" t="s">
        <v>82</v>
      </c>
      <c r="C13" s="11" t="s">
        <v>15</v>
      </c>
      <c r="D13" s="15">
        <v>6470.3884846655174</v>
      </c>
      <c r="E13" s="12">
        <v>2396.7847900000002</v>
      </c>
      <c r="F13" s="12">
        <v>1601.6734304017327</v>
      </c>
      <c r="G13" s="12">
        <v>958.28452807938072</v>
      </c>
      <c r="H13" s="12">
        <v>39697.324222000003</v>
      </c>
      <c r="I13" s="15">
        <v>42.598511000000002</v>
      </c>
      <c r="J13" s="12">
        <v>601.78041900000005</v>
      </c>
    </row>
    <row r="14" spans="1:10">
      <c r="A14" s="13" t="s">
        <v>83</v>
      </c>
      <c r="B14" s="13" t="s">
        <v>84</v>
      </c>
      <c r="C14" s="13" t="s">
        <v>41</v>
      </c>
      <c r="D14" s="16">
        <v>27631.183694394731</v>
      </c>
      <c r="E14" s="14">
        <v>5378.8741099999997</v>
      </c>
      <c r="F14" s="14">
        <v>3070.1701745552714</v>
      </c>
      <c r="G14" s="14">
        <v>2662.2344309647056</v>
      </c>
      <c r="H14" s="14">
        <v>37341.470828999998</v>
      </c>
      <c r="I14" s="16">
        <v>15.421571999999999</v>
      </c>
      <c r="J14" s="14">
        <v>1069.223628</v>
      </c>
    </row>
    <row r="15" spans="1:10">
      <c r="A15" s="11" t="s">
        <v>85</v>
      </c>
      <c r="B15" s="11" t="s">
        <v>86</v>
      </c>
      <c r="C15" s="11" t="s">
        <v>87</v>
      </c>
      <c r="D15" s="15">
        <v>11519.045241536091</v>
      </c>
      <c r="E15" s="12">
        <v>2856.0126100000002</v>
      </c>
      <c r="F15" s="12">
        <v>1643.7989725798045</v>
      </c>
      <c r="G15" s="12">
        <v>1465.3623959326228</v>
      </c>
      <c r="H15" s="12">
        <v>30082.368944999998</v>
      </c>
      <c r="I15" s="15">
        <v>9.6071039999999996</v>
      </c>
      <c r="J15" s="12">
        <v>2526.45057</v>
      </c>
    </row>
    <row r="16" spans="1:10">
      <c r="A16" s="13" t="s">
        <v>88</v>
      </c>
      <c r="B16" s="13" t="s">
        <v>89</v>
      </c>
      <c r="C16" s="13" t="s">
        <v>15</v>
      </c>
      <c r="D16" s="16">
        <v>29553.000042770862</v>
      </c>
      <c r="E16" s="14">
        <v>13301</v>
      </c>
      <c r="F16" s="14">
        <v>7270.9999606730244</v>
      </c>
      <c r="G16" s="14">
        <v>4340.9999842025536</v>
      </c>
      <c r="H16" s="14">
        <v>180510.287958</v>
      </c>
      <c r="I16" s="16">
        <v>93.769997000000004</v>
      </c>
      <c r="J16" s="14">
        <v>1179.1807289999999</v>
      </c>
    </row>
    <row r="17" spans="1:10">
      <c r="A17" s="11" t="s">
        <v>90</v>
      </c>
      <c r="B17" s="11" t="s">
        <v>91</v>
      </c>
      <c r="C17" s="11" t="s">
        <v>15</v>
      </c>
      <c r="D17" s="15">
        <v>32236.999863531979</v>
      </c>
      <c r="E17" s="12">
        <v>14901</v>
      </c>
      <c r="F17" s="12">
        <v>8577.0000390712175</v>
      </c>
      <c r="G17" s="12">
        <v>4966.9998925433338</v>
      </c>
      <c r="H17" s="12">
        <v>190637.91634699999</v>
      </c>
      <c r="I17" s="15">
        <v>127.089996</v>
      </c>
      <c r="J17" s="12">
        <v>794.79830000000004</v>
      </c>
    </row>
    <row r="18" spans="1:10">
      <c r="A18" s="13" t="s">
        <v>92</v>
      </c>
      <c r="B18" s="13" t="s">
        <v>93</v>
      </c>
      <c r="C18" s="13" t="s">
        <v>15</v>
      </c>
      <c r="D18" s="16">
        <v>21783.000024266679</v>
      </c>
      <c r="E18" s="14">
        <v>8788</v>
      </c>
      <c r="F18" s="14">
        <v>5299.0001132031875</v>
      </c>
      <c r="G18" s="14">
        <v>3580.0001120381885</v>
      </c>
      <c r="H18" s="14">
        <v>123117.053214</v>
      </c>
      <c r="I18" s="16">
        <v>135.070007</v>
      </c>
      <c r="J18" s="14">
        <v>544.98447999999996</v>
      </c>
    </row>
    <row r="19" spans="1:10">
      <c r="A19" s="11" t="s">
        <v>94</v>
      </c>
      <c r="B19" s="11" t="s">
        <v>95</v>
      </c>
      <c r="C19" s="11" t="s">
        <v>15</v>
      </c>
      <c r="D19" s="15">
        <v>16727.000013694484</v>
      </c>
      <c r="E19" s="12">
        <v>7292</v>
      </c>
      <c r="F19" s="12">
        <v>4905.0000589757501</v>
      </c>
      <c r="G19" s="12">
        <v>3011.9999475159402</v>
      </c>
      <c r="H19" s="12">
        <v>108845.394812</v>
      </c>
      <c r="I19" s="15">
        <v>62.5</v>
      </c>
      <c r="J19" s="12">
        <v>880.86471700000004</v>
      </c>
    </row>
    <row r="20" spans="1:10">
      <c r="A20" s="13" t="s">
        <v>96</v>
      </c>
      <c r="B20" s="13" t="s">
        <v>97</v>
      </c>
      <c r="C20" s="13" t="s">
        <v>15</v>
      </c>
      <c r="D20" s="16">
        <v>12946.685893879401</v>
      </c>
      <c r="E20" s="14">
        <v>5565.2110000000002</v>
      </c>
      <c r="F20" s="14">
        <v>3028.0729167453583</v>
      </c>
      <c r="G20" s="14">
        <v>1773.3280226483739</v>
      </c>
      <c r="H20" s="14">
        <v>81703.323822999999</v>
      </c>
      <c r="I20" s="16">
        <v>113.44000200000001</v>
      </c>
      <c r="J20" s="14">
        <v>461.45639799999998</v>
      </c>
    </row>
    <row r="21" spans="1:10">
      <c r="A21" s="11" t="s">
        <v>98</v>
      </c>
      <c r="B21" s="11" t="s">
        <v>99</v>
      </c>
      <c r="C21" s="11" t="s">
        <v>15</v>
      </c>
      <c r="D21" s="15">
        <v>24257.999770422757</v>
      </c>
      <c r="E21" s="12">
        <v>8787</v>
      </c>
      <c r="F21" s="12">
        <v>5144.0000613972834</v>
      </c>
      <c r="G21" s="12">
        <v>2768.0000598237007</v>
      </c>
      <c r="H21" s="12">
        <v>98386.995723999993</v>
      </c>
      <c r="I21" s="15">
        <v>46.59</v>
      </c>
      <c r="J21" s="12">
        <v>1023.738908</v>
      </c>
    </row>
    <row r="22" spans="1:10">
      <c r="A22" s="13" t="s">
        <v>100</v>
      </c>
      <c r="B22" s="13" t="s">
        <v>101</v>
      </c>
      <c r="C22" s="13" t="s">
        <v>15</v>
      </c>
      <c r="D22" s="16">
        <v>49588.58600360628</v>
      </c>
      <c r="E22" s="14">
        <v>17374.45751</v>
      </c>
      <c r="F22" s="14">
        <v>11500.208984474461</v>
      </c>
      <c r="G22" s="14">
        <v>6682.3099069159643</v>
      </c>
      <c r="H22" s="14">
        <v>228018.084222</v>
      </c>
      <c r="I22" s="16">
        <v>23.460262</v>
      </c>
      <c r="J22" s="14">
        <v>6703.7929329999997</v>
      </c>
    </row>
    <row r="23" spans="1:10">
      <c r="A23" s="11" t="s">
        <v>102</v>
      </c>
      <c r="B23" s="11" t="s">
        <v>103</v>
      </c>
      <c r="C23" s="11" t="s">
        <v>15</v>
      </c>
      <c r="D23" s="15">
        <v>86582.244386125298</v>
      </c>
      <c r="E23" s="12">
        <v>20801.94873</v>
      </c>
      <c r="F23" s="12">
        <v>12791.302335114393</v>
      </c>
      <c r="G23" s="12">
        <v>4508.6690751815431</v>
      </c>
      <c r="H23" s="12">
        <v>208211.933147</v>
      </c>
      <c r="I23" s="15">
        <v>11.490717999999999</v>
      </c>
      <c r="J23" s="12">
        <v>10156.59484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17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4">
      <c r="A1" s="6" t="s">
        <v>2</v>
      </c>
      <c r="B1" s="6" t="s">
        <v>0</v>
      </c>
    </row>
    <row r="2" spans="1:4">
      <c r="A2" s="3" t="s">
        <v>29</v>
      </c>
      <c r="B2" s="8"/>
    </row>
    <row r="3" spans="1:4">
      <c r="A3" s="3" t="s">
        <v>42</v>
      </c>
      <c r="B3" s="8"/>
    </row>
    <row r="4" spans="1:4">
      <c r="A4" s="3" t="s">
        <v>43</v>
      </c>
      <c r="B4" s="8"/>
    </row>
    <row r="5" spans="1:4">
      <c r="A5" s="3" t="s">
        <v>44</v>
      </c>
      <c r="B5" s="8"/>
    </row>
    <row r="6" spans="1:4">
      <c r="A6" s="3" t="s">
        <v>30</v>
      </c>
      <c r="B6" s="8"/>
    </row>
    <row r="7" spans="1:4">
      <c r="A7" s="3" t="s">
        <v>31</v>
      </c>
      <c r="B7" s="8"/>
    </row>
    <row r="8" spans="1:4">
      <c r="A8" s="3" t="s">
        <v>32</v>
      </c>
      <c r="B8" s="8"/>
      <c r="C8" s="7" t="s">
        <v>3</v>
      </c>
    </row>
    <row r="9" spans="1:4">
      <c r="A9" s="3" t="s">
        <v>33</v>
      </c>
      <c r="B9" s="8"/>
    </row>
    <row r="10" spans="1:4">
      <c r="A10" s="3" t="s">
        <v>45</v>
      </c>
      <c r="B10" s="8"/>
    </row>
    <row r="11" spans="1:4">
      <c r="A11" s="3" t="s">
        <v>34</v>
      </c>
      <c r="B11" s="8"/>
    </row>
    <row r="12" spans="1:4">
      <c r="A12" s="3" t="s">
        <v>35</v>
      </c>
      <c r="B12" s="8"/>
      <c r="D12" s="7" t="s">
        <v>3</v>
      </c>
    </row>
    <row r="13" spans="1:4">
      <c r="A13" s="3" t="s">
        <v>36</v>
      </c>
      <c r="B13" s="8"/>
    </row>
    <row r="14" spans="1:4">
      <c r="A14" s="7" t="s">
        <v>46</v>
      </c>
      <c r="B14" s="8"/>
    </row>
    <row r="15" spans="1:4">
      <c r="A15" s="7" t="s">
        <v>47</v>
      </c>
      <c r="B15" s="8"/>
    </row>
    <row r="16" spans="1:4">
      <c r="A16" s="7" t="s">
        <v>37</v>
      </c>
      <c r="B16" s="8"/>
    </row>
    <row r="17" spans="1:2">
      <c r="A17" s="7" t="s">
        <v>38</v>
      </c>
      <c r="B1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Assumptions</vt:lpstr>
      <vt:lpstr>Comp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2026-04-28T21:49:56Z</dcterms:modified>
</cp:coreProperties>
</file>