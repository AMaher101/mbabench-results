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Financing Waterfall\LiquiditySplatter\starting_files\"/>
    </mc:Choice>
  </mc:AlternateContent>
  <xr:revisionPtr revIDLastSave="0" documentId="13_ncr:1_{4EE83847-1C13-4FEA-AFB3-D32B614000F5}"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<sst xmlns="http://schemas.openxmlformats.org/spreadsheetml/2006/main" count="146" uniqueCount="95">
  <si>
    <t>[$]</t>
  </si>
  <si>
    <t>[years]</t>
  </si>
  <si>
    <t>[%]</t>
  </si>
  <si>
    <t>End Sheet</t>
  </si>
  <si>
    <t>Available FCF</t>
  </si>
  <si>
    <t>Year Number</t>
  </si>
  <si>
    <t>Senior debt - Tranche 1 - scheduled repayment</t>
  </si>
  <si>
    <t>Senior debt - Tranche 2 - scheduled repayment</t>
  </si>
  <si>
    <t>Model Start date</t>
  </si>
  <si>
    <t>Revolver limit</t>
  </si>
  <si>
    <t>Interest rate: Cash - negative balances</t>
  </si>
  <si>
    <t>Interest rate: Revolver</t>
  </si>
  <si>
    <t>Interest rate: Senior debt - Tranche 1</t>
  </si>
  <si>
    <t>Interest rate: Senior debt - Tranche 2</t>
  </si>
  <si>
    <t>Class A shares (existing) - vesting year</t>
  </si>
  <si>
    <t>Class B shares (existing) - vesting year</t>
  </si>
  <si>
    <t>Class C shares (existing) - vesting year</t>
  </si>
  <si>
    <t>Class C shares (new) - vesting period</t>
  </si>
  <si>
    <t>Cash - opening balance</t>
  </si>
  <si>
    <t>Revolver facility - opening balance</t>
  </si>
  <si>
    <t>Senior debt (Tranche 1) - opening balance</t>
  </si>
  <si>
    <t>Senior debt (Tranche 2) - opening balance</t>
  </si>
  <si>
    <t>Class A shares - # issued</t>
  </si>
  <si>
    <t>Class B shares - # issued</t>
  </si>
  <si>
    <t>Class C shares - # issued</t>
  </si>
  <si>
    <t>Class A shares - price as issue</t>
  </si>
  <si>
    <t>Class B shares - price at issue</t>
  </si>
  <si>
    <t>Class C shares - price at issue</t>
  </si>
  <si>
    <t>Interest rates</t>
  </si>
  <si>
    <t>Shares</t>
  </si>
  <si>
    <t>Opening Balances</t>
  </si>
  <si>
    <t>Shares issued</t>
  </si>
  <si>
    <t>Cash float (min.)</t>
  </si>
  <si>
    <t>Model length</t>
  </si>
  <si>
    <t>Assumptions sheet may be also in the text on the Instructions tab - please use the assumptions on this sheet for your model</t>
  </si>
  <si>
    <t>Finance Task</t>
  </si>
  <si>
    <t>There is a hierarchy, which payments are made in which order. Payments may be delayed or not made, if there are insufficient funds available.</t>
  </si>
  <si>
    <t>All necessary information regarding amounts, scheduled repayment, interest rates and equity/shares are given in the tab Assumptions.</t>
  </si>
  <si>
    <t>f. Ensuring minimum cash float (by drawing the revolver (g.) up to the limit given)</t>
  </si>
  <si>
    <t>g. Repay or Draw revolver facility (up to limit given)</t>
  </si>
  <si>
    <t>Interest rate: Convertible debt (regular)</t>
  </si>
  <si>
    <t>Convertible interest debt (regular)- opening balance</t>
  </si>
  <si>
    <t>h. Profit distributions: Any excess liquidity is distributed to the shareholders (as long as all above payments are made and the cash balance is above min. float as well as the revolver facility repaid fully). Distributions are made in proportion to the number and weighting of shares held eligible for dividends (factoring in the different rights (given in relation to Share Class A) and vesting periods).</t>
  </si>
  <si>
    <t>Opening Inputs</t>
  </si>
  <si>
    <t>[$k]</t>
  </si>
  <si>
    <t>[thousand]</t>
  </si>
  <si>
    <t>Create a Debt Waterfall on a new sheet and answer the questions with the results from your model.</t>
  </si>
  <si>
    <t>Questions (please round your answers to two decimal places)</t>
  </si>
  <si>
    <t>Answers</t>
  </si>
  <si>
    <t>What is the total dividend paid (over the entire model period) for Class A shares?</t>
  </si>
  <si>
    <t>What is the total dividend paid (over the entire model period) for Class B shares?</t>
  </si>
  <si>
    <t>What is the total dividend paid (over the entire model period) for Class C shares?</t>
  </si>
  <si>
    <t>Unit</t>
  </si>
  <si>
    <t>Debt Waterfall Modeling - Liquidity Splatter</t>
  </si>
  <si>
    <t>a. Interest on cash balances (assume that this is not part of available FCF), interest on the two tranches of Senior debt and on the revolver are always made, even if this would mean, that the cash balance would become negative.</t>
  </si>
  <si>
    <t>The company given has a financing structure consisting of cash, a revolver facility, two tranches of senior debt, two tranches of convertible debt and three classes of equity.</t>
  </si>
  <si>
    <t>Interest rate: Subordinated Convertible debt</t>
  </si>
  <si>
    <t>Subordinated Convertible interest debt - opening balance</t>
  </si>
  <si>
    <t>All interest rates are given p.a. as the whole model should be a yearly model in the end – assume that all payments are made at the end of the period (interest is therefore calculated based on the opening balances).</t>
  </si>
  <si>
    <t>Class B shares (new) - vesting period</t>
  </si>
  <si>
    <t>(please note that new Class B shares resulting from the convertible bond must also observe a four-year holding period starting from the conversion date before they become eligible for dividends - with the regular vesting period for Class B shares serving as the minimum requirement; therefore, the later of the regular vesting period for Class B shares and the conversion date plus the four-year waiting period is used)</t>
  </si>
  <si>
    <t>(please note that new Class C shares resulting from the convertible bond must also observe a three-year holding period starting from the conversion date before they become eligible for dividends - with the regular vesting period for Class C shares serving as the minimum requirement; therefore, the later of the regular vesting period for Class C shares and the conversion date plus the three-year waiting period is used)</t>
  </si>
  <si>
    <t>Annual Inputs</t>
  </si>
  <si>
    <t>What is the ending account balance for the Cash in the period beginning 07/01/2026?</t>
  </si>
  <si>
    <t>What is the ending account balance for the Cash in the period beginning 07/01/2037?</t>
  </si>
  <si>
    <t>What is the ending account balance for the Class B shares in the period beginning 07/01/2030?</t>
  </si>
  <si>
    <t>What is the ending account balance for the Class B shares in the period beginning 07/01/2041?</t>
  </si>
  <si>
    <t>What is the ending account balance for the Class C shares in the period beginning 07/01/2026?</t>
  </si>
  <si>
    <t>What is the ending account balance for the Class C shares in the period beginning 07/01/2032?</t>
  </si>
  <si>
    <t>What is the ending account balance for the Class C shares in the period beginning 07/01/2045?</t>
  </si>
  <si>
    <t>What is the ending account balance for the Revolver facility in the period beginning 07/01/2026?</t>
  </si>
  <si>
    <t>What is the ending account balance for the Revolver facility in the period beginning 07/01/2028?</t>
  </si>
  <si>
    <t>What is the ending account balance for the Revolver facility in the period beginning 07/01/2034?</t>
  </si>
  <si>
    <t>What is the ending account balance for the Revolver facility in the period beginning 07/01/2039?</t>
  </si>
  <si>
    <t>What is the ending account balance for the Revolver facility in the period beginning 07/01/2041?</t>
  </si>
  <si>
    <t>What is the ending account balance for the Revolver facility in the period beginning 07/01/2045?</t>
  </si>
  <si>
    <t>What is the ending account balance for the Senior debt (Tranche 1) in the period beginning 07/01/2034?</t>
  </si>
  <si>
    <t>What is the ending account balance for the Senior debt (Tranche 1) in the period beginning 07/01/2035?</t>
  </si>
  <si>
    <t>What is the ending account balance for the Senior debt (Tranche 1) in the period beginning 07/01/2039?</t>
  </si>
  <si>
    <t>What is the ending account balance for the Senior debt (Tranche 1) in the period beginning 07/01/2040?</t>
  </si>
  <si>
    <t>What is the ending account balance for the Senior debt (Tranche 1) in the period beginning 07/01/2043?</t>
  </si>
  <si>
    <t>What is the ending account balance for the Senior debt (Tranche 2) in the period beginning 07/01/2027?</t>
  </si>
  <si>
    <t>What is the ending account balance for the Senior debt (Tranche 2) in the period beginning 07/01/2036?</t>
  </si>
  <si>
    <t>What is the ending account balance for the Cash in the period beginning 07/01/2032?</t>
  </si>
  <si>
    <t>What is the ending account balance for the Class B shares in the period beginning 07/01/2035?</t>
  </si>
  <si>
    <t>What is the ending account balance for the Class B shares in the period beginning 07/01/2040?</t>
  </si>
  <si>
    <t>What is the ending account balance for the Class C shares in the period beginning 07/01/2028?</t>
  </si>
  <si>
    <t>What is the ending account balance for the Class C shares in the period beginning 07/01/2030?</t>
  </si>
  <si>
    <t>What is the ending account balance for the Senior debt (Tranche 2) in the period beginning 07/01/2038?</t>
  </si>
  <si>
    <t>What is the ending account balance for the Senior debt (Tranche 2) in the period beginning 07/01/2039?</t>
  </si>
  <si>
    <t>One B share is worth 0.4 A shares</t>
  </si>
  <si>
    <t>One C share is worth 0.3 A shares</t>
  </si>
  <si>
    <r>
      <t>c.</t>
    </r>
    <r>
      <rPr>
        <sz val="7"/>
        <color theme="1"/>
        <rFont val="Times New Roman"/>
        <family val="1"/>
      </rPr>
      <t xml:space="preserve"> </t>
    </r>
    <r>
      <rPr>
        <sz val="12"/>
        <color theme="1"/>
        <rFont val="Aptos"/>
        <family val="2"/>
      </rPr>
      <t>Interest on the Convertible interest debt (regular) (no repayments, if the full interest amount cannot be paid, the (remaining) unpaid interest is converted into Class B equity at $45 per share)</t>
    </r>
  </si>
  <si>
    <r>
      <t>d.</t>
    </r>
    <r>
      <rPr>
        <sz val="7"/>
        <color theme="1"/>
        <rFont val="Times New Roman"/>
        <family val="1"/>
      </rPr>
      <t xml:space="preserve"> </t>
    </r>
    <r>
      <rPr>
        <sz val="12"/>
        <color theme="1"/>
        <rFont val="Aptos"/>
        <family val="2"/>
      </rPr>
      <t>Interest on the Subordinated Convertible interest debt (no repayments, if the full interest amount cannot be paid, the (remaining) unpaid interest is converted into Class C equity at $30 per share)</t>
    </r>
  </si>
  <si>
    <t>b. Repayment of Senior debt (both tranches) (if funds are not sufficient to repay in total, available funds are split between the tranches in proportion to each tranche's total required repayment for that year (i.e., the scheduled repayment plus any accumulated unpaid amounts rolled forward from prior years) – if the full scheduled repayment is not possible, the unpaid portion is rolled forward, until the repayment is back on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</si>
</sst>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0_);\(#,##0.00\);\-"/>
  </numFmts>
  <fonts count="16">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sz val="10"/>
      <color theme="1"/>
      <name val="Arial"/>
      <family val="2"/>
    </font>
    <font>
      <sz val="10"/>
      <color rgb="FF0000FF"/>
      <name val="Arial"/>
      <family val="2"/>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sz val="7"/>
      <color theme="1"/>
      <name val="Times New Roman"/>
      <family val="1"/>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8">
    <xf numFmtId="0" fontId="0" fillId="0" borderId="0"/>
    <xf numFmtId="0" fontId="1" fillId="0" borderId="0"/>
    <xf numFmtId="0" fontId="3" fillId="0" borderId="0"/>
    <xf numFmtId="9" fontId="1" fillId="0" borderId="0" applyFont="0" applyFill="0" applyBorder="0" applyAlignment="0" applyProtection="0"/>
    <xf numFmtId="4" fontId="6" fillId="3" borderId="1">
      <alignment horizontal="left"/>
    </xf>
    <xf numFmtId="164" fontId="7" fillId="0" borderId="0" applyBorder="0"/>
    <xf numFmtId="164" fontId="8" fillId="2" borderId="2">
      <protection locked="0"/>
    </xf>
    <xf numFmtId="0" fontId="8" fillId="0" borderId="0" applyNumberFormat="0" applyFill="0" applyBorder="0">
      <alignment horizontal="right"/>
    </xf>
  </cellStyleXfs>
  <cellXfs count="29">
    <xf numFmtId="0" fontId="0" fillId="0" borderId="0" xfId="0"/>
    <xf numFmtId="4" fontId="0" fillId="0" borderId="0" xfId="0" applyNumberFormat="1"/>
    <xf numFmtId="0" fontId="2" fillId="0" borderId="0" xfId="0" applyFont="1"/>
    <xf numFmtId="0" fontId="5" fillId="0" borderId="0" xfId="0" applyFont="1"/>
    <xf numFmtId="4" fontId="5" fillId="2" borderId="2" xfId="0" applyNumberFormat="1" applyFont="1" applyFill="1" applyBorder="1"/>
    <xf numFmtId="4" fontId="2" fillId="4" borderId="1" xfId="4" applyFont="1" applyFill="1">
      <alignment horizontal="left"/>
    </xf>
    <xf numFmtId="10" fontId="5" fillId="2" borderId="2" xfId="3" applyNumberFormat="1" applyFont="1" applyFill="1" applyBorder="1"/>
    <xf numFmtId="0" fontId="4" fillId="0" borderId="0" xfId="0" applyFont="1"/>
    <xf numFmtId="14" fontId="5" fillId="2" borderId="2" xfId="0" applyNumberFormat="1" applyFont="1" applyFill="1" applyBorder="1"/>
    <xf numFmtId="3" fontId="5" fillId="2" borderId="2" xfId="0" applyNumberFormat="1" applyFont="1" applyFill="1" applyBorder="1"/>
    <xf numFmtId="1" fontId="5" fillId="2" borderId="2" xfId="0" applyNumberFormat="1" applyFont="1" applyFill="1" applyBorder="1"/>
    <xf numFmtId="165" fontId="8" fillId="0" borderId="0" xfId="7" applyNumberFormat="1">
      <alignment horizontal="right"/>
    </xf>
    <xf numFmtId="0" fontId="9" fillId="0" borderId="0" xfId="1" applyFont="1"/>
    <xf numFmtId="0" fontId="10" fillId="0" borderId="0" xfId="1" applyFont="1"/>
    <xf numFmtId="0" fontId="9" fillId="0" borderId="0" xfId="1" applyFont="1" applyAlignment="1">
      <alignment horizontal="center"/>
    </xf>
    <xf numFmtId="0" fontId="10" fillId="0" borderId="0" xfId="1" applyFont="1" applyAlignment="1">
      <alignment horizontal="center"/>
    </xf>
    <xf numFmtId="0" fontId="13" fillId="0" borderId="0" xfId="0" applyFont="1" applyAlignment="1">
      <alignment vertical="center"/>
    </xf>
    <xf numFmtId="0" fontId="13" fillId="0" borderId="0" xfId="0" applyFont="1" applyAlignment="1">
      <alignment horizontal="left" vertical="center" indent="6"/>
    </xf>
    <xf numFmtId="10" fontId="0" fillId="0" borderId="0" xfId="0" applyNumberFormat="1"/>
    <xf numFmtId="0" fontId="15" fillId="0" borderId="0" xfId="2" applyFont="1"/>
    <xf numFmtId="0" fontId="3" fillId="0" borderId="0" xfId="2"/>
    <xf numFmtId="0" fontId="9" fillId="0" borderId="0" xfId="1" applyFont="1" applyAlignment="1">
      <alignment horizontal="left"/>
    </xf>
    <xf numFmtId="4" fontId="9" fillId="6" borderId="2" xfId="1" applyNumberFormat="1" applyFont="1" applyFill="1" applyBorder="1" applyAlignment="1">
      <alignment horizontal="center"/>
    </xf>
    <xf numFmtId="0" fontId="9" fillId="0" borderId="0" xfId="1" quotePrefix="1" applyFont="1" applyAlignment="1">
      <alignment horizontal="left"/>
    </xf>
    <xf numFmtId="0" fontId="11" fillId="5" borderId="3" xfId="2" applyFont="1" applyFill="1" applyBorder="1" applyAlignment="1">
      <alignment horizontal="center" vertical="center"/>
    </xf>
    <xf numFmtId="0" fontId="11" fillId="5" borderId="1" xfId="2" applyFont="1" applyFill="1" applyBorder="1" applyAlignment="1">
      <alignment horizontal="center" vertical="center"/>
    </xf>
    <xf numFmtId="0" fontId="11" fillId="5" borderId="4" xfId="2" applyFont="1" applyFill="1" applyBorder="1" applyAlignment="1">
      <alignment horizontal="center" vertical="center"/>
    </xf>
    <xf numFmtId="0" fontId="12" fillId="5" borderId="5" xfId="2" applyFont="1" applyFill="1" applyBorder="1" applyAlignment="1">
      <alignment horizontal="center" vertical="center"/>
    </xf>
    <xf numFmtId="0" fontId="12" fillId="5" borderId="0" xfId="2" applyFont="1" applyFill="1" applyAlignment="1">
      <alignment horizontal="center" vertical="center"/>
    </xf>
  </cellXfs>
  <cellStyles count="8">
    <cellStyle name="M Section Header" xfId="4" xr:uid="{F944F0E6-F034-49F8-8B3F-D0C9E50BA2F6}"/>
    <cellStyle name="M Units" xfId="7" xr:uid="{B591442F-CADB-4FD5-9324-DD1119747805}"/>
    <cellStyle name="M-A 0dp" xfId="6" xr:uid="{80AB76FC-3C43-4EFF-B2A6-1E81FFBC781B}"/>
    <cellStyle name="M-C 0dp Num" xfId="5" xr:uid="{C7EF620F-9501-4FBB-93FF-813E47ED464B}"/>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21"/>
  <sheetViews>
    <sheetView showGridLines="0" tabSelected="1" zoomScale="79" zoomScaleNormal="80" zoomScaleSheetLayoutView="100" workbookViewId="0"/>
  </sheetViews>
  <sheetFormatPr defaultColWidth="5.21875" defaultRowHeight="14.4"/>
  <cols>
    <col min="1" max="1" width="1.88671875" style="12" customWidth="1"/>
    <col min="2" max="2" width="32.109375" style="14" customWidth="1"/>
    <col min="3" max="3" width="17.109375" style="14" bestFit="1" customWidth="1"/>
    <col min="4" max="4" width="20.88671875" style="14" bestFit="1" customWidth="1"/>
    <col min="5" max="5" width="24.109375" style="14" customWidth="1"/>
    <col min="6" max="6" width="21.5546875" style="14" customWidth="1"/>
    <col min="7" max="7" width="26.33203125" style="14" bestFit="1" customWidth="1"/>
    <col min="8" max="8" width="40.109375" style="14" customWidth="1"/>
    <col min="9" max="9" width="23.5546875" style="15" customWidth="1"/>
    <col min="10" max="10" width="23.5546875" style="13" customWidth="1"/>
    <col min="11" max="11" width="27.77734375" style="13" customWidth="1"/>
    <col min="12" max="12" width="20.5546875" style="13" customWidth="1"/>
    <col min="13" max="376" width="11.109375" style="13" bestFit="1" customWidth="1"/>
    <col min="377" max="377" width="5.21875" style="13"/>
    <col min="378" max="383" width="9.6640625" style="13" customWidth="1"/>
    <col min="384" max="384" width="5.21875" style="13"/>
    <col min="385" max="393" width="9.6640625" style="13" customWidth="1"/>
    <col min="394" max="16384" width="5.21875" style="13"/>
  </cols>
  <sheetData>
    <row r="1" spans="2:11" ht="15" customHeight="1">
      <c r="B1" s="12"/>
      <c r="C1" s="12"/>
      <c r="D1" s="12"/>
      <c r="E1" s="12"/>
      <c r="F1" s="12"/>
      <c r="G1" s="12"/>
      <c r="H1" s="12"/>
      <c r="I1" s="12"/>
      <c r="J1" s="12"/>
      <c r="K1" s="12"/>
    </row>
    <row r="2" spans="2:11" ht="60.75" customHeight="1">
      <c r="B2" s="24" t="s">
        <v>35</v>
      </c>
      <c r="C2" s="25"/>
      <c r="D2" s="25"/>
      <c r="E2" s="25"/>
      <c r="F2" s="25"/>
      <c r="G2" s="25"/>
      <c r="H2" s="25"/>
      <c r="I2" s="25"/>
      <c r="J2" s="25"/>
      <c r="K2" s="26"/>
    </row>
    <row r="3" spans="2:11" ht="15" customHeight="1">
      <c r="B3" s="12"/>
      <c r="C3" s="12"/>
      <c r="D3" s="12"/>
      <c r="E3" s="12"/>
      <c r="F3" s="12"/>
      <c r="G3" s="12"/>
      <c r="H3" s="12"/>
      <c r="I3" s="12"/>
      <c r="J3" s="12"/>
      <c r="K3" s="12"/>
    </row>
    <row r="4" spans="2:11" ht="33.75" customHeight="1">
      <c r="B4" s="27" t="s">
        <v>53</v>
      </c>
      <c r="C4" s="28"/>
      <c r="D4" s="28"/>
      <c r="E4" s="28"/>
      <c r="F4" s="28"/>
      <c r="G4" s="28"/>
      <c r="H4" s="28"/>
      <c r="I4" s="28"/>
      <c r="J4" s="12"/>
    </row>
    <row r="5" spans="2:11" ht="15" customHeight="1">
      <c r="B5" s="12"/>
      <c r="C5" s="12"/>
      <c r="D5" s="12"/>
      <c r="E5" s="12"/>
      <c r="F5" s="12"/>
      <c r="G5" s="12"/>
      <c r="H5" s="12"/>
      <c r="I5" s="12"/>
      <c r="J5" s="12"/>
      <c r="K5" s="12"/>
    </row>
    <row r="7" spans="2:11" ht="15.6">
      <c r="B7" s="16" t="s">
        <v>55</v>
      </c>
    </row>
    <row r="8" spans="2:11" ht="15.6">
      <c r="B8" s="16" t="s">
        <v>37</v>
      </c>
    </row>
    <row r="9" spans="2:11" ht="15.6">
      <c r="B9" s="16" t="s">
        <v>58</v>
      </c>
    </row>
    <row r="10" spans="2:11" ht="15.6">
      <c r="B10" s="16" t="s">
        <v>36</v>
      </c>
    </row>
    <row r="11" spans="2:11" ht="15.6">
      <c r="B11" s="17" t="s">
        <v>54</v>
      </c>
    </row>
    <row r="12" spans="2:11" ht="15.6">
      <c r="B12" s="17" t="s">
        <v>94</v>
      </c>
    </row>
    <row r="13" spans="2:11" ht="15.6">
      <c r="B13" s="17" t="s">
        <v>92</v>
      </c>
    </row>
    <row r="14" spans="2:11" ht="15.6">
      <c r="B14" s="17" t="s">
        <v>93</v>
      </c>
    </row>
    <row r="15" spans="2:11" ht="15.6">
      <c r="B15" s="17" t="s">
        <v>38</v>
      </c>
    </row>
    <row r="16" spans="2:11" ht="15.6">
      <c r="B16" s="17" t="s">
        <v>39</v>
      </c>
    </row>
    <row r="17" spans="2:2" ht="15.6">
      <c r="B17" s="17" t="s">
        <v>42</v>
      </c>
    </row>
    <row r="18" spans="2:2" ht="15.6">
      <c r="B18" s="17" t="s">
        <v>60</v>
      </c>
    </row>
    <row r="19" spans="2:2" ht="15.6">
      <c r="B19" s="17" t="s">
        <v>61</v>
      </c>
    </row>
    <row r="20" spans="2:2" ht="15.6">
      <c r="B20" s="17"/>
    </row>
    <row r="21" spans="2:2" ht="15.6">
      <c r="B21" s="16" t="s">
        <v>46</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X47"/>
  <sheetViews>
    <sheetView showGridLines="0" zoomScale="84" workbookViewId="0"/>
  </sheetViews>
  <sheetFormatPr defaultRowHeight="14.4"/>
  <cols>
    <col min="1" max="1" width="4.77734375" style="2" customWidth="1"/>
    <col min="2" max="2" width="5.33203125" style="2" customWidth="1"/>
    <col min="3" max="3" width="47.21875" bestFit="1" customWidth="1"/>
    <col min="4" max="4" width="10.109375" bestFit="1" customWidth="1"/>
    <col min="5" max="5" width="9.77734375" bestFit="1" customWidth="1"/>
    <col min="6" max="7" width="9" customWidth="1"/>
    <col min="9" max="9" width="9.109375" bestFit="1" customWidth="1"/>
    <col min="11" max="24" width="10.109375" bestFit="1" customWidth="1"/>
  </cols>
  <sheetData>
    <row r="1" spans="1:24">
      <c r="A1" s="2" t="str">
        <f>Instructions!B2&amp;": "&amp;Instructions!B4</f>
        <v>Finance Task: Debt Waterfall Modeling - Liquidity Splatter</v>
      </c>
    </row>
    <row r="2" spans="1:24">
      <c r="A2" s="2" t="s">
        <v>34</v>
      </c>
    </row>
    <row r="4" spans="1:24" s="5" customFormat="1" ht="14.4" customHeight="1">
      <c r="B4" s="5" t="s">
        <v>62</v>
      </c>
    </row>
    <row r="6" spans="1:24">
      <c r="C6" t="s">
        <v>5</v>
      </c>
      <c r="E6" s="9">
        <v>1</v>
      </c>
      <c r="F6" s="9">
        <v>2</v>
      </c>
      <c r="G6" s="9">
        <v>3</v>
      </c>
      <c r="H6" s="9">
        <v>4</v>
      </c>
      <c r="I6" s="9">
        <v>5</v>
      </c>
      <c r="J6" s="9">
        <v>6</v>
      </c>
      <c r="K6" s="9">
        <v>7</v>
      </c>
      <c r="L6" s="9">
        <v>8</v>
      </c>
      <c r="M6" s="9">
        <v>9</v>
      </c>
      <c r="N6" s="9">
        <v>10</v>
      </c>
      <c r="O6" s="9">
        <v>11</v>
      </c>
      <c r="P6" s="9">
        <v>12</v>
      </c>
      <c r="Q6" s="9">
        <v>13</v>
      </c>
      <c r="R6" s="9">
        <v>14</v>
      </c>
      <c r="S6" s="9">
        <v>15</v>
      </c>
      <c r="T6" s="9">
        <v>16</v>
      </c>
      <c r="U6" s="9">
        <v>17</v>
      </c>
      <c r="V6" s="9">
        <v>18</v>
      </c>
      <c r="W6" s="9">
        <v>19</v>
      </c>
      <c r="X6" s="9">
        <v>20</v>
      </c>
    </row>
    <row r="7" spans="1:24">
      <c r="C7" t="s">
        <v>4</v>
      </c>
      <c r="D7" s="3" t="s">
        <v>44</v>
      </c>
      <c r="E7" s="4">
        <v>27643.237000000001</v>
      </c>
      <c r="F7" s="4">
        <v>25188.27</v>
      </c>
      <c r="G7" s="4">
        <v>21572.532999999999</v>
      </c>
      <c r="H7" s="4">
        <v>24951.203000000001</v>
      </c>
      <c r="I7" s="4">
        <v>30554.113000000001</v>
      </c>
      <c r="J7" s="4">
        <v>18986.723000000002</v>
      </c>
      <c r="K7" s="4">
        <v>30101.532999999999</v>
      </c>
      <c r="L7" s="4">
        <v>56240.072999999997</v>
      </c>
      <c r="M7" s="4">
        <v>59743.64</v>
      </c>
      <c r="N7" s="4">
        <v>171679.67300000001</v>
      </c>
      <c r="O7" s="4">
        <v>0</v>
      </c>
      <c r="P7" s="4">
        <v>10</v>
      </c>
      <c r="Q7" s="4">
        <v>42075.112999999998</v>
      </c>
      <c r="R7" s="4">
        <v>49687.4</v>
      </c>
      <c r="S7" s="4">
        <v>20373.88</v>
      </c>
      <c r="T7" s="4">
        <v>39416.947</v>
      </c>
      <c r="U7" s="4">
        <v>37247.112999999998</v>
      </c>
      <c r="V7" s="4">
        <v>39416.947</v>
      </c>
      <c r="W7" s="4">
        <v>39416.947999999997</v>
      </c>
      <c r="X7" s="4">
        <v>39416.99</v>
      </c>
    </row>
    <row r="8" spans="1:24">
      <c r="C8" t="s">
        <v>32</v>
      </c>
      <c r="D8" s="3" t="s">
        <v>44</v>
      </c>
      <c r="E8" s="4">
        <v>750</v>
      </c>
      <c r="F8" s="4">
        <v>750</v>
      </c>
      <c r="G8" s="4">
        <v>750</v>
      </c>
      <c r="H8" s="4">
        <v>750</v>
      </c>
      <c r="I8" s="4">
        <v>750</v>
      </c>
      <c r="J8" s="4">
        <v>750</v>
      </c>
      <c r="K8" s="4">
        <v>750</v>
      </c>
      <c r="L8" s="4">
        <v>750</v>
      </c>
      <c r="M8" s="4">
        <v>750</v>
      </c>
      <c r="N8" s="4">
        <v>750</v>
      </c>
      <c r="O8" s="4">
        <v>750</v>
      </c>
      <c r="P8" s="4">
        <v>750</v>
      </c>
      <c r="Q8" s="4">
        <v>750</v>
      </c>
      <c r="R8" s="4">
        <v>750</v>
      </c>
      <c r="S8" s="4">
        <v>750</v>
      </c>
      <c r="T8" s="4">
        <v>1500</v>
      </c>
      <c r="U8" s="4">
        <v>1500</v>
      </c>
      <c r="V8" s="4">
        <v>1500</v>
      </c>
      <c r="W8" s="4">
        <v>1500</v>
      </c>
      <c r="X8" s="4">
        <v>1500</v>
      </c>
    </row>
    <row r="9" spans="1:24">
      <c r="C9" t="s">
        <v>6</v>
      </c>
      <c r="D9" s="3" t="s">
        <v>44</v>
      </c>
      <c r="E9" s="4">
        <v>948.57100000000003</v>
      </c>
      <c r="F9" s="4">
        <v>948.57100000000003</v>
      </c>
      <c r="G9" s="4">
        <v>948.57100000000003</v>
      </c>
      <c r="H9" s="4">
        <v>948.57100000000003</v>
      </c>
      <c r="I9" s="4">
        <v>948.57100000000003</v>
      </c>
      <c r="J9" s="4">
        <v>948.57100000000003</v>
      </c>
      <c r="K9" s="4">
        <v>948.57100000000003</v>
      </c>
      <c r="L9" s="4">
        <v>948.57100000000003</v>
      </c>
      <c r="M9" s="4">
        <v>948.57100000000003</v>
      </c>
      <c r="N9" s="4">
        <v>948.57100000000003</v>
      </c>
      <c r="O9" s="4">
        <v>948.57100000000003</v>
      </c>
      <c r="P9" s="4">
        <v>948.57100000000003</v>
      </c>
      <c r="Q9" s="4">
        <v>948.57100000000003</v>
      </c>
      <c r="R9" s="4">
        <v>948.57100000000003</v>
      </c>
      <c r="S9" s="4">
        <v>948.57100000000003</v>
      </c>
      <c r="T9" s="4">
        <v>1897.143</v>
      </c>
      <c r="U9" s="4">
        <v>1897.143</v>
      </c>
      <c r="V9" s="4">
        <v>1897.143</v>
      </c>
      <c r="W9" s="4">
        <v>1897.143</v>
      </c>
      <c r="X9" s="4">
        <v>1897.143</v>
      </c>
    </row>
    <row r="10" spans="1:24">
      <c r="C10" t="s">
        <v>7</v>
      </c>
      <c r="D10" s="3" t="s">
        <v>44</v>
      </c>
      <c r="E10" s="4">
        <v>5166.6670000000004</v>
      </c>
      <c r="F10" s="4">
        <v>5166.6670000000004</v>
      </c>
      <c r="G10" s="4">
        <v>5166.6670000000004</v>
      </c>
      <c r="H10" s="4">
        <v>5166.6670000000004</v>
      </c>
      <c r="I10" s="4">
        <v>5166.6670000000004</v>
      </c>
      <c r="J10" s="4">
        <v>5166.6670000000004</v>
      </c>
      <c r="K10" s="4">
        <v>5166.6670000000004</v>
      </c>
      <c r="L10" s="4">
        <v>5166.6670000000004</v>
      </c>
      <c r="M10" s="4">
        <v>5166.6670000000004</v>
      </c>
      <c r="N10" s="4">
        <v>5166.6670000000004</v>
      </c>
      <c r="O10" s="4">
        <v>5166.6670000000004</v>
      </c>
      <c r="P10" s="4">
        <v>5166.6670000000004</v>
      </c>
      <c r="Q10" s="4">
        <v>5166.6670000000004</v>
      </c>
      <c r="R10" s="4">
        <v>5166.6670000000004</v>
      </c>
      <c r="S10" s="4">
        <v>5166.6670000000004</v>
      </c>
      <c r="T10" s="4">
        <v>10333.333000000001</v>
      </c>
      <c r="U10" s="4">
        <v>10333.333000000001</v>
      </c>
      <c r="V10" s="4">
        <v>10333.333000000001</v>
      </c>
      <c r="W10" s="4">
        <v>10333.333000000001</v>
      </c>
      <c r="X10" s="4">
        <v>10333.333000000001</v>
      </c>
    </row>
    <row r="11" spans="1:24">
      <c r="E11" s="1"/>
    </row>
    <row r="12" spans="1:24" s="5" customFormat="1" ht="14.4" customHeight="1">
      <c r="B12" s="5" t="s">
        <v>43</v>
      </c>
    </row>
    <row r="14" spans="1:24">
      <c r="C14" t="s">
        <v>8</v>
      </c>
      <c r="D14" s="8">
        <v>46204</v>
      </c>
      <c r="E14" s="3"/>
    </row>
    <row r="15" spans="1:24">
      <c r="C15" t="s">
        <v>33</v>
      </c>
      <c r="D15" s="9">
        <v>20</v>
      </c>
      <c r="E15" s="3" t="s">
        <v>1</v>
      </c>
      <c r="F15" s="1"/>
    </row>
    <row r="16" spans="1:24">
      <c r="C16" t="s">
        <v>9</v>
      </c>
      <c r="D16" s="4">
        <v>24000</v>
      </c>
      <c r="E16" s="3" t="s">
        <v>44</v>
      </c>
      <c r="L16" s="1"/>
    </row>
    <row r="17" spans="2:6">
      <c r="B17" s="2" t="s">
        <v>28</v>
      </c>
    </row>
    <row r="18" spans="2:6">
      <c r="C18" t="s">
        <v>10</v>
      </c>
      <c r="D18" s="6">
        <v>0.22</v>
      </c>
      <c r="E18" s="3" t="s">
        <v>2</v>
      </c>
    </row>
    <row r="19" spans="2:6">
      <c r="C19" t="s">
        <v>11</v>
      </c>
      <c r="D19" s="6">
        <v>0.1</v>
      </c>
      <c r="E19" s="3" t="s">
        <v>2</v>
      </c>
    </row>
    <row r="20" spans="2:6">
      <c r="C20" t="s">
        <v>12</v>
      </c>
      <c r="D20" s="6">
        <v>0.04</v>
      </c>
      <c r="E20" s="3" t="s">
        <v>2</v>
      </c>
      <c r="F20" s="18"/>
    </row>
    <row r="21" spans="2:6">
      <c r="C21" t="s">
        <v>13</v>
      </c>
      <c r="D21" s="6">
        <v>0.06</v>
      </c>
      <c r="E21" s="3" t="s">
        <v>2</v>
      </c>
    </row>
    <row r="22" spans="2:6">
      <c r="C22" t="s">
        <v>40</v>
      </c>
      <c r="D22" s="6">
        <v>0.1</v>
      </c>
      <c r="E22" s="3" t="s">
        <v>2</v>
      </c>
    </row>
    <row r="23" spans="2:6">
      <c r="C23" t="s">
        <v>56</v>
      </c>
      <c r="D23" s="6">
        <v>0.11</v>
      </c>
      <c r="E23" s="3" t="s">
        <v>2</v>
      </c>
    </row>
    <row r="24" spans="2:6">
      <c r="B24" s="2" t="s">
        <v>29</v>
      </c>
    </row>
    <row r="25" spans="2:6">
      <c r="C25" t="s">
        <v>14</v>
      </c>
      <c r="D25" s="10">
        <v>2031</v>
      </c>
    </row>
    <row r="26" spans="2:6">
      <c r="C26" t="s">
        <v>15</v>
      </c>
      <c r="D26" s="10">
        <v>2033</v>
      </c>
    </row>
    <row r="27" spans="2:6">
      <c r="C27" t="s">
        <v>16</v>
      </c>
      <c r="D27" s="10">
        <v>2034</v>
      </c>
    </row>
    <row r="28" spans="2:6">
      <c r="C28" t="s">
        <v>59</v>
      </c>
      <c r="D28" s="10">
        <v>4</v>
      </c>
      <c r="E28" s="3" t="s">
        <v>1</v>
      </c>
    </row>
    <row r="29" spans="2:6">
      <c r="C29" t="s">
        <v>17</v>
      </c>
      <c r="D29" s="10">
        <v>3</v>
      </c>
      <c r="E29" s="3" t="s">
        <v>1</v>
      </c>
    </row>
    <row r="30" spans="2:6">
      <c r="C30" t="s">
        <v>90</v>
      </c>
      <c r="D30" s="4">
        <v>0.4</v>
      </c>
    </row>
    <row r="31" spans="2:6">
      <c r="C31" t="s">
        <v>91</v>
      </c>
      <c r="D31" s="4">
        <v>0.3</v>
      </c>
    </row>
    <row r="32" spans="2:6">
      <c r="B32" s="2" t="s">
        <v>30</v>
      </c>
    </row>
    <row r="33" spans="2:5">
      <c r="C33" t="s">
        <v>18</v>
      </c>
      <c r="D33" s="4">
        <v>4000</v>
      </c>
      <c r="E33" s="3" t="s">
        <v>44</v>
      </c>
    </row>
    <row r="34" spans="2:5">
      <c r="C34" t="s">
        <v>19</v>
      </c>
      <c r="D34" s="4">
        <v>2000</v>
      </c>
      <c r="E34" s="3" t="s">
        <v>44</v>
      </c>
    </row>
    <row r="35" spans="2:5">
      <c r="C35" t="s">
        <v>20</v>
      </c>
      <c r="D35" s="4">
        <v>23714.280000000002</v>
      </c>
      <c r="E35" s="3" t="s">
        <v>44</v>
      </c>
    </row>
    <row r="36" spans="2:5">
      <c r="C36" t="s">
        <v>21</v>
      </c>
      <c r="D36" s="4">
        <v>129166.67</v>
      </c>
      <c r="E36" s="3" t="s">
        <v>44</v>
      </c>
    </row>
    <row r="37" spans="2:5">
      <c r="C37" t="s">
        <v>41</v>
      </c>
      <c r="D37" s="4">
        <v>80000</v>
      </c>
      <c r="E37" s="3" t="s">
        <v>44</v>
      </c>
    </row>
    <row r="38" spans="2:5">
      <c r="C38" t="s">
        <v>57</v>
      </c>
      <c r="D38" s="4">
        <v>120000</v>
      </c>
      <c r="E38" s="3" t="s">
        <v>44</v>
      </c>
    </row>
    <row r="39" spans="2:5">
      <c r="B39" s="2" t="s">
        <v>31</v>
      </c>
    </row>
    <row r="40" spans="2:5">
      <c r="C40" t="s">
        <v>22</v>
      </c>
      <c r="D40" s="4">
        <v>999</v>
      </c>
      <c r="E40" s="11" t="s">
        <v>45</v>
      </c>
    </row>
    <row r="41" spans="2:5">
      <c r="C41" t="s">
        <v>23</v>
      </c>
      <c r="D41" s="4">
        <v>1234</v>
      </c>
      <c r="E41" s="11" t="s">
        <v>45</v>
      </c>
    </row>
    <row r="42" spans="2:5">
      <c r="C42" t="s">
        <v>24</v>
      </c>
      <c r="D42" s="4">
        <v>5500</v>
      </c>
      <c r="E42" s="11" t="s">
        <v>45</v>
      </c>
    </row>
    <row r="43" spans="2:5">
      <c r="C43" t="s">
        <v>25</v>
      </c>
      <c r="D43" s="4">
        <v>100</v>
      </c>
      <c r="E43" s="11" t="s">
        <v>0</v>
      </c>
    </row>
    <row r="44" spans="2:5">
      <c r="C44" t="s">
        <v>26</v>
      </c>
      <c r="D44" s="4">
        <v>45</v>
      </c>
      <c r="E44" s="11" t="s">
        <v>0</v>
      </c>
    </row>
    <row r="45" spans="2:5">
      <c r="C45" t="s">
        <v>27</v>
      </c>
      <c r="D45" s="4">
        <v>30</v>
      </c>
      <c r="E45" s="11" t="s">
        <v>0</v>
      </c>
    </row>
    <row r="47" spans="2:5" s="5" customFormat="1" ht="14.4" customHeight="1">
      <c r="B47" s="5"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31"/>
  <sheetViews>
    <sheetView zoomScale="77" workbookViewId="0"/>
  </sheetViews>
  <sheetFormatPr defaultRowHeight="15.6"/>
  <cols>
    <col min="1" max="1" width="96.33203125" style="20" bestFit="1" customWidth="1"/>
    <col min="2" max="2" width="16.33203125" style="20" customWidth="1"/>
    <col min="3" max="16384" width="8.88671875" style="20"/>
  </cols>
  <sheetData>
    <row r="1" spans="1:3">
      <c r="A1" s="19" t="s">
        <v>47</v>
      </c>
      <c r="B1" s="19" t="s">
        <v>48</v>
      </c>
      <c r="C1" s="19" t="s">
        <v>52</v>
      </c>
    </row>
    <row r="2" spans="1:3">
      <c r="A2" s="23" t="s">
        <v>63</v>
      </c>
      <c r="B2" s="22"/>
      <c r="C2" s="7" t="s">
        <v>44</v>
      </c>
    </row>
    <row r="3" spans="1:3">
      <c r="A3" s="21" t="s">
        <v>83</v>
      </c>
      <c r="B3" s="22"/>
      <c r="C3" s="7" t="s">
        <v>44</v>
      </c>
    </row>
    <row r="4" spans="1:3">
      <c r="A4" s="21" t="s">
        <v>64</v>
      </c>
      <c r="B4" s="22"/>
      <c r="C4" s="7" t="s">
        <v>44</v>
      </c>
    </row>
    <row r="5" spans="1:3">
      <c r="A5" s="21" t="s">
        <v>65</v>
      </c>
      <c r="B5" s="22"/>
      <c r="C5" s="7" t="s">
        <v>44</v>
      </c>
    </row>
    <row r="6" spans="1:3">
      <c r="A6" s="21" t="s">
        <v>84</v>
      </c>
      <c r="B6" s="22"/>
      <c r="C6" s="7" t="s">
        <v>44</v>
      </c>
    </row>
    <row r="7" spans="1:3">
      <c r="A7" s="21" t="s">
        <v>85</v>
      </c>
      <c r="B7" s="22"/>
      <c r="C7" s="7" t="s">
        <v>44</v>
      </c>
    </row>
    <row r="8" spans="1:3">
      <c r="A8" s="21" t="s">
        <v>66</v>
      </c>
      <c r="B8" s="22"/>
      <c r="C8" s="7" t="s">
        <v>44</v>
      </c>
    </row>
    <row r="9" spans="1:3">
      <c r="A9" s="21" t="s">
        <v>67</v>
      </c>
      <c r="B9" s="22"/>
      <c r="C9" s="7" t="s">
        <v>44</v>
      </c>
    </row>
    <row r="10" spans="1:3">
      <c r="A10" s="21" t="s">
        <v>86</v>
      </c>
      <c r="B10" s="22"/>
      <c r="C10" s="7" t="s">
        <v>44</v>
      </c>
    </row>
    <row r="11" spans="1:3">
      <c r="A11" s="21" t="s">
        <v>87</v>
      </c>
      <c r="B11" s="22"/>
      <c r="C11" s="7" t="s">
        <v>44</v>
      </c>
    </row>
    <row r="12" spans="1:3">
      <c r="A12" s="21" t="s">
        <v>68</v>
      </c>
      <c r="B12" s="22"/>
      <c r="C12" s="7" t="s">
        <v>44</v>
      </c>
    </row>
    <row r="13" spans="1:3">
      <c r="A13" s="21" t="s">
        <v>69</v>
      </c>
      <c r="B13" s="22"/>
      <c r="C13" s="7" t="s">
        <v>44</v>
      </c>
    </row>
    <row r="14" spans="1:3">
      <c r="A14" s="21" t="s">
        <v>70</v>
      </c>
      <c r="B14" s="22"/>
      <c r="C14" s="7" t="s">
        <v>44</v>
      </c>
    </row>
    <row r="15" spans="1:3">
      <c r="A15" s="21" t="s">
        <v>71</v>
      </c>
      <c r="B15" s="22"/>
      <c r="C15" s="7" t="s">
        <v>44</v>
      </c>
    </row>
    <row r="16" spans="1:3">
      <c r="A16" s="21" t="s">
        <v>72</v>
      </c>
      <c r="B16" s="22"/>
      <c r="C16" s="7" t="s">
        <v>44</v>
      </c>
    </row>
    <row r="17" spans="1:3">
      <c r="A17" s="21" t="s">
        <v>73</v>
      </c>
      <c r="B17" s="22"/>
      <c r="C17" s="7" t="s">
        <v>44</v>
      </c>
    </row>
    <row r="18" spans="1:3">
      <c r="A18" s="21" t="s">
        <v>74</v>
      </c>
      <c r="B18" s="22"/>
      <c r="C18" s="7" t="s">
        <v>44</v>
      </c>
    </row>
    <row r="19" spans="1:3">
      <c r="A19" s="21" t="s">
        <v>75</v>
      </c>
      <c r="B19" s="22"/>
      <c r="C19" s="7" t="s">
        <v>44</v>
      </c>
    </row>
    <row r="20" spans="1:3">
      <c r="A20" s="21" t="s">
        <v>76</v>
      </c>
      <c r="B20" s="22"/>
      <c r="C20" s="7" t="s">
        <v>44</v>
      </c>
    </row>
    <row r="21" spans="1:3">
      <c r="A21" s="21" t="s">
        <v>77</v>
      </c>
      <c r="B21" s="22"/>
      <c r="C21" s="7" t="s">
        <v>44</v>
      </c>
    </row>
    <row r="22" spans="1:3">
      <c r="A22" s="21" t="s">
        <v>78</v>
      </c>
      <c r="B22" s="22"/>
      <c r="C22" s="7" t="s">
        <v>44</v>
      </c>
    </row>
    <row r="23" spans="1:3">
      <c r="A23" s="21" t="s">
        <v>79</v>
      </c>
      <c r="B23" s="22"/>
      <c r="C23" s="7" t="s">
        <v>44</v>
      </c>
    </row>
    <row r="24" spans="1:3">
      <c r="A24" s="21" t="s">
        <v>80</v>
      </c>
      <c r="B24" s="22"/>
      <c r="C24" s="7" t="s">
        <v>44</v>
      </c>
    </row>
    <row r="25" spans="1:3">
      <c r="A25" s="21" t="s">
        <v>81</v>
      </c>
      <c r="B25" s="22"/>
      <c r="C25" s="7" t="s">
        <v>44</v>
      </c>
    </row>
    <row r="26" spans="1:3">
      <c r="A26" s="21" t="s">
        <v>82</v>
      </c>
      <c r="B26" s="22"/>
      <c r="C26" s="7" t="s">
        <v>44</v>
      </c>
    </row>
    <row r="27" spans="1:3">
      <c r="A27" s="21" t="s">
        <v>88</v>
      </c>
      <c r="B27" s="22"/>
      <c r="C27" s="7" t="s">
        <v>44</v>
      </c>
    </row>
    <row r="28" spans="1:3">
      <c r="A28" s="21" t="s">
        <v>89</v>
      </c>
      <c r="B28" s="22"/>
      <c r="C28" s="7" t="s">
        <v>44</v>
      </c>
    </row>
    <row r="29" spans="1:3">
      <c r="A29" s="21" t="s">
        <v>49</v>
      </c>
      <c r="B29" s="22"/>
      <c r="C29" s="7" t="s">
        <v>44</v>
      </c>
    </row>
    <row r="30" spans="1:3">
      <c r="A30" s="21" t="s">
        <v>50</v>
      </c>
      <c r="B30" s="22"/>
      <c r="C30" s="7" t="s">
        <v>44</v>
      </c>
    </row>
    <row r="31" spans="1:3">
      <c r="A31" s="21" t="s">
        <v>51</v>
      </c>
      <c r="B31" s="22"/>
      <c r="C31" s="7" t="s">
        <v>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2026-04-26T18:46:42Z</dcterms:modified>
</cp:coreProperties>
</file>