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julia\Downloads\BizBench New Models\Bond Pricing\CorpBondII\starting_files\"/>
    </mc:Choice>
  </mc:AlternateContent>
  <xr:revisionPtr revIDLastSave="0" documentId="13_ncr:1_{6E115CA7-D51A-4485-8445-C50315E3F296}" xr6:coauthVersionLast="47" xr6:coauthVersionMax="47" xr10:uidLastSave="{00000000-0000-0000-0000-000000000000}"/>
  <bookViews>
    <workbookView xWindow="-108" yWindow="-108" windowWidth="23256" windowHeight="12456" xr2:uid="{9D050BFD-007E-4C38-9D7B-ED1AFA0D54D5}"/>
  </bookViews>
  <sheets>
    <sheet name="Instructions" sheetId="10" r:id="rId1"/>
    <sheet name="Assumptions" sheetId="9" r:id="rId2"/>
    <sheet name="Questions" sheetId="11" r:id="rId3"/>
  </sheets>
  <definedNames>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GoalSeekTargetValue" hidden="1">0</definedName>
    <definedName name="_AtRisk_SimSetting_LiveUpdate" hidden="1">TRUE</definedName>
    <definedName name="_AtRisk_SimSetting_MacroMode" hidden="1">0</definedName>
    <definedName name="_AtRisk_SimSetting_MacroRecalculationBehavior" hidden="1">0</definedName>
    <definedName name="_AtRisk_SimSetting_MaxAutoIterations" hidden="1">50000</definedName>
    <definedName name="_AtRisk_SimSetting_MultipleCPUCount" hidden="1">2</definedName>
    <definedName name="_AtRisk_SimSetting_MultipleCPUManualCount" hidden="1">2</definedName>
    <definedName name="_AtRisk_SimSetting_MultipleCPUMode" hidden="1">2</definedName>
    <definedName name="_AtRisk_SimSetting_MultipleCPUModeV8" hidden="1">2</definedName>
    <definedName name="_AtRisk_SimSetting_RandomNumberGenerator" hidden="1">0</definedName>
    <definedName name="_AtRisk_SimSetting_ShowSimulationProgressWindow" hidden="1">TRUE</definedName>
    <definedName name="_AtRisk_SimSetting_SimName001" hidden="1">"Scen 1(Base=123.42, S0=126.12, V=31.97%)"</definedName>
    <definedName name="_AtRisk_SimSetting_SimName002" hidden="1">"Scen 2(Base=123.42, S0=130, V=31.97%)"</definedName>
    <definedName name="_AtRisk_SimSetting_SimName003" hidden="1">"Scen 3(Base=123.42, S0=132, V=31.97%)"</definedName>
    <definedName name="_AtRisk_SimSetting_SimName004" hidden="1">"Scen 4(Base=1, S0=1, V=31.97%)"</definedName>
    <definedName name="_AtRisk_SimSetting_SimNameCount" hidden="1">4</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IQ_DNTM" hidden="1">700000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LATESTK" hidden="1">1000</definedName>
    <definedName name="IQ_LATESTQ" hidden="1">500</definedName>
    <definedName name="IQ_LTMMONTH" hidden="1">120000</definedName>
    <definedName name="IQ_MTD" hidden="1">800000</definedName>
    <definedName name="IQ_NAMES_REVISION_DATE_" hidden="1">44091.7196296296</definedName>
    <definedName name="IQ_QTD" hidden="1">750000</definedName>
    <definedName name="IQ_TODAY" hidden="1">0</definedName>
    <definedName name="IQ_YTDMONTH" hidden="1">130000</definedName>
    <definedName name="IQB_BOOKMARK_COUNT" hidden="1">0</definedName>
    <definedName name="Pal_Workbook_GUID" hidden="1">"KHB4MCAJCJC3RUEFU5N2FB3U"</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8</definedName>
    <definedName name="RiskMinimizeOnStart" hidden="1">FALSE</definedName>
    <definedName name="RiskMonitorConvergence" hidden="1">FALSE</definedName>
    <definedName name="RiskMultipleCPUSupportEnabled" hidden="1">FALSE</definedName>
    <definedName name="RiskNumIterations" hidden="1">100000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2</definedName>
    <definedName name="RiskUpdateDisplay" hidden="1">FALSE</definedName>
    <definedName name="RiskUseDifferentSeedForEachSim" hidden="1">FALSE</definedName>
    <definedName name="RiskUseFixedSeed" hidden="1">TRUE</definedName>
    <definedName name="RiskUseMultipleCPUs" hidden="1">FALSE</definedName>
    <definedName name="solver_eng" localSheetId="0" hidden="1">1</definedName>
    <definedName name="solver_neg" localSheetId="0" hidden="1">1</definedName>
    <definedName name="solver_num" localSheetId="0" hidden="1">0</definedName>
    <definedName name="solver_opt" localSheetId="0" hidden="1">Instructions!#REF!</definedName>
    <definedName name="solver_typ" localSheetId="0" hidden="1">1</definedName>
    <definedName name="solver_val" localSheetId="0" hidden="1">0</definedName>
    <definedName name="solver_ver" localSheetId="0"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9" l="1"/>
</calcChain>
</file>

<file path=xl/sharedStrings.xml><?xml version="1.0" encoding="utf-8"?>
<sst xmlns="http://schemas.openxmlformats.org/spreadsheetml/2006/main" count="57" uniqueCount="42">
  <si>
    <t>[$]</t>
  </si>
  <si>
    <t>End Sheet</t>
  </si>
  <si>
    <t>Assumptions sheet may be also in the text on the Instructions tab - please use the assumptions on this sheet for your model</t>
  </si>
  <si>
    <t>Finance Task</t>
  </si>
  <si>
    <t>Answers</t>
  </si>
  <si>
    <t>Unit</t>
  </si>
  <si>
    <t>Answer the questions with the results from your model.</t>
  </si>
  <si>
    <t>Task:</t>
  </si>
  <si>
    <t>Bond Information</t>
  </si>
  <si>
    <t>Face Value of the bond</t>
  </si>
  <si>
    <t>Coupon Rate on the bond</t>
  </si>
  <si>
    <t>Time to maturity in years</t>
  </si>
  <si>
    <t>Current market interest rate</t>
  </si>
  <si>
    <t>(default free bonds with the same maturity)</t>
  </si>
  <si>
    <t>Frequency of coupons</t>
  </si>
  <si>
    <t>Months per year</t>
  </si>
  <si>
    <t>possible frequencies: Annual / Semi-Annual / Quarterly / Monthly</t>
  </si>
  <si>
    <t>[%]</t>
  </si>
  <si>
    <t>Your model should be fully dynamic and capable of adapting to changes outlined in the assumptions tab.</t>
  </si>
  <si>
    <t>The bond terms are defined in the assumptions tab.</t>
  </si>
  <si>
    <t>What is the PV of Cashflows for the year 2028?</t>
  </si>
  <si>
    <t>What is the PV of Cashflows for the year 2029?</t>
  </si>
  <si>
    <t>What is the PV of Cashflows for the year 2030?</t>
  </si>
  <si>
    <t>What is the PV of Cashflows for the year 2031?</t>
  </si>
  <si>
    <t>What is the PV of Cashflows for the year 2032?</t>
  </si>
  <si>
    <t>What is the PV of Cashflows for the year 2033?</t>
  </si>
  <si>
    <t>What is the PV of Cashflows for the year 2034?</t>
  </si>
  <si>
    <t>What is the PV of Cashflows for the year 2035?</t>
  </si>
  <si>
    <t>What is the PV of Cashflows for the year 2036?</t>
  </si>
  <si>
    <t>What is the PV of Cashflows for the year 2037?</t>
  </si>
  <si>
    <t>What is the PV of Cashflows for the year 2038?</t>
  </si>
  <si>
    <t>What is the PV of Cashflows for the year 2039?</t>
  </si>
  <si>
    <t>Questions (please round your answers to two decimal places)</t>
  </si>
  <si>
    <t>First coupon payment date</t>
  </si>
  <si>
    <t>Default spread</t>
  </si>
  <si>
    <t>What is the current price of the bond?</t>
  </si>
  <si>
    <t>Bond Valuation - Corp Bond II</t>
  </si>
  <si>
    <t>Quarterly</t>
  </si>
  <si>
    <t>Valuation date</t>
  </si>
  <si>
    <t>Build a bond pricing model that calculates the value of the bond - calculate it by showing all cashflows instead of using a single formula, as well as build an annual summary on a separate sheet, aggregating cashflows and their present values by calendar year.</t>
  </si>
  <si>
    <t>(from the first coupon payment date)</t>
  </si>
  <si>
    <t>Use actual-day-count (Act/Act) annual compounding. The time fraction for each cashflow is the actual number of calendar days from the valuation date to that payment date, divided by the actual number of days in the calendar year in which that payment falls.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</si>
</sst>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_);\(#,##0\);\-"/>
    <numFmt numFmtId="165" formatCode="#,##0.00_);\(#,##0.00\);\-"/>
    <numFmt numFmtId="167" formatCode="#,##0.0000"/>
  </numFmts>
  <fonts count="17">
    <font>
      <sz val="11"/>
      <color theme="1"/>
      <name val="Aptos Narrow"/>
      <family val="2"/>
      <scheme val="minor"/>
    </font>
    <font>
      <sz val="11"/>
      <color theme="1"/>
      <name val="Aptos Narrow"/>
      <family val="2"/>
      <scheme val="minor"/>
    </font>
    <font>
      <b/>
      <sz val="11"/>
      <color theme="1"/>
      <name val="Aptos Narrow"/>
      <family val="2"/>
      <scheme val="minor"/>
    </font>
    <font>
      <sz val="12"/>
      <color theme="1"/>
      <name val="Aptos Narrow"/>
      <family val="2"/>
      <scheme val="minor"/>
    </font>
    <font>
      <sz val="10"/>
      <color rgb="FF0000FF"/>
      <name val="Aptos Narrow"/>
      <family val="2"/>
      <scheme val="minor"/>
    </font>
    <font>
      <sz val="11"/>
      <color rgb="FF0000FF"/>
      <name val="Aptos Narrow"/>
      <family val="2"/>
      <scheme val="minor"/>
    </font>
    <font>
      <b/>
      <sz val="10"/>
      <color theme="1"/>
      <name val="Arial"/>
      <family val="2"/>
    </font>
    <font>
      <b/>
      <sz val="10"/>
      <color theme="1"/>
      <name val="Aptos Narrow"/>
      <family val="2"/>
      <scheme val="minor"/>
    </font>
    <font>
      <sz val="10"/>
      <color theme="1"/>
      <name val="Arial"/>
      <family val="2"/>
    </font>
    <font>
      <sz val="10"/>
      <color rgb="FF0000FF"/>
      <name val="Arial"/>
      <family val="2"/>
    </font>
    <font>
      <sz val="8"/>
      <name val="Aptos Narrow"/>
      <family val="2"/>
      <scheme val="minor"/>
    </font>
    <font>
      <sz val="11"/>
      <color theme="1"/>
      <name val="Roboto"/>
    </font>
    <font>
      <sz val="11"/>
      <name val="Roboto"/>
    </font>
    <font>
      <b/>
      <sz val="48"/>
      <color theme="0"/>
      <name val="ROBOTECH GP"/>
      <family val="2"/>
    </font>
    <font>
      <b/>
      <sz val="24"/>
      <color theme="0"/>
      <name val="ROBOTECH GP"/>
      <family val="2"/>
    </font>
    <font>
      <sz val="12"/>
      <color theme="1"/>
      <name val="Aptos"/>
      <family val="2"/>
    </font>
    <font>
      <b/>
      <sz val="12"/>
      <color theme="1"/>
      <name val="Aptos Narrow"/>
      <family val="2"/>
      <scheme val="minor"/>
    </font>
  </fonts>
  <fills count="7">
    <fill>
      <patternFill patternType="none"/>
    </fill>
    <fill>
      <patternFill patternType="gray125"/>
    </fill>
    <fill>
      <patternFill patternType="solid">
        <fgColor rgb="FFFFFFCC"/>
        <bgColor indexed="64"/>
      </patternFill>
    </fill>
    <fill>
      <patternFill patternType="solid">
        <fgColor theme="3" tint="0.79998168889431442"/>
        <bgColor indexed="64"/>
      </patternFill>
    </fill>
    <fill>
      <patternFill patternType="solid">
        <fgColor theme="8" tint="0.79998168889431442"/>
        <bgColor indexed="64"/>
      </patternFill>
    </fill>
    <fill>
      <gradientFill>
        <stop position="0">
          <color rgb="FF007B00"/>
        </stop>
        <stop position="1">
          <color rgb="FF020024"/>
        </stop>
      </gradientFill>
    </fill>
    <fill>
      <patternFill patternType="solid">
        <fgColor theme="7" tint="0.79998168889431442"/>
        <bgColor indexed="64"/>
      </patternFill>
    </fill>
  </fills>
  <borders count="6">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s>
  <cellStyleXfs count="7">
    <xf numFmtId="0" fontId="0" fillId="0" borderId="0"/>
    <xf numFmtId="0" fontId="1" fillId="0" borderId="0"/>
    <xf numFmtId="0" fontId="3" fillId="0" borderId="0"/>
    <xf numFmtId="4" fontId="6" fillId="3" borderId="1">
      <alignment horizontal="left"/>
    </xf>
    <xf numFmtId="164" fontId="8" fillId="0" borderId="0" applyBorder="0"/>
    <xf numFmtId="164" fontId="9" fillId="2" borderId="2">
      <protection locked="0"/>
    </xf>
    <xf numFmtId="0" fontId="9" fillId="0" borderId="0" applyNumberFormat="0" applyFill="0" applyBorder="0">
      <alignment horizontal="right"/>
    </xf>
  </cellStyleXfs>
  <cellXfs count="27">
    <xf numFmtId="0" fontId="0" fillId="0" borderId="0" xfId="0"/>
    <xf numFmtId="0" fontId="2" fillId="0" borderId="0" xfId="0" applyFont="1"/>
    <xf numFmtId="4" fontId="5" fillId="2" borderId="2" xfId="0" applyNumberFormat="1" applyFont="1" applyFill="1" applyBorder="1"/>
    <xf numFmtId="4" fontId="7" fillId="4" borderId="1" xfId="3" applyFont="1" applyFill="1">
      <alignment horizontal="left"/>
    </xf>
    <xf numFmtId="4" fontId="2" fillId="4" borderId="1" xfId="3" applyFont="1" applyFill="1">
      <alignment horizontal="left"/>
    </xf>
    <xf numFmtId="0" fontId="4" fillId="0" borderId="0" xfId="0" applyFont="1"/>
    <xf numFmtId="14" fontId="5" fillId="2" borderId="2" xfId="0" applyNumberFormat="1" applyFont="1" applyFill="1" applyBorder="1"/>
    <xf numFmtId="165" fontId="9" fillId="0" borderId="0" xfId="6" applyNumberFormat="1">
      <alignment horizontal="right"/>
    </xf>
    <xf numFmtId="0" fontId="11" fillId="0" borderId="0" xfId="1" applyFont="1"/>
    <xf numFmtId="0" fontId="12" fillId="0" borderId="0" xfId="1" applyFont="1"/>
    <xf numFmtId="0" fontId="11" fillId="0" borderId="0" xfId="1" applyFont="1" applyAlignment="1">
      <alignment horizontal="center"/>
    </xf>
    <xf numFmtId="0" fontId="12" fillId="0" borderId="0" xfId="1" applyFont="1" applyAlignment="1">
      <alignment horizontal="center"/>
    </xf>
    <xf numFmtId="0" fontId="15" fillId="0" borderId="0" xfId="0" applyFont="1" applyAlignment="1">
      <alignment vertical="center"/>
    </xf>
    <xf numFmtId="0" fontId="16" fillId="0" borderId="0" xfId="2" applyFont="1"/>
    <xf numFmtId="0" fontId="3" fillId="0" borderId="0" xfId="2"/>
    <xf numFmtId="0" fontId="11" fillId="0" borderId="0" xfId="1" applyFont="1" applyAlignment="1">
      <alignment horizontal="left"/>
    </xf>
    <xf numFmtId="165" fontId="9" fillId="0" borderId="0" xfId="6" applyNumberFormat="1" applyAlignment="1">
      <alignment horizontal="left"/>
    </xf>
    <xf numFmtId="10" fontId="5" fillId="2" borderId="2" xfId="0" applyNumberFormat="1" applyFont="1" applyFill="1" applyBorder="1"/>
    <xf numFmtId="4" fontId="11" fillId="6" borderId="2" xfId="1" quotePrefix="1" applyNumberFormat="1" applyFont="1" applyFill="1" applyBorder="1" applyAlignment="1">
      <alignment horizontal="center"/>
    </xf>
    <xf numFmtId="3" fontId="5" fillId="2" borderId="2" xfId="0" applyNumberFormat="1" applyFont="1" applyFill="1" applyBorder="1"/>
    <xf numFmtId="167" fontId="16" fillId="0" borderId="0" xfId="2" applyNumberFormat="1" applyFont="1"/>
    <xf numFmtId="167" fontId="3" fillId="0" borderId="0" xfId="2" applyNumberFormat="1"/>
    <xf numFmtId="0" fontId="13" fillId="5" borderId="3" xfId="2" applyFont="1" applyFill="1" applyBorder="1" applyAlignment="1">
      <alignment horizontal="center" vertical="center"/>
    </xf>
    <xf numFmtId="0" fontId="13" fillId="5" borderId="1" xfId="2" applyFont="1" applyFill="1" applyBorder="1" applyAlignment="1">
      <alignment horizontal="center" vertical="center"/>
    </xf>
    <xf numFmtId="0" fontId="13" fillId="5" borderId="4" xfId="2" applyFont="1" applyFill="1" applyBorder="1" applyAlignment="1">
      <alignment horizontal="center" vertical="center"/>
    </xf>
    <xf numFmtId="0" fontId="14" fillId="5" borderId="5" xfId="2" applyFont="1" applyFill="1" applyBorder="1" applyAlignment="1">
      <alignment horizontal="center" vertical="center"/>
    </xf>
    <xf numFmtId="0" fontId="14" fillId="5" borderId="0" xfId="2" applyFont="1" applyFill="1" applyAlignment="1">
      <alignment horizontal="center" vertical="center"/>
    </xf>
  </cellXfs>
  <cellStyles count="7">
    <cellStyle name="M Section Header" xfId="3" xr:uid="{F944F0E6-F034-49F8-8B3F-D0C9E50BA2F6}"/>
    <cellStyle name="M Units" xfId="6" xr:uid="{B591442F-CADB-4FD5-9324-DD1119747805}"/>
    <cellStyle name="M-A 0dp" xfId="5" xr:uid="{80AB76FC-3C43-4EFF-B2A6-1E81FFBC781B}"/>
    <cellStyle name="M-C 0dp Num" xfId="4" xr:uid="{C7EF620F-9501-4FBB-93FF-813E47ED464B}"/>
    <cellStyle name="Normal" xfId="0" builtinId="0"/>
    <cellStyle name="Normal 2" xfId="2" xr:uid="{037B3D13-DA10-4240-9E6B-55FD128391C9}"/>
    <cellStyle name="Normal 3" xfId="1" xr:uid="{1C87C372-71EA-4FEE-904D-475CC6E05479}"/>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05585-2C4B-4272-9AD0-C24F524B71E1}">
  <sheetPr>
    <tabColor theme="8" tint="-0.249977111117893"/>
  </sheetPr>
  <dimension ref="A1:K13"/>
  <sheetViews>
    <sheetView showGridLines="0" tabSelected="1" zoomScale="79" zoomScaleNormal="80" zoomScaleSheetLayoutView="100" workbookViewId="0"/>
  </sheetViews>
  <sheetFormatPr defaultColWidth="5.21875" defaultRowHeight="14.4"/>
  <cols>
    <col min="1" max="1" width="1.88671875" style="8" customWidth="1"/>
    <col min="2" max="2" width="32.109375" style="10" customWidth="1"/>
    <col min="3" max="3" width="17.109375" style="10" bestFit="1" customWidth="1"/>
    <col min="4" max="4" width="20.88671875" style="10" bestFit="1" customWidth="1"/>
    <col min="5" max="5" width="24.109375" style="10" customWidth="1"/>
    <col min="6" max="6" width="21.5546875" style="10" customWidth="1"/>
    <col min="7" max="7" width="26.33203125" style="10" bestFit="1" customWidth="1"/>
    <col min="8" max="8" width="40.109375" style="10" customWidth="1"/>
    <col min="9" max="9" width="23.5546875" style="11" customWidth="1"/>
    <col min="10" max="10" width="23.5546875" style="9" customWidth="1"/>
    <col min="11" max="11" width="27.77734375" style="9" customWidth="1"/>
    <col min="12" max="12" width="20.5546875" style="9" customWidth="1"/>
    <col min="13" max="376" width="11.109375" style="9" bestFit="1" customWidth="1"/>
    <col min="377" max="377" width="5.21875" style="9"/>
    <col min="378" max="383" width="9.6640625" style="9" customWidth="1"/>
    <col min="384" max="384" width="5.21875" style="9"/>
    <col min="385" max="393" width="9.6640625" style="9" customWidth="1"/>
    <col min="394" max="16384" width="5.21875" style="9"/>
  </cols>
  <sheetData>
    <row r="1" spans="2:11" ht="15" customHeight="1">
      <c r="B1" s="8"/>
      <c r="C1" s="8"/>
      <c r="D1" s="8"/>
      <c r="E1" s="8"/>
      <c r="F1" s="8"/>
      <c r="G1" s="8"/>
      <c r="H1" s="8"/>
      <c r="I1" s="8"/>
      <c r="J1" s="8"/>
      <c r="K1" s="8"/>
    </row>
    <row r="2" spans="2:11" ht="60.75" customHeight="1">
      <c r="B2" s="22" t="s">
        <v>3</v>
      </c>
      <c r="C2" s="23"/>
      <c r="D2" s="23"/>
      <c r="E2" s="23"/>
      <c r="F2" s="23"/>
      <c r="G2" s="23"/>
      <c r="H2" s="23"/>
      <c r="I2" s="23"/>
      <c r="J2" s="23"/>
      <c r="K2" s="24"/>
    </row>
    <row r="3" spans="2:11" ht="15" customHeight="1">
      <c r="B3" s="8"/>
      <c r="C3" s="8"/>
      <c r="D3" s="8"/>
      <c r="E3" s="8"/>
      <c r="F3" s="8"/>
      <c r="G3" s="8"/>
      <c r="H3" s="8"/>
      <c r="I3" s="8"/>
      <c r="J3" s="8"/>
      <c r="K3" s="8"/>
    </row>
    <row r="4" spans="2:11" ht="33.75" customHeight="1">
      <c r="B4" s="25" t="s">
        <v>36</v>
      </c>
      <c r="C4" s="26"/>
      <c r="D4" s="26"/>
      <c r="E4" s="26"/>
      <c r="F4" s="26"/>
      <c r="G4" s="26"/>
      <c r="H4" s="26"/>
      <c r="I4" s="26"/>
      <c r="J4" s="8"/>
    </row>
    <row r="5" spans="2:11" ht="15" customHeight="1">
      <c r="B5" s="8"/>
      <c r="C5" s="8"/>
      <c r="D5" s="8"/>
      <c r="E5" s="8"/>
      <c r="F5" s="8"/>
      <c r="G5" s="8"/>
      <c r="H5" s="8"/>
      <c r="I5" s="8"/>
      <c r="J5" s="8"/>
      <c r="K5" s="8"/>
    </row>
    <row r="6" spans="2:11" ht="15.6">
      <c r="B6" s="12" t="s">
        <v>19</v>
      </c>
    </row>
    <row r="7" spans="2:11" ht="15.6">
      <c r="B7" s="12"/>
    </row>
    <row r="8" spans="2:11" ht="15.6">
      <c r="B8" s="12" t="s">
        <v>7</v>
      </c>
    </row>
    <row r="9" spans="2:11" ht="15.6">
      <c r="B9" s="12" t="s">
        <v>39</v>
      </c>
    </row>
    <row r="10" spans="2:11" ht="15.6">
      <c r="B10" s="12" t="s">
        <v>18</v>
      </c>
    </row>
    <row r="11" spans="2:11" ht="15.6">
      <c r="B11" s="12" t="s">
        <v>6</v>
      </c>
    </row>
    <row r="12" spans="2:11" ht="15.6">
      <c r="B12" s="12" t="s">
        <v>41</v>
      </c>
    </row>
    <row r="13" spans="2:11" ht="15.6">
      <c r="B13" s="12"/>
    </row>
  </sheetData>
  <mergeCells count="2">
    <mergeCell ref="B2:K2"/>
    <mergeCell ref="B4:I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6E261-F997-467D-9A31-CC6BD1702C23}">
  <sheetPr>
    <tabColor theme="8" tint="0.39997558519241921"/>
  </sheetPr>
  <dimension ref="A1:F16"/>
  <sheetViews>
    <sheetView showGridLines="0" zoomScale="80" workbookViewId="0"/>
  </sheetViews>
  <sheetFormatPr defaultRowHeight="14.4"/>
  <cols>
    <col min="1" max="1" width="4.77734375" style="1" customWidth="1"/>
    <col min="2" max="2" width="5.33203125" style="1" customWidth="1"/>
    <col min="3" max="3" width="47.21875" bestFit="1" customWidth="1"/>
    <col min="4" max="4" width="25.109375" bestFit="1" customWidth="1"/>
    <col min="5" max="5" width="9.88671875" bestFit="1" customWidth="1"/>
    <col min="6" max="7" width="9" customWidth="1"/>
    <col min="8" max="8" width="9.109375" bestFit="1" customWidth="1"/>
    <col min="9" max="9" width="9.21875" bestFit="1" customWidth="1"/>
    <col min="10" max="10" width="9.109375" bestFit="1" customWidth="1"/>
    <col min="11" max="24" width="10.21875" bestFit="1" customWidth="1"/>
    <col min="25" max="27" width="9.109375" bestFit="1" customWidth="1"/>
    <col min="28" max="28" width="9.77734375" bestFit="1" customWidth="1"/>
    <col min="29" max="29" width="9.109375" bestFit="1" customWidth="1"/>
    <col min="30" max="30" width="9" bestFit="1" customWidth="1"/>
    <col min="31" max="32" width="9.109375" bestFit="1" customWidth="1"/>
    <col min="33" max="35" width="9" bestFit="1" customWidth="1"/>
    <col min="36" max="36" width="9.77734375" bestFit="1" customWidth="1"/>
    <col min="37" max="40" width="9.109375" bestFit="1" customWidth="1"/>
    <col min="41" max="42" width="9" bestFit="1" customWidth="1"/>
    <col min="43" max="45" width="9.109375" bestFit="1" customWidth="1"/>
    <col min="46" max="46" width="9" bestFit="1" customWidth="1"/>
    <col min="47" max="55" width="9.109375" bestFit="1" customWidth="1"/>
    <col min="56" max="56" width="9.77734375" bestFit="1" customWidth="1"/>
    <col min="57" max="58" width="9.109375" bestFit="1" customWidth="1"/>
    <col min="59" max="60" width="9" bestFit="1" customWidth="1"/>
    <col min="61" max="63" width="9.109375" bestFit="1" customWidth="1"/>
    <col min="64" max="64" width="9.77734375" bestFit="1" customWidth="1"/>
    <col min="65" max="65" width="9.109375" bestFit="1" customWidth="1"/>
    <col min="66" max="66" width="9" bestFit="1" customWidth="1"/>
    <col min="67" max="67" width="9.109375" bestFit="1" customWidth="1"/>
    <col min="68" max="69" width="9" bestFit="1" customWidth="1"/>
    <col min="70" max="70" width="9.109375" bestFit="1" customWidth="1"/>
    <col min="71" max="71" width="9.77734375" bestFit="1" customWidth="1"/>
    <col min="72" max="72" width="9.109375" bestFit="1" customWidth="1"/>
    <col min="73" max="73" width="9" bestFit="1" customWidth="1"/>
    <col min="74" max="74" width="9.109375" bestFit="1" customWidth="1"/>
    <col min="75" max="75" width="9" bestFit="1" customWidth="1"/>
    <col min="76" max="79" width="9.109375" bestFit="1" customWidth="1"/>
    <col min="80" max="80" width="9.77734375" bestFit="1" customWidth="1"/>
    <col min="81" max="81" width="9" bestFit="1" customWidth="1"/>
    <col min="82" max="84" width="9.109375" bestFit="1" customWidth="1"/>
    <col min="85" max="85" width="9" bestFit="1" customWidth="1"/>
    <col min="86" max="87" width="9.109375" bestFit="1" customWidth="1"/>
    <col min="88" max="90" width="9" bestFit="1" customWidth="1"/>
    <col min="91" max="94" width="9.109375" bestFit="1" customWidth="1"/>
    <col min="95" max="95" width="9.77734375" bestFit="1" customWidth="1"/>
    <col min="96" max="96" width="9.109375" bestFit="1" customWidth="1"/>
    <col min="97" max="99" width="9" bestFit="1" customWidth="1"/>
    <col min="100" max="100" width="9.109375" bestFit="1" customWidth="1"/>
    <col min="101" max="101" width="9.77734375" bestFit="1" customWidth="1"/>
    <col min="102" max="106" width="9.109375" bestFit="1" customWidth="1"/>
    <col min="107" max="107" width="9" bestFit="1" customWidth="1"/>
    <col min="108" max="113" width="9.109375" bestFit="1" customWidth="1"/>
    <col min="114" max="114" width="9" bestFit="1" customWidth="1"/>
    <col min="115" max="116" width="9.109375" bestFit="1" customWidth="1"/>
    <col min="117" max="117" width="9" bestFit="1" customWidth="1"/>
    <col min="118" max="118" width="9.109375" bestFit="1" customWidth="1"/>
    <col min="119" max="119" width="9.77734375" bestFit="1" customWidth="1"/>
    <col min="120" max="123" width="9.109375" bestFit="1" customWidth="1"/>
    <col min="124" max="124" width="9.77734375" bestFit="1" customWidth="1"/>
    <col min="125" max="126" width="9.109375" bestFit="1" customWidth="1"/>
    <col min="127" max="128" width="9.77734375" bestFit="1" customWidth="1"/>
    <col min="129" max="129" width="9.109375" bestFit="1" customWidth="1"/>
    <col min="130" max="133" width="9.77734375" bestFit="1" customWidth="1"/>
    <col min="134" max="140" width="9.109375" bestFit="1" customWidth="1"/>
    <col min="141" max="141" width="9" bestFit="1" customWidth="1"/>
    <col min="142" max="142" width="9.109375" bestFit="1" customWidth="1"/>
    <col min="143" max="143" width="9" bestFit="1" customWidth="1"/>
    <col min="144" max="145" width="9.109375" bestFit="1" customWidth="1"/>
    <col min="146" max="146" width="9.77734375" bestFit="1" customWidth="1"/>
    <col min="147" max="148" width="9.109375" bestFit="1" customWidth="1"/>
    <col min="149" max="149" width="9" bestFit="1" customWidth="1"/>
    <col min="150" max="151" width="9.109375" bestFit="1" customWidth="1"/>
    <col min="152" max="153" width="9.77734375" bestFit="1" customWidth="1"/>
    <col min="154" max="156" width="9.109375" bestFit="1" customWidth="1"/>
    <col min="157" max="158" width="9" bestFit="1" customWidth="1"/>
    <col min="159" max="161" width="9.109375" bestFit="1" customWidth="1"/>
    <col min="162" max="162" width="9" bestFit="1" customWidth="1"/>
    <col min="163" max="164" width="9.77734375" bestFit="1" customWidth="1"/>
    <col min="165" max="165" width="9.109375" bestFit="1" customWidth="1"/>
    <col min="166" max="166" width="9" bestFit="1" customWidth="1"/>
    <col min="167" max="172" width="9.109375" bestFit="1" customWidth="1"/>
    <col min="173" max="173" width="9" bestFit="1" customWidth="1"/>
    <col min="174" max="178" width="9.109375" bestFit="1" customWidth="1"/>
    <col min="179" max="179" width="9" bestFit="1" customWidth="1"/>
    <col min="180" max="180" width="9.109375" bestFit="1" customWidth="1"/>
    <col min="181" max="181" width="9.77734375" bestFit="1" customWidth="1"/>
    <col min="182" max="185" width="9.109375" bestFit="1" customWidth="1"/>
    <col min="186" max="186" width="9" bestFit="1" customWidth="1"/>
    <col min="187" max="194" width="9.109375" bestFit="1" customWidth="1"/>
    <col min="195" max="195" width="9.77734375" bestFit="1" customWidth="1"/>
    <col min="196" max="200" width="9.109375" bestFit="1" customWidth="1"/>
    <col min="201" max="201" width="10.109375" bestFit="1" customWidth="1"/>
    <col min="202" max="202" width="9" bestFit="1" customWidth="1"/>
    <col min="203" max="203" width="9.77734375" bestFit="1" customWidth="1"/>
    <col min="204" max="205" width="9.109375" bestFit="1" customWidth="1"/>
    <col min="206" max="206" width="10.109375" bestFit="1" customWidth="1"/>
    <col min="207" max="208" width="9.109375" bestFit="1" customWidth="1"/>
    <col min="209" max="209" width="9.77734375" bestFit="1" customWidth="1"/>
    <col min="210" max="210" width="9.109375" bestFit="1" customWidth="1"/>
    <col min="211" max="211" width="9" bestFit="1" customWidth="1"/>
    <col min="212" max="213" width="10.109375" bestFit="1" customWidth="1"/>
    <col min="214" max="214" width="9" bestFit="1" customWidth="1"/>
    <col min="215" max="217" width="9.109375" bestFit="1" customWidth="1"/>
    <col min="218" max="218" width="10.77734375" bestFit="1" customWidth="1"/>
    <col min="219" max="219" width="9.109375" bestFit="1" customWidth="1"/>
    <col min="220" max="220" width="9" bestFit="1" customWidth="1"/>
    <col min="221" max="221" width="10.109375" bestFit="1" customWidth="1"/>
    <col min="222" max="222" width="9" bestFit="1" customWidth="1"/>
    <col min="223" max="225" width="9.109375" bestFit="1" customWidth="1"/>
    <col min="226" max="226" width="9" bestFit="1" customWidth="1"/>
    <col min="227" max="227" width="9.109375" bestFit="1" customWidth="1"/>
    <col min="228" max="228" width="9.77734375" bestFit="1" customWidth="1"/>
    <col min="229" max="230" width="9.109375" bestFit="1" customWidth="1"/>
    <col min="231" max="231" width="10.109375" bestFit="1" customWidth="1"/>
    <col min="232" max="232" width="9.109375" bestFit="1" customWidth="1"/>
    <col min="233" max="233" width="10.109375" bestFit="1" customWidth="1"/>
    <col min="234" max="235" width="9.109375" bestFit="1" customWidth="1"/>
    <col min="236" max="236" width="9.77734375" bestFit="1" customWidth="1"/>
    <col min="237" max="237" width="9.109375" bestFit="1" customWidth="1"/>
    <col min="238" max="238" width="9.77734375" bestFit="1" customWidth="1"/>
    <col min="239" max="239" width="9" bestFit="1" customWidth="1"/>
    <col min="240" max="240" width="9.77734375" bestFit="1" customWidth="1"/>
    <col min="241" max="243" width="9.109375" bestFit="1" customWidth="1"/>
    <col min="244" max="244" width="9" bestFit="1" customWidth="1"/>
  </cols>
  <sheetData>
    <row r="1" spans="1:6">
      <c r="A1" s="1" t="str">
        <f>Instructions!B2&amp;": "&amp;Instructions!B4</f>
        <v>Finance Task: Bond Valuation - Corp Bond II</v>
      </c>
    </row>
    <row r="2" spans="1:6">
      <c r="A2" s="1" t="s">
        <v>2</v>
      </c>
    </row>
    <row r="4" spans="1:6" s="3" customFormat="1" ht="14.4" customHeight="1">
      <c r="B4" s="4" t="s">
        <v>8</v>
      </c>
    </row>
    <row r="6" spans="1:6">
      <c r="C6" t="s">
        <v>38</v>
      </c>
      <c r="D6" s="6">
        <v>46702</v>
      </c>
    </row>
    <row r="7" spans="1:6">
      <c r="C7" t="s">
        <v>33</v>
      </c>
      <c r="D7" s="6">
        <v>46753</v>
      </c>
      <c r="E7" s="7"/>
    </row>
    <row r="8" spans="1:6">
      <c r="C8" t="s">
        <v>9</v>
      </c>
      <c r="D8" s="2">
        <v>100000</v>
      </c>
      <c r="E8" s="16" t="s">
        <v>0</v>
      </c>
    </row>
    <row r="9" spans="1:6">
      <c r="C9" t="s">
        <v>14</v>
      </c>
      <c r="D9" s="2" t="s">
        <v>37</v>
      </c>
      <c r="E9" s="16"/>
      <c r="F9" t="s">
        <v>16</v>
      </c>
    </row>
    <row r="10" spans="1:6">
      <c r="C10" t="s">
        <v>10</v>
      </c>
      <c r="D10" s="17">
        <v>0.1085</v>
      </c>
      <c r="E10" s="16" t="s">
        <v>17</v>
      </c>
    </row>
    <row r="11" spans="1:6">
      <c r="C11" t="s">
        <v>11</v>
      </c>
      <c r="D11" s="2">
        <v>11.25</v>
      </c>
      <c r="E11" s="16"/>
      <c r="F11" t="s">
        <v>40</v>
      </c>
    </row>
    <row r="12" spans="1:6">
      <c r="C12" t="s">
        <v>12</v>
      </c>
      <c r="D12" s="17">
        <v>4.8849999999999998E-2</v>
      </c>
      <c r="E12" s="16" t="s">
        <v>17</v>
      </c>
      <c r="F12" t="s">
        <v>13</v>
      </c>
    </row>
    <row r="13" spans="1:6">
      <c r="C13" t="s">
        <v>34</v>
      </c>
      <c r="D13" s="17">
        <v>5.5550000000000002E-2</v>
      </c>
      <c r="E13" s="16" t="s">
        <v>17</v>
      </c>
    </row>
    <row r="14" spans="1:6">
      <c r="C14" t="s">
        <v>15</v>
      </c>
      <c r="D14" s="19">
        <v>12</v>
      </c>
      <c r="E14" s="16"/>
    </row>
    <row r="16" spans="1:6" s="3" customFormat="1" ht="14.4" customHeight="1">
      <c r="B16" s="4" t="s">
        <v>1</v>
      </c>
    </row>
  </sheetData>
  <phoneticPr fontId="10"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15180-73C3-404B-AFCC-AC8D4B9E2E97}">
  <sheetPr>
    <tabColor theme="8" tint="0.79998168889431442"/>
  </sheetPr>
  <dimension ref="A1:C14"/>
  <sheetViews>
    <sheetView zoomScale="77" workbookViewId="0"/>
  </sheetViews>
  <sheetFormatPr defaultRowHeight="15.6"/>
  <cols>
    <col min="1" max="1" width="74.109375" style="14" bestFit="1" customWidth="1"/>
    <col min="2" max="2" width="16.33203125" style="21" customWidth="1"/>
    <col min="3" max="16384" width="8.88671875" style="14"/>
  </cols>
  <sheetData>
    <row r="1" spans="1:3">
      <c r="A1" s="13" t="s">
        <v>32</v>
      </c>
      <c r="B1" s="20" t="s">
        <v>4</v>
      </c>
      <c r="C1" s="13" t="s">
        <v>5</v>
      </c>
    </row>
    <row r="2" spans="1:3">
      <c r="A2" s="15" t="s">
        <v>35</v>
      </c>
      <c r="B2" s="18"/>
      <c r="C2" s="5" t="s">
        <v>0</v>
      </c>
    </row>
    <row r="3" spans="1:3">
      <c r="A3" s="15" t="s">
        <v>20</v>
      </c>
      <c r="B3" s="18"/>
      <c r="C3" s="5" t="s">
        <v>0</v>
      </c>
    </row>
    <row r="4" spans="1:3">
      <c r="A4" s="15" t="s">
        <v>21</v>
      </c>
      <c r="B4" s="18"/>
      <c r="C4" s="5" t="s">
        <v>0</v>
      </c>
    </row>
    <row r="5" spans="1:3">
      <c r="A5" s="15" t="s">
        <v>22</v>
      </c>
      <c r="B5" s="18"/>
      <c r="C5" s="5" t="s">
        <v>0</v>
      </c>
    </row>
    <row r="6" spans="1:3">
      <c r="A6" s="15" t="s">
        <v>23</v>
      </c>
      <c r="B6" s="18"/>
      <c r="C6" s="5" t="s">
        <v>0</v>
      </c>
    </row>
    <row r="7" spans="1:3">
      <c r="A7" s="15" t="s">
        <v>24</v>
      </c>
      <c r="B7" s="18"/>
      <c r="C7" s="5" t="s">
        <v>0</v>
      </c>
    </row>
    <row r="8" spans="1:3">
      <c r="A8" s="15" t="s">
        <v>25</v>
      </c>
      <c r="B8" s="18"/>
      <c r="C8" s="5" t="s">
        <v>0</v>
      </c>
    </row>
    <row r="9" spans="1:3">
      <c r="A9" s="15" t="s">
        <v>26</v>
      </c>
      <c r="B9" s="18"/>
      <c r="C9" s="5" t="s">
        <v>0</v>
      </c>
    </row>
    <row r="10" spans="1:3">
      <c r="A10" s="15" t="s">
        <v>27</v>
      </c>
      <c r="B10" s="18"/>
      <c r="C10" s="5" t="s">
        <v>0</v>
      </c>
    </row>
    <row r="11" spans="1:3">
      <c r="A11" s="15" t="s">
        <v>28</v>
      </c>
      <c r="B11" s="18"/>
      <c r="C11" s="5" t="s">
        <v>0</v>
      </c>
    </row>
    <row r="12" spans="1:3">
      <c r="A12" s="15" t="s">
        <v>29</v>
      </c>
      <c r="B12" s="18"/>
      <c r="C12" s="5" t="s">
        <v>0</v>
      </c>
    </row>
    <row r="13" spans="1:3">
      <c r="A13" s="15" t="s">
        <v>30</v>
      </c>
      <c r="B13" s="18"/>
      <c r="C13" s="5" t="s">
        <v>0</v>
      </c>
    </row>
    <row r="14" spans="1:3">
      <c r="A14" s="15" t="s">
        <v>31</v>
      </c>
      <c r="B14" s="18"/>
      <c r="C14" s="5" t="s">
        <v>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Assumptions</vt:lpstr>
      <vt:lpstr>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Julian Pöltl</dc:creator>
  <cp:lastModifiedBy>Julian Pöltl</cp:lastModifiedBy>
  <dcterms:created xsi:type="dcterms:W3CDTF">2025-10-30T13:30:27Z</dcterms:created>
  <dcterms:modified xsi:type="dcterms:W3CDTF">2026-04-30T01:40:19Z</dcterms:modified>
</cp:coreProperties>
</file>