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Downloads\BizBench\Retirement _ Savings Calculators\DoctorvsTrade\starting_files\"/>
    </mc:Choice>
  </mc:AlternateContent>
  <xr:revisionPtr revIDLastSave="0" documentId="13_ncr:1_{1D7B4F6A-4366-438B-861E-1FCACB7EFED5}" xr6:coauthVersionLast="47" xr6:coauthVersionMax="47" xr10:uidLastSave="{00000000-0000-0000-0000-000000000000}"/>
  <bookViews>
    <workbookView xWindow="-108" yWindow="-108" windowWidth="23256" windowHeight="12456" tabRatio="709" xr2:uid="{9D050BFD-007E-4C38-9D7B-ED1AFA0D54D5}"/>
  </bookViews>
  <sheets>
    <sheet name="Instructions" sheetId="10" r:id="rId1"/>
    <sheet name="Assumptions" sheetId="9" r:id="rId2"/>
    <sheet name="Questions" sheetId="11" r:id="rId3"/>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alcChain>
</file>

<file path=xl/sharedStrings.xml><?xml version="1.0" encoding="utf-8"?>
<sst xmlns="http://schemas.openxmlformats.org/spreadsheetml/2006/main" count="311" uniqueCount="186">
  <si>
    <t>[years]</t>
  </si>
  <si>
    <t>End Sheet</t>
  </si>
  <si>
    <t>Assumptions sheet may be also in the text on the Instructions tab - please use the assumptions on this sheet for your model</t>
  </si>
  <si>
    <t>Questions (please round your answers to two decimal places)</t>
  </si>
  <si>
    <t>Answers</t>
  </si>
  <si>
    <t>Unit</t>
  </si>
  <si>
    <t>[% p.a.]</t>
  </si>
  <si>
    <t>Wealth Management Task</t>
  </si>
  <si>
    <t>Model information</t>
  </si>
  <si>
    <t>Start date</t>
  </si>
  <si>
    <t>Age at start date</t>
  </si>
  <si>
    <t>Salary information</t>
  </si>
  <si>
    <t>Retirement age</t>
  </si>
  <si>
    <t>Maximum age</t>
  </si>
  <si>
    <t>[%]</t>
  </si>
  <si>
    <t>Tax Rate</t>
  </si>
  <si>
    <t>Income Tax</t>
  </si>
  <si>
    <t>Category</t>
  </si>
  <si>
    <t>Annual Inflation</t>
  </si>
  <si>
    <t>Housing / rent</t>
  </si>
  <si>
    <t>Groceries</t>
  </si>
  <si>
    <t>Transport</t>
  </si>
  <si>
    <t>Utilities &amp; energy</t>
  </si>
  <si>
    <t>Dining out</t>
  </si>
  <si>
    <t>Healthcare</t>
  </si>
  <si>
    <t>Entertainment</t>
  </si>
  <si>
    <t>Clothing</t>
  </si>
  <si>
    <t>Education</t>
  </si>
  <si>
    <t>Telecom &amp; subscriptions</t>
  </si>
  <si>
    <t>Holidays &amp; travel</t>
  </si>
  <si>
    <t>Bracket increase by year</t>
  </si>
  <si>
    <t>Debt</t>
  </si>
  <si>
    <t>Credit Card - Opening Balance</t>
  </si>
  <si>
    <t>Credit Card - Interest rate</t>
  </si>
  <si>
    <t>Student Loan - Opening Balance</t>
  </si>
  <si>
    <t>Student Loan - Interest rate</t>
  </si>
  <si>
    <t>Investments</t>
  </si>
  <si>
    <t>Cash on Hand (model start)</t>
  </si>
  <si>
    <t>Investment interest (before retirement)</t>
  </si>
  <si>
    <t>Investment interest (after retirement)</t>
  </si>
  <si>
    <t>He has to pay tax on the salary.</t>
  </si>
  <si>
    <t xml:space="preserve">Funds available after all payments are made are invested. </t>
  </si>
  <si>
    <t>You are given assumptions about a person - you have to build their annual financial life plan.</t>
  </si>
  <si>
    <t>The persons spending amount is given in categories at the start - the spending is increasing by annual inflation and by the person spending more due to salary increases (lifestyle inflation) (product of both effects).</t>
  </si>
  <si>
    <t>Spending increase when gross salary +1%</t>
  </si>
  <si>
    <t>Assume that all payments are made/received at the end of a year (ie. % are calculated on the opening balances)/ all changes take place at the end of the year.</t>
  </si>
  <si>
    <t>Total spending: PY spending * (1+Inflation)*(1+(Spending increase when gross salary +1% * % gross salary increase))</t>
  </si>
  <si>
    <t>Months per year</t>
  </si>
  <si>
    <t>The remaining amount is used to repay debt in order of their decreasing interest.</t>
  </si>
  <si>
    <t>There is no other information to factor in (eg. no other assets regarding net worth).</t>
  </si>
  <si>
    <t>Retirement / Savings Calculators - Doctor vs. Trade</t>
  </si>
  <si>
    <t>Tax Rates are constant</t>
  </si>
  <si>
    <t>The person is planning two different life plans - either becoming a doctor or going into trade by becoming an electrician.</t>
  </si>
  <si>
    <t>The person right now is 18 years old.</t>
  </si>
  <si>
    <t>0 – 12,000</t>
  </si>
  <si>
    <t>12,000.01 – 17,000</t>
  </si>
  <si>
    <t>26,000.01 – 40,000</t>
  </si>
  <si>
    <t>40,000.01 – 62,500</t>
  </si>
  <si>
    <t>62,500.01 – 80,000</t>
  </si>
  <si>
    <t>80,000.01 – 257,000</t>
  </si>
  <si>
    <t>257,000.01 and above</t>
  </si>
  <si>
    <t>Sports</t>
  </si>
  <si>
    <t>Trade School Loan - Opening Balance</t>
  </si>
  <si>
    <t>Trade School Loan - Interest rate</t>
  </si>
  <si>
    <t>Student Loan - Start date</t>
  </si>
  <si>
    <t>Trade School Loan - Start date</t>
  </si>
  <si>
    <t>Expenses (monthly) - Study/School</t>
  </si>
  <si>
    <t>[$]</t>
  </si>
  <si>
    <t>Student (Cost of Living part) - additional loan per year</t>
  </si>
  <si>
    <t>[$ p.a.]</t>
  </si>
  <si>
    <t>Student (Cost of Living part) - Interest rate</t>
  </si>
  <si>
    <t>Trade School Loan (Cost of Living part) - additional loan per year</t>
  </si>
  <si>
    <t>Trade School Loan (Cost of Living part) - Interest rate</t>
  </si>
  <si>
    <t>Trade School - duration</t>
  </si>
  <si>
    <t>[year]</t>
  </si>
  <si>
    <t>Student (Medical School) - duration</t>
  </si>
  <si>
    <t>Medical residency - duration</t>
  </si>
  <si>
    <t>Medical residency - Initial salary</t>
  </si>
  <si>
    <t>Medical residency - annual regular salary increase</t>
  </si>
  <si>
    <t>Doctor - Initial salary</t>
  </si>
  <si>
    <t>Trades - Initial salary</t>
  </si>
  <si>
    <t>Doctor - annual regular salary increase</t>
  </si>
  <si>
    <t>Trades - annual regular salary increase</t>
  </si>
  <si>
    <t>20,000.01 – 26,000</t>
  </si>
  <si>
    <t>17,000.01 – 20,000</t>
  </si>
  <si>
    <t>Monthly spend (2026)</t>
  </si>
  <si>
    <t>Expenses (monthly) - Work/Doctor</t>
  </si>
  <si>
    <t>Expenses (monthly) - Work/Trade</t>
  </si>
  <si>
    <t>General - Study</t>
  </si>
  <si>
    <t>General - Trade School</t>
  </si>
  <si>
    <t>Spending during education:</t>
  </si>
  <si>
    <t>The persons monthly spending amount is given in categories at the start - the spending is increasing by annual inflation.</t>
  </si>
  <si>
    <t>Spending during work (medical residency = work):</t>
  </si>
  <si>
    <t>The person has to repay his credit card debt as well as the student loan/ trade school loan  and a cost of living loan for the period of education.</t>
  </si>
  <si>
    <t>Tax on Investment (on amount withdrawn)</t>
  </si>
  <si>
    <t>In retirement lifestyle inflation (only) does not apply anymore.</t>
  </si>
  <si>
    <t>In case of insufficient funds (insufficient to cover expenses or grow cash on hand), the available investments are used (remember, that there is a tax on investment withdrawel).</t>
  </si>
  <si>
    <t>If that's not enough (or no investments available), the person will use credit card debt, to cover expenses (even if this would lead to a debt spiral).</t>
  </si>
  <si>
    <t>Build an annual financial life plan (model) based on the instructions and the assumptions given - a separate model for both possible career paths.</t>
  </si>
  <si>
    <t>Build an annual overview comparing both careers.</t>
  </si>
  <si>
    <t>Answer the questions with the results from your model.</t>
  </si>
  <si>
    <t>What will be the net worth difference (Doctor vs. Trade) in the final model period?</t>
  </si>
  <si>
    <t>What will the YE amount for Cash on hand for the Doctor in the year 2028?</t>
  </si>
  <si>
    <t>What will the YE amount for Cash on hand for the Doctor in the year 2032?</t>
  </si>
  <si>
    <t>What will the YE amount for Cash on hand for the Doctor in the year 2035?</t>
  </si>
  <si>
    <t>What will the YE amount for Cash on hand for the Doctor in the year 2038?</t>
  </si>
  <si>
    <t>What will the YE amount for Cash on hand for the Doctor in the year 2050?</t>
  </si>
  <si>
    <t>What will the YE amount for Cash on hand for the Doctor in the year 2052?</t>
  </si>
  <si>
    <t>What will the YE amount for Cash on hand for the Doctor in the year 2104?</t>
  </si>
  <si>
    <t>What will the YE amount for Cash on hand for the Electrician in the year 2027?</t>
  </si>
  <si>
    <t>What will the YE amount for Cash on hand for the Electrician in the year 2029?</t>
  </si>
  <si>
    <t>What will the YE amount for Cash on hand for the Electrician in the year 2048?</t>
  </si>
  <si>
    <t>What will the YE amount for Cash on hand for the Electrician in the year 2049?</t>
  </si>
  <si>
    <t>What will the YE amount for Cash on hand for the Electrician in the year 2055?</t>
  </si>
  <si>
    <t>What will the YE amount for Cash on hand for the Electrician in the year 2058?</t>
  </si>
  <si>
    <t>What will the YE amount for Cash on hand for the Electrician in the year 2071?</t>
  </si>
  <si>
    <t>What will the YE amount for Cash on hand for the Electrician in the year 2077?</t>
  </si>
  <si>
    <t>What will the YE amount for Cash on hand for the Electrician in the year 2091?</t>
  </si>
  <si>
    <t>What will the YE amount for Cash on hand for the Electrician in the year 2103?</t>
  </si>
  <si>
    <t>What will the YE amount for Investments for the Doctor in the year 2048?</t>
  </si>
  <si>
    <t>What will the YE amount for Investments for the Doctor in the year 2052?</t>
  </si>
  <si>
    <t>What will the YE amount for Investments for the Doctor in the year 2079?</t>
  </si>
  <si>
    <t>What will the YE amount for Investments for the Doctor in the year 2081?</t>
  </si>
  <si>
    <t>What will the YE amount for Investments for the Electrician in the year 2039?</t>
  </si>
  <si>
    <t>What will the YE amount for Investments for the Electrician in the year 2048?</t>
  </si>
  <si>
    <t>What will the YE amount for Investments for the Electrician in the year 2076?</t>
  </si>
  <si>
    <t>What will the YE amount for Net worth for the Doctor in the year 2027?</t>
  </si>
  <si>
    <t>What will the YE amount for Net worth for the Doctor in the year 2044?</t>
  </si>
  <si>
    <t>What will the YE amount for Net worth for the Doctor in the year 2052?</t>
  </si>
  <si>
    <t>What will the YE amount for Net worth for the Doctor in the year 2061?</t>
  </si>
  <si>
    <t>What will the YE amount for Net worth for the Doctor in the year 2062?</t>
  </si>
  <si>
    <t>What will the YE amount for Net worth for the Doctor in the year 2077?</t>
  </si>
  <si>
    <t>What will the YE amount for Net worth for the Doctor in the year 2079?</t>
  </si>
  <si>
    <t>What will the YE amount for Net worth for the Doctor in the year 2106?</t>
  </si>
  <si>
    <t>What will the YE amount for Net worth for the Electrician in the year 2060?</t>
  </si>
  <si>
    <t>What will the YE amount for Net worth for the Electrician in the year 2072?</t>
  </si>
  <si>
    <t>What will the YE amount for Net worth for the Electrician in the year 2086?</t>
  </si>
  <si>
    <t>What will the YE amount for Salary after taxes for the Doctor in the year 2028?</t>
  </si>
  <si>
    <t>What will the YE amount for Salary after taxes for the Doctor in the year 2036?</t>
  </si>
  <si>
    <t>What will the YE amount for Salary after taxes for the Doctor in the year 2053?</t>
  </si>
  <si>
    <t>What will the YE amount for Salary after taxes for the Doctor in the year 2064?</t>
  </si>
  <si>
    <t>What will the YE amount for Salary after taxes for the Electrician in the year 2043?</t>
  </si>
  <si>
    <t>What will the YE amount for Salary after taxes for the Electrician in the year 2047?</t>
  </si>
  <si>
    <t>What will the YE amount for Salary after taxes for the Electrician in the year 2060?</t>
  </si>
  <si>
    <t>What will the YE amount for Salary after taxes for the Electrician in the year 2062?</t>
  </si>
  <si>
    <t>What will the YE amount for Salary after taxes for the Electrician in the year 2069?</t>
  </si>
  <si>
    <t>What will the YE amount for Salary after taxes for the Electrician in the year 2070?</t>
  </si>
  <si>
    <t>What will the YE amount for Salary for the Doctor in the year 2035?</t>
  </si>
  <si>
    <t>What will the YE amount for Salary for the Doctor in the year 2036?</t>
  </si>
  <si>
    <t>What will the YE amount for Salary for the Doctor in the year 2039?</t>
  </si>
  <si>
    <t>What will the YE amount for Salary for the Doctor in the year 2052?</t>
  </si>
  <si>
    <t>What will the YE amount for Salary for the Electrician in the year 2041?</t>
  </si>
  <si>
    <t>What will the YE amount for Salary for the Electrician in the year 2058?</t>
  </si>
  <si>
    <t>What will the YE amount for Salary for the Electrician in the year 2066?</t>
  </si>
  <si>
    <t>What will the YE amount for Total Expenses for the Doctor in the year 2053?</t>
  </si>
  <si>
    <t>What will the YE amount for Total Expenses for the Doctor in the year 2067?</t>
  </si>
  <si>
    <t>What will the YE amount for Total Expenses for the Doctor in the year 2071?</t>
  </si>
  <si>
    <t>What will the YE amount for Total Expenses for the Doctor in the year 2092?</t>
  </si>
  <si>
    <t>What will the YE amount for Total Expenses for the Doctor in the year 2107?</t>
  </si>
  <si>
    <t>What will the YE amount for Total Expenses for the Doctor in the year 2109?</t>
  </si>
  <si>
    <t>What will the YE amount for Total Expenses for the Electrician in the year 2032?</t>
  </si>
  <si>
    <t>What will the YE amount for Total Expenses for the Electrician in the year 2055?</t>
  </si>
  <si>
    <t>What will the YE amount for Total Expenses for the Electrician in the year 2062?</t>
  </si>
  <si>
    <t>What will the YE amount for Total Expenses for the Electrician in the year 2068?</t>
  </si>
  <si>
    <t>What will the YE amount for Total Expenses for the Electrician in the year 2070?</t>
  </si>
  <si>
    <t>What will the YE amount for Total Expenses for the Electrician in the year 2095?</t>
  </si>
  <si>
    <t>What will the YE amount for Total Expenses for the Electrician in the year 2101?</t>
  </si>
  <si>
    <t>What will the YE amount for Total Expenses for the Electrician in the year 2104?</t>
  </si>
  <si>
    <t>Total expenses (in the questions) are excluding interest payments.</t>
  </si>
  <si>
    <t>What will the YE amount for Salary after taxes for the Doctor in the year 2065?</t>
  </si>
  <si>
    <t>What will the YE amount for Salary after taxes for the Doctor in the year 2066?</t>
  </si>
  <si>
    <t>What will the YE amount for Salary after taxes for the Doctor in the year 2067?</t>
  </si>
  <si>
    <t>What will the YE amount for Salary after taxes for the Electrician in the year 2072?</t>
  </si>
  <si>
    <t>What will the YE amount for Salary after taxes for the Electrician in the year 2077?</t>
  </si>
  <si>
    <t>What will the YE amount for Salary for the Doctor in the year 2077?</t>
  </si>
  <si>
    <t>What will the YE amount for Cash on hand for the Doctor in the year 2034?</t>
  </si>
  <si>
    <t>The person works from the year after finishing education through age 66 (inclusive). The person does not work at age 67 or later; retirement begins at age 67.</t>
  </si>
  <si>
    <t>It is not used to repay debt or make other payments (just liquidity).</t>
  </si>
  <si>
    <t>Net worth should reflect the after-tax value of investments (i.e., account for the tax that would be due on withdrawal)."</t>
  </si>
  <si>
    <t>Income Range ($) - 2026</t>
  </si>
  <si>
    <t>Monthly spend is based on 12 months.</t>
  </si>
  <si>
    <t>An exception of the above rule is the Cost of living loan - it is drawn at the beginning of a year (ie. CoL Loan interest for the current year = (Opening Balance + Current Year Addition) × Interest Rate).</t>
  </si>
  <si>
    <t>What will the YE amount for Salary after taxes for the Electrician in the year 2071?</t>
  </si>
  <si>
    <t>During education phases (medical school/trade school), only the general study/school spending categories apply. Work spending categories (Housing, Groceries, etc.) do NOT apply during education. They begin in the first year of work (including medical residency).</t>
  </si>
  <si>
    <t>Cash on hand increases each year by the same percentage as the gross salary year-over-year percentage change. In the first year of work (salary increase = 0%), cash on hand stays unchanged. The 'First Year of Work' rule (0% increase and flat cash-on-hand) applies only to the first year of the very first employment phase. Subsequent career jumps (e.g., Residency to Attending) are treated as standard salary increases. During retirement (salary = $0), cash on hand remains unchanged at its last working-year level.</t>
  </si>
  <si>
    <t>The 2026 monthly spend is the base for all work spending categories. Regular (non-lifestyle) inflation compounds annually from 2026 onward, regardless of whether the person is working. When work begins, the work spending base equals the 2026 base compounded by regular inflation. Lifestyle inflation then applies on top from the second year of work onward.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</si>
</sst>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0\);\-"/>
    <numFmt numFmtId="165" formatCode="#,##0.00_);\(#,##0.00\);\-"/>
  </numFmts>
  <fonts count="17">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
      <sz val="10"/>
      <color rgb="FF0000FF"/>
      <name val="Aptos Narrow"/>
      <family val="2"/>
      <scheme val="minor"/>
    </font>
    <font>
      <sz val="11"/>
      <color rgb="FF0000FF"/>
      <name val="Aptos Narrow"/>
      <family val="2"/>
      <scheme val="minor"/>
    </font>
    <font>
      <b/>
      <sz val="10"/>
      <color theme="1"/>
      <name val="Arial"/>
      <family val="2"/>
    </font>
    <font>
      <b/>
      <sz val="10"/>
      <color theme="1"/>
      <name val="Aptos Narrow"/>
      <family val="2"/>
      <scheme val="minor"/>
    </font>
    <font>
      <sz val="10"/>
      <color theme="1"/>
      <name val="Arial"/>
      <family val="2"/>
    </font>
    <font>
      <sz val="10"/>
      <color rgb="FF0000FF"/>
      <name val="Arial"/>
      <family val="2"/>
    </font>
    <font>
      <sz val="8"/>
      <name val="Aptos Narrow"/>
      <family val="2"/>
      <scheme val="minor"/>
    </font>
    <font>
      <sz val="11"/>
      <color theme="1"/>
      <name val="Roboto"/>
    </font>
    <font>
      <sz val="11"/>
      <name val="Roboto"/>
    </font>
    <font>
      <b/>
      <sz val="48"/>
      <color theme="0"/>
      <name val="ROBOTECH GP"/>
      <family val="2"/>
    </font>
    <font>
      <b/>
      <sz val="24"/>
      <color theme="0"/>
      <name val="ROBOTECH GP"/>
      <family val="2"/>
    </font>
    <font>
      <sz val="12"/>
      <color theme="1"/>
      <name val="Aptos"/>
      <family val="2"/>
    </font>
    <font>
      <b/>
      <sz val="12"/>
      <color theme="1"/>
      <name val="Aptos Narrow"/>
      <family val="2"/>
      <scheme val="minor"/>
    </font>
  </fonts>
  <fills count="7">
    <fill>
      <patternFill patternType="none"/>
    </fill>
    <fill>
      <patternFill patternType="gray125"/>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
      <gradientFill>
        <stop position="0">
          <color rgb="FF007B00"/>
        </stop>
        <stop position="1">
          <color rgb="FF020024"/>
        </stop>
      </gradientFill>
    </fill>
    <fill>
      <patternFill patternType="solid">
        <fgColor theme="7" tint="0.79998168889431442"/>
        <bgColor indexed="64"/>
      </patternFill>
    </fill>
  </fills>
  <borders count="6">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7">
    <xf numFmtId="0" fontId="0" fillId="0" borderId="0"/>
    <xf numFmtId="0" fontId="1" fillId="0" borderId="0"/>
    <xf numFmtId="0" fontId="3" fillId="0" borderId="0"/>
    <xf numFmtId="4" fontId="6" fillId="3" borderId="1">
      <alignment horizontal="left"/>
    </xf>
    <xf numFmtId="164" fontId="8" fillId="0" borderId="0" applyBorder="0"/>
    <xf numFmtId="164" fontId="9" fillId="2" borderId="2">
      <protection locked="0"/>
    </xf>
    <xf numFmtId="0" fontId="9" fillId="0" borderId="0" applyNumberFormat="0" applyFill="0" applyBorder="0">
      <alignment horizontal="right"/>
    </xf>
  </cellStyleXfs>
  <cellXfs count="26">
    <xf numFmtId="0" fontId="0" fillId="0" borderId="0" xfId="0"/>
    <xf numFmtId="0" fontId="2" fillId="0" borderId="0" xfId="0" applyFont="1"/>
    <xf numFmtId="4" fontId="5" fillId="2" borderId="2" xfId="0" applyNumberFormat="1" applyFont="1" applyFill="1" applyBorder="1"/>
    <xf numFmtId="4" fontId="7" fillId="4" borderId="1" xfId="3" applyFont="1" applyFill="1">
      <alignment horizontal="left"/>
    </xf>
    <xf numFmtId="4" fontId="2" fillId="4" borderId="1" xfId="3" applyFont="1" applyFill="1">
      <alignment horizontal="left"/>
    </xf>
    <xf numFmtId="0" fontId="4" fillId="0" borderId="0" xfId="0" applyFont="1"/>
    <xf numFmtId="14" fontId="5" fillId="2" borderId="2" xfId="0" applyNumberFormat="1" applyFont="1" applyFill="1" applyBorder="1"/>
    <xf numFmtId="0" fontId="11" fillId="0" borderId="0" xfId="1" applyFont="1"/>
    <xf numFmtId="0" fontId="12" fillId="0" borderId="0" xfId="1" applyFont="1"/>
    <xf numFmtId="0" fontId="11" fillId="0" borderId="0" xfId="1" applyFont="1" applyAlignment="1">
      <alignment horizontal="center"/>
    </xf>
    <xf numFmtId="0" fontId="12" fillId="0" borderId="0" xfId="1" applyFont="1" applyAlignment="1">
      <alignment horizontal="center"/>
    </xf>
    <xf numFmtId="0" fontId="15" fillId="0" borderId="0" xfId="0" applyFont="1" applyAlignment="1">
      <alignment vertical="center"/>
    </xf>
    <xf numFmtId="0" fontId="16" fillId="0" borderId="0" xfId="2" applyFont="1"/>
    <xf numFmtId="0" fontId="3" fillId="0" borderId="0" xfId="2"/>
    <xf numFmtId="0" fontId="11" fillId="0" borderId="0" xfId="1" applyFont="1" applyAlignment="1">
      <alignment horizontal="left"/>
    </xf>
    <xf numFmtId="165" fontId="9" fillId="0" borderId="0" xfId="6" applyNumberFormat="1" applyAlignment="1">
      <alignment horizontal="left"/>
    </xf>
    <xf numFmtId="10" fontId="5" fillId="2" borderId="2" xfId="0" applyNumberFormat="1" applyFont="1" applyFill="1" applyBorder="1"/>
    <xf numFmtId="4" fontId="11" fillId="6" borderId="2" xfId="1" quotePrefix="1" applyNumberFormat="1" applyFont="1" applyFill="1" applyBorder="1" applyAlignment="1">
      <alignment horizontal="center"/>
    </xf>
    <xf numFmtId="3" fontId="5" fillId="2" borderId="2" xfId="0" applyNumberFormat="1" applyFont="1" applyFill="1" applyBorder="1"/>
    <xf numFmtId="4" fontId="0" fillId="0" borderId="0" xfId="0" applyNumberFormat="1"/>
    <xf numFmtId="10" fontId="0" fillId="0" borderId="0" xfId="0" applyNumberFormat="1"/>
    <xf numFmtId="0" fontId="13" fillId="5" borderId="3" xfId="2" applyFont="1" applyFill="1" applyBorder="1" applyAlignment="1">
      <alignment horizontal="center" vertical="center"/>
    </xf>
    <xf numFmtId="0" fontId="13" fillId="5" borderId="1" xfId="2" applyFont="1" applyFill="1" applyBorder="1" applyAlignment="1">
      <alignment horizontal="center" vertical="center"/>
    </xf>
    <xf numFmtId="0" fontId="13" fillId="5" borderId="4" xfId="2" applyFont="1" applyFill="1" applyBorder="1" applyAlignment="1">
      <alignment horizontal="center" vertical="center"/>
    </xf>
    <xf numFmtId="0" fontId="14" fillId="5" borderId="5" xfId="2" applyFont="1" applyFill="1" applyBorder="1" applyAlignment="1">
      <alignment horizontal="center" vertical="center"/>
    </xf>
    <xf numFmtId="0" fontId="14" fillId="5" borderId="0" xfId="2" applyFont="1" applyFill="1" applyAlignment="1">
      <alignment horizontal="center" vertical="center"/>
    </xf>
  </cellXfs>
  <cellStyles count="7">
    <cellStyle name="M Section Header" xfId="3" xr:uid="{F944F0E6-F034-49F8-8B3F-D0C9E50BA2F6}"/>
    <cellStyle name="M Units" xfId="6" xr:uid="{B591442F-CADB-4FD5-9324-DD1119747805}"/>
    <cellStyle name="M-A 0dp" xfId="5" xr:uid="{80AB76FC-3C43-4EFF-B2A6-1E81FFBC781B}"/>
    <cellStyle name="M-C 0dp Num" xfId="4" xr:uid="{C7EF620F-9501-4FBB-93FF-813E47ED464B}"/>
    <cellStyle name="Normal" xfId="0" builtinId="0"/>
    <cellStyle name="Normal 2" xfId="2" xr:uid="{037B3D13-DA10-4240-9E6B-55FD128391C9}"/>
    <cellStyle name="Normal 3" xfId="1" xr:uid="{1C87C372-71EA-4FEE-904D-475CC6E05479}"/>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05585-2C4B-4272-9AD0-C24F524B71E1}">
  <sheetPr>
    <tabColor theme="8" tint="-0.249977111117893"/>
  </sheetPr>
  <dimension ref="A1:K41"/>
  <sheetViews>
    <sheetView showGridLines="0" tabSelected="1" zoomScale="79" zoomScaleNormal="80" zoomScaleSheetLayoutView="100" workbookViewId="0"/>
  </sheetViews>
  <sheetFormatPr defaultColWidth="5.21875" defaultRowHeight="14.4"/>
  <cols>
    <col min="1" max="1" width="1.88671875" style="7" customWidth="1"/>
    <col min="2" max="2" width="32.109375" style="9" customWidth="1"/>
    <col min="3" max="3" width="17.109375" style="9" bestFit="1" customWidth="1"/>
    <col min="4" max="4" width="20.88671875" style="9" bestFit="1" customWidth="1"/>
    <col min="5" max="5" width="24.109375" style="9" customWidth="1"/>
    <col min="6" max="6" width="21.5546875" style="9" customWidth="1"/>
    <col min="7" max="7" width="26.33203125" style="9" bestFit="1" customWidth="1"/>
    <col min="8" max="8" width="40.109375" style="9" customWidth="1"/>
    <col min="9" max="9" width="23.5546875" style="10" customWidth="1"/>
    <col min="10" max="10" width="23.5546875" style="8" customWidth="1"/>
    <col min="11" max="11" width="27.77734375" style="8" customWidth="1"/>
    <col min="12" max="12" width="20.5546875" style="8" customWidth="1"/>
    <col min="13" max="376" width="11.109375" style="8" bestFit="1" customWidth="1"/>
    <col min="377" max="377" width="5.21875" style="8"/>
    <col min="378" max="383" width="9.6640625" style="8" customWidth="1"/>
    <col min="384" max="384" width="5.21875" style="8"/>
    <col min="385" max="393" width="9.6640625" style="8" customWidth="1"/>
    <col min="394" max="16384" width="5.21875" style="8"/>
  </cols>
  <sheetData>
    <row r="1" spans="2:11" ht="15" customHeight="1">
      <c r="B1" s="7"/>
      <c r="C1" s="7"/>
      <c r="D1" s="7"/>
      <c r="E1" s="7"/>
      <c r="F1" s="7"/>
      <c r="G1" s="7"/>
      <c r="H1" s="7"/>
      <c r="I1" s="7"/>
      <c r="J1" s="7"/>
      <c r="K1" s="7"/>
    </row>
    <row r="2" spans="2:11" ht="60.75" customHeight="1">
      <c r="B2" s="21" t="s">
        <v>7</v>
      </c>
      <c r="C2" s="22"/>
      <c r="D2" s="22"/>
      <c r="E2" s="22"/>
      <c r="F2" s="22"/>
      <c r="G2" s="22"/>
      <c r="H2" s="22"/>
      <c r="I2" s="22"/>
      <c r="J2" s="22"/>
      <c r="K2" s="23"/>
    </row>
    <row r="3" spans="2:11" ht="15" customHeight="1">
      <c r="B3" s="7"/>
      <c r="C3" s="7"/>
      <c r="D3" s="7"/>
      <c r="E3" s="7"/>
      <c r="F3" s="7"/>
      <c r="G3" s="7"/>
      <c r="H3" s="7"/>
      <c r="I3" s="7"/>
      <c r="J3" s="7"/>
      <c r="K3" s="7"/>
    </row>
    <row r="4" spans="2:11" ht="33.75" customHeight="1">
      <c r="B4" s="24" t="s">
        <v>50</v>
      </c>
      <c r="C4" s="25"/>
      <c r="D4" s="25"/>
      <c r="E4" s="25"/>
      <c r="F4" s="25"/>
      <c r="G4" s="25"/>
      <c r="H4" s="25"/>
      <c r="I4" s="25"/>
      <c r="J4" s="7"/>
    </row>
    <row r="5" spans="2:11" ht="15" customHeight="1">
      <c r="B5" s="7"/>
      <c r="C5" s="7"/>
      <c r="D5" s="7"/>
      <c r="E5" s="7"/>
      <c r="F5" s="7"/>
      <c r="G5" s="7"/>
      <c r="H5" s="7"/>
      <c r="I5" s="7"/>
      <c r="J5" s="7"/>
      <c r="K5" s="7"/>
    </row>
    <row r="6" spans="2:11" ht="15.6">
      <c r="B6" s="11" t="s">
        <v>42</v>
      </c>
    </row>
    <row r="7" spans="2:11" ht="15.6">
      <c r="B7" s="11" t="s">
        <v>52</v>
      </c>
    </row>
    <row r="8" spans="2:11" ht="15.6">
      <c r="B8" s="11" t="s">
        <v>53</v>
      </c>
    </row>
    <row r="9" spans="2:11" ht="15.6">
      <c r="B9" s="11" t="s">
        <v>176</v>
      </c>
    </row>
    <row r="10" spans="2:11" ht="15.6">
      <c r="B10" s="11" t="s">
        <v>40</v>
      </c>
    </row>
    <row r="11" spans="2:11" ht="15.6">
      <c r="B11" s="11"/>
    </row>
    <row r="12" spans="2:11" ht="15.6">
      <c r="B12" s="11" t="s">
        <v>90</v>
      </c>
    </row>
    <row r="13" spans="2:11" ht="15.6">
      <c r="B13" s="11" t="s">
        <v>91</v>
      </c>
    </row>
    <row r="14" spans="2:11" ht="15.6">
      <c r="B14" s="11" t="s">
        <v>183</v>
      </c>
    </row>
    <row r="15" spans="2:11" ht="15.6">
      <c r="B15" s="11"/>
    </row>
    <row r="16" spans="2:11" ht="15.6">
      <c r="B16" s="11" t="s">
        <v>92</v>
      </c>
    </row>
    <row r="17" spans="2:2" ht="15.6">
      <c r="B17" s="11" t="s">
        <v>43</v>
      </c>
    </row>
    <row r="18" spans="2:2" ht="15.6">
      <c r="B18" s="11" t="s">
        <v>46</v>
      </c>
    </row>
    <row r="19" spans="2:2" ht="15.6">
      <c r="B19" s="11" t="s">
        <v>185</v>
      </c>
    </row>
    <row r="20" spans="2:2" ht="15.6">
      <c r="B20" s="11"/>
    </row>
    <row r="21" spans="2:2" ht="15.6">
      <c r="B21" s="11" t="s">
        <v>93</v>
      </c>
    </row>
    <row r="22" spans="2:2" ht="15.6">
      <c r="B22" s="11" t="s">
        <v>184</v>
      </c>
    </row>
    <row r="23" spans="2:2" ht="15.6">
      <c r="B23" s="11" t="s">
        <v>177</v>
      </c>
    </row>
    <row r="24" spans="2:2" ht="15.6">
      <c r="B24" s="11" t="s">
        <v>48</v>
      </c>
    </row>
    <row r="25" spans="2:2" ht="15.6">
      <c r="B25" s="11" t="s">
        <v>41</v>
      </c>
    </row>
    <row r="26" spans="2:2" ht="15.6">
      <c r="B26" s="11" t="s">
        <v>96</v>
      </c>
    </row>
    <row r="27" spans="2:2" ht="15.6">
      <c r="B27" s="11" t="s">
        <v>97</v>
      </c>
    </row>
    <row r="28" spans="2:2" ht="15.6">
      <c r="B28" s="11" t="s">
        <v>45</v>
      </c>
    </row>
    <row r="29" spans="2:2" ht="15.6">
      <c r="B29" s="11" t="s">
        <v>181</v>
      </c>
    </row>
    <row r="30" spans="2:2" ht="15.6">
      <c r="B30" s="11" t="s">
        <v>95</v>
      </c>
    </row>
    <row r="31" spans="2:2" ht="15.6">
      <c r="B31" s="11"/>
    </row>
    <row r="32" spans="2:2" ht="15.6">
      <c r="B32" s="11" t="s">
        <v>49</v>
      </c>
    </row>
    <row r="33" spans="2:2" ht="15.6">
      <c r="B33" s="11" t="s">
        <v>168</v>
      </c>
    </row>
    <row r="34" spans="2:2" ht="15.6">
      <c r="B34" s="11" t="s">
        <v>178</v>
      </c>
    </row>
    <row r="35" spans="2:2" ht="15.6">
      <c r="B35" s="11" t="s">
        <v>180</v>
      </c>
    </row>
    <row r="36" spans="2:2" ht="15.6">
      <c r="B36" s="11"/>
    </row>
    <row r="37" spans="2:2" ht="15.6">
      <c r="B37" s="11" t="s">
        <v>98</v>
      </c>
    </row>
    <row r="38" spans="2:2" ht="15.6">
      <c r="B38" s="11" t="s">
        <v>99</v>
      </c>
    </row>
    <row r="39" spans="2:2" ht="15.6">
      <c r="B39" s="11" t="s">
        <v>100</v>
      </c>
    </row>
    <row r="40" spans="2:2" ht="15.6">
      <c r="B40" s="11"/>
    </row>
    <row r="41" spans="2:2" ht="15.6">
      <c r="B41" s="11"/>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H102"/>
  <sheetViews>
    <sheetView showGridLines="0" zoomScale="80" workbookViewId="0"/>
  </sheetViews>
  <sheetFormatPr defaultRowHeight="14.4"/>
  <cols>
    <col min="1" max="1" width="4.77734375" style="1" customWidth="1"/>
    <col min="2" max="2" width="5.33203125" style="1" customWidth="1"/>
    <col min="3" max="3" width="47.21875" bestFit="1" customWidth="1"/>
    <col min="4" max="4" width="25.109375" bestFit="1" customWidth="1"/>
    <col min="5" max="5" width="9.88671875" bestFit="1" customWidth="1"/>
    <col min="6" max="6" width="10.44140625" customWidth="1"/>
    <col min="7" max="7" width="9" customWidth="1"/>
    <col min="8" max="8" width="12.109375" bestFit="1" customWidth="1"/>
    <col min="9" max="9" width="9.21875" bestFit="1" customWidth="1"/>
    <col min="10" max="10" width="9.109375" bestFit="1" customWidth="1"/>
    <col min="11" max="24" width="10.21875" bestFit="1" customWidth="1"/>
    <col min="25" max="27" width="9.109375" bestFit="1" customWidth="1"/>
    <col min="28" max="28" width="9.77734375" bestFit="1" customWidth="1"/>
    <col min="29" max="29" width="9.109375" bestFit="1" customWidth="1"/>
    <col min="30" max="30" width="9" bestFit="1" customWidth="1"/>
    <col min="31" max="32" width="9.109375" bestFit="1" customWidth="1"/>
    <col min="33" max="35" width="9" bestFit="1" customWidth="1"/>
    <col min="36" max="36" width="9.77734375" bestFit="1" customWidth="1"/>
    <col min="37" max="40" width="9.109375" bestFit="1" customWidth="1"/>
    <col min="41" max="42" width="9" bestFit="1" customWidth="1"/>
    <col min="43" max="45" width="9.109375" bestFit="1" customWidth="1"/>
    <col min="46" max="46" width="9" bestFit="1" customWidth="1"/>
    <col min="47" max="55" width="9.109375" bestFit="1" customWidth="1"/>
    <col min="56" max="56" width="9.77734375" bestFit="1" customWidth="1"/>
    <col min="57" max="58" width="9.109375" bestFit="1" customWidth="1"/>
    <col min="59" max="60" width="9" bestFit="1" customWidth="1"/>
    <col min="61" max="63" width="9.109375" bestFit="1" customWidth="1"/>
    <col min="64" max="64" width="9.77734375" bestFit="1" customWidth="1"/>
    <col min="65" max="65" width="9.109375" bestFit="1" customWidth="1"/>
    <col min="66" max="66" width="9" bestFit="1" customWidth="1"/>
    <col min="67" max="67" width="9.109375" bestFit="1" customWidth="1"/>
    <col min="68" max="69" width="9" bestFit="1" customWidth="1"/>
    <col min="70" max="70" width="9.109375" bestFit="1" customWidth="1"/>
    <col min="71" max="71" width="9.77734375" bestFit="1" customWidth="1"/>
    <col min="72" max="72" width="9.109375" bestFit="1" customWidth="1"/>
    <col min="73" max="73" width="9" bestFit="1" customWidth="1"/>
    <col min="74" max="74" width="9.109375" bestFit="1" customWidth="1"/>
    <col min="75" max="75" width="9" bestFit="1" customWidth="1"/>
    <col min="76" max="79" width="9.109375" bestFit="1" customWidth="1"/>
    <col min="80" max="80" width="9.77734375" bestFit="1" customWidth="1"/>
    <col min="81" max="81" width="9" bestFit="1" customWidth="1"/>
    <col min="82" max="84" width="9.109375" bestFit="1" customWidth="1"/>
    <col min="85" max="85" width="9" bestFit="1" customWidth="1"/>
    <col min="86" max="87" width="9.109375" bestFit="1" customWidth="1"/>
    <col min="88" max="90" width="9" bestFit="1" customWidth="1"/>
    <col min="91" max="94" width="9.109375" bestFit="1" customWidth="1"/>
    <col min="95" max="95" width="9.77734375" bestFit="1" customWidth="1"/>
    <col min="96" max="96" width="9.109375" bestFit="1" customWidth="1"/>
    <col min="97" max="99" width="9" bestFit="1" customWidth="1"/>
    <col min="100" max="100" width="9.109375" bestFit="1" customWidth="1"/>
    <col min="101" max="101" width="9.77734375" bestFit="1" customWidth="1"/>
    <col min="102" max="106" width="9.109375" bestFit="1" customWidth="1"/>
    <col min="107" max="107" width="9" bestFit="1" customWidth="1"/>
    <col min="108" max="113" width="9.109375" bestFit="1" customWidth="1"/>
    <col min="114" max="114" width="9" bestFit="1" customWidth="1"/>
    <col min="115" max="116" width="9.109375" bestFit="1" customWidth="1"/>
    <col min="117" max="117" width="9" bestFit="1" customWidth="1"/>
    <col min="118" max="118" width="9.109375" bestFit="1" customWidth="1"/>
    <col min="119" max="119" width="9.77734375" bestFit="1" customWidth="1"/>
    <col min="120" max="123" width="9.109375" bestFit="1" customWidth="1"/>
    <col min="124" max="124" width="9.77734375" bestFit="1" customWidth="1"/>
    <col min="125" max="126" width="9.109375" bestFit="1" customWidth="1"/>
    <col min="127" max="128" width="9.77734375" bestFit="1" customWidth="1"/>
    <col min="129" max="129" width="9.109375" bestFit="1" customWidth="1"/>
    <col min="130" max="133" width="9.77734375" bestFit="1" customWidth="1"/>
    <col min="134" max="140" width="9.109375" bestFit="1" customWidth="1"/>
    <col min="141" max="141" width="9" bestFit="1" customWidth="1"/>
    <col min="142" max="142" width="9.109375" bestFit="1" customWidth="1"/>
    <col min="143" max="143" width="9" bestFit="1" customWidth="1"/>
    <col min="144" max="145" width="9.109375" bestFit="1" customWidth="1"/>
    <col min="146" max="146" width="9.77734375" bestFit="1" customWidth="1"/>
    <col min="147" max="148" width="9.109375" bestFit="1" customWidth="1"/>
    <col min="149" max="149" width="9" bestFit="1" customWidth="1"/>
    <col min="150" max="151" width="9.109375" bestFit="1" customWidth="1"/>
    <col min="152" max="153" width="9.77734375" bestFit="1" customWidth="1"/>
    <col min="154" max="156" width="9.109375" bestFit="1" customWidth="1"/>
    <col min="157" max="158" width="9" bestFit="1" customWidth="1"/>
    <col min="159" max="161" width="9.109375" bestFit="1" customWidth="1"/>
    <col min="162" max="162" width="9" bestFit="1" customWidth="1"/>
    <col min="163" max="164" width="9.77734375" bestFit="1" customWidth="1"/>
    <col min="165" max="165" width="9.109375" bestFit="1" customWidth="1"/>
    <col min="166" max="166" width="9" bestFit="1" customWidth="1"/>
    <col min="167" max="172" width="9.109375" bestFit="1" customWidth="1"/>
    <col min="173" max="173" width="9" bestFit="1" customWidth="1"/>
    <col min="174" max="178" width="9.109375" bestFit="1" customWidth="1"/>
    <col min="179" max="179" width="9" bestFit="1" customWidth="1"/>
    <col min="180" max="180" width="9.109375" bestFit="1" customWidth="1"/>
    <col min="181" max="181" width="9.77734375" bestFit="1" customWidth="1"/>
    <col min="182" max="185" width="9.109375" bestFit="1" customWidth="1"/>
    <col min="186" max="186" width="9" bestFit="1" customWidth="1"/>
    <col min="187" max="194" width="9.109375" bestFit="1" customWidth="1"/>
    <col min="195" max="195" width="9.77734375" bestFit="1" customWidth="1"/>
    <col min="196" max="200" width="9.109375" bestFit="1" customWidth="1"/>
    <col min="201" max="201" width="10.109375" bestFit="1" customWidth="1"/>
    <col min="202" max="202" width="9" bestFit="1" customWidth="1"/>
    <col min="203" max="203" width="9.77734375" bestFit="1" customWidth="1"/>
    <col min="204" max="205" width="9.109375" bestFit="1" customWidth="1"/>
    <col min="206" max="206" width="10.109375" bestFit="1" customWidth="1"/>
    <col min="207" max="208" width="9.109375" bestFit="1" customWidth="1"/>
    <col min="209" max="209" width="9.77734375" bestFit="1" customWidth="1"/>
    <col min="210" max="210" width="9.109375" bestFit="1" customWidth="1"/>
    <col min="211" max="211" width="9" bestFit="1" customWidth="1"/>
    <col min="212" max="213" width="10.109375" bestFit="1" customWidth="1"/>
    <col min="214" max="214" width="9" bestFit="1" customWidth="1"/>
    <col min="215" max="217" width="9.109375" bestFit="1" customWidth="1"/>
    <col min="218" max="218" width="10.77734375" bestFit="1" customWidth="1"/>
    <col min="219" max="219" width="9.109375" bestFit="1" customWidth="1"/>
    <col min="220" max="220" width="9" bestFit="1" customWidth="1"/>
    <col min="221" max="221" width="10.109375" bestFit="1" customWidth="1"/>
    <col min="222" max="222" width="9" bestFit="1" customWidth="1"/>
    <col min="223" max="225" width="9.109375" bestFit="1" customWidth="1"/>
    <col min="226" max="226" width="9" bestFit="1" customWidth="1"/>
    <col min="227" max="227" width="9.109375" bestFit="1" customWidth="1"/>
    <col min="228" max="228" width="9.77734375" bestFit="1" customWidth="1"/>
    <col min="229" max="230" width="9.109375" bestFit="1" customWidth="1"/>
    <col min="231" max="231" width="10.109375" bestFit="1" customWidth="1"/>
    <col min="232" max="232" width="9.109375" bestFit="1" customWidth="1"/>
    <col min="233" max="233" width="10.109375" bestFit="1" customWidth="1"/>
    <col min="234" max="235" width="9.109375" bestFit="1" customWidth="1"/>
    <col min="236" max="236" width="9.77734375" bestFit="1" customWidth="1"/>
    <col min="237" max="237" width="9.109375" bestFit="1" customWidth="1"/>
    <col min="238" max="238" width="9.77734375" bestFit="1" customWidth="1"/>
    <col min="239" max="239" width="9" bestFit="1" customWidth="1"/>
    <col min="240" max="240" width="9.77734375" bestFit="1" customWidth="1"/>
    <col min="241" max="243" width="9.109375" bestFit="1" customWidth="1"/>
    <col min="244" max="244" width="9" bestFit="1" customWidth="1"/>
  </cols>
  <sheetData>
    <row r="1" spans="1:5">
      <c r="A1" s="1" t="str">
        <f>Instructions!B2&amp;": "&amp;Instructions!B4</f>
        <v>Wealth Management Task: Retirement / Savings Calculators - Doctor vs. Trade</v>
      </c>
    </row>
    <row r="2" spans="1:5">
      <c r="A2" s="1" t="s">
        <v>2</v>
      </c>
    </row>
    <row r="4" spans="1:5" s="3" customFormat="1" ht="14.4" customHeight="1">
      <c r="B4" s="4" t="s">
        <v>8</v>
      </c>
    </row>
    <row r="6" spans="1:5">
      <c r="C6" t="s">
        <v>9</v>
      </c>
      <c r="D6" s="6">
        <v>46388</v>
      </c>
      <c r="E6" s="15"/>
    </row>
    <row r="7" spans="1:5">
      <c r="C7" t="s">
        <v>10</v>
      </c>
      <c r="D7" s="18">
        <v>18</v>
      </c>
      <c r="E7" s="15" t="s">
        <v>0</v>
      </c>
    </row>
    <row r="8" spans="1:5">
      <c r="C8" t="s">
        <v>12</v>
      </c>
      <c r="D8" s="18">
        <v>67</v>
      </c>
      <c r="E8" s="15" t="s">
        <v>0</v>
      </c>
    </row>
    <row r="9" spans="1:5">
      <c r="C9" t="s">
        <v>13</v>
      </c>
      <c r="D9" s="18">
        <v>100</v>
      </c>
      <c r="E9" s="15" t="s">
        <v>0</v>
      </c>
    </row>
    <row r="10" spans="1:5">
      <c r="C10" t="s">
        <v>47</v>
      </c>
      <c r="D10" s="18">
        <v>12</v>
      </c>
      <c r="E10" s="15"/>
    </row>
    <row r="11" spans="1:5">
      <c r="E11" s="15"/>
    </row>
    <row r="12" spans="1:5" s="3" customFormat="1" ht="14.4" customHeight="1">
      <c r="B12" s="4" t="s">
        <v>27</v>
      </c>
    </row>
    <row r="13" spans="1:5">
      <c r="E13" s="15"/>
    </row>
    <row r="14" spans="1:5">
      <c r="C14" t="s">
        <v>73</v>
      </c>
      <c r="D14" s="18">
        <v>1</v>
      </c>
      <c r="E14" s="15" t="s">
        <v>74</v>
      </c>
    </row>
    <row r="15" spans="1:5">
      <c r="C15" t="s">
        <v>75</v>
      </c>
      <c r="D15" s="18">
        <v>4</v>
      </c>
      <c r="E15" s="15" t="s">
        <v>0</v>
      </c>
    </row>
    <row r="16" spans="1:5">
      <c r="C16" t="s">
        <v>76</v>
      </c>
      <c r="D16" s="18">
        <v>5</v>
      </c>
      <c r="E16" s="15" t="s">
        <v>0</v>
      </c>
    </row>
    <row r="17" spans="2:8">
      <c r="E17" s="15"/>
    </row>
    <row r="18" spans="2:8" s="3" customFormat="1" ht="14.4" customHeight="1">
      <c r="B18" s="4" t="s">
        <v>11</v>
      </c>
    </row>
    <row r="19" spans="2:8">
      <c r="E19" s="15"/>
    </row>
    <row r="20" spans="2:8">
      <c r="C20" t="s">
        <v>77</v>
      </c>
      <c r="D20" s="2">
        <v>60000</v>
      </c>
      <c r="E20" s="15" t="s">
        <v>67</v>
      </c>
    </row>
    <row r="21" spans="2:8">
      <c r="C21" t="s">
        <v>78</v>
      </c>
      <c r="D21" s="16">
        <v>0.02</v>
      </c>
      <c r="E21" s="15" t="s">
        <v>14</v>
      </c>
    </row>
    <row r="22" spans="2:8">
      <c r="C22" t="s">
        <v>79</v>
      </c>
      <c r="D22" s="2">
        <v>195000</v>
      </c>
      <c r="E22" s="15" t="s">
        <v>67</v>
      </c>
    </row>
    <row r="23" spans="2:8">
      <c r="C23" t="s">
        <v>81</v>
      </c>
      <c r="D23" s="16">
        <v>0.05</v>
      </c>
      <c r="E23" s="15" t="s">
        <v>14</v>
      </c>
    </row>
    <row r="24" spans="2:8">
      <c r="C24" t="s">
        <v>80</v>
      </c>
      <c r="D24" s="2">
        <v>55000</v>
      </c>
      <c r="E24" s="15" t="s">
        <v>67</v>
      </c>
    </row>
    <row r="25" spans="2:8">
      <c r="C25" t="s">
        <v>82</v>
      </c>
      <c r="D25" s="16">
        <v>3.2800000000000003E-2</v>
      </c>
      <c r="E25" s="15" t="s">
        <v>14</v>
      </c>
    </row>
    <row r="26" spans="2:8">
      <c r="E26" s="15"/>
    </row>
    <row r="27" spans="2:8" s="3" customFormat="1" ht="14.4" customHeight="1">
      <c r="B27" s="4" t="s">
        <v>16</v>
      </c>
    </row>
    <row r="28" spans="2:8">
      <c r="E28" s="15"/>
    </row>
    <row r="29" spans="2:8">
      <c r="C29" s="1" t="s">
        <v>179</v>
      </c>
      <c r="D29" s="1" t="s">
        <v>15</v>
      </c>
      <c r="E29" s="15"/>
    </row>
    <row r="30" spans="2:8">
      <c r="C30" t="s">
        <v>54</v>
      </c>
      <c r="D30" s="16">
        <v>0</v>
      </c>
      <c r="E30" s="15" t="s">
        <v>14</v>
      </c>
      <c r="F30" s="19">
        <v>0</v>
      </c>
    </row>
    <row r="31" spans="2:8">
      <c r="C31" t="s">
        <v>55</v>
      </c>
      <c r="D31" s="16">
        <v>0.16</v>
      </c>
      <c r="E31" s="15" t="s">
        <v>14</v>
      </c>
      <c r="F31" s="19">
        <v>12000.01</v>
      </c>
      <c r="H31" s="20"/>
    </row>
    <row r="32" spans="2:8">
      <c r="C32" t="s">
        <v>84</v>
      </c>
      <c r="D32" s="16">
        <v>0.21000000000000002</v>
      </c>
      <c r="E32" s="15" t="s">
        <v>14</v>
      </c>
      <c r="F32" s="19">
        <v>17000.009999999998</v>
      </c>
    </row>
    <row r="33" spans="2:6">
      <c r="C33" t="s">
        <v>83</v>
      </c>
      <c r="D33" s="16">
        <v>0.22500000000000001</v>
      </c>
      <c r="E33" s="15" t="s">
        <v>14</v>
      </c>
      <c r="F33" s="19">
        <v>20000.009999999998</v>
      </c>
    </row>
    <row r="34" spans="2:6">
      <c r="C34" t="s">
        <v>56</v>
      </c>
      <c r="D34" s="16">
        <v>0.26</v>
      </c>
      <c r="E34" s="15" t="s">
        <v>14</v>
      </c>
      <c r="F34" s="19">
        <v>26000.01</v>
      </c>
    </row>
    <row r="35" spans="2:6">
      <c r="C35" t="s">
        <v>57</v>
      </c>
      <c r="D35" s="16">
        <v>0.315</v>
      </c>
      <c r="E35" s="15" t="s">
        <v>14</v>
      </c>
      <c r="F35" s="19">
        <v>40000.01</v>
      </c>
    </row>
    <row r="36" spans="2:6">
      <c r="C36" t="s">
        <v>58</v>
      </c>
      <c r="D36" s="16">
        <v>0.36</v>
      </c>
      <c r="E36" s="15" t="s">
        <v>14</v>
      </c>
      <c r="F36" s="19">
        <v>62500.01</v>
      </c>
    </row>
    <row r="37" spans="2:6">
      <c r="C37" t="s">
        <v>59</v>
      </c>
      <c r="D37" s="16">
        <v>0.43</v>
      </c>
      <c r="E37" s="15" t="s">
        <v>14</v>
      </c>
      <c r="F37" s="19">
        <v>80000.009999999995</v>
      </c>
    </row>
    <row r="38" spans="2:6">
      <c r="C38" t="s">
        <v>60</v>
      </c>
      <c r="D38" s="16">
        <v>0.46</v>
      </c>
      <c r="E38" s="15" t="s">
        <v>14</v>
      </c>
      <c r="F38" s="19">
        <v>257000.01</v>
      </c>
    </row>
    <row r="39" spans="2:6">
      <c r="E39" s="15"/>
    </row>
    <row r="40" spans="2:6">
      <c r="C40" t="s">
        <v>30</v>
      </c>
      <c r="D40" s="16">
        <v>1.95E-2</v>
      </c>
      <c r="E40" s="15" t="s">
        <v>14</v>
      </c>
      <c r="F40" t="s">
        <v>51</v>
      </c>
    </row>
    <row r="41" spans="2:6">
      <c r="E41" s="15"/>
    </row>
    <row r="42" spans="2:6" s="3" customFormat="1" ht="14.4" customHeight="1">
      <c r="B42" s="4" t="s">
        <v>66</v>
      </c>
    </row>
    <row r="43" spans="2:6">
      <c r="E43" s="15"/>
    </row>
    <row r="44" spans="2:6">
      <c r="C44" s="1" t="s">
        <v>17</v>
      </c>
      <c r="D44" s="1" t="s">
        <v>85</v>
      </c>
      <c r="E44" s="1" t="s">
        <v>18</v>
      </c>
    </row>
    <row r="45" spans="2:6">
      <c r="C45" t="s">
        <v>88</v>
      </c>
      <c r="D45" s="2">
        <v>2200</v>
      </c>
      <c r="E45" s="16">
        <v>2.1000000000000001E-2</v>
      </c>
    </row>
    <row r="46" spans="2:6">
      <c r="C46" t="s">
        <v>89</v>
      </c>
      <c r="D46" s="2">
        <v>1800</v>
      </c>
      <c r="E46" s="16">
        <v>2.1000000000000001E-2</v>
      </c>
    </row>
    <row r="47" spans="2:6">
      <c r="E47" s="15"/>
    </row>
    <row r="48" spans="2:6" s="3" customFormat="1" ht="14.4" customHeight="1">
      <c r="B48" s="4" t="s">
        <v>86</v>
      </c>
    </row>
    <row r="49" spans="2:8">
      <c r="E49" s="15"/>
    </row>
    <row r="50" spans="2:8">
      <c r="C50" s="1" t="s">
        <v>17</v>
      </c>
      <c r="D50" s="1" t="s">
        <v>85</v>
      </c>
      <c r="E50" s="1" t="s">
        <v>44</v>
      </c>
      <c r="F50" s="1" t="s">
        <v>18</v>
      </c>
    </row>
    <row r="51" spans="2:8">
      <c r="C51" t="s">
        <v>19</v>
      </c>
      <c r="D51" s="2">
        <v>975</v>
      </c>
      <c r="E51" s="16">
        <v>6.8249999999999995E-4</v>
      </c>
      <c r="F51" s="16">
        <v>1.7500000000000002E-2</v>
      </c>
      <c r="H51" s="20"/>
    </row>
    <row r="52" spans="2:8">
      <c r="C52" t="s">
        <v>20</v>
      </c>
      <c r="D52" s="2">
        <v>280</v>
      </c>
      <c r="E52" s="16">
        <v>1.3325000000000001E-3</v>
      </c>
      <c r="F52" s="16">
        <v>3.4499999999999996E-2</v>
      </c>
    </row>
    <row r="53" spans="2:8">
      <c r="C53" t="s">
        <v>21</v>
      </c>
      <c r="D53" s="2">
        <v>360</v>
      </c>
      <c r="E53" s="16">
        <v>2.9575000000000001E-3</v>
      </c>
      <c r="F53" s="16">
        <v>6.0000000000000001E-3</v>
      </c>
    </row>
    <row r="54" spans="2:8">
      <c r="C54" t="s">
        <v>22</v>
      </c>
      <c r="D54" s="2">
        <v>345</v>
      </c>
      <c r="E54" s="16">
        <v>5.1999999999999995E-4</v>
      </c>
      <c r="F54" s="16">
        <v>4.8000000000000001E-2</v>
      </c>
    </row>
    <row r="55" spans="2:8">
      <c r="C55" t="s">
        <v>23</v>
      </c>
      <c r="D55" s="2">
        <v>250</v>
      </c>
      <c r="E55" s="16">
        <v>6.045E-3</v>
      </c>
      <c r="F55" s="16">
        <v>1.2999999999999999E-2</v>
      </c>
    </row>
    <row r="56" spans="2:8">
      <c r="C56" t="s">
        <v>24</v>
      </c>
      <c r="D56" s="2">
        <v>255</v>
      </c>
      <c r="E56" s="16">
        <v>8.4499999999999994E-4</v>
      </c>
      <c r="F56" s="16">
        <v>1.7000000000000001E-2</v>
      </c>
    </row>
    <row r="57" spans="2:8">
      <c r="C57" t="s">
        <v>25</v>
      </c>
      <c r="D57" s="2">
        <v>185</v>
      </c>
      <c r="E57" s="16">
        <v>5.0699999999999999E-3</v>
      </c>
      <c r="F57" s="16">
        <v>-1.4999999999999979E-3</v>
      </c>
    </row>
    <row r="58" spans="2:8">
      <c r="C58" t="s">
        <v>61</v>
      </c>
      <c r="D58" s="2">
        <v>135</v>
      </c>
      <c r="E58" s="16">
        <v>4.0950000000000005E-3</v>
      </c>
      <c r="F58" s="16">
        <v>-6.9999999999999993E-3</v>
      </c>
    </row>
    <row r="59" spans="2:8">
      <c r="C59" t="s">
        <v>26</v>
      </c>
      <c r="D59" s="2">
        <v>60</v>
      </c>
      <c r="E59" s="16">
        <v>4.0950000000000005E-3</v>
      </c>
      <c r="F59" s="16">
        <v>5.0000000000000044E-4</v>
      </c>
    </row>
    <row r="60" spans="2:8">
      <c r="C60" t="s">
        <v>27</v>
      </c>
      <c r="D60" s="2">
        <v>145</v>
      </c>
      <c r="E60" s="16">
        <v>3.4450000000000001E-3</v>
      </c>
      <c r="F60" s="16">
        <v>1.2499999999999999E-2</v>
      </c>
    </row>
    <row r="61" spans="2:8">
      <c r="C61" t="s">
        <v>28</v>
      </c>
      <c r="D61" s="2">
        <v>60</v>
      </c>
      <c r="E61" s="16">
        <v>1.495E-3</v>
      </c>
      <c r="F61" s="16">
        <v>-1.4999999999999999E-2</v>
      </c>
    </row>
    <row r="62" spans="2:8">
      <c r="C62" t="s">
        <v>29</v>
      </c>
      <c r="D62" s="2">
        <v>130</v>
      </c>
      <c r="E62" s="16">
        <v>6.6950000000000004E-3</v>
      </c>
      <c r="F62" s="16">
        <v>1.6500000000000001E-2</v>
      </c>
    </row>
    <row r="63" spans="2:8">
      <c r="E63" s="15"/>
    </row>
    <row r="64" spans="2:8" s="3" customFormat="1" ht="14.4" customHeight="1">
      <c r="B64" s="4" t="s">
        <v>87</v>
      </c>
    </row>
    <row r="65" spans="2:8">
      <c r="E65" s="15"/>
    </row>
    <row r="66" spans="2:8">
      <c r="C66" s="1" t="s">
        <v>17</v>
      </c>
      <c r="D66" s="1" t="s">
        <v>85</v>
      </c>
      <c r="E66" s="1" t="s">
        <v>44</v>
      </c>
      <c r="F66" s="1" t="s">
        <v>18</v>
      </c>
    </row>
    <row r="67" spans="2:8">
      <c r="C67" t="s">
        <v>19</v>
      </c>
      <c r="D67" s="2">
        <v>732</v>
      </c>
      <c r="E67" s="16">
        <v>4.55E-4</v>
      </c>
      <c r="F67" s="16">
        <v>1.7500000000000002E-2</v>
      </c>
      <c r="H67" s="20"/>
    </row>
    <row r="68" spans="2:8">
      <c r="C68" t="s">
        <v>20</v>
      </c>
      <c r="D68" s="2">
        <v>216</v>
      </c>
      <c r="E68" s="16">
        <v>8.8800000000000001E-4</v>
      </c>
      <c r="F68" s="16">
        <v>3.4499999999999996E-2</v>
      </c>
    </row>
    <row r="69" spans="2:8">
      <c r="C69" t="s">
        <v>21</v>
      </c>
      <c r="D69" s="2">
        <v>276</v>
      </c>
      <c r="E69" s="16">
        <v>1.9719999999999998E-3</v>
      </c>
      <c r="F69" s="16">
        <v>6.0000000000000001E-3</v>
      </c>
    </row>
    <row r="70" spans="2:8">
      <c r="C70" t="s">
        <v>22</v>
      </c>
      <c r="D70" s="2">
        <v>264</v>
      </c>
      <c r="E70" s="16">
        <v>3.4699999999999998E-4</v>
      </c>
      <c r="F70" s="16">
        <v>4.8000000000000001E-2</v>
      </c>
    </row>
    <row r="71" spans="2:8">
      <c r="C71" t="s">
        <v>23</v>
      </c>
      <c r="D71" s="2">
        <v>192</v>
      </c>
      <c r="E71" s="16">
        <v>4.0299999999999997E-3</v>
      </c>
      <c r="F71" s="16">
        <v>1.2999999999999999E-2</v>
      </c>
    </row>
    <row r="72" spans="2:8">
      <c r="C72" t="s">
        <v>24</v>
      </c>
      <c r="D72" s="2">
        <v>192</v>
      </c>
      <c r="E72" s="16">
        <v>5.6300000000000002E-4</v>
      </c>
      <c r="F72" s="16">
        <v>1.7000000000000001E-2</v>
      </c>
    </row>
    <row r="73" spans="2:8">
      <c r="C73" t="s">
        <v>25</v>
      </c>
      <c r="D73" s="2">
        <v>144</v>
      </c>
      <c r="E73" s="16">
        <v>3.3800000000000002E-3</v>
      </c>
      <c r="F73" s="16">
        <v>-1.4999999999999979E-3</v>
      </c>
    </row>
    <row r="74" spans="2:8">
      <c r="C74" t="s">
        <v>61</v>
      </c>
      <c r="D74" s="2">
        <v>108</v>
      </c>
      <c r="E74" s="16">
        <v>2.7299999999999998E-3</v>
      </c>
      <c r="F74" s="16">
        <v>-6.9999999999999993E-3</v>
      </c>
    </row>
    <row r="75" spans="2:8">
      <c r="C75" t="s">
        <v>26</v>
      </c>
      <c r="D75" s="2">
        <v>48</v>
      </c>
      <c r="E75" s="16">
        <v>2.7299999999999998E-3</v>
      </c>
      <c r="F75" s="16">
        <v>5.0000000000000044E-4</v>
      </c>
    </row>
    <row r="76" spans="2:8">
      <c r="C76" t="s">
        <v>27</v>
      </c>
      <c r="D76" s="2">
        <v>120</v>
      </c>
      <c r="E76" s="16">
        <v>2.297E-3</v>
      </c>
      <c r="F76" s="16">
        <v>1.2499999999999999E-2</v>
      </c>
    </row>
    <row r="77" spans="2:8">
      <c r="C77" t="s">
        <v>28</v>
      </c>
      <c r="D77" s="2">
        <v>48</v>
      </c>
      <c r="E77" s="16">
        <v>9.9700000000000006E-4</v>
      </c>
      <c r="F77" s="16">
        <v>-1.4999999999999999E-2</v>
      </c>
    </row>
    <row r="78" spans="2:8">
      <c r="C78" t="s">
        <v>29</v>
      </c>
      <c r="D78" s="2">
        <v>108</v>
      </c>
      <c r="E78" s="16">
        <v>4.463E-3</v>
      </c>
      <c r="F78" s="16">
        <v>1.6500000000000001E-2</v>
      </c>
    </row>
    <row r="79" spans="2:8">
      <c r="E79" s="15"/>
    </row>
    <row r="80" spans="2:8" s="3" customFormat="1" ht="14.4" customHeight="1">
      <c r="B80" s="4" t="s">
        <v>31</v>
      </c>
    </row>
    <row r="81" spans="2:5">
      <c r="E81" s="15"/>
    </row>
    <row r="82" spans="2:5">
      <c r="C82" t="s">
        <v>32</v>
      </c>
      <c r="D82" s="2">
        <v>12300</v>
      </c>
      <c r="E82" s="15" t="s">
        <v>67</v>
      </c>
    </row>
    <row r="83" spans="2:5">
      <c r="C83" t="s">
        <v>33</v>
      </c>
      <c r="D83" s="16">
        <v>0.21235000000000001</v>
      </c>
      <c r="E83" s="15" t="s">
        <v>6</v>
      </c>
    </row>
    <row r="84" spans="2:5">
      <c r="C84" t="s">
        <v>34</v>
      </c>
      <c r="D84" s="2">
        <v>408000</v>
      </c>
      <c r="E84" s="15" t="s">
        <v>67</v>
      </c>
    </row>
    <row r="85" spans="2:5">
      <c r="C85" t="s">
        <v>35</v>
      </c>
      <c r="D85" s="16">
        <v>7.0000000000000007E-2</v>
      </c>
      <c r="E85" s="15" t="s">
        <v>6</v>
      </c>
    </row>
    <row r="86" spans="2:5">
      <c r="C86" t="s">
        <v>64</v>
      </c>
      <c r="D86" s="6">
        <v>46388</v>
      </c>
      <c r="E86" s="15"/>
    </row>
    <row r="87" spans="2:5">
      <c r="C87" t="s">
        <v>68</v>
      </c>
      <c r="D87" s="2">
        <v>25000</v>
      </c>
      <c r="E87" s="15" t="s">
        <v>69</v>
      </c>
    </row>
    <row r="88" spans="2:5">
      <c r="C88" t="s">
        <v>70</v>
      </c>
      <c r="D88" s="16">
        <v>0.105</v>
      </c>
      <c r="E88" s="15" t="s">
        <v>6</v>
      </c>
    </row>
    <row r="89" spans="2:5">
      <c r="C89" t="s">
        <v>62</v>
      </c>
      <c r="D89" s="2">
        <v>12000</v>
      </c>
      <c r="E89" s="15" t="s">
        <v>67</v>
      </c>
    </row>
    <row r="90" spans="2:5">
      <c r="C90" t="s">
        <v>63</v>
      </c>
      <c r="D90" s="16">
        <v>0.08</v>
      </c>
      <c r="E90" s="15" t="s">
        <v>6</v>
      </c>
    </row>
    <row r="91" spans="2:5">
      <c r="C91" t="s">
        <v>65</v>
      </c>
      <c r="D91" s="6">
        <v>46388</v>
      </c>
      <c r="E91" s="15"/>
    </row>
    <row r="92" spans="2:5">
      <c r="C92" t="s">
        <v>71</v>
      </c>
      <c r="D92" s="2">
        <v>22000</v>
      </c>
      <c r="E92" s="15" t="s">
        <v>69</v>
      </c>
    </row>
    <row r="93" spans="2:5">
      <c r="C93" t="s">
        <v>72</v>
      </c>
      <c r="D93" s="16">
        <v>0.125</v>
      </c>
      <c r="E93" s="15" t="s">
        <v>6</v>
      </c>
    </row>
    <row r="95" spans="2:5" s="3" customFormat="1" ht="14.4" customHeight="1">
      <c r="B95" s="4" t="s">
        <v>36</v>
      </c>
    </row>
    <row r="97" spans="2:5">
      <c r="C97" t="s">
        <v>37</v>
      </c>
      <c r="D97" s="2">
        <v>1000</v>
      </c>
      <c r="E97" s="15" t="s">
        <v>67</v>
      </c>
    </row>
    <row r="98" spans="2:5">
      <c r="C98" t="s">
        <v>38</v>
      </c>
      <c r="D98" s="16">
        <v>0.08</v>
      </c>
      <c r="E98" s="15" t="s">
        <v>6</v>
      </c>
    </row>
    <row r="99" spans="2:5">
      <c r="C99" t="s">
        <v>39</v>
      </c>
      <c r="D99" s="16">
        <v>0.04</v>
      </c>
      <c r="E99" s="15" t="s">
        <v>6</v>
      </c>
    </row>
    <row r="100" spans="2:5">
      <c r="C100" t="s">
        <v>94</v>
      </c>
      <c r="D100" s="16">
        <v>0.21299999999999999</v>
      </c>
      <c r="E100" s="15" t="s">
        <v>14</v>
      </c>
    </row>
    <row r="102" spans="2:5" s="3" customFormat="1" ht="14.4" customHeight="1">
      <c r="B102" s="4" t="s">
        <v>1</v>
      </c>
    </row>
  </sheetData>
  <phoneticPr fontId="1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15180-73C3-404B-AFCC-AC8D4B9E2E97}">
  <sheetPr>
    <tabColor theme="8" tint="0.79998168889431442"/>
  </sheetPr>
  <dimension ref="A1:C76"/>
  <sheetViews>
    <sheetView zoomScale="77" workbookViewId="0"/>
  </sheetViews>
  <sheetFormatPr defaultRowHeight="15.6"/>
  <cols>
    <col min="1" max="1" width="83.21875" style="13" customWidth="1"/>
    <col min="2" max="2" width="16.33203125" style="13" customWidth="1"/>
    <col min="3" max="16384" width="8.88671875" style="13"/>
  </cols>
  <sheetData>
    <row r="1" spans="1:3">
      <c r="A1" s="12" t="s">
        <v>3</v>
      </c>
      <c r="B1" s="12" t="s">
        <v>4</v>
      </c>
      <c r="C1" s="12" t="s">
        <v>5</v>
      </c>
    </row>
    <row r="2" spans="1:3">
      <c r="A2" s="14" t="s">
        <v>101</v>
      </c>
      <c r="B2" s="17"/>
      <c r="C2" s="5" t="s">
        <v>67</v>
      </c>
    </row>
    <row r="3" spans="1:3">
      <c r="A3" s="14" t="s">
        <v>102</v>
      </c>
      <c r="B3" s="17"/>
      <c r="C3" s="5" t="s">
        <v>67</v>
      </c>
    </row>
    <row r="4" spans="1:3">
      <c r="A4" s="14" t="s">
        <v>103</v>
      </c>
      <c r="B4" s="17"/>
      <c r="C4" s="5" t="s">
        <v>67</v>
      </c>
    </row>
    <row r="5" spans="1:3">
      <c r="A5" s="14" t="s">
        <v>175</v>
      </c>
      <c r="B5" s="17"/>
      <c r="C5" s="5" t="s">
        <v>67</v>
      </c>
    </row>
    <row r="6" spans="1:3">
      <c r="A6" s="14" t="s">
        <v>104</v>
      </c>
      <c r="B6" s="17"/>
      <c r="C6" s="5" t="s">
        <v>67</v>
      </c>
    </row>
    <row r="7" spans="1:3">
      <c r="A7" s="14" t="s">
        <v>105</v>
      </c>
      <c r="B7" s="17"/>
      <c r="C7" s="5" t="s">
        <v>67</v>
      </c>
    </row>
    <row r="8" spans="1:3">
      <c r="A8" s="14" t="s">
        <v>106</v>
      </c>
      <c r="B8" s="17"/>
      <c r="C8" s="5" t="s">
        <v>67</v>
      </c>
    </row>
    <row r="9" spans="1:3">
      <c r="A9" s="14" t="s">
        <v>107</v>
      </c>
      <c r="B9" s="17"/>
      <c r="C9" s="5" t="s">
        <v>67</v>
      </c>
    </row>
    <row r="10" spans="1:3">
      <c r="A10" s="14" t="s">
        <v>108</v>
      </c>
      <c r="B10" s="17"/>
      <c r="C10" s="5" t="s">
        <v>67</v>
      </c>
    </row>
    <row r="11" spans="1:3">
      <c r="A11" s="14" t="s">
        <v>109</v>
      </c>
      <c r="B11" s="17"/>
      <c r="C11" s="5" t="s">
        <v>67</v>
      </c>
    </row>
    <row r="12" spans="1:3">
      <c r="A12" s="14" t="s">
        <v>110</v>
      </c>
      <c r="B12" s="17"/>
      <c r="C12" s="5" t="s">
        <v>67</v>
      </c>
    </row>
    <row r="13" spans="1:3">
      <c r="A13" s="14" t="s">
        <v>111</v>
      </c>
      <c r="B13" s="17"/>
      <c r="C13" s="5" t="s">
        <v>67</v>
      </c>
    </row>
    <row r="14" spans="1:3">
      <c r="A14" s="14" t="s">
        <v>112</v>
      </c>
      <c r="B14" s="17"/>
      <c r="C14" s="5" t="s">
        <v>67</v>
      </c>
    </row>
    <row r="15" spans="1:3">
      <c r="A15" s="14" t="s">
        <v>113</v>
      </c>
      <c r="B15" s="17"/>
      <c r="C15" s="5" t="s">
        <v>67</v>
      </c>
    </row>
    <row r="16" spans="1:3">
      <c r="A16" s="14" t="s">
        <v>114</v>
      </c>
      <c r="B16" s="17"/>
      <c r="C16" s="5" t="s">
        <v>67</v>
      </c>
    </row>
    <row r="17" spans="1:3">
      <c r="A17" s="14" t="s">
        <v>115</v>
      </c>
      <c r="B17" s="17"/>
      <c r="C17" s="5" t="s">
        <v>67</v>
      </c>
    </row>
    <row r="18" spans="1:3">
      <c r="A18" s="14" t="s">
        <v>116</v>
      </c>
      <c r="B18" s="17"/>
      <c r="C18" s="5" t="s">
        <v>67</v>
      </c>
    </row>
    <row r="19" spans="1:3">
      <c r="A19" s="14" t="s">
        <v>117</v>
      </c>
      <c r="B19" s="17"/>
      <c r="C19" s="5" t="s">
        <v>67</v>
      </c>
    </row>
    <row r="20" spans="1:3">
      <c r="A20" s="14" t="s">
        <v>118</v>
      </c>
      <c r="B20" s="17"/>
      <c r="C20" s="5" t="s">
        <v>67</v>
      </c>
    </row>
    <row r="21" spans="1:3">
      <c r="A21" s="14" t="s">
        <v>119</v>
      </c>
      <c r="B21" s="17"/>
      <c r="C21" s="5" t="s">
        <v>67</v>
      </c>
    </row>
    <row r="22" spans="1:3">
      <c r="A22" s="14" t="s">
        <v>120</v>
      </c>
      <c r="B22" s="17"/>
      <c r="C22" s="5" t="s">
        <v>67</v>
      </c>
    </row>
    <row r="23" spans="1:3">
      <c r="A23" s="14" t="s">
        <v>121</v>
      </c>
      <c r="B23" s="17"/>
      <c r="C23" s="5" t="s">
        <v>67</v>
      </c>
    </row>
    <row r="24" spans="1:3">
      <c r="A24" s="14" t="s">
        <v>122</v>
      </c>
      <c r="B24" s="17"/>
      <c r="C24" s="5" t="s">
        <v>67</v>
      </c>
    </row>
    <row r="25" spans="1:3">
      <c r="A25" s="14" t="s">
        <v>123</v>
      </c>
      <c r="B25" s="17"/>
      <c r="C25" s="5" t="s">
        <v>67</v>
      </c>
    </row>
    <row r="26" spans="1:3">
      <c r="A26" s="14" t="s">
        <v>124</v>
      </c>
      <c r="B26" s="17"/>
      <c r="C26" s="5" t="s">
        <v>67</v>
      </c>
    </row>
    <row r="27" spans="1:3">
      <c r="A27" s="14" t="s">
        <v>125</v>
      </c>
      <c r="B27" s="17"/>
      <c r="C27" s="5" t="s">
        <v>67</v>
      </c>
    </row>
    <row r="28" spans="1:3">
      <c r="A28" s="14" t="s">
        <v>126</v>
      </c>
      <c r="B28" s="17"/>
      <c r="C28" s="5" t="s">
        <v>67</v>
      </c>
    </row>
    <row r="29" spans="1:3">
      <c r="A29" s="14" t="s">
        <v>127</v>
      </c>
      <c r="B29" s="17"/>
      <c r="C29" s="5" t="s">
        <v>67</v>
      </c>
    </row>
    <row r="30" spans="1:3">
      <c r="A30" s="14" t="s">
        <v>128</v>
      </c>
      <c r="B30" s="17"/>
      <c r="C30" s="5" t="s">
        <v>67</v>
      </c>
    </row>
    <row r="31" spans="1:3">
      <c r="A31" s="14" t="s">
        <v>129</v>
      </c>
      <c r="B31" s="17"/>
      <c r="C31" s="5" t="s">
        <v>67</v>
      </c>
    </row>
    <row r="32" spans="1:3">
      <c r="A32" s="14" t="s">
        <v>130</v>
      </c>
      <c r="B32" s="17"/>
      <c r="C32" s="5" t="s">
        <v>67</v>
      </c>
    </row>
    <row r="33" spans="1:3">
      <c r="A33" s="14" t="s">
        <v>131</v>
      </c>
      <c r="B33" s="17"/>
      <c r="C33" s="5" t="s">
        <v>67</v>
      </c>
    </row>
    <row r="34" spans="1:3">
      <c r="A34" s="14" t="s">
        <v>132</v>
      </c>
      <c r="B34" s="17"/>
      <c r="C34" s="5" t="s">
        <v>67</v>
      </c>
    </row>
    <row r="35" spans="1:3">
      <c r="A35" s="14" t="s">
        <v>133</v>
      </c>
      <c r="B35" s="17"/>
      <c r="C35" s="5" t="s">
        <v>67</v>
      </c>
    </row>
    <row r="36" spans="1:3">
      <c r="A36" s="14" t="s">
        <v>134</v>
      </c>
      <c r="B36" s="17"/>
      <c r="C36" s="5" t="s">
        <v>67</v>
      </c>
    </row>
    <row r="37" spans="1:3">
      <c r="A37" s="13" t="s">
        <v>135</v>
      </c>
      <c r="B37" s="17"/>
      <c r="C37" s="5" t="s">
        <v>67</v>
      </c>
    </row>
    <row r="38" spans="1:3">
      <c r="A38" s="13" t="s">
        <v>136</v>
      </c>
      <c r="B38" s="17"/>
      <c r="C38" s="5" t="s">
        <v>67</v>
      </c>
    </row>
    <row r="39" spans="1:3">
      <c r="A39" s="13" t="s">
        <v>137</v>
      </c>
      <c r="B39" s="17"/>
      <c r="C39" s="5" t="s">
        <v>67</v>
      </c>
    </row>
    <row r="40" spans="1:3">
      <c r="A40" s="13" t="s">
        <v>138</v>
      </c>
      <c r="B40" s="17"/>
      <c r="C40" s="5" t="s">
        <v>67</v>
      </c>
    </row>
    <row r="41" spans="1:3">
      <c r="A41" s="13" t="s">
        <v>139</v>
      </c>
      <c r="B41" s="17"/>
      <c r="C41" s="5" t="s">
        <v>67</v>
      </c>
    </row>
    <row r="42" spans="1:3">
      <c r="A42" s="13" t="s">
        <v>140</v>
      </c>
      <c r="B42" s="17"/>
      <c r="C42" s="5" t="s">
        <v>67</v>
      </c>
    </row>
    <row r="43" spans="1:3">
      <c r="A43" s="13" t="s">
        <v>169</v>
      </c>
      <c r="B43" s="17"/>
      <c r="C43" s="5" t="s">
        <v>67</v>
      </c>
    </row>
    <row r="44" spans="1:3">
      <c r="A44" s="13" t="s">
        <v>170</v>
      </c>
      <c r="B44" s="17"/>
      <c r="C44" s="5" t="s">
        <v>67</v>
      </c>
    </row>
    <row r="45" spans="1:3">
      <c r="A45" s="13" t="s">
        <v>171</v>
      </c>
      <c r="B45" s="17"/>
      <c r="C45" s="5" t="s">
        <v>67</v>
      </c>
    </row>
    <row r="46" spans="1:3">
      <c r="A46" s="13" t="s">
        <v>141</v>
      </c>
      <c r="B46" s="17"/>
      <c r="C46" s="5" t="s">
        <v>67</v>
      </c>
    </row>
    <row r="47" spans="1:3">
      <c r="A47" s="13" t="s">
        <v>142</v>
      </c>
      <c r="B47" s="17"/>
      <c r="C47" s="5" t="s">
        <v>67</v>
      </c>
    </row>
    <row r="48" spans="1:3">
      <c r="A48" s="13" t="s">
        <v>143</v>
      </c>
      <c r="B48" s="17"/>
      <c r="C48" s="5" t="s">
        <v>67</v>
      </c>
    </row>
    <row r="49" spans="1:3">
      <c r="A49" s="13" t="s">
        <v>144</v>
      </c>
      <c r="B49" s="17"/>
      <c r="C49" s="5" t="s">
        <v>67</v>
      </c>
    </row>
    <row r="50" spans="1:3">
      <c r="A50" s="13" t="s">
        <v>145</v>
      </c>
      <c r="B50" s="17"/>
      <c r="C50" s="5" t="s">
        <v>67</v>
      </c>
    </row>
    <row r="51" spans="1:3">
      <c r="A51" s="13" t="s">
        <v>146</v>
      </c>
      <c r="B51" s="17"/>
      <c r="C51" s="5" t="s">
        <v>67</v>
      </c>
    </row>
    <row r="52" spans="1:3">
      <c r="A52" s="13" t="s">
        <v>182</v>
      </c>
      <c r="B52" s="17"/>
      <c r="C52" s="5" t="s">
        <v>67</v>
      </c>
    </row>
    <row r="53" spans="1:3">
      <c r="A53" s="13" t="s">
        <v>172</v>
      </c>
      <c r="B53" s="17"/>
      <c r="C53" s="5" t="s">
        <v>67</v>
      </c>
    </row>
    <row r="54" spans="1:3">
      <c r="A54" s="13" t="s">
        <v>173</v>
      </c>
      <c r="B54" s="17"/>
      <c r="C54" s="5" t="s">
        <v>67</v>
      </c>
    </row>
    <row r="55" spans="1:3">
      <c r="A55" s="13" t="s">
        <v>147</v>
      </c>
      <c r="B55" s="17"/>
      <c r="C55" s="5" t="s">
        <v>67</v>
      </c>
    </row>
    <row r="56" spans="1:3">
      <c r="A56" s="13" t="s">
        <v>148</v>
      </c>
      <c r="B56" s="17"/>
      <c r="C56" s="5" t="s">
        <v>67</v>
      </c>
    </row>
    <row r="57" spans="1:3">
      <c r="A57" s="13" t="s">
        <v>149</v>
      </c>
      <c r="B57" s="17"/>
      <c r="C57" s="5" t="s">
        <v>67</v>
      </c>
    </row>
    <row r="58" spans="1:3">
      <c r="A58" s="13" t="s">
        <v>150</v>
      </c>
      <c r="B58" s="17"/>
      <c r="C58" s="5" t="s">
        <v>67</v>
      </c>
    </row>
    <row r="59" spans="1:3">
      <c r="A59" s="13" t="s">
        <v>174</v>
      </c>
      <c r="B59" s="17"/>
      <c r="C59" s="5" t="s">
        <v>67</v>
      </c>
    </row>
    <row r="60" spans="1:3">
      <c r="A60" s="13" t="s">
        <v>151</v>
      </c>
      <c r="B60" s="17"/>
      <c r="C60" s="5" t="s">
        <v>67</v>
      </c>
    </row>
    <row r="61" spans="1:3">
      <c r="A61" s="13" t="s">
        <v>152</v>
      </c>
      <c r="B61" s="17"/>
      <c r="C61" s="5" t="s">
        <v>67</v>
      </c>
    </row>
    <row r="62" spans="1:3">
      <c r="A62" s="13" t="s">
        <v>153</v>
      </c>
      <c r="B62" s="17"/>
      <c r="C62" s="5" t="s">
        <v>67</v>
      </c>
    </row>
    <row r="63" spans="1:3">
      <c r="A63" s="13" t="s">
        <v>154</v>
      </c>
      <c r="B63" s="17"/>
      <c r="C63" s="5" t="s">
        <v>67</v>
      </c>
    </row>
    <row r="64" spans="1:3">
      <c r="A64" s="13" t="s">
        <v>155</v>
      </c>
      <c r="B64" s="17"/>
      <c r="C64" s="5" t="s">
        <v>67</v>
      </c>
    </row>
    <row r="65" spans="1:3">
      <c r="A65" s="13" t="s">
        <v>156</v>
      </c>
      <c r="B65" s="17"/>
      <c r="C65" s="5" t="s">
        <v>67</v>
      </c>
    </row>
    <row r="66" spans="1:3">
      <c r="A66" s="13" t="s">
        <v>157</v>
      </c>
      <c r="B66" s="17"/>
      <c r="C66" s="5" t="s">
        <v>67</v>
      </c>
    </row>
    <row r="67" spans="1:3">
      <c r="A67" s="13" t="s">
        <v>158</v>
      </c>
      <c r="B67" s="17"/>
      <c r="C67" s="5" t="s">
        <v>67</v>
      </c>
    </row>
    <row r="68" spans="1:3">
      <c r="A68" s="13" t="s">
        <v>159</v>
      </c>
      <c r="B68" s="17"/>
      <c r="C68" s="5" t="s">
        <v>67</v>
      </c>
    </row>
    <row r="69" spans="1:3">
      <c r="A69" s="13" t="s">
        <v>160</v>
      </c>
      <c r="B69" s="17"/>
      <c r="C69" s="5" t="s">
        <v>67</v>
      </c>
    </row>
    <row r="70" spans="1:3">
      <c r="A70" s="13" t="s">
        <v>161</v>
      </c>
      <c r="B70" s="17"/>
      <c r="C70" s="5" t="s">
        <v>67</v>
      </c>
    </row>
    <row r="71" spans="1:3">
      <c r="A71" s="13" t="s">
        <v>162</v>
      </c>
      <c r="B71" s="17"/>
      <c r="C71" s="5" t="s">
        <v>67</v>
      </c>
    </row>
    <row r="72" spans="1:3">
      <c r="A72" s="13" t="s">
        <v>163</v>
      </c>
      <c r="B72" s="17"/>
      <c r="C72" s="5" t="s">
        <v>67</v>
      </c>
    </row>
    <row r="73" spans="1:3">
      <c r="A73" s="13" t="s">
        <v>164</v>
      </c>
      <c r="B73" s="17"/>
      <c r="C73" s="5" t="s">
        <v>67</v>
      </c>
    </row>
    <row r="74" spans="1:3">
      <c r="A74" s="13" t="s">
        <v>165</v>
      </c>
      <c r="B74" s="17"/>
      <c r="C74" s="5" t="s">
        <v>67</v>
      </c>
    </row>
    <row r="75" spans="1:3">
      <c r="A75" s="13" t="s">
        <v>166</v>
      </c>
      <c r="B75" s="17"/>
      <c r="C75" s="5" t="s">
        <v>67</v>
      </c>
    </row>
    <row r="76" spans="1:3">
      <c r="A76" s="13" t="s">
        <v>167</v>
      </c>
      <c r="B76" s="17"/>
      <c r="C76" s="5" t="s">
        <v>67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Assumptions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2026-05-10T02:10:31Z</dcterms:modified>
</cp:coreProperties>
</file>