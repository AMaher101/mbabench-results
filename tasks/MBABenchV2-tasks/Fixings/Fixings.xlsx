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ulia\Downloads\BizBench\DCF (Discounted Cash Flow)\Fixings\starting_files\"/>
    </mc:Choice>
  </mc:AlternateContent>
  <xr:revisionPtr revIDLastSave="0" documentId="13_ncr:1_{9C017D5F-4CFC-4752-99EF-2D7BE03C303B}" xr6:coauthVersionLast="47" xr6:coauthVersionMax="47" xr10:uidLastSave="{00000000-0000-0000-0000-000000000000}"/>
  <bookViews>
    <workbookView xWindow="-108" yWindow="-108" windowWidth="23256" windowHeight="12456" tabRatio="734" xr2:uid="{9D050BFD-007E-4C38-9D7B-ED1AFA0D54D5}"/>
  </bookViews>
  <sheets>
    <sheet name="Instructions" sheetId="2" r:id="rId1"/>
    <sheet name="Assumption" sheetId="9" r:id="rId2"/>
    <sheet name="Screws" sheetId="16" r:id="rId3"/>
    <sheet name="Material prices" sheetId="14" r:id="rId4"/>
    <sheet name="Sales info" sheetId="15" r:id="rId5"/>
    <sheet name="Questions" sheetId="6" r:id="rId6"/>
  </sheets>
  <definedNames>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TRUE</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2</definedName>
    <definedName name="_AtRisk_SimSetting_MultipleCPUManualCount" hidden="1">2</definedName>
    <definedName name="_AtRisk_SimSetting_MultipleCPUMode" hidden="1">2</definedName>
    <definedName name="_AtRisk_SimSetting_MultipleCPUModeV8" hidden="1">2</definedName>
    <definedName name="_AtRisk_SimSetting_RandomNumberGenerator" hidden="1">0</definedName>
    <definedName name="_AtRisk_SimSetting_ShowSimulationProgressWindow" hidden="1">TRUE</definedName>
    <definedName name="_AtRisk_SimSetting_SimName001" hidden="1">"Scen 1(Base=123.42, S0=126.12, V=31.97%)"</definedName>
    <definedName name="_AtRisk_SimSetting_SimName002" hidden="1">"Scen 2(Base=123.42, S0=130, V=31.97%)"</definedName>
    <definedName name="_AtRisk_SimSetting_SimName003" hidden="1">"Scen 3(Base=123.42, S0=132, V=31.97%)"</definedName>
    <definedName name="_AtRisk_SimSetting_SimName004" hidden="1">"Scen 4(Base=1, S0=1, V=31.97%)"</definedName>
    <definedName name="_AtRisk_SimSetting_SimNameCount" hidden="1">4</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IQ_DNTM" hidden="1">700000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MTD" hidden="1">800000</definedName>
    <definedName name="IQ_NAMES_REVISION_DATE_" hidden="1">44091.7196296296</definedName>
    <definedName name="IQ_QTD" hidden="1">750000</definedName>
    <definedName name="IQ_TODAY" hidden="1">0</definedName>
    <definedName name="IQ_YTDMONTH" hidden="1">130000</definedName>
    <definedName name="IQB_BOOKMARK_COUNT" hidden="1">0</definedName>
    <definedName name="Pal_Workbook_GUID" hidden="1">"KHB4MCAJCJC3RUEFU5N2FB3U"</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8</definedName>
    <definedName name="RiskMinimizeOnStart" hidden="1">FALSE</definedName>
    <definedName name="RiskMonitorConvergence" hidden="1">FALSE</definedName>
    <definedName name="RiskMultipleCPUSupportEnabled" hidden="1">FALSE</definedName>
    <definedName name="RiskNumIterations" hidden="1">100000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TRUE</definedName>
    <definedName name="RiskUseMultipleCPUs" hidden="1">FALSE</definedName>
    <definedName name="solver_eng" localSheetId="0" hidden="1">1</definedName>
    <definedName name="solver_neg" localSheetId="0" hidden="1">1</definedName>
    <definedName name="solver_num" localSheetId="0" hidden="1">0</definedName>
    <definedName name="solver_opt" localSheetId="0" hidden="1">Instructions!#REF!</definedName>
    <definedName name="solver_typ" localSheetId="0" hidden="1">1</definedName>
    <definedName name="solver_val" localSheetId="0" hidden="1">0</definedName>
    <definedName name="solver_ver" localSheetId="0" hidden="1">3</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9" l="1"/>
</calcChain>
</file>

<file path=xl/sharedStrings.xml><?xml version="1.0" encoding="utf-8"?>
<sst xmlns="http://schemas.openxmlformats.org/spreadsheetml/2006/main" count="488" uniqueCount="287">
  <si>
    <t>Answers</t>
  </si>
  <si>
    <t>Assumptions sheet may be also in the text on the Instructions tab - please use the assumptions on this sheet for your model</t>
  </si>
  <si>
    <t>End Sheet</t>
  </si>
  <si>
    <t>Unit</t>
  </si>
  <si>
    <t>Answer the questions using your model.</t>
  </si>
  <si>
    <t>Model basics</t>
  </si>
  <si>
    <t xml:space="preserve"> </t>
  </si>
  <si>
    <t>Valuation basis date</t>
  </si>
  <si>
    <t>Valuation date</t>
  </si>
  <si>
    <t>Market Variables</t>
  </si>
  <si>
    <t>Risk-free interest rate</t>
  </si>
  <si>
    <t>Adjusted beta, 3-year daily</t>
  </si>
  <si>
    <t>Market risk premium</t>
  </si>
  <si>
    <t>[%]</t>
  </si>
  <si>
    <t>Growth</t>
  </si>
  <si>
    <t>Tax rate</t>
  </si>
  <si>
    <t>Do not question the data provided.</t>
  </si>
  <si>
    <t>p.a.</t>
  </si>
  <si>
    <t>Valuation Task</t>
  </si>
  <si>
    <t>Ensure that the valuation is transitioned to the valuation date.</t>
  </si>
  <si>
    <t>g</t>
  </si>
  <si>
    <t>For the terminal value, calculate a normalized FCFF as a time-weighted average of all explicit forecast period FCFFs, using linear weights (weight 1 for 2026 through weight 10 for 2035).</t>
  </si>
  <si>
    <t>Use mid-year convention, including for the terminal value.</t>
  </si>
  <si>
    <t>DCF (Discounted Cash Flow) - Fixings</t>
  </si>
  <si>
    <t>Prices [$/t]</t>
  </si>
  <si>
    <t>Stainless Steal</t>
  </si>
  <si>
    <t>Inconel</t>
  </si>
  <si>
    <t>Aluminium Alloy</t>
  </si>
  <si>
    <t>Material</t>
  </si>
  <si>
    <t>Density [g/ccm]</t>
  </si>
  <si>
    <t>[pcs.]</t>
  </si>
  <si>
    <t>S1</t>
  </si>
  <si>
    <t>S2</t>
  </si>
  <si>
    <t>S3</t>
  </si>
  <si>
    <t>S4</t>
  </si>
  <si>
    <t>S5</t>
  </si>
  <si>
    <t>S6</t>
  </si>
  <si>
    <t>S7</t>
  </si>
  <si>
    <t>S8</t>
  </si>
  <si>
    <t>S9</t>
  </si>
  <si>
    <t>Screw</t>
  </si>
  <si>
    <t>Volume raw [ccm]</t>
  </si>
  <si>
    <t>Volume finished [ccm]</t>
  </si>
  <si>
    <t>Surface finish</t>
  </si>
  <si>
    <t>Machining time [min/screw]</t>
  </si>
  <si>
    <t>none</t>
  </si>
  <si>
    <t>Polished</t>
  </si>
  <si>
    <t>Anodized</t>
  </si>
  <si>
    <t>You have to build the DCF model for a small company producing metal screws.</t>
  </si>
  <si>
    <t>You therefore first have to build the annual 3-Statement model for that company based on the information below:</t>
  </si>
  <si>
    <t>Information about the products (in this case only screws) produced you will find on the tab Screws.</t>
  </si>
  <si>
    <t>All screws are manufactured one after the other on the Screwmaster 50.</t>
  </si>
  <si>
    <t>Purchase Price</t>
  </si>
  <si>
    <t>[$]</t>
  </si>
  <si>
    <t>(2025)</t>
  </si>
  <si>
    <t>Useful life</t>
  </si>
  <si>
    <t>[years]</t>
  </si>
  <si>
    <t>Number of machines at the beginning</t>
  </si>
  <si>
    <t>[#]</t>
  </si>
  <si>
    <t>Machine utilization</t>
  </si>
  <si>
    <t>The material price is fluctuating - see tab material price.</t>
  </si>
  <si>
    <t>The raw material used is dependent on the screw produced.</t>
  </si>
  <si>
    <t>A screwmaster 50 is consuming 50 kW while running.</t>
  </si>
  <si>
    <t>Energy is paid at the 10.th of the following month.</t>
  </si>
  <si>
    <t>Energy</t>
  </si>
  <si>
    <t>Consumption</t>
  </si>
  <si>
    <t>Price</t>
  </si>
  <si>
    <t>[$/kWh]</t>
  </si>
  <si>
    <t>[kW/machine hour]</t>
  </si>
  <si>
    <t>Other production input</t>
  </si>
  <si>
    <t>Other production input per screw</t>
  </si>
  <si>
    <t>(for wather and other material consumption)</t>
  </si>
  <si>
    <t>[$/screw]</t>
  </si>
  <si>
    <t>Production staff</t>
  </si>
  <si>
    <t>The company is producing in 360/7/24 in 3 shifts.</t>
  </si>
  <si>
    <t xml:space="preserve">A production employee can handle 4 machines simultaneously. </t>
  </si>
  <si>
    <t>Hours per day</t>
  </si>
  <si>
    <t>Days per week</t>
  </si>
  <si>
    <t>Days per year (ass.)</t>
  </si>
  <si>
    <t>Days per month</t>
  </si>
  <si>
    <t>Production employee costs per year</t>
  </si>
  <si>
    <t>Each production employee is calculated with $77.5k costs per year for 42 hours of work a week.</t>
  </si>
  <si>
    <t>Machines per employee</t>
  </si>
  <si>
    <t>Scrap metal</t>
  </si>
  <si>
    <t>Saleback quota</t>
  </si>
  <si>
    <t>(of org. material price)</t>
  </si>
  <si>
    <t>Sell price [2025]</t>
  </si>
  <si>
    <t>For sales information see tab Sales info - both quantity and price are listed there.</t>
  </si>
  <si>
    <t>To some of the screws a special surface finish has to be applied to.</t>
  </si>
  <si>
    <t>That surface finish is not done in house, but bought externally.</t>
  </si>
  <si>
    <t>Assume no additional production time/ production lag due to the surface finish.</t>
  </si>
  <si>
    <t>Polishing</t>
  </si>
  <si>
    <t>Anodizing</t>
  </si>
  <si>
    <t>/screw</t>
  </si>
  <si>
    <t>Building</t>
  </si>
  <si>
    <t>Taxes</t>
  </si>
  <si>
    <t>SG&amp;A</t>
  </si>
  <si>
    <t>SG&amp;A percentage</t>
  </si>
  <si>
    <t>(of total revenue)</t>
  </si>
  <si>
    <t>Explicit planning period</t>
  </si>
  <si>
    <t>Profit distribution</t>
  </si>
  <si>
    <t>Distribution quota</t>
  </si>
  <si>
    <t>(of positive profit)</t>
  </si>
  <si>
    <t>50% of positive profits are distributed.</t>
  </si>
  <si>
    <t>The non-distributed part remains as retained earnings in the company.</t>
  </si>
  <si>
    <t>CCC</t>
  </si>
  <si>
    <t>[days]</t>
  </si>
  <si>
    <t>DSO</t>
  </si>
  <si>
    <t>DIO</t>
  </si>
  <si>
    <t>DPO</t>
  </si>
  <si>
    <t>Finished products are only produced JIT and therefore sold instantly.</t>
  </si>
  <si>
    <t>Inflation</t>
  </si>
  <si>
    <t>Inflation rate</t>
  </si>
  <si>
    <t>Annual inflation is 2%.</t>
  </si>
  <si>
    <t>All prices (purchase prices, sell prices, wages, …) are assumed to be inflation dependent.</t>
  </si>
  <si>
    <t>Machines (general)</t>
  </si>
  <si>
    <t>Assume a year with 12 months and 30 days per months.</t>
  </si>
  <si>
    <t>Assume complete equal distribution for everything not specifically determined.</t>
  </si>
  <si>
    <t>Loan</t>
  </si>
  <si>
    <t>A starting balance is given - see Assumption</t>
  </si>
  <si>
    <t>Perform a DCF valuation for the company based on the provided data and your 3-Statement model.</t>
  </si>
  <si>
    <t>After the ten years of the explicit forecast, calculate the terminal value using the data given.</t>
  </si>
  <si>
    <t>Cash</t>
  </si>
  <si>
    <t>Accounts Receivable</t>
  </si>
  <si>
    <t>Inventory</t>
  </si>
  <si>
    <t>PP&amp;E - Buildings</t>
  </si>
  <si>
    <t>PP&amp;E - Machines</t>
  </si>
  <si>
    <t>Accounts Payable</t>
  </si>
  <si>
    <t>Tax Payable</t>
  </si>
  <si>
    <t>Equity Capital</t>
  </si>
  <si>
    <t>Retained Earnings</t>
  </si>
  <si>
    <t>PP&amp;E - Other</t>
  </si>
  <si>
    <t>Other PP&amp;E</t>
  </si>
  <si>
    <t>It is consisting out of stuff like office supplies and furniture.</t>
  </si>
  <si>
    <t>(assumed)</t>
  </si>
  <si>
    <t>In addition, the company has an annuity loan - for details see assumptions.</t>
  </si>
  <si>
    <t>Loan amount</t>
  </si>
  <si>
    <t>(original)</t>
  </si>
  <si>
    <t>Loan closing date</t>
  </si>
  <si>
    <t>Term</t>
  </si>
  <si>
    <t>Interest</t>
  </si>
  <si>
    <t>(p.a., linear)</t>
  </si>
  <si>
    <t>Minutes per hour</t>
  </si>
  <si>
    <t>Machines bought for</t>
  </si>
  <si>
    <t>Machines bought at</t>
  </si>
  <si>
    <t>Workhours per week</t>
  </si>
  <si>
    <t>[h]</t>
  </si>
  <si>
    <t>kg to t - conversion factor</t>
  </si>
  <si>
    <t>g to kg - conversion factor</t>
  </si>
  <si>
    <t>Current portion of long-term debt</t>
  </si>
  <si>
    <t>Long-term debt</t>
  </si>
  <si>
    <t>Opening balance</t>
  </si>
  <si>
    <t>No loss carry-forward.</t>
  </si>
  <si>
    <t>Finish date</t>
  </si>
  <si>
    <t>Building share used for production</t>
  </si>
  <si>
    <t>Share used for production</t>
  </si>
  <si>
    <t>Share bought YE 2024</t>
  </si>
  <si>
    <t>Share bought YE 2025</t>
  </si>
  <si>
    <t>(of original purchase price, not BS value)</t>
  </si>
  <si>
    <t>Months per year</t>
  </si>
  <si>
    <t>Profit Distribution Payable</t>
  </si>
  <si>
    <t>Interest on negative cash balance</t>
  </si>
  <si>
    <t>(p.a.)</t>
  </si>
  <si>
    <t>Calculate one version, where you calculate the DCF with an iteratively calculated WACC and one version, where you calculate the DCF with a non-circular WACC based on the target capital structure weights.</t>
  </si>
  <si>
    <t>Target capital structure weights</t>
  </si>
  <si>
    <t>Target Equity weight</t>
  </si>
  <si>
    <t>Target Debt weight</t>
  </si>
  <si>
    <t>Questions (please round your answers to two decimal places, WACC rate rounded to four decimals)</t>
  </si>
  <si>
    <t>What is the Entity value at Valuation date (Iterative WACC)?</t>
  </si>
  <si>
    <t>What is the Equity value at Valuation date (Iterative WACC)?</t>
  </si>
  <si>
    <t>What is the Discounted FCFF (to Valuation basis date) for the period 2026 (Iterative WACC)?</t>
  </si>
  <si>
    <t>What is the Discounted FCFF (to Valuation basis date) for the period 2027 (Iterative WACC)?</t>
  </si>
  <si>
    <t>What is the Discounted FCFF (to Valuation basis date) for the period 2028 (Iterative WACC)?</t>
  </si>
  <si>
    <t>What is the Discounted FCFF (to Valuation basis date) for the period 2029 (Iterative WACC)?</t>
  </si>
  <si>
    <t>What is the Discounted FCFF (to Valuation basis date) for the period 2030 (Iterative WACC)?</t>
  </si>
  <si>
    <t>What is the Discounted FCFF (to Valuation basis date) for the period 2031 (Iterative WACC)?</t>
  </si>
  <si>
    <t>What is the Discounted FCFF (to Valuation basis date) for the period 2032 (Iterative WACC)?</t>
  </si>
  <si>
    <t>What is the Discounted FCFF (to Valuation basis date) for the period 2033 (Iterative WACC)?</t>
  </si>
  <si>
    <t>What is the Discounted FCFF (to Valuation basis date) for the period 2034 (Iterative WACC)?</t>
  </si>
  <si>
    <t>What is the Discounted FCFF (to Valuation basis date) for the period 2035 (Iterative WACC)?</t>
  </si>
  <si>
    <t>What is the Discounted FCFF (to Valuation basis date) for the TV (Iterative WACC)?</t>
  </si>
  <si>
    <t>What is the Entity value at Valuation date (target capital structure WACC)?</t>
  </si>
  <si>
    <t>What is the Equity value at Valuation date (target capital structure WACC)?</t>
  </si>
  <si>
    <t>What is the Discounted FCFF (to Valuation basis date) for the period 2026 (target capital structure WACC)?</t>
  </si>
  <si>
    <t>What is the Discounted FCFF (to Valuation basis date) for the period 2027 (target capital structure WACC)?</t>
  </si>
  <si>
    <t>What is the Discounted FCFF (to Valuation basis date) for the period 2028 (target capital structure WACC)?</t>
  </si>
  <si>
    <t>What is the Discounted FCFF (to Valuation basis date) for the period 2029 (target capital structure WACC)?</t>
  </si>
  <si>
    <t>What is the Discounted FCFF (to Valuation basis date) for the period 2030 (target capital structure WACC)?</t>
  </si>
  <si>
    <t>What is the Discounted FCFF (to Valuation basis date) for the period 2031 (target capital structure WACC)?</t>
  </si>
  <si>
    <t>What is the Discounted FCFF (to Valuation basis date) for the period 2032 (target capital structure WACC)?</t>
  </si>
  <si>
    <t>What is the Discounted FCFF (to Valuation basis date) for the period 2033 (target capital structure WACC)?</t>
  </si>
  <si>
    <t>What is the Discounted FCFF (to Valuation basis date) for the period 2034 (target capital structure WACC)?</t>
  </si>
  <si>
    <t>What is the Discounted FCFF (to Valuation basis date) for the period 2035 (target capital structure WACC)?</t>
  </si>
  <si>
    <t>What is the Discounted FCFF (to Valuation basis date) for the TV (target capital structure WACC)?</t>
  </si>
  <si>
    <t>What is the WACC rate (Iterative WACC)?</t>
  </si>
  <si>
    <t>What is the WACC rate (target capital structure WACC)?</t>
  </si>
  <si>
    <t>What is the amount for/of Accounts Receivable in 2035?</t>
  </si>
  <si>
    <t>What is the amount for/of Balance Sheet Sum in 2029?</t>
  </si>
  <si>
    <t>What is the amount for/of CAPEX - Machines in 2031?</t>
  </si>
  <si>
    <t>What is the amount for/of CAPEX - Other PP&amp;E in 2035?</t>
  </si>
  <si>
    <t>What is the amount for/of Cash and Cash Equivalents in 2028?</t>
  </si>
  <si>
    <t>What is the amount for/of Cashflow From Financing in 2030?</t>
  </si>
  <si>
    <t>What is the amount for/of Cashflow From Financing in 2031?</t>
  </si>
  <si>
    <t>What is the amount for/of Change in (Income) Tax Payable in 2032?</t>
  </si>
  <si>
    <t>What is the amount for/of Changes in Net Working Capital in 2029?</t>
  </si>
  <si>
    <t>What is the amount for/of Changes in Net Working Capital in 2032?</t>
  </si>
  <si>
    <t>What is the amount for/of Current portion of long-term debt in 2026?</t>
  </si>
  <si>
    <t>What is the amount for/of Current portion of long-term debt in 2027?</t>
  </si>
  <si>
    <t>What is the amount for/of Current portion of long-term debt in 2030?</t>
  </si>
  <si>
    <t>What is the amount for/of Current portion of long-term debt in 2032?</t>
  </si>
  <si>
    <t>What is the amount for/of Depreciation (general) in 2032?</t>
  </si>
  <si>
    <t>What is the amount for/of EBIT in 2028?</t>
  </si>
  <si>
    <t>What is the amount for/of EBIT in 2031?</t>
  </si>
  <si>
    <t>What is the amount for/of EBIT in 2034?</t>
  </si>
  <si>
    <t>What is the amount for/of EBITDA in 2035?</t>
  </si>
  <si>
    <t>What is the amount for/of Energy in 2035?</t>
  </si>
  <si>
    <t>What is the amount for/of Equity Capital in 2027?</t>
  </si>
  <si>
    <t>What is the amount for/of Gross Profit in 2032?</t>
  </si>
  <si>
    <t>What is the amount for/of Interest (Loan) in 2030?</t>
  </si>
  <si>
    <t>What is the amount for/of Interest (negative cash balance) in 2030?</t>
  </si>
  <si>
    <t>What is the amount for/of Interest (negative cash balance) in 2031?</t>
  </si>
  <si>
    <t>What is the amount for/of Inventory - Raw materials in 2026?</t>
  </si>
  <si>
    <t>What is the amount for/of Long-term debt in 2029?</t>
  </si>
  <si>
    <t>What is the amount for/of Long-term debt in 2030?</t>
  </si>
  <si>
    <t>What is the amount for/of Long-term debt in 2031?</t>
  </si>
  <si>
    <t>What is the amount for/of Net Cashflow in 2032?</t>
  </si>
  <si>
    <t>What is the amount for/of Net Cashflow in 2035?</t>
  </si>
  <si>
    <t>What is the amount for/of Net Income in 2030?</t>
  </si>
  <si>
    <t>What is the amount for/of Net Income in 2033?</t>
  </si>
  <si>
    <t>What is the amount for/of Opening Cash in 2026?</t>
  </si>
  <si>
    <t>What is the amount for/of Opening Cash in 2027?</t>
  </si>
  <si>
    <t>What is the amount for/of Opening Cash in 2033?</t>
  </si>
  <si>
    <t>What is the amount for/of Other production costs in 2033?</t>
  </si>
  <si>
    <t>What is the amount for/of PP&amp;E - Buildings in 2027?</t>
  </si>
  <si>
    <t>What is the amount for/of PP&amp;E - Buildings in 2028?</t>
  </si>
  <si>
    <t>What is the amount for/of PP&amp;E - Buildings in 2031?</t>
  </si>
  <si>
    <t>What is the amount for/of PP&amp;E - Buildings in 2035?</t>
  </si>
  <si>
    <t>What is the amount for/of PP&amp;E - Machines in 2026?</t>
  </si>
  <si>
    <t>What is the amount for/of PP&amp;E - Machines in 2030?</t>
  </si>
  <si>
    <t>What is the amount for/of Production wages in 2033?</t>
  </si>
  <si>
    <t>What is the amount for/of Profit Distribution Payable in 2027?</t>
  </si>
  <si>
    <t>What is the amount for/of Profit distributions payout (prior year) in 2030?</t>
  </si>
  <si>
    <t>What is the amount for/of Raw material in 2028?</t>
  </si>
  <si>
    <t>What is the amount for/of Raw material in 2029?</t>
  </si>
  <si>
    <t>What is the amount for/of Raw material in 2033?</t>
  </si>
  <si>
    <t>What is the amount for/of Repayment Loans in 2032?</t>
  </si>
  <si>
    <t>What is the amount for/of Retained Earnings in 2028?</t>
  </si>
  <si>
    <t>What is the amount for/of Sales Revenue in 2027?</t>
  </si>
  <si>
    <t>What is the amount for/of Sales Revenue in 2028?</t>
  </si>
  <si>
    <t>What is the amount for/of Sales Revenue in 2032?</t>
  </si>
  <si>
    <t>What is the amount for/of SG&amp;A in 2026?</t>
  </si>
  <si>
    <t>What is the amount for/of SG&amp;A in 2028?</t>
  </si>
  <si>
    <t>What is the amount for/of SG&amp;A in 2030?</t>
  </si>
  <si>
    <t>What is the amount for/of Total Assets in 2032?</t>
  </si>
  <si>
    <t>What is the amount for/of Total Current Assets in 2033?</t>
  </si>
  <si>
    <t>What is the amount for/of Total Liabilities in 2027?</t>
  </si>
  <si>
    <t>What is the amount for/of Total Liabilities in 2028?</t>
  </si>
  <si>
    <t>What is the amount for/of Total Liabilities in 2030?</t>
  </si>
  <si>
    <t>What is the amount for/of Total Liabilities in 2032?</t>
  </si>
  <si>
    <t>What is the amount for/of Total Long-Term Assets in 2031?</t>
  </si>
  <si>
    <t>What is the amount for/of Total Long-Term Assets in 2032?</t>
  </si>
  <si>
    <t>What is the amount for/of Total Long-Term Assets in 2034?</t>
  </si>
  <si>
    <t>What is the amount for/of Total Revenue in 2028?</t>
  </si>
  <si>
    <t>What is the amount for/of Total Revenue in 2032?</t>
  </si>
  <si>
    <t>What is the amount for/of Total Revenue in 2033?</t>
  </si>
  <si>
    <t>What is the amount for/of Total Revenue in 2034?</t>
  </si>
  <si>
    <t>The scrap metal from the production process will be sold back for a percentage of the material purchase price - see Assumptions tab for the saleback quota.</t>
  </si>
  <si>
    <t>The machines can be utilized up to a maximum capacity share - see Assumptions tab for the utilization rate.</t>
  </si>
  <si>
    <t>Taxes are applied to positive pre-tax profit, calculated on a yearly basis and paid in the following year (modeled as a year-end payable, settled in the subsequent period).</t>
  </si>
  <si>
    <t>Distribution are calculated on a yearly basis and paid in the following year (modeled as a year-end payable, settled in the subsequent period).</t>
  </si>
  <si>
    <t>The buildings were build in 2022 (finished beginning of the year) and have enough capacity for both production and administration.</t>
  </si>
  <si>
    <t>Model the year-end energy payable as part of Accounts Payable.</t>
  </si>
  <si>
    <t>What is the amount for/of Net Cashflow of the Year in 2034?</t>
  </si>
  <si>
    <t>(based on sales rev)</t>
  </si>
  <si>
    <t>(not netted)</t>
  </si>
  <si>
    <t>Use the total debt outstanding at the valuation basis date as the market value of debt.</t>
  </si>
  <si>
    <t>For the equity bridge, linearly interpolate balance sheet items within the fiscal year using a 30/360 fraction to determine their values at the valuation date.</t>
  </si>
  <si>
    <t>(based on all non-Capex cash operating costs excluding energy costs and wages, including SG&amp;A)</t>
  </si>
  <si>
    <t>If not specified, the payments/cashflows are due at the end of the respective period (simplification).</t>
  </si>
  <si>
    <t>A negative cash balance incurs additional interest charges (mind the payment/cashflow timing simplification).</t>
  </si>
  <si>
    <t>Assume that the opening balance sheet value of Other PP&amp;E (345,678) consists of two batches of equal original cost, each purchased at the same price: one batch purchased at YE 2024 (which has been depreciated for one full year by the opening balance sheet date) and one batch purchased at YE 2025 (with no depreciation yet taken). Back-calculate the original purchase price per batch from this information and the useful life.</t>
  </si>
  <si>
    <t>(based on inventory)</t>
  </si>
  <si>
    <t>Machines will be bought at the beginning of a year and cannot be sold/will stay at the company once acquired.</t>
  </si>
  <si>
    <t>The target year-end balance for Other PP&amp;E grows with inflation. Each year, the expiring vintage (the batch reaching the end of its useful life) is retired. Total CapEx for Other PP&amp;E in each year consists of: (a) the replacement of the expiring batch, purchased at year-end, and (b) an incremental purchase at the beginning of the year to cover the inflation-driven growth in the target balance. The sum of (a) and (b) should ensure the year-end book value equals the inflation-adjusted target. The total original cost of all active batches drives depreciation (straight-line over 2 years).</t>
  </si>
  <si>
    <t>Recalculate the number of production employees per shift in each year based on the number of machines in that year (rounded up to whole employees).</t>
  </si>
  <si>
    <t>Structure the Income Statement such that Cost of Goods Sold includes all production-related depreciation (machines, production share of buildings, production share of Other PP&amp;E). EBITDA is defined as Gross Profit minus SG&amp;A. General (non-production) depreciation appears below EBITDA."</t>
  </si>
  <si>
    <t>What is the amount for/of Depreciation (total) in 2033?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</si>
</sst>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Aptos Narrow"/>
      <family val="2"/>
      <scheme val="minor"/>
    </font>
    <font>
      <sz val="11"/>
      <color theme="1"/>
      <name val="Aptos Narrow"/>
      <family val="2"/>
      <scheme val="minor"/>
    </font>
    <font>
      <b/>
      <sz val="11"/>
      <color theme="1"/>
      <name val="Aptos Narrow"/>
      <family val="2"/>
      <scheme val="minor"/>
    </font>
    <font>
      <sz val="11"/>
      <color theme="1"/>
      <name val="Roboto"/>
    </font>
    <font>
      <sz val="11"/>
      <name val="Roboto"/>
    </font>
    <font>
      <sz val="12"/>
      <color theme="1"/>
      <name val="Aptos Narrow"/>
      <family val="2"/>
      <scheme val="minor"/>
    </font>
    <font>
      <b/>
      <sz val="48"/>
      <color theme="0"/>
      <name val="ROBOTECH GP"/>
      <family val="2"/>
    </font>
    <font>
      <b/>
      <sz val="24"/>
      <color theme="0"/>
      <name val="ROBOTECH GP"/>
      <family val="2"/>
    </font>
    <font>
      <b/>
      <sz val="12"/>
      <color theme="1"/>
      <name val="Aptos Narrow"/>
      <family val="2"/>
      <scheme val="minor"/>
    </font>
    <font>
      <sz val="11"/>
      <color rgb="FF0000FF"/>
      <name val="Aptos Narrow"/>
      <family val="2"/>
      <scheme val="minor"/>
    </font>
    <font>
      <b/>
      <sz val="10"/>
      <color theme="1"/>
      <name val="Arial"/>
      <family val="2"/>
    </font>
    <font>
      <b/>
      <sz val="10"/>
      <color theme="1"/>
      <name val="Aptos Narrow"/>
      <family val="2"/>
      <scheme val="minor"/>
    </font>
    <font>
      <sz val="10"/>
      <color theme="1"/>
      <name val="Aptos Narrow"/>
      <family val="2"/>
      <scheme val="minor"/>
    </font>
    <font>
      <sz val="11"/>
      <color theme="1"/>
      <name val="Calibri"/>
      <family val="2"/>
      <charset val="1"/>
    </font>
    <font>
      <sz val="12"/>
      <color rgb="FF0000FF"/>
      <name val="Aptos Narrow"/>
      <family val="2"/>
      <scheme val="minor"/>
    </font>
  </fonts>
  <fills count="7">
    <fill>
      <patternFill patternType="none"/>
    </fill>
    <fill>
      <patternFill patternType="gray125"/>
    </fill>
    <fill>
      <gradientFill>
        <stop position="0">
          <color rgb="FF007B00"/>
        </stop>
        <stop position="1">
          <color rgb="FF020024"/>
        </stop>
      </gradientFill>
    </fill>
    <fill>
      <patternFill patternType="solid">
        <fgColor theme="7" tint="0.79998168889431442"/>
        <bgColor indexed="64"/>
      </patternFill>
    </fill>
    <fill>
      <patternFill patternType="solid">
        <fgColor rgb="FFFFFFCC"/>
        <bgColor indexed="64"/>
      </patternFill>
    </fill>
    <fill>
      <patternFill patternType="solid">
        <fgColor theme="3" tint="0.79998168889431442"/>
        <bgColor indexed="64"/>
      </patternFill>
    </fill>
    <fill>
      <patternFill patternType="solid">
        <fgColor theme="8" tint="0.79998168889431442"/>
        <bgColor indexed="64"/>
      </patternFill>
    </fill>
  </fills>
  <borders count="1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s>
  <cellStyleXfs count="6">
    <xf numFmtId="0" fontId="0" fillId="0" borderId="0"/>
    <xf numFmtId="0" fontId="1" fillId="0" borderId="0"/>
    <xf numFmtId="0" fontId="5" fillId="0" borderId="0"/>
    <xf numFmtId="9" fontId="1" fillId="0" borderId="0" applyFont="0" applyFill="0" applyBorder="0" applyAlignment="0" applyProtection="0"/>
    <xf numFmtId="4" fontId="10" fillId="5" borderId="2">
      <alignment horizontal="left"/>
    </xf>
    <xf numFmtId="0" fontId="13" fillId="0" borderId="0"/>
  </cellStyleXfs>
  <cellXfs count="45">
    <xf numFmtId="0" fontId="0" fillId="0" borderId="0" xfId="0"/>
    <xf numFmtId="0" fontId="3" fillId="0" borderId="0" xfId="1" applyFont="1"/>
    <xf numFmtId="0" fontId="4" fillId="0" borderId="0" xfId="1" applyFont="1"/>
    <xf numFmtId="0" fontId="3" fillId="0" borderId="0" xfId="1" applyFont="1" applyAlignment="1">
      <alignment horizontal="left"/>
    </xf>
    <xf numFmtId="0" fontId="3" fillId="0" borderId="0" xfId="1" applyFont="1" applyAlignment="1">
      <alignment horizontal="center"/>
    </xf>
    <xf numFmtId="0" fontId="4" fillId="0" borderId="0" xfId="1" applyFont="1" applyAlignment="1">
      <alignment horizontal="center"/>
    </xf>
    <xf numFmtId="0" fontId="2" fillId="0" borderId="0" xfId="0" applyFont="1"/>
    <xf numFmtId="0" fontId="8" fillId="0" borderId="0" xfId="2" applyFont="1"/>
    <xf numFmtId="0" fontId="5" fillId="0" borderId="0" xfId="2"/>
    <xf numFmtId="4" fontId="3" fillId="3" borderId="5" xfId="1" applyNumberFormat="1" applyFont="1" applyFill="1" applyBorder="1" applyAlignment="1">
      <alignment horizontal="center"/>
    </xf>
    <xf numFmtId="0" fontId="9" fillId="0" borderId="0" xfId="0" applyFont="1"/>
    <xf numFmtId="4" fontId="11" fillId="6" borderId="2" xfId="4" applyFont="1" applyFill="1">
      <alignment horizontal="left"/>
    </xf>
    <xf numFmtId="4" fontId="2" fillId="6" borderId="2" xfId="4" applyFont="1" applyFill="1">
      <alignment horizontal="left"/>
    </xf>
    <xf numFmtId="0" fontId="12" fillId="6" borderId="0" xfId="0" applyFont="1" applyFill="1"/>
    <xf numFmtId="10" fontId="9" fillId="4" borderId="5" xfId="3" applyNumberFormat="1" applyFont="1" applyFill="1" applyBorder="1"/>
    <xf numFmtId="3" fontId="9" fillId="4" borderId="5" xfId="3" applyNumberFormat="1" applyFont="1" applyFill="1" applyBorder="1"/>
    <xf numFmtId="0" fontId="14" fillId="0" borderId="0" xfId="0" applyFont="1"/>
    <xf numFmtId="14" fontId="9" fillId="4" borderId="5" xfId="3" applyNumberFormat="1" applyFont="1" applyFill="1" applyBorder="1"/>
    <xf numFmtId="4" fontId="9" fillId="4" borderId="5" xfId="3" applyNumberFormat="1" applyFont="1" applyFill="1" applyBorder="1"/>
    <xf numFmtId="0" fontId="3" fillId="0" borderId="0" xfId="1" quotePrefix="1" applyFont="1" applyAlignment="1">
      <alignment horizontal="left"/>
    </xf>
    <xf numFmtId="0" fontId="3" fillId="0" borderId="0" xfId="1" quotePrefix="1" applyFont="1"/>
    <xf numFmtId="0" fontId="0" fillId="0" borderId="6" xfId="0" applyBorder="1"/>
    <xf numFmtId="0" fontId="0" fillId="0" borderId="7" xfId="0" applyBorder="1"/>
    <xf numFmtId="0" fontId="0" fillId="0" borderId="8" xfId="0" applyBorder="1"/>
    <xf numFmtId="0" fontId="0" fillId="0" borderId="9" xfId="0" applyBorder="1"/>
    <xf numFmtId="0" fontId="0" fillId="0" borderId="11" xfId="0" applyBorder="1"/>
    <xf numFmtId="4" fontId="0" fillId="0" borderId="9" xfId="0" applyNumberFormat="1" applyBorder="1"/>
    <xf numFmtId="4" fontId="0" fillId="0" borderId="11" xfId="0" applyNumberFormat="1" applyBorder="1"/>
    <xf numFmtId="4" fontId="0" fillId="0" borderId="0" xfId="0" applyNumberFormat="1"/>
    <xf numFmtId="3" fontId="0" fillId="0" borderId="0" xfId="0" applyNumberFormat="1"/>
    <xf numFmtId="4" fontId="0" fillId="0" borderId="14" xfId="0" applyNumberFormat="1" applyBorder="1"/>
    <xf numFmtId="4" fontId="9" fillId="4" borderId="10" xfId="3" applyNumberFormat="1" applyFont="1" applyFill="1" applyBorder="1"/>
    <xf numFmtId="4" fontId="9" fillId="4" borderId="12" xfId="3" applyNumberFormat="1" applyFont="1" applyFill="1" applyBorder="1"/>
    <xf numFmtId="4" fontId="9" fillId="4" borderId="13" xfId="3" applyNumberFormat="1" applyFont="1" applyFill="1" applyBorder="1"/>
    <xf numFmtId="3" fontId="9" fillId="4" borderId="10" xfId="3" applyNumberFormat="1" applyFont="1" applyFill="1" applyBorder="1"/>
    <xf numFmtId="3" fontId="9" fillId="4" borderId="12" xfId="3" applyNumberFormat="1" applyFont="1" applyFill="1" applyBorder="1"/>
    <xf numFmtId="3" fontId="9" fillId="4" borderId="13" xfId="3" applyNumberFormat="1" applyFont="1" applyFill="1" applyBorder="1"/>
    <xf numFmtId="0" fontId="0" fillId="0" borderId="0" xfId="0" quotePrefix="1"/>
    <xf numFmtId="4" fontId="0" fillId="0" borderId="8" xfId="0" applyNumberFormat="1" applyBorder="1"/>
    <xf numFmtId="10" fontId="3" fillId="3" borderId="5" xfId="1" applyNumberFormat="1" applyFont="1" applyFill="1" applyBorder="1" applyAlignment="1">
      <alignment horizontal="center"/>
    </xf>
    <xf numFmtId="0" fontId="6" fillId="2" borderId="1" xfId="2" applyFont="1" applyFill="1" applyBorder="1" applyAlignment="1">
      <alignment horizontal="center" vertical="center"/>
    </xf>
    <xf numFmtId="0" fontId="6" fillId="2" borderId="2" xfId="2" applyFont="1" applyFill="1" applyBorder="1" applyAlignment="1">
      <alignment horizontal="center" vertical="center"/>
    </xf>
    <xf numFmtId="0" fontId="6" fillId="2" borderId="3" xfId="2" applyFont="1" applyFill="1" applyBorder="1" applyAlignment="1">
      <alignment horizontal="center" vertical="center"/>
    </xf>
    <xf numFmtId="0" fontId="7" fillId="2" borderId="4" xfId="2" applyFont="1" applyFill="1" applyBorder="1" applyAlignment="1">
      <alignment horizontal="center" vertical="center"/>
    </xf>
    <xf numFmtId="0" fontId="7" fillId="2" borderId="0" xfId="2" applyFont="1" applyFill="1" applyAlignment="1">
      <alignment horizontal="center" vertical="center"/>
    </xf>
  </cellXfs>
  <cellStyles count="6">
    <cellStyle name="M Section Header" xfId="4" xr:uid="{F944F0E6-F034-49F8-8B3F-D0C9E50BA2F6}"/>
    <cellStyle name="Normal" xfId="0" builtinId="0"/>
    <cellStyle name="Normal 2" xfId="2" xr:uid="{037B3D13-DA10-4240-9E6B-55FD128391C9}"/>
    <cellStyle name="Normal 3" xfId="1" xr:uid="{1C87C372-71EA-4FEE-904D-475CC6E05479}"/>
    <cellStyle name="Normal 4" xfId="5" xr:uid="{273FDE25-047F-448D-BEF1-698059824ACE}"/>
    <cellStyle name="Percent" xfId="3" builtin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6176C-3579-4288-92CF-6D92740E33DD}">
  <sheetPr>
    <tabColor theme="8" tint="-0.249977111117893"/>
  </sheetPr>
  <dimension ref="A1:K76"/>
  <sheetViews>
    <sheetView showGridLines="0" tabSelected="1" zoomScale="80" zoomScaleNormal="80" zoomScaleSheetLayoutView="100" workbookViewId="0"/>
  </sheetViews>
  <sheetFormatPr defaultColWidth="5.21875" defaultRowHeight="14.4"/>
  <cols>
    <col min="1" max="1" width="1.88671875" style="1" customWidth="1"/>
    <col min="2" max="2" width="32.109375" style="4" customWidth="1"/>
    <col min="3" max="3" width="17.109375" style="4" bestFit="1" customWidth="1"/>
    <col min="4" max="4" width="20.88671875" style="4" bestFit="1" customWidth="1"/>
    <col min="5" max="5" width="24.109375" style="4" customWidth="1"/>
    <col min="6" max="6" width="21.5546875" style="4" customWidth="1"/>
    <col min="7" max="7" width="26.33203125" style="4" bestFit="1" customWidth="1"/>
    <col min="8" max="8" width="40.109375" style="4" customWidth="1"/>
    <col min="9" max="9" width="23.5546875" style="5" customWidth="1"/>
    <col min="10" max="10" width="23.5546875" style="2" customWidth="1"/>
    <col min="11" max="11" width="27.77734375" style="2" customWidth="1"/>
    <col min="12" max="12" width="20.5546875" style="2" customWidth="1"/>
    <col min="13" max="376" width="11.109375" style="2" bestFit="1" customWidth="1"/>
    <col min="377" max="377" width="5.21875" style="2"/>
    <col min="378" max="383" width="9.6640625" style="2" customWidth="1"/>
    <col min="384" max="384" width="5.21875" style="2"/>
    <col min="385" max="393" width="9.6640625" style="2" customWidth="1"/>
    <col min="394" max="16384" width="5.21875" style="2"/>
  </cols>
  <sheetData>
    <row r="1" spans="2:11" ht="15" customHeight="1">
      <c r="B1" s="1"/>
      <c r="C1" s="1"/>
      <c r="D1" s="1"/>
      <c r="E1" s="1"/>
      <c r="F1" s="1"/>
      <c r="G1" s="1"/>
      <c r="H1" s="1"/>
      <c r="I1" s="1"/>
      <c r="J1" s="1"/>
      <c r="K1" s="1"/>
    </row>
    <row r="2" spans="2:11" ht="60.75" customHeight="1">
      <c r="B2" s="40" t="s">
        <v>18</v>
      </c>
      <c r="C2" s="41"/>
      <c r="D2" s="41"/>
      <c r="E2" s="41"/>
      <c r="F2" s="41"/>
      <c r="G2" s="41"/>
      <c r="H2" s="41"/>
      <c r="I2" s="41"/>
      <c r="J2" s="41"/>
      <c r="K2" s="42"/>
    </row>
    <row r="3" spans="2:11" ht="15" customHeight="1">
      <c r="B3" s="1"/>
      <c r="C3" s="1"/>
      <c r="D3" s="1"/>
      <c r="E3" s="1"/>
      <c r="F3" s="1"/>
      <c r="G3" s="1"/>
      <c r="H3" s="1"/>
      <c r="I3" s="1"/>
      <c r="J3" s="1"/>
      <c r="K3" s="1"/>
    </row>
    <row r="4" spans="2:11" ht="33.75" customHeight="1">
      <c r="B4" s="43" t="s">
        <v>23</v>
      </c>
      <c r="C4" s="44"/>
      <c r="D4" s="44"/>
      <c r="E4" s="44"/>
      <c r="F4" s="44"/>
      <c r="G4" s="44"/>
      <c r="H4" s="44"/>
      <c r="I4" s="44"/>
      <c r="J4" s="1"/>
    </row>
    <row r="5" spans="2:11" ht="15" customHeight="1">
      <c r="B5" s="1"/>
      <c r="C5" s="1"/>
      <c r="D5" s="1"/>
      <c r="E5" s="1"/>
      <c r="F5" s="1"/>
      <c r="G5" s="1"/>
      <c r="H5" s="1"/>
      <c r="I5" s="1"/>
      <c r="J5" s="1"/>
      <c r="K5" s="1"/>
    </row>
    <row r="6" spans="2:11" ht="15" customHeight="1">
      <c r="B6" s="1" t="s">
        <v>48</v>
      </c>
      <c r="C6" s="1"/>
      <c r="D6" s="1"/>
      <c r="E6" s="1"/>
      <c r="F6" s="1"/>
      <c r="G6" s="1"/>
      <c r="H6" s="1"/>
      <c r="I6" s="1"/>
      <c r="J6" s="1"/>
      <c r="K6" s="1"/>
    </row>
    <row r="7" spans="2:11" ht="15" customHeight="1">
      <c r="B7" s="1" t="s">
        <v>49</v>
      </c>
      <c r="C7" s="1"/>
      <c r="D7" s="1"/>
      <c r="E7" s="1"/>
      <c r="F7" s="1"/>
      <c r="G7" s="1"/>
      <c r="H7" s="1"/>
      <c r="I7" s="1"/>
      <c r="J7" s="1"/>
      <c r="K7" s="1"/>
    </row>
    <row r="8" spans="2:11" ht="15" customHeight="1">
      <c r="B8" s="1" t="s">
        <v>285</v>
      </c>
      <c r="C8" s="1"/>
      <c r="D8" s="1"/>
      <c r="E8" s="1"/>
      <c r="F8" s="1"/>
      <c r="G8" s="1"/>
      <c r="H8" s="1"/>
      <c r="I8" s="1"/>
      <c r="J8" s="1"/>
      <c r="K8" s="1"/>
    </row>
    <row r="9" spans="2:11" ht="15" customHeight="1">
      <c r="B9" s="1"/>
      <c r="C9" s="1"/>
      <c r="D9" s="1"/>
      <c r="E9" s="1"/>
      <c r="F9" s="1"/>
      <c r="G9" s="1"/>
      <c r="H9" s="1"/>
      <c r="I9" s="1"/>
      <c r="J9" s="1"/>
      <c r="K9" s="1"/>
    </row>
    <row r="10" spans="2:11" ht="15" customHeight="1">
      <c r="B10" s="1" t="s">
        <v>50</v>
      </c>
      <c r="C10" s="1"/>
      <c r="D10" s="1"/>
      <c r="E10" s="1"/>
      <c r="F10" s="1"/>
      <c r="G10" s="1"/>
      <c r="H10" s="1"/>
      <c r="I10" s="1"/>
      <c r="J10" s="1"/>
      <c r="K10" s="1"/>
    </row>
    <row r="11" spans="2:11" ht="15" customHeight="1">
      <c r="B11" s="1" t="s">
        <v>51</v>
      </c>
      <c r="C11" s="1"/>
      <c r="D11" s="1"/>
      <c r="E11" s="1"/>
      <c r="F11" s="1"/>
      <c r="G11" s="1"/>
      <c r="H11" s="1"/>
      <c r="I11" s="1"/>
      <c r="J11" s="1"/>
      <c r="K11" s="1"/>
    </row>
    <row r="12" spans="2:11" ht="15" customHeight="1">
      <c r="B12" s="1" t="s">
        <v>267</v>
      </c>
      <c r="C12" s="1"/>
      <c r="D12" s="1"/>
      <c r="E12" s="1"/>
      <c r="F12" s="1"/>
      <c r="G12" s="1"/>
      <c r="H12" s="1"/>
      <c r="I12" s="1"/>
      <c r="J12" s="1"/>
      <c r="K12" s="1"/>
    </row>
    <row r="13" spans="2:11" ht="15" customHeight="1">
      <c r="B13" s="1" t="s">
        <v>282</v>
      </c>
      <c r="C13" s="1"/>
      <c r="D13" s="1"/>
      <c r="E13" s="1"/>
      <c r="F13" s="1"/>
      <c r="G13" s="1"/>
      <c r="H13" s="1"/>
      <c r="I13" s="1"/>
      <c r="J13" s="1"/>
      <c r="K13" s="1"/>
    </row>
    <row r="14" spans="2:11" ht="15" customHeight="1">
      <c r="B14" s="1"/>
      <c r="C14" s="1"/>
      <c r="D14" s="1"/>
      <c r="E14" s="1"/>
      <c r="F14" s="1"/>
      <c r="G14" s="1"/>
      <c r="H14" s="1"/>
      <c r="I14" s="1"/>
      <c r="J14" s="1"/>
      <c r="K14" s="1"/>
    </row>
    <row r="15" spans="2:11" ht="15" customHeight="1">
      <c r="B15" s="1" t="s">
        <v>283</v>
      </c>
      <c r="C15" s="1"/>
      <c r="D15" s="1"/>
      <c r="E15" s="1"/>
      <c r="F15" s="1"/>
      <c r="G15" s="1"/>
      <c r="H15" s="1"/>
      <c r="I15" s="1"/>
      <c r="J15" s="1"/>
      <c r="K15" s="1"/>
    </row>
    <row r="16" spans="2:11" ht="15" customHeight="1">
      <c r="B16" s="1" t="s">
        <v>280</v>
      </c>
      <c r="C16" s="1"/>
      <c r="D16" s="1"/>
      <c r="E16" s="1"/>
      <c r="F16" s="1"/>
      <c r="G16" s="1"/>
      <c r="H16" s="1"/>
      <c r="I16" s="1"/>
      <c r="J16" s="1"/>
      <c r="K16" s="1"/>
    </row>
    <row r="17" spans="2:11" ht="15" customHeight="1">
      <c r="B17" s="1" t="s">
        <v>133</v>
      </c>
      <c r="C17" s="1"/>
      <c r="D17" s="1"/>
      <c r="E17" s="1"/>
      <c r="F17" s="1"/>
      <c r="G17" s="1"/>
      <c r="H17" s="1"/>
      <c r="I17" s="1"/>
      <c r="J17" s="1"/>
      <c r="K17" s="1"/>
    </row>
    <row r="18" spans="2:11" ht="15" customHeight="1">
      <c r="B18" s="1"/>
      <c r="C18" s="1"/>
      <c r="D18" s="1"/>
      <c r="E18" s="1"/>
      <c r="F18" s="1"/>
      <c r="G18" s="1"/>
      <c r="H18" s="1"/>
      <c r="I18" s="1"/>
      <c r="J18" s="1"/>
      <c r="K18" s="1"/>
    </row>
    <row r="19" spans="2:11" ht="15" customHeight="1">
      <c r="B19" s="1" t="s">
        <v>87</v>
      </c>
      <c r="C19" s="1"/>
      <c r="D19" s="1"/>
      <c r="E19" s="1"/>
      <c r="F19" s="1"/>
      <c r="G19" s="1"/>
      <c r="H19" s="1"/>
      <c r="I19" s="1"/>
      <c r="J19" s="1"/>
      <c r="K19" s="1"/>
    </row>
    <row r="20" spans="2:11" ht="15" customHeight="1">
      <c r="B20" s="1"/>
      <c r="C20" s="1"/>
      <c r="D20" s="1"/>
      <c r="E20" s="1"/>
      <c r="F20" s="1"/>
      <c r="G20" s="1"/>
      <c r="H20" s="1"/>
      <c r="I20" s="1"/>
      <c r="J20" s="1"/>
      <c r="K20" s="1"/>
    </row>
    <row r="21" spans="2:11" ht="15" customHeight="1">
      <c r="B21" s="1" t="s">
        <v>62</v>
      </c>
      <c r="C21" s="1"/>
      <c r="D21" s="1"/>
      <c r="E21" s="1"/>
      <c r="F21" s="1"/>
      <c r="G21" s="1"/>
      <c r="H21" s="1"/>
      <c r="I21" s="1"/>
      <c r="J21" s="1"/>
      <c r="K21" s="1"/>
    </row>
    <row r="22" spans="2:11" ht="15" customHeight="1">
      <c r="B22" s="1" t="s">
        <v>63</v>
      </c>
      <c r="C22" s="1"/>
      <c r="D22" s="1"/>
      <c r="E22" s="1"/>
      <c r="F22" s="1"/>
      <c r="G22" s="1"/>
      <c r="H22" s="1"/>
      <c r="I22" s="1"/>
      <c r="J22" s="1"/>
      <c r="K22" s="1"/>
    </row>
    <row r="23" spans="2:11" ht="15" customHeight="1">
      <c r="B23" s="1" t="s">
        <v>271</v>
      </c>
      <c r="C23" s="1"/>
      <c r="D23" s="1"/>
      <c r="E23" s="1"/>
      <c r="F23" s="1"/>
      <c r="G23" s="1"/>
      <c r="H23" s="1"/>
      <c r="I23" s="1"/>
      <c r="J23" s="1"/>
      <c r="K23" s="1"/>
    </row>
    <row r="24" spans="2:11" ht="15" customHeight="1">
      <c r="B24" s="1"/>
      <c r="C24" s="1"/>
      <c r="D24" s="1"/>
      <c r="E24" s="1"/>
      <c r="F24" s="1"/>
      <c r="G24" s="1"/>
      <c r="H24" s="1"/>
      <c r="I24" s="1"/>
      <c r="J24" s="1"/>
      <c r="K24" s="1"/>
    </row>
    <row r="25" spans="2:11" ht="15" customHeight="1">
      <c r="B25" s="1" t="s">
        <v>61</v>
      </c>
      <c r="C25" s="1"/>
      <c r="D25" s="1"/>
      <c r="E25" s="1"/>
      <c r="F25" s="1"/>
      <c r="G25" s="1"/>
      <c r="H25" s="1"/>
      <c r="I25" s="1"/>
      <c r="J25" s="1"/>
      <c r="K25" s="1"/>
    </row>
    <row r="26" spans="2:11" ht="15" customHeight="1">
      <c r="B26" s="1" t="s">
        <v>60</v>
      </c>
      <c r="C26" s="1"/>
      <c r="D26" s="1"/>
      <c r="E26" s="1"/>
      <c r="F26" s="1"/>
      <c r="G26" s="1"/>
      <c r="H26" s="1"/>
      <c r="I26" s="1"/>
      <c r="J26" s="1"/>
      <c r="K26" s="1"/>
    </row>
    <row r="27" spans="2:11" ht="15" customHeight="1">
      <c r="B27" s="1"/>
      <c r="C27" s="1"/>
      <c r="D27" s="1"/>
      <c r="E27" s="1"/>
      <c r="F27" s="1"/>
      <c r="G27" s="1"/>
      <c r="H27" s="1"/>
      <c r="I27" s="1"/>
      <c r="J27" s="1"/>
      <c r="K27" s="1"/>
    </row>
    <row r="28" spans="2:11" ht="15" customHeight="1">
      <c r="B28" s="1" t="s">
        <v>266</v>
      </c>
      <c r="C28" s="1"/>
      <c r="D28" s="1"/>
      <c r="E28" s="1"/>
      <c r="F28" s="1"/>
      <c r="G28" s="1"/>
      <c r="H28" s="1"/>
      <c r="I28" s="1"/>
      <c r="J28" s="1"/>
      <c r="K28" s="1"/>
    </row>
    <row r="29" spans="2:11" ht="15" customHeight="1">
      <c r="B29" s="1"/>
      <c r="C29" s="1"/>
      <c r="D29" s="1"/>
      <c r="E29" s="1"/>
      <c r="F29" s="1"/>
      <c r="G29" s="1"/>
      <c r="H29" s="1"/>
      <c r="I29" s="1"/>
      <c r="J29" s="1"/>
      <c r="K29" s="1"/>
    </row>
    <row r="30" spans="2:11" ht="15" customHeight="1">
      <c r="B30" s="1" t="s">
        <v>74</v>
      </c>
      <c r="C30" s="1"/>
      <c r="D30" s="1"/>
      <c r="E30" s="1"/>
      <c r="F30" s="1"/>
      <c r="G30" s="1"/>
      <c r="H30" s="1"/>
      <c r="I30" s="1"/>
      <c r="J30" s="1"/>
      <c r="K30" s="1"/>
    </row>
    <row r="31" spans="2:11" ht="15" customHeight="1">
      <c r="B31" s="1" t="s">
        <v>81</v>
      </c>
      <c r="C31" s="1"/>
      <c r="D31" s="1"/>
      <c r="E31" s="1"/>
      <c r="F31" s="1"/>
      <c r="G31" s="1"/>
      <c r="H31" s="1"/>
      <c r="I31" s="1"/>
      <c r="J31" s="1"/>
      <c r="K31" s="1"/>
    </row>
    <row r="32" spans="2:11" ht="15" customHeight="1">
      <c r="B32" s="1" t="s">
        <v>75</v>
      </c>
      <c r="C32" s="1"/>
      <c r="D32" s="1"/>
      <c r="E32" s="1"/>
      <c r="F32" s="1"/>
      <c r="G32" s="1"/>
      <c r="H32" s="1"/>
      <c r="I32" s="1"/>
      <c r="J32" s="1"/>
      <c r="K32" s="1"/>
    </row>
    <row r="33" spans="2:11" ht="15" customHeight="1">
      <c r="B33" s="1" t="s">
        <v>284</v>
      </c>
      <c r="C33" s="1"/>
      <c r="D33" s="1"/>
      <c r="E33" s="1"/>
      <c r="F33" s="1"/>
      <c r="G33" s="1"/>
      <c r="H33" s="1"/>
      <c r="I33" s="1"/>
      <c r="J33" s="1"/>
      <c r="K33" s="1"/>
    </row>
    <row r="34" spans="2:11" ht="15" customHeight="1">
      <c r="B34" s="1"/>
      <c r="C34" s="1"/>
      <c r="D34" s="1"/>
      <c r="E34" s="1"/>
      <c r="F34" s="1"/>
      <c r="G34" s="1"/>
      <c r="H34" s="1"/>
      <c r="I34" s="1"/>
      <c r="J34" s="1"/>
      <c r="K34" s="1"/>
    </row>
    <row r="35" spans="2:11" ht="15" customHeight="1">
      <c r="B35" s="1" t="s">
        <v>88</v>
      </c>
      <c r="C35" s="1"/>
      <c r="D35" s="1"/>
      <c r="E35" s="1"/>
      <c r="F35" s="1"/>
      <c r="G35" s="1"/>
      <c r="H35" s="1"/>
      <c r="I35" s="1"/>
      <c r="J35" s="1"/>
      <c r="K35" s="1"/>
    </row>
    <row r="36" spans="2:11" ht="15" customHeight="1">
      <c r="B36" s="1" t="s">
        <v>89</v>
      </c>
      <c r="C36" s="1"/>
      <c r="D36" s="1"/>
      <c r="E36" s="1"/>
      <c r="F36" s="1"/>
      <c r="G36" s="1"/>
      <c r="H36" s="1"/>
      <c r="I36" s="1"/>
      <c r="J36" s="1"/>
      <c r="K36" s="1"/>
    </row>
    <row r="37" spans="2:11" ht="15" customHeight="1">
      <c r="B37" s="1" t="s">
        <v>90</v>
      </c>
      <c r="C37" s="1"/>
      <c r="D37" s="1"/>
      <c r="E37" s="1"/>
      <c r="F37" s="1"/>
      <c r="G37" s="1"/>
      <c r="H37" s="1"/>
      <c r="I37" s="1"/>
      <c r="J37" s="1"/>
      <c r="K37" s="1"/>
    </row>
    <row r="38" spans="2:11" ht="15" customHeight="1">
      <c r="B38" s="1"/>
      <c r="C38" s="1"/>
      <c r="D38" s="1"/>
      <c r="E38" s="1"/>
      <c r="F38" s="1"/>
      <c r="G38" s="1"/>
      <c r="H38" s="1"/>
      <c r="I38" s="1"/>
      <c r="J38" s="1"/>
      <c r="K38" s="1"/>
    </row>
    <row r="39" spans="2:11" ht="15" customHeight="1">
      <c r="B39" s="1" t="s">
        <v>270</v>
      </c>
      <c r="C39" s="1"/>
      <c r="D39" s="1"/>
      <c r="E39" s="1"/>
      <c r="F39" s="1"/>
      <c r="G39" s="1"/>
      <c r="H39" s="1"/>
      <c r="I39" s="1"/>
      <c r="J39" s="1"/>
      <c r="K39" s="1"/>
    </row>
    <row r="40" spans="2:11" ht="15" customHeight="1">
      <c r="B40" s="1"/>
      <c r="C40" s="1"/>
      <c r="D40" s="1"/>
      <c r="E40" s="1"/>
      <c r="F40" s="1"/>
      <c r="G40" s="1"/>
      <c r="H40" s="1"/>
      <c r="I40" s="1"/>
      <c r="J40" s="1"/>
      <c r="K40" s="1"/>
    </row>
    <row r="41" spans="2:11" ht="15" customHeight="1">
      <c r="B41" s="1" t="s">
        <v>268</v>
      </c>
      <c r="C41" s="1"/>
      <c r="D41" s="1"/>
      <c r="E41" s="1"/>
      <c r="F41" s="1"/>
      <c r="G41" s="1"/>
      <c r="H41" s="1"/>
      <c r="I41" s="1"/>
      <c r="J41" s="1"/>
      <c r="K41" s="1"/>
    </row>
    <row r="42" spans="2:11" ht="15" customHeight="1">
      <c r="B42" s="1" t="s">
        <v>152</v>
      </c>
      <c r="C42" s="1"/>
      <c r="D42" s="1"/>
      <c r="E42" s="1"/>
      <c r="F42" s="1"/>
      <c r="G42" s="1"/>
      <c r="H42" s="1"/>
      <c r="I42" s="1"/>
      <c r="J42" s="1"/>
      <c r="K42" s="1"/>
    </row>
    <row r="43" spans="2:11" ht="15" customHeight="1">
      <c r="B43" s="1"/>
      <c r="C43" s="1"/>
      <c r="D43" s="1"/>
      <c r="E43" s="1"/>
      <c r="F43" s="1"/>
      <c r="G43" s="1"/>
      <c r="H43" s="1"/>
      <c r="I43" s="1"/>
      <c r="J43" s="1"/>
      <c r="K43" s="1"/>
    </row>
    <row r="44" spans="2:11" ht="15" customHeight="1">
      <c r="B44" s="1" t="s">
        <v>103</v>
      </c>
      <c r="C44" s="1"/>
      <c r="D44" s="1"/>
      <c r="E44" s="1"/>
      <c r="F44" s="1"/>
      <c r="G44" s="1"/>
      <c r="H44" s="1"/>
      <c r="I44" s="1"/>
      <c r="J44" s="1"/>
      <c r="K44" s="1"/>
    </row>
    <row r="45" spans="2:11" ht="15" customHeight="1">
      <c r="B45" s="1" t="s">
        <v>269</v>
      </c>
      <c r="C45" s="1"/>
      <c r="D45" s="1"/>
      <c r="E45" s="1"/>
      <c r="F45" s="1"/>
      <c r="G45" s="1"/>
      <c r="H45" s="1"/>
      <c r="I45" s="1"/>
      <c r="J45" s="1"/>
      <c r="K45" s="1"/>
    </row>
    <row r="46" spans="2:11" ht="15" customHeight="1">
      <c r="B46" s="1" t="s">
        <v>104</v>
      </c>
      <c r="C46" s="1"/>
      <c r="D46" s="1"/>
      <c r="E46" s="1"/>
      <c r="F46" s="1"/>
      <c r="G46" s="1"/>
      <c r="H46" s="1"/>
      <c r="I46" s="1"/>
      <c r="J46" s="1"/>
      <c r="K46" s="1"/>
    </row>
    <row r="47" spans="2:11" ht="15" customHeight="1">
      <c r="B47" s="1"/>
      <c r="C47" s="1"/>
      <c r="D47" s="1"/>
      <c r="E47" s="1"/>
      <c r="F47" s="1"/>
      <c r="G47" s="1"/>
      <c r="H47" s="1"/>
      <c r="I47" s="1"/>
      <c r="J47" s="1"/>
      <c r="K47" s="1"/>
    </row>
    <row r="48" spans="2:11" ht="15" customHeight="1">
      <c r="B48" s="1" t="s">
        <v>135</v>
      </c>
      <c r="C48" s="1"/>
      <c r="D48" s="1"/>
      <c r="E48" s="1"/>
      <c r="F48" s="1"/>
      <c r="G48" s="1"/>
      <c r="H48" s="1"/>
      <c r="I48" s="1"/>
      <c r="J48" s="1"/>
      <c r="K48" s="1"/>
    </row>
    <row r="49" spans="2:11" ht="15" customHeight="1">
      <c r="B49" s="1" t="s">
        <v>279</v>
      </c>
      <c r="C49" s="1"/>
      <c r="D49" s="1"/>
      <c r="E49" s="1"/>
      <c r="F49" s="1"/>
      <c r="G49" s="1"/>
      <c r="H49" s="1"/>
      <c r="I49" s="1"/>
      <c r="J49" s="1"/>
      <c r="K49" s="1"/>
    </row>
    <row r="50" spans="2:11" ht="15" customHeight="1">
      <c r="B50" s="1"/>
      <c r="C50" s="1"/>
      <c r="D50" s="1"/>
      <c r="E50" s="1"/>
      <c r="F50" s="1"/>
      <c r="G50" s="1"/>
      <c r="H50" s="1"/>
      <c r="I50" s="1"/>
      <c r="J50" s="1"/>
      <c r="K50" s="1"/>
    </row>
    <row r="51" spans="2:11" ht="15" customHeight="1">
      <c r="B51" s="1" t="s">
        <v>110</v>
      </c>
      <c r="C51" s="1"/>
      <c r="D51" s="1"/>
      <c r="E51" s="1"/>
      <c r="F51" s="1"/>
      <c r="G51" s="1"/>
      <c r="H51" s="1"/>
      <c r="I51" s="1"/>
      <c r="J51" s="1"/>
      <c r="K51" s="1"/>
    </row>
    <row r="52" spans="2:11" ht="15" customHeight="1">
      <c r="B52" s="1"/>
      <c r="C52" s="1"/>
      <c r="D52" s="1"/>
      <c r="E52" s="1"/>
      <c r="F52" s="1"/>
      <c r="G52" s="1"/>
      <c r="H52" s="1"/>
      <c r="I52" s="1"/>
      <c r="J52" s="1"/>
      <c r="K52" s="1"/>
    </row>
    <row r="53" spans="2:11" ht="15" customHeight="1">
      <c r="B53" s="1" t="s">
        <v>113</v>
      </c>
      <c r="C53" s="1"/>
      <c r="D53" s="1"/>
      <c r="E53" s="1"/>
      <c r="F53" s="1"/>
      <c r="G53" s="1"/>
      <c r="H53" s="1"/>
      <c r="I53" s="1"/>
      <c r="J53" s="1"/>
      <c r="K53" s="1"/>
    </row>
    <row r="54" spans="2:11" ht="15" customHeight="1">
      <c r="B54" s="1" t="s">
        <v>114</v>
      </c>
      <c r="C54" s="1"/>
      <c r="D54" s="1"/>
      <c r="E54" s="1"/>
      <c r="F54" s="1"/>
      <c r="G54" s="1"/>
      <c r="H54" s="1"/>
      <c r="I54" s="1"/>
      <c r="J54" s="1"/>
      <c r="K54" s="1"/>
    </row>
    <row r="55" spans="2:11" ht="15" customHeight="1">
      <c r="B55" s="1"/>
      <c r="C55" s="1"/>
      <c r="D55" s="1"/>
      <c r="E55" s="1"/>
      <c r="F55" s="1"/>
      <c r="G55" s="1"/>
      <c r="H55" s="1"/>
      <c r="I55" s="1"/>
      <c r="J55" s="1"/>
      <c r="K55" s="1"/>
    </row>
    <row r="56" spans="2:11" ht="15" customHeight="1">
      <c r="B56" s="1" t="s">
        <v>116</v>
      </c>
      <c r="C56" s="1"/>
      <c r="D56" s="1"/>
      <c r="E56" s="1"/>
      <c r="F56" s="1"/>
      <c r="G56" s="1"/>
      <c r="H56" s="1"/>
      <c r="I56" s="1"/>
      <c r="J56" s="1"/>
      <c r="K56" s="1"/>
    </row>
    <row r="57" spans="2:11" ht="15" customHeight="1">
      <c r="B57" s="1" t="s">
        <v>117</v>
      </c>
      <c r="C57" s="1"/>
      <c r="D57" s="1"/>
      <c r="E57" s="1"/>
      <c r="F57" s="1"/>
      <c r="G57" s="1"/>
      <c r="H57" s="1"/>
      <c r="I57" s="1"/>
      <c r="J57" s="1"/>
      <c r="K57" s="1"/>
    </row>
    <row r="58" spans="2:11" ht="15" customHeight="1">
      <c r="B58" s="1"/>
      <c r="C58" s="1"/>
      <c r="D58" s="1"/>
      <c r="E58" s="1"/>
      <c r="F58" s="1"/>
      <c r="G58" s="1"/>
      <c r="H58" s="1"/>
      <c r="I58" s="1"/>
      <c r="J58" s="1"/>
      <c r="K58" s="1"/>
    </row>
    <row r="59" spans="2:11" ht="15" customHeight="1">
      <c r="B59" s="1" t="s">
        <v>119</v>
      </c>
      <c r="C59" s="1"/>
      <c r="D59" s="1"/>
      <c r="E59" s="1"/>
      <c r="F59" s="1"/>
      <c r="G59" s="1"/>
      <c r="H59" s="1"/>
      <c r="I59" s="1"/>
      <c r="J59" s="1"/>
      <c r="K59" s="1"/>
    </row>
    <row r="60" spans="2:11" ht="15" customHeight="1">
      <c r="B60" s="1" t="s">
        <v>278</v>
      </c>
      <c r="C60" s="1"/>
      <c r="D60" s="1"/>
      <c r="E60" s="1"/>
      <c r="F60" s="1"/>
      <c r="G60" s="1"/>
      <c r="H60" s="1"/>
      <c r="I60" s="1"/>
      <c r="J60" s="1"/>
      <c r="K60" s="1"/>
    </row>
    <row r="61" spans="2:11" ht="15" customHeight="1">
      <c r="B61" s="1"/>
      <c r="C61" s="1"/>
      <c r="D61" s="1"/>
      <c r="E61" s="1"/>
      <c r="F61" s="1"/>
      <c r="G61" s="1"/>
      <c r="H61" s="1"/>
      <c r="I61" s="1"/>
      <c r="J61" s="1"/>
      <c r="K61" s="1"/>
    </row>
    <row r="62" spans="2:11" ht="15" customHeight="1">
      <c r="B62" s="20" t="s">
        <v>120</v>
      </c>
      <c r="C62" s="1"/>
      <c r="D62" s="1"/>
      <c r="E62" s="1"/>
      <c r="F62" s="1"/>
      <c r="G62" s="1"/>
      <c r="H62" s="1"/>
      <c r="I62" s="1"/>
      <c r="J62" s="1"/>
      <c r="K62" s="1"/>
    </row>
    <row r="63" spans="2:11" ht="15" customHeight="1">
      <c r="B63" s="3" t="s">
        <v>275</v>
      </c>
      <c r="F63" s="1"/>
      <c r="G63" s="1"/>
      <c r="H63" s="1"/>
      <c r="I63" s="1"/>
      <c r="J63" s="1"/>
      <c r="K63" s="1"/>
    </row>
    <row r="64" spans="2:11" ht="15" customHeight="1">
      <c r="B64" s="3" t="s">
        <v>121</v>
      </c>
      <c r="F64" s="1"/>
      <c r="G64" s="1"/>
      <c r="H64" s="1"/>
      <c r="I64" s="1"/>
      <c r="J64" s="1"/>
      <c r="K64" s="1"/>
    </row>
    <row r="65" spans="2:11" ht="15" customHeight="1">
      <c r="B65" s="3" t="s">
        <v>21</v>
      </c>
      <c r="F65" s="1"/>
      <c r="G65" s="1"/>
      <c r="H65" s="1"/>
      <c r="I65" s="1"/>
      <c r="J65" s="1"/>
      <c r="K65" s="1"/>
    </row>
    <row r="66" spans="2:11">
      <c r="B66" s="3" t="s">
        <v>276</v>
      </c>
    </row>
    <row r="67" spans="2:11">
      <c r="B67" s="3" t="s">
        <v>16</v>
      </c>
    </row>
    <row r="68" spans="2:11">
      <c r="B68" s="3" t="s">
        <v>22</v>
      </c>
    </row>
    <row r="69" spans="2:11">
      <c r="B69" s="3" t="s">
        <v>19</v>
      </c>
    </row>
    <row r="70" spans="2:11">
      <c r="B70" s="3" t="s">
        <v>163</v>
      </c>
    </row>
    <row r="71" spans="2:11">
      <c r="B71" s="3"/>
    </row>
    <row r="72" spans="2:11">
      <c r="B72" s="3" t="s">
        <v>4</v>
      </c>
    </row>
    <row r="75" spans="2:11">
      <c r="B75" s="3"/>
    </row>
    <row r="76" spans="2:11">
      <c r="B76" s="3"/>
    </row>
  </sheetData>
  <mergeCells count="2">
    <mergeCell ref="B2:K2"/>
    <mergeCell ref="B4:I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6E261-F997-467D-9A31-CC6BD1702C23}">
  <sheetPr>
    <tabColor theme="8" tint="0.39997558519241921"/>
  </sheetPr>
  <dimension ref="A1:AN129"/>
  <sheetViews>
    <sheetView showGridLines="0" zoomScale="80" zoomScaleNormal="80" workbookViewId="0"/>
  </sheetViews>
  <sheetFormatPr defaultRowHeight="14.4"/>
  <cols>
    <col min="1" max="1" width="4.77734375" style="6" customWidth="1"/>
    <col min="2" max="2" width="5.33203125" style="6" customWidth="1"/>
    <col min="3" max="3" width="24.5546875" customWidth="1"/>
    <col min="5" max="5" width="29.21875" bestFit="1" customWidth="1"/>
    <col min="6" max="7" width="17.88671875" customWidth="1"/>
    <col min="8" max="8" width="22.77734375" customWidth="1"/>
    <col min="9" max="12" width="17.88671875" customWidth="1"/>
    <col min="13" max="110" width="10.109375" bestFit="1" customWidth="1"/>
  </cols>
  <sheetData>
    <row r="1" spans="1:40">
      <c r="A1" s="6" t="str">
        <f>Instructions!B2&amp;": "&amp;Instructions!B4</f>
        <v>Valuation Task: DCF (Discounted Cash Flow) - Fixings</v>
      </c>
    </row>
    <row r="2" spans="1:40">
      <c r="A2" s="6" t="s">
        <v>1</v>
      </c>
    </row>
    <row r="4" spans="1:40" s="13" customFormat="1" ht="14.4" customHeight="1">
      <c r="A4" s="11"/>
      <c r="B4" s="12" t="s">
        <v>5</v>
      </c>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row>
    <row r="6" spans="1:40">
      <c r="C6" t="s">
        <v>7</v>
      </c>
      <c r="F6" s="17">
        <v>46022</v>
      </c>
      <c r="G6" s="10"/>
    </row>
    <row r="7" spans="1:40">
      <c r="C7" t="s">
        <v>8</v>
      </c>
      <c r="F7" s="17">
        <v>46159</v>
      </c>
      <c r="G7" s="10"/>
    </row>
    <row r="8" spans="1:40">
      <c r="C8" t="s">
        <v>99</v>
      </c>
      <c r="F8" s="15">
        <v>10</v>
      </c>
      <c r="G8" s="10" t="s">
        <v>56</v>
      </c>
    </row>
    <row r="9" spans="1:40">
      <c r="C9" t="s">
        <v>142</v>
      </c>
      <c r="F9" s="15">
        <v>60</v>
      </c>
      <c r="G9" s="10" t="s">
        <v>58</v>
      </c>
    </row>
    <row r="10" spans="1:40">
      <c r="C10" t="s">
        <v>76</v>
      </c>
      <c r="F10" s="15">
        <v>24</v>
      </c>
      <c r="G10" s="10" t="s">
        <v>58</v>
      </c>
    </row>
    <row r="11" spans="1:40">
      <c r="C11" t="s">
        <v>77</v>
      </c>
      <c r="F11" s="15">
        <v>7</v>
      </c>
      <c r="G11" s="10" t="s">
        <v>58</v>
      </c>
    </row>
    <row r="12" spans="1:40">
      <c r="C12" t="s">
        <v>79</v>
      </c>
      <c r="F12" s="15">
        <v>30</v>
      </c>
      <c r="G12" s="10" t="s">
        <v>58</v>
      </c>
    </row>
    <row r="13" spans="1:40">
      <c r="C13" t="s">
        <v>78</v>
      </c>
      <c r="F13" s="15">
        <v>360</v>
      </c>
      <c r="G13" s="10" t="s">
        <v>58</v>
      </c>
    </row>
    <row r="14" spans="1:40">
      <c r="C14" t="s">
        <v>159</v>
      </c>
      <c r="F14" s="15">
        <v>12</v>
      </c>
      <c r="G14" s="10" t="s">
        <v>58</v>
      </c>
    </row>
    <row r="15" spans="1:40">
      <c r="C15" t="s">
        <v>148</v>
      </c>
      <c r="F15" s="15">
        <v>1000</v>
      </c>
      <c r="G15" s="10" t="s">
        <v>58</v>
      </c>
    </row>
    <row r="16" spans="1:40">
      <c r="C16" t="s">
        <v>147</v>
      </c>
      <c r="F16" s="15">
        <v>1000</v>
      </c>
      <c r="G16" s="10" t="s">
        <v>58</v>
      </c>
    </row>
    <row r="18" spans="1:40" s="13" customFormat="1" ht="14.4" customHeight="1">
      <c r="A18" s="11"/>
      <c r="B18" s="12" t="s">
        <v>115</v>
      </c>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row>
    <row r="20" spans="1:40">
      <c r="C20" t="s">
        <v>52</v>
      </c>
      <c r="D20" s="37" t="s">
        <v>54</v>
      </c>
      <c r="F20" s="18">
        <v>265000</v>
      </c>
      <c r="G20" s="10" t="s">
        <v>53</v>
      </c>
    </row>
    <row r="21" spans="1:40">
      <c r="C21" t="s">
        <v>55</v>
      </c>
      <c r="F21" s="18">
        <v>6</v>
      </c>
      <c r="G21" s="10" t="s">
        <v>56</v>
      </c>
    </row>
    <row r="22" spans="1:40">
      <c r="C22" t="s">
        <v>57</v>
      </c>
      <c r="F22" s="18">
        <v>8</v>
      </c>
      <c r="G22" s="10" t="s">
        <v>58</v>
      </c>
    </row>
    <row r="23" spans="1:40">
      <c r="C23" t="s">
        <v>143</v>
      </c>
      <c r="F23" s="18">
        <v>245000</v>
      </c>
      <c r="G23" s="10" t="s">
        <v>53</v>
      </c>
    </row>
    <row r="24" spans="1:40">
      <c r="C24" t="s">
        <v>144</v>
      </c>
      <c r="F24" s="17">
        <v>44562</v>
      </c>
      <c r="G24" s="10"/>
    </row>
    <row r="25" spans="1:40">
      <c r="C25" t="s">
        <v>59</v>
      </c>
      <c r="F25" s="14">
        <v>0.92500000000000004</v>
      </c>
      <c r="G25" s="10" t="s">
        <v>13</v>
      </c>
    </row>
    <row r="27" spans="1:40" s="13" customFormat="1" ht="14.4" customHeight="1">
      <c r="A27" s="11"/>
      <c r="B27" s="12" t="s">
        <v>64</v>
      </c>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row>
    <row r="29" spans="1:40">
      <c r="C29" t="s">
        <v>65</v>
      </c>
      <c r="F29" s="18">
        <v>50</v>
      </c>
      <c r="G29" s="10" t="s">
        <v>68</v>
      </c>
    </row>
    <row r="30" spans="1:40">
      <c r="C30" t="s">
        <v>66</v>
      </c>
      <c r="D30" s="37" t="s">
        <v>54</v>
      </c>
      <c r="F30" s="18">
        <v>0.35</v>
      </c>
      <c r="G30" s="10" t="s">
        <v>67</v>
      </c>
    </row>
    <row r="32" spans="1:40" s="13" customFormat="1" ht="14.4" customHeight="1">
      <c r="A32" s="11"/>
      <c r="B32" s="12" t="s">
        <v>69</v>
      </c>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row>
    <row r="34" spans="1:40">
      <c r="C34" t="s">
        <v>70</v>
      </c>
      <c r="D34" s="37" t="s">
        <v>54</v>
      </c>
      <c r="E34" t="s">
        <v>71</v>
      </c>
      <c r="F34" s="18">
        <v>0.1245</v>
      </c>
      <c r="G34" s="10" t="s">
        <v>72</v>
      </c>
    </row>
    <row r="36" spans="1:40" s="13" customFormat="1" ht="14.4" customHeight="1">
      <c r="A36" s="11"/>
      <c r="B36" s="12" t="s">
        <v>73</v>
      </c>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row>
    <row r="38" spans="1:40">
      <c r="C38" t="s">
        <v>145</v>
      </c>
      <c r="F38" s="18">
        <v>42</v>
      </c>
      <c r="G38" s="10" t="s">
        <v>146</v>
      </c>
    </row>
    <row r="39" spans="1:40">
      <c r="C39" t="s">
        <v>80</v>
      </c>
      <c r="D39" s="37" t="s">
        <v>54</v>
      </c>
      <c r="F39" s="18">
        <v>77500</v>
      </c>
      <c r="G39" s="10" t="s">
        <v>53</v>
      </c>
    </row>
    <row r="40" spans="1:40">
      <c r="C40" t="s">
        <v>82</v>
      </c>
      <c r="F40" s="18">
        <v>4</v>
      </c>
      <c r="G40" s="10" t="s">
        <v>58</v>
      </c>
    </row>
    <row r="42" spans="1:40" s="13" customFormat="1" ht="14.4" customHeight="1">
      <c r="A42" s="11"/>
      <c r="B42" s="12" t="s">
        <v>83</v>
      </c>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row>
    <row r="44" spans="1:40">
      <c r="C44" t="s">
        <v>84</v>
      </c>
      <c r="F44" s="14">
        <v>0.45</v>
      </c>
      <c r="G44" s="10" t="s">
        <v>13</v>
      </c>
      <c r="H44" t="s">
        <v>85</v>
      </c>
      <c r="I44" t="s">
        <v>274</v>
      </c>
    </row>
    <row r="46" spans="1:40" s="13" customFormat="1" ht="14.4" customHeight="1">
      <c r="A46" s="11"/>
      <c r="B46" s="12" t="s">
        <v>43</v>
      </c>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row>
    <row r="48" spans="1:40">
      <c r="C48" t="s">
        <v>91</v>
      </c>
      <c r="D48" s="37" t="s">
        <v>54</v>
      </c>
      <c r="F48" s="18">
        <v>0.23449999999999999</v>
      </c>
      <c r="G48" s="10" t="s">
        <v>53</v>
      </c>
      <c r="H48" s="37" t="s">
        <v>93</v>
      </c>
    </row>
    <row r="49" spans="1:40">
      <c r="C49" t="s">
        <v>92</v>
      </c>
      <c r="D49" s="37" t="s">
        <v>54</v>
      </c>
      <c r="F49" s="18">
        <v>0.34560000000000002</v>
      </c>
      <c r="G49" s="10" t="s">
        <v>53</v>
      </c>
      <c r="H49" s="37" t="s">
        <v>93</v>
      </c>
    </row>
    <row r="51" spans="1:40" s="13" customFormat="1" ht="14.4" customHeight="1">
      <c r="A51" s="11"/>
      <c r="B51" s="12" t="s">
        <v>94</v>
      </c>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row>
    <row r="53" spans="1:40">
      <c r="C53" t="s">
        <v>52</v>
      </c>
      <c r="D53" s="37" t="s">
        <v>54</v>
      </c>
      <c r="F53" s="18">
        <v>5000450</v>
      </c>
      <c r="G53" s="10" t="s">
        <v>53</v>
      </c>
    </row>
    <row r="54" spans="1:40">
      <c r="C54" t="s">
        <v>55</v>
      </c>
      <c r="F54" s="18">
        <v>50</v>
      </c>
      <c r="G54" s="10" t="s">
        <v>56</v>
      </c>
    </row>
    <row r="55" spans="1:40">
      <c r="C55" t="s">
        <v>153</v>
      </c>
      <c r="F55" s="17">
        <v>44562</v>
      </c>
      <c r="G55" s="10"/>
    </row>
    <row r="56" spans="1:40">
      <c r="C56" t="s">
        <v>154</v>
      </c>
      <c r="F56" s="14">
        <v>0.67</v>
      </c>
      <c r="G56" s="10" t="s">
        <v>13</v>
      </c>
    </row>
    <row r="58" spans="1:40" s="13" customFormat="1" ht="14.4" customHeight="1">
      <c r="A58" s="11"/>
      <c r="B58" s="12" t="s">
        <v>132</v>
      </c>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row>
    <row r="60" spans="1:40">
      <c r="C60" t="s">
        <v>55</v>
      </c>
      <c r="F60" s="18">
        <v>2</v>
      </c>
      <c r="G60" s="10" t="s">
        <v>56</v>
      </c>
    </row>
    <row r="61" spans="1:40">
      <c r="C61" t="s">
        <v>155</v>
      </c>
      <c r="F61" s="14">
        <v>0.2</v>
      </c>
      <c r="G61" s="10" t="s">
        <v>13</v>
      </c>
    </row>
    <row r="62" spans="1:40">
      <c r="C62" t="s">
        <v>156</v>
      </c>
      <c r="F62" s="14">
        <v>0.5</v>
      </c>
      <c r="G62" s="10" t="s">
        <v>13</v>
      </c>
      <c r="H62" t="s">
        <v>158</v>
      </c>
    </row>
    <row r="63" spans="1:40">
      <c r="C63" t="s">
        <v>157</v>
      </c>
      <c r="F63" s="14">
        <v>0.5</v>
      </c>
      <c r="G63" s="10" t="s">
        <v>13</v>
      </c>
      <c r="H63" t="s">
        <v>158</v>
      </c>
    </row>
    <row r="65" spans="1:40" s="13" customFormat="1" ht="14.4" customHeight="1">
      <c r="A65" s="11"/>
      <c r="B65" s="12" t="s">
        <v>95</v>
      </c>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row>
    <row r="67" spans="1:40">
      <c r="C67" t="s">
        <v>15</v>
      </c>
      <c r="F67" s="14">
        <v>0.28749999999999998</v>
      </c>
      <c r="G67" s="10" t="s">
        <v>13</v>
      </c>
    </row>
    <row r="69" spans="1:40" s="13" customFormat="1" ht="14.4" customHeight="1">
      <c r="A69" s="11"/>
      <c r="B69" s="12" t="s">
        <v>96</v>
      </c>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row>
    <row r="71" spans="1:40">
      <c r="C71" t="s">
        <v>97</v>
      </c>
      <c r="F71" s="14">
        <v>0.125</v>
      </c>
      <c r="G71" s="10" t="s">
        <v>13</v>
      </c>
      <c r="H71" t="s">
        <v>98</v>
      </c>
    </row>
    <row r="73" spans="1:40" s="13" customFormat="1" ht="14.4" customHeight="1">
      <c r="A73" s="11"/>
      <c r="B73" s="12" t="s">
        <v>118</v>
      </c>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row>
    <row r="75" spans="1:40">
      <c r="C75" t="s">
        <v>136</v>
      </c>
      <c r="D75" t="s">
        <v>137</v>
      </c>
      <c r="F75" s="18">
        <v>8000000</v>
      </c>
      <c r="G75" s="10" t="s">
        <v>53</v>
      </c>
    </row>
    <row r="76" spans="1:40">
      <c r="C76" t="s">
        <v>138</v>
      </c>
      <c r="F76" s="17">
        <v>44562</v>
      </c>
    </row>
    <row r="77" spans="1:40">
      <c r="C77" t="s">
        <v>139</v>
      </c>
      <c r="F77" s="18">
        <v>15</v>
      </c>
      <c r="G77" s="10" t="s">
        <v>56</v>
      </c>
    </row>
    <row r="78" spans="1:40">
      <c r="C78" t="s">
        <v>140</v>
      </c>
      <c r="F78" s="14">
        <v>8.8499999999999995E-2</v>
      </c>
      <c r="G78" s="10" t="s">
        <v>13</v>
      </c>
      <c r="H78" t="s">
        <v>141</v>
      </c>
    </row>
    <row r="80" spans="1:40" s="13" customFormat="1" ht="14.4" customHeight="1">
      <c r="A80" s="11"/>
      <c r="B80" s="12" t="s">
        <v>122</v>
      </c>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row>
    <row r="82" spans="1:40">
      <c r="C82" t="s">
        <v>161</v>
      </c>
      <c r="F82" s="14">
        <v>0.15678</v>
      </c>
      <c r="G82" s="10" t="s">
        <v>13</v>
      </c>
      <c r="H82" t="s">
        <v>162</v>
      </c>
    </row>
    <row r="84" spans="1:40" s="13" customFormat="1" ht="14.4" customHeight="1">
      <c r="A84" s="11"/>
      <c r="B84" s="12" t="s">
        <v>100</v>
      </c>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row>
    <row r="86" spans="1:40">
      <c r="C86" t="s">
        <v>101</v>
      </c>
      <c r="F86" s="14">
        <v>0.5</v>
      </c>
      <c r="G86" s="10" t="s">
        <v>13</v>
      </c>
      <c r="H86" t="s">
        <v>102</v>
      </c>
    </row>
    <row r="88" spans="1:40" s="13" customFormat="1" ht="14.4" customHeight="1">
      <c r="A88" s="11"/>
      <c r="B88" s="12" t="s">
        <v>105</v>
      </c>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row>
    <row r="90" spans="1:40">
      <c r="C90" t="s">
        <v>107</v>
      </c>
      <c r="F90" s="18">
        <v>15</v>
      </c>
      <c r="G90" s="10" t="s">
        <v>106</v>
      </c>
      <c r="H90" t="s">
        <v>273</v>
      </c>
    </row>
    <row r="91" spans="1:40">
      <c r="C91" t="s">
        <v>108</v>
      </c>
      <c r="F91" s="18">
        <v>21</v>
      </c>
      <c r="G91" s="10" t="s">
        <v>106</v>
      </c>
      <c r="H91" t="s">
        <v>281</v>
      </c>
    </row>
    <row r="92" spans="1:40">
      <c r="C92" t="s">
        <v>109</v>
      </c>
      <c r="F92" s="18">
        <v>25</v>
      </c>
      <c r="G92" s="10" t="s">
        <v>106</v>
      </c>
      <c r="H92" t="s">
        <v>277</v>
      </c>
    </row>
    <row r="94" spans="1:40" s="13" customFormat="1" ht="14.4" customHeight="1">
      <c r="A94" s="11"/>
      <c r="B94" s="12" t="s">
        <v>111</v>
      </c>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row>
    <row r="96" spans="1:40">
      <c r="C96" t="s">
        <v>112</v>
      </c>
      <c r="F96" s="14">
        <v>0.02</v>
      </c>
      <c r="G96" s="10" t="s">
        <v>13</v>
      </c>
    </row>
    <row r="98" spans="1:40" s="13" customFormat="1" ht="14.4" customHeight="1">
      <c r="A98" s="11"/>
      <c r="B98" s="12" t="s">
        <v>151</v>
      </c>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row>
    <row r="100" spans="1:40">
      <c r="C100" t="s">
        <v>122</v>
      </c>
      <c r="F100" s="18">
        <v>1979192.32954134</v>
      </c>
      <c r="G100" s="10" t="s">
        <v>53</v>
      </c>
    </row>
    <row r="101" spans="1:40">
      <c r="C101" t="s">
        <v>123</v>
      </c>
      <c r="F101" s="18">
        <v>204567</v>
      </c>
      <c r="G101" s="10" t="s">
        <v>53</v>
      </c>
    </row>
    <row r="102" spans="1:40">
      <c r="C102" t="s">
        <v>124</v>
      </c>
      <c r="F102" s="18">
        <v>65001.23</v>
      </c>
      <c r="G102" s="10" t="s">
        <v>53</v>
      </c>
    </row>
    <row r="103" spans="1:40">
      <c r="C103" t="s">
        <v>126</v>
      </c>
      <c r="F103" s="18">
        <v>653333.33333333337</v>
      </c>
      <c r="G103" s="10" t="s">
        <v>53</v>
      </c>
    </row>
    <row r="104" spans="1:40">
      <c r="C104" t="s">
        <v>131</v>
      </c>
      <c r="F104" s="18">
        <v>345678</v>
      </c>
      <c r="G104" s="10" t="s">
        <v>53</v>
      </c>
    </row>
    <row r="105" spans="1:40">
      <c r="C105" t="s">
        <v>125</v>
      </c>
      <c r="F105" s="18">
        <v>4600414</v>
      </c>
      <c r="G105" s="10" t="s">
        <v>53</v>
      </c>
    </row>
    <row r="106" spans="1:40">
      <c r="C106" t="s">
        <v>127</v>
      </c>
      <c r="F106" s="18">
        <v>249249.49</v>
      </c>
      <c r="G106" s="10" t="s">
        <v>53</v>
      </c>
    </row>
    <row r="107" spans="1:40">
      <c r="C107" t="s">
        <v>128</v>
      </c>
      <c r="F107" s="18">
        <v>11111.11</v>
      </c>
      <c r="G107" s="10" t="s">
        <v>53</v>
      </c>
      <c r="I107" s="28"/>
    </row>
    <row r="108" spans="1:40">
      <c r="C108" t="s">
        <v>160</v>
      </c>
      <c r="F108" s="18">
        <v>13768.114565217395</v>
      </c>
      <c r="G108" s="10" t="s">
        <v>53</v>
      </c>
    </row>
    <row r="109" spans="1:40">
      <c r="C109" t="s">
        <v>149</v>
      </c>
      <c r="F109" s="18">
        <v>387034.49369981512</v>
      </c>
      <c r="G109" s="10" t="s">
        <v>53</v>
      </c>
    </row>
    <row r="110" spans="1:40">
      <c r="C110" t="s">
        <v>150</v>
      </c>
      <c r="F110" s="18">
        <v>6354942.6946096402</v>
      </c>
      <c r="G110" s="10" t="s">
        <v>53</v>
      </c>
    </row>
    <row r="111" spans="1:40">
      <c r="C111" t="s">
        <v>129</v>
      </c>
      <c r="F111" s="18">
        <v>1400000</v>
      </c>
      <c r="G111" s="10" t="s">
        <v>53</v>
      </c>
    </row>
    <row r="112" spans="1:40">
      <c r="C112" t="s">
        <v>130</v>
      </c>
      <c r="F112" s="18">
        <v>-567920.01</v>
      </c>
      <c r="G112" s="10" t="s">
        <v>53</v>
      </c>
    </row>
    <row r="114" spans="1:40" s="13" customFormat="1" ht="14.4" customHeight="1">
      <c r="A114" s="11"/>
      <c r="B114" s="12" t="s">
        <v>9</v>
      </c>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row>
    <row r="116" spans="1:40">
      <c r="C116" t="s">
        <v>10</v>
      </c>
      <c r="F116" s="14">
        <v>4.4499999999999998E-2</v>
      </c>
      <c r="G116" s="10" t="s">
        <v>13</v>
      </c>
    </row>
    <row r="117" spans="1:40">
      <c r="C117" t="s">
        <v>11</v>
      </c>
      <c r="F117" s="18">
        <v>1.2</v>
      </c>
      <c r="H117" t="s">
        <v>134</v>
      </c>
    </row>
    <row r="118" spans="1:40">
      <c r="C118" t="s">
        <v>12</v>
      </c>
      <c r="F118" s="14">
        <v>2.6749999999999999E-2</v>
      </c>
      <c r="G118" s="10" t="s">
        <v>13</v>
      </c>
    </row>
    <row r="120" spans="1:40" s="13" customFormat="1" ht="14.4" customHeight="1">
      <c r="A120" s="11"/>
      <c r="B120" s="12" t="s">
        <v>14</v>
      </c>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row>
    <row r="122" spans="1:40">
      <c r="C122" t="s">
        <v>20</v>
      </c>
      <c r="F122" s="14">
        <v>1.95E-2</v>
      </c>
      <c r="G122" s="10" t="s">
        <v>13</v>
      </c>
      <c r="H122" t="s">
        <v>17</v>
      </c>
    </row>
    <row r="124" spans="1:40" s="13" customFormat="1" ht="14.4" customHeight="1">
      <c r="A124" s="11"/>
      <c r="B124" s="12" t="s">
        <v>164</v>
      </c>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row>
    <row r="126" spans="1:40">
      <c r="C126" t="s">
        <v>165</v>
      </c>
      <c r="F126" s="14">
        <v>0.7</v>
      </c>
      <c r="G126" s="10" t="s">
        <v>13</v>
      </c>
    </row>
    <row r="127" spans="1:40">
      <c r="C127" t="s">
        <v>166</v>
      </c>
      <c r="F127" s="14">
        <v>0.3</v>
      </c>
      <c r="G127" s="10" t="s">
        <v>13</v>
      </c>
    </row>
    <row r="129" spans="1:40" s="13" customFormat="1" ht="14.4" customHeight="1">
      <c r="A129" s="11"/>
      <c r="B129" s="12" t="s">
        <v>2</v>
      </c>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D1387-B0F1-479F-AA18-B171838D97C0}">
  <sheetPr>
    <tabColor theme="8" tint="0.79998168889431442"/>
  </sheetPr>
  <dimension ref="A1:F17"/>
  <sheetViews>
    <sheetView showGridLines="0" zoomScale="80" zoomScaleNormal="80" workbookViewId="0"/>
  </sheetViews>
  <sheetFormatPr defaultRowHeight="14.4"/>
  <cols>
    <col min="1" max="1" width="6" bestFit="1" customWidth="1"/>
    <col min="2" max="2" width="15.5546875" bestFit="1" customWidth="1"/>
    <col min="3" max="3" width="19" bestFit="1" customWidth="1"/>
    <col min="4" max="4" width="13.77734375" bestFit="1" customWidth="1"/>
    <col min="5" max="5" width="11.88671875" bestFit="1" customWidth="1"/>
    <col min="6" max="6" width="23.44140625" bestFit="1" customWidth="1"/>
  </cols>
  <sheetData>
    <row r="1" spans="1:6">
      <c r="A1" s="21" t="s">
        <v>40</v>
      </c>
      <c r="B1" s="22" t="s">
        <v>41</v>
      </c>
      <c r="C1" s="22" t="s">
        <v>42</v>
      </c>
      <c r="D1" s="22" t="s">
        <v>28</v>
      </c>
      <c r="E1" s="22" t="s">
        <v>43</v>
      </c>
      <c r="F1" s="23" t="s">
        <v>44</v>
      </c>
    </row>
    <row r="2" spans="1:6">
      <c r="A2" s="26" t="s">
        <v>31</v>
      </c>
      <c r="B2" s="18">
        <v>7.3000000000000007</v>
      </c>
      <c r="C2" s="18">
        <v>5.8</v>
      </c>
      <c r="D2" s="15" t="s">
        <v>25</v>
      </c>
      <c r="E2" s="15" t="s">
        <v>45</v>
      </c>
      <c r="F2" s="31">
        <v>3</v>
      </c>
    </row>
    <row r="3" spans="1:6">
      <c r="A3" s="26" t="s">
        <v>32</v>
      </c>
      <c r="B3" s="18">
        <v>6.8000000000000007</v>
      </c>
      <c r="C3" s="18">
        <v>5.4</v>
      </c>
      <c r="D3" s="15" t="s">
        <v>26</v>
      </c>
      <c r="E3" s="15" t="s">
        <v>46</v>
      </c>
      <c r="F3" s="31">
        <v>3.8999999999999995</v>
      </c>
    </row>
    <row r="4" spans="1:6">
      <c r="A4" s="26" t="s">
        <v>33</v>
      </c>
      <c r="B4" s="18">
        <v>8.1</v>
      </c>
      <c r="C4" s="18">
        <v>6.6</v>
      </c>
      <c r="D4" s="15" t="s">
        <v>27</v>
      </c>
      <c r="E4" s="15" t="s">
        <v>47</v>
      </c>
      <c r="F4" s="31">
        <v>2.5999999999999996</v>
      </c>
    </row>
    <row r="5" spans="1:6">
      <c r="A5" s="26" t="s">
        <v>34</v>
      </c>
      <c r="B5" s="18">
        <v>6</v>
      </c>
      <c r="C5" s="18">
        <v>4.5999999999999996</v>
      </c>
      <c r="D5" s="15" t="s">
        <v>25</v>
      </c>
      <c r="E5" s="15" t="s">
        <v>45</v>
      </c>
      <c r="F5" s="31">
        <v>1.9000000000000001</v>
      </c>
    </row>
    <row r="6" spans="1:6">
      <c r="A6" s="26" t="s">
        <v>35</v>
      </c>
      <c r="B6" s="18">
        <v>7.6</v>
      </c>
      <c r="C6" s="18">
        <v>6</v>
      </c>
      <c r="D6" s="15" t="s">
        <v>26</v>
      </c>
      <c r="E6" s="15" t="s">
        <v>46</v>
      </c>
      <c r="F6" s="31">
        <v>2.1999999999999997</v>
      </c>
    </row>
    <row r="7" spans="1:6">
      <c r="A7" s="26" t="s">
        <v>36</v>
      </c>
      <c r="B7" s="18">
        <v>9.3000000000000007</v>
      </c>
      <c r="C7" s="18">
        <v>7.8</v>
      </c>
      <c r="D7" s="15" t="s">
        <v>25</v>
      </c>
      <c r="E7" s="15" t="s">
        <v>45</v>
      </c>
      <c r="F7" s="31">
        <v>3.3</v>
      </c>
    </row>
    <row r="8" spans="1:6">
      <c r="A8" s="26" t="s">
        <v>37</v>
      </c>
      <c r="B8" s="18">
        <v>6.4</v>
      </c>
      <c r="C8" s="18">
        <v>5</v>
      </c>
      <c r="D8" s="15" t="s">
        <v>26</v>
      </c>
      <c r="E8" s="15" t="s">
        <v>46</v>
      </c>
      <c r="F8" s="31">
        <v>4.5</v>
      </c>
    </row>
    <row r="9" spans="1:6">
      <c r="A9" s="30" t="s">
        <v>38</v>
      </c>
      <c r="B9" s="18">
        <v>8.9</v>
      </c>
      <c r="C9" s="18">
        <v>7.4</v>
      </c>
      <c r="D9" s="15" t="s">
        <v>27</v>
      </c>
      <c r="E9" s="15" t="s">
        <v>47</v>
      </c>
      <c r="F9" s="31">
        <v>2.8</v>
      </c>
    </row>
    <row r="10" spans="1:6" ht="15" thickBot="1">
      <c r="A10" s="27" t="s">
        <v>39</v>
      </c>
      <c r="B10" s="32">
        <v>2.1</v>
      </c>
      <c r="C10" s="32">
        <v>0.9</v>
      </c>
      <c r="D10" s="35" t="s">
        <v>26</v>
      </c>
      <c r="E10" s="35" t="s">
        <v>45</v>
      </c>
      <c r="F10" s="33">
        <v>0.8</v>
      </c>
    </row>
    <row r="11" spans="1:6">
      <c r="A11" s="28"/>
      <c r="B11" s="29"/>
      <c r="C11" s="29"/>
      <c r="D11" s="29"/>
      <c r="E11" s="29"/>
      <c r="F11" s="29"/>
    </row>
    <row r="12" spans="1:6">
      <c r="B12" s="28"/>
      <c r="C12" s="28"/>
      <c r="F12" s="28"/>
    </row>
    <row r="17" spans="3:3">
      <c r="C17" s="2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4C57A-EDEC-4167-8261-769A2E7D63A5}">
  <sheetPr>
    <tabColor theme="8" tint="0.79998168889431442"/>
  </sheetPr>
  <dimension ref="A1:K9"/>
  <sheetViews>
    <sheetView showGridLines="0" zoomScale="80" zoomScaleNormal="80" workbookViewId="0"/>
  </sheetViews>
  <sheetFormatPr defaultRowHeight="14.4"/>
  <cols>
    <col min="1" max="1" width="13.77734375" bestFit="1" customWidth="1"/>
    <col min="2" max="2" width="13.77734375" customWidth="1"/>
    <col min="3" max="11" width="9.109375" bestFit="1" customWidth="1"/>
  </cols>
  <sheetData>
    <row r="1" spans="1:11">
      <c r="A1" s="21" t="s">
        <v>24</v>
      </c>
      <c r="B1" s="22">
        <v>2026</v>
      </c>
      <c r="C1" s="22">
        <v>2027</v>
      </c>
      <c r="D1" s="22">
        <v>2028</v>
      </c>
      <c r="E1" s="22">
        <v>2029</v>
      </c>
      <c r="F1" s="22">
        <v>2030</v>
      </c>
      <c r="G1" s="22">
        <v>2031</v>
      </c>
      <c r="H1" s="22">
        <v>2032</v>
      </c>
      <c r="I1" s="22">
        <v>2033</v>
      </c>
      <c r="J1" s="22">
        <v>2034</v>
      </c>
      <c r="K1" s="23">
        <v>2035</v>
      </c>
    </row>
    <row r="2" spans="1:11">
      <c r="A2" s="24" t="s">
        <v>25</v>
      </c>
      <c r="B2" s="15">
        <v>2563</v>
      </c>
      <c r="C2" s="15">
        <v>2615</v>
      </c>
      <c r="D2" s="15">
        <v>2565</v>
      </c>
      <c r="E2" s="15">
        <v>2485</v>
      </c>
      <c r="F2" s="15">
        <v>2524</v>
      </c>
      <c r="G2" s="15">
        <v>2522</v>
      </c>
      <c r="H2" s="15">
        <v>2599</v>
      </c>
      <c r="I2" s="15">
        <v>2413</v>
      </c>
      <c r="J2" s="15">
        <v>2553</v>
      </c>
      <c r="K2" s="34">
        <v>2412</v>
      </c>
    </row>
    <row r="3" spans="1:11">
      <c r="A3" s="24" t="s">
        <v>26</v>
      </c>
      <c r="B3" s="15">
        <v>35738</v>
      </c>
      <c r="C3" s="15">
        <v>40300</v>
      </c>
      <c r="D3" s="15">
        <v>40846</v>
      </c>
      <c r="E3" s="15">
        <v>35525</v>
      </c>
      <c r="F3" s="15">
        <v>41190</v>
      </c>
      <c r="G3" s="15">
        <v>40998</v>
      </c>
      <c r="H3" s="15">
        <v>31866</v>
      </c>
      <c r="I3" s="15">
        <v>31989</v>
      </c>
      <c r="J3" s="15">
        <v>40563</v>
      </c>
      <c r="K3" s="34">
        <v>37162</v>
      </c>
    </row>
    <row r="4" spans="1:11" ht="15" thickBot="1">
      <c r="A4" s="25" t="s">
        <v>27</v>
      </c>
      <c r="B4" s="35">
        <v>2231</v>
      </c>
      <c r="C4" s="35">
        <v>1817</v>
      </c>
      <c r="D4" s="35">
        <v>1835</v>
      </c>
      <c r="E4" s="35">
        <v>1966</v>
      </c>
      <c r="F4" s="35">
        <v>2217</v>
      </c>
      <c r="G4" s="35">
        <v>2119</v>
      </c>
      <c r="H4" s="35">
        <v>2055</v>
      </c>
      <c r="I4" s="35">
        <v>1715</v>
      </c>
      <c r="J4" s="35">
        <v>2102</v>
      </c>
      <c r="K4" s="36">
        <v>2275</v>
      </c>
    </row>
    <row r="5" spans="1:11" ht="15" thickBot="1"/>
    <row r="6" spans="1:11">
      <c r="A6" s="21" t="s">
        <v>28</v>
      </c>
      <c r="B6" s="23" t="s">
        <v>29</v>
      </c>
    </row>
    <row r="7" spans="1:11">
      <c r="A7" s="24" t="s">
        <v>25</v>
      </c>
      <c r="B7" s="31">
        <v>7.9</v>
      </c>
    </row>
    <row r="8" spans="1:11">
      <c r="A8" s="24" t="s">
        <v>26</v>
      </c>
      <c r="B8" s="31">
        <v>8.19</v>
      </c>
    </row>
    <row r="9" spans="1:11" ht="15" thickBot="1">
      <c r="A9" s="25" t="s">
        <v>27</v>
      </c>
      <c r="B9" s="33">
        <v>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8D386-C5E4-4C53-ABEF-71364A87CE14}">
  <sheetPr>
    <tabColor theme="8" tint="0.79998168889431442"/>
  </sheetPr>
  <dimension ref="A1:K21"/>
  <sheetViews>
    <sheetView showGridLines="0" zoomScale="80" zoomScaleNormal="80" workbookViewId="0"/>
  </sheetViews>
  <sheetFormatPr defaultRowHeight="14.4"/>
  <cols>
    <col min="2" max="3" width="10.109375" bestFit="1" customWidth="1"/>
    <col min="4" max="11" width="10.21875" bestFit="1" customWidth="1"/>
  </cols>
  <sheetData>
    <row r="1" spans="1:11">
      <c r="A1" s="21" t="s">
        <v>30</v>
      </c>
      <c r="B1" s="22">
        <v>2026</v>
      </c>
      <c r="C1" s="22">
        <v>2027</v>
      </c>
      <c r="D1" s="22">
        <v>2028</v>
      </c>
      <c r="E1" s="22">
        <v>2029</v>
      </c>
      <c r="F1" s="22">
        <v>2030</v>
      </c>
      <c r="G1" s="22">
        <v>2031</v>
      </c>
      <c r="H1" s="22">
        <v>2032</v>
      </c>
      <c r="I1" s="22">
        <v>2033</v>
      </c>
      <c r="J1" s="22">
        <v>2034</v>
      </c>
      <c r="K1" s="23">
        <v>2035</v>
      </c>
    </row>
    <row r="2" spans="1:11">
      <c r="A2" s="26" t="s">
        <v>31</v>
      </c>
      <c r="B2" s="15">
        <v>320436</v>
      </c>
      <c r="C2" s="15">
        <v>323704</v>
      </c>
      <c r="D2" s="15">
        <v>359670</v>
      </c>
      <c r="E2" s="15">
        <v>364808</v>
      </c>
      <c r="F2" s="15">
        <v>373096</v>
      </c>
      <c r="G2" s="15">
        <v>381774</v>
      </c>
      <c r="H2" s="15">
        <v>387388</v>
      </c>
      <c r="I2" s="15">
        <v>393634</v>
      </c>
      <c r="J2" s="15">
        <v>590450</v>
      </c>
      <c r="K2" s="34">
        <v>708540</v>
      </c>
    </row>
    <row r="3" spans="1:11">
      <c r="A3" s="26" t="s">
        <v>32</v>
      </c>
      <c r="B3" s="15">
        <v>212426</v>
      </c>
      <c r="C3" s="15">
        <v>214592</v>
      </c>
      <c r="D3" s="15">
        <v>238434</v>
      </c>
      <c r="E3" s="15">
        <v>241840</v>
      </c>
      <c r="F3" s="15">
        <v>247334</v>
      </c>
      <c r="G3" s="15">
        <v>253086</v>
      </c>
      <c r="H3" s="15">
        <v>256806</v>
      </c>
      <c r="I3" s="15">
        <v>260946</v>
      </c>
      <c r="J3" s="15">
        <v>391420</v>
      </c>
      <c r="K3" s="34">
        <v>469700</v>
      </c>
    </row>
    <row r="4" spans="1:11">
      <c r="A4" s="26" t="s">
        <v>33</v>
      </c>
      <c r="B4" s="15">
        <v>53246</v>
      </c>
      <c r="C4" s="15">
        <v>53788</v>
      </c>
      <c r="D4" s="15">
        <v>59762</v>
      </c>
      <c r="E4" s="15">
        <v>60614</v>
      </c>
      <c r="F4" s="15">
        <v>61988</v>
      </c>
      <c r="G4" s="15">
        <v>63428</v>
      </c>
      <c r="H4" s="15">
        <v>64358</v>
      </c>
      <c r="I4" s="15">
        <v>65394</v>
      </c>
      <c r="J4" s="15">
        <v>98092</v>
      </c>
      <c r="K4" s="34">
        <v>117708</v>
      </c>
    </row>
    <row r="5" spans="1:11">
      <c r="A5" s="26" t="s">
        <v>34</v>
      </c>
      <c r="B5" s="15">
        <v>104846</v>
      </c>
      <c r="C5" s="15">
        <v>105914</v>
      </c>
      <c r="D5" s="15">
        <v>117680</v>
      </c>
      <c r="E5" s="15">
        <v>119360</v>
      </c>
      <c r="F5" s="15">
        <v>122074</v>
      </c>
      <c r="G5" s="15">
        <v>124912</v>
      </c>
      <c r="H5" s="15">
        <v>126746</v>
      </c>
      <c r="I5" s="15">
        <v>128790</v>
      </c>
      <c r="J5" s="15">
        <v>193182</v>
      </c>
      <c r="K5" s="34">
        <v>231820</v>
      </c>
    </row>
    <row r="6" spans="1:11">
      <c r="A6" s="26" t="s">
        <v>35</v>
      </c>
      <c r="B6" s="15">
        <v>158078</v>
      </c>
      <c r="C6" s="15">
        <v>159688</v>
      </c>
      <c r="D6" s="15">
        <v>177430</v>
      </c>
      <c r="E6" s="15">
        <v>179964</v>
      </c>
      <c r="F6" s="15">
        <v>184052</v>
      </c>
      <c r="G6" s="15">
        <v>188328</v>
      </c>
      <c r="H6" s="15">
        <v>191096</v>
      </c>
      <c r="I6" s="15">
        <v>194176</v>
      </c>
      <c r="J6" s="15">
        <v>291264</v>
      </c>
      <c r="K6" s="34">
        <v>349514</v>
      </c>
    </row>
    <row r="7" spans="1:11">
      <c r="A7" s="26" t="s">
        <v>36</v>
      </c>
      <c r="B7" s="15">
        <v>227154</v>
      </c>
      <c r="C7" s="15">
        <v>229470</v>
      </c>
      <c r="D7" s="15">
        <v>254964</v>
      </c>
      <c r="E7" s="15">
        <v>258604</v>
      </c>
      <c r="F7" s="15">
        <v>264482</v>
      </c>
      <c r="G7" s="15">
        <v>270630</v>
      </c>
      <c r="H7" s="15">
        <v>274610</v>
      </c>
      <c r="I7" s="15">
        <v>279038</v>
      </c>
      <c r="J7" s="15">
        <v>418554</v>
      </c>
      <c r="K7" s="34">
        <v>502264</v>
      </c>
    </row>
    <row r="8" spans="1:11">
      <c r="A8" s="26" t="s">
        <v>37</v>
      </c>
      <c r="B8" s="15">
        <v>185238</v>
      </c>
      <c r="C8" s="15">
        <v>187128</v>
      </c>
      <c r="D8" s="15">
        <v>207918</v>
      </c>
      <c r="E8" s="15">
        <v>210886</v>
      </c>
      <c r="F8" s="15">
        <v>215678</v>
      </c>
      <c r="G8" s="15">
        <v>220692</v>
      </c>
      <c r="H8" s="15">
        <v>223938</v>
      </c>
      <c r="I8" s="15">
        <v>227546</v>
      </c>
      <c r="J8" s="15">
        <v>341316</v>
      </c>
      <c r="K8" s="34">
        <v>409578</v>
      </c>
    </row>
    <row r="9" spans="1:11">
      <c r="A9" s="30" t="s">
        <v>38</v>
      </c>
      <c r="B9" s="15">
        <v>49572</v>
      </c>
      <c r="C9" s="15">
        <v>50078</v>
      </c>
      <c r="D9" s="15">
        <v>55641</v>
      </c>
      <c r="E9" s="15">
        <v>56436</v>
      </c>
      <c r="F9" s="15">
        <v>57717</v>
      </c>
      <c r="G9" s="15">
        <v>59059</v>
      </c>
      <c r="H9" s="15">
        <v>59927</v>
      </c>
      <c r="I9" s="15">
        <v>60893</v>
      </c>
      <c r="J9" s="15">
        <v>91340</v>
      </c>
      <c r="K9" s="34">
        <v>109606</v>
      </c>
    </row>
    <row r="10" spans="1:11" ht="15" thickBot="1">
      <c r="A10" s="27" t="s">
        <v>39</v>
      </c>
      <c r="B10" s="35">
        <v>99144</v>
      </c>
      <c r="C10" s="35">
        <v>100156</v>
      </c>
      <c r="D10" s="35">
        <v>111282</v>
      </c>
      <c r="E10" s="35">
        <v>112872</v>
      </c>
      <c r="F10" s="35">
        <v>115434</v>
      </c>
      <c r="G10" s="35">
        <v>118118</v>
      </c>
      <c r="H10" s="35">
        <v>119854</v>
      </c>
      <c r="I10" s="35">
        <v>121786</v>
      </c>
      <c r="J10" s="35">
        <v>182680</v>
      </c>
      <c r="K10" s="36">
        <v>219212</v>
      </c>
    </row>
    <row r="11" spans="1:11" ht="15" thickBot="1">
      <c r="A11" s="28"/>
      <c r="B11" s="29"/>
      <c r="C11" s="29"/>
      <c r="D11" s="29"/>
      <c r="E11" s="29"/>
      <c r="F11" s="29"/>
      <c r="G11" s="29"/>
      <c r="H11" s="29"/>
      <c r="I11" s="29"/>
      <c r="J11" s="29"/>
      <c r="K11" s="29"/>
    </row>
    <row r="12" spans="1:11">
      <c r="A12" s="21" t="s">
        <v>40</v>
      </c>
      <c r="B12" s="38" t="s">
        <v>86</v>
      </c>
    </row>
    <row r="13" spans="1:11">
      <c r="A13" s="26" t="s">
        <v>31</v>
      </c>
      <c r="B13" s="31">
        <v>0.6</v>
      </c>
    </row>
    <row r="14" spans="1:11">
      <c r="A14" s="26" t="s">
        <v>32</v>
      </c>
      <c r="B14" s="31">
        <v>5</v>
      </c>
    </row>
    <row r="15" spans="1:11">
      <c r="A15" s="26" t="s">
        <v>33</v>
      </c>
      <c r="B15" s="31">
        <v>0.625</v>
      </c>
    </row>
    <row r="16" spans="1:11">
      <c r="A16" s="26" t="s">
        <v>34</v>
      </c>
      <c r="B16" s="31">
        <v>0.61</v>
      </c>
    </row>
    <row r="17" spans="1:2">
      <c r="A17" s="26" t="s">
        <v>35</v>
      </c>
      <c r="B17" s="31">
        <v>10</v>
      </c>
    </row>
    <row r="18" spans="1:2">
      <c r="A18" s="26" t="s">
        <v>36</v>
      </c>
      <c r="B18" s="31">
        <v>1.5</v>
      </c>
    </row>
    <row r="19" spans="1:2">
      <c r="A19" s="26" t="s">
        <v>37</v>
      </c>
      <c r="B19" s="31">
        <v>12.5</v>
      </c>
    </row>
    <row r="20" spans="1:2">
      <c r="A20" s="30" t="s">
        <v>38</v>
      </c>
      <c r="B20" s="31">
        <v>2</v>
      </c>
    </row>
    <row r="21" spans="1:2" ht="15" thickBot="1">
      <c r="A21" s="27" t="s">
        <v>39</v>
      </c>
      <c r="B21" s="33">
        <v>0.5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228C5-4B81-4411-8B81-A42617545EC2}">
  <sheetPr>
    <tabColor theme="8" tint="0.79998168889431442"/>
  </sheetPr>
  <dimension ref="A1:D101"/>
  <sheetViews>
    <sheetView zoomScale="80" zoomScaleNormal="80" workbookViewId="0"/>
  </sheetViews>
  <sheetFormatPr defaultRowHeight="15.6"/>
  <cols>
    <col min="1" max="1" width="147.109375" style="8" customWidth="1"/>
    <col min="2" max="2" width="16.33203125" style="8" customWidth="1"/>
    <col min="3" max="16384" width="8.88671875" style="8"/>
  </cols>
  <sheetData>
    <row r="1" spans="1:4">
      <c r="A1" s="7" t="s">
        <v>167</v>
      </c>
      <c r="B1" s="7" t="s">
        <v>0</v>
      </c>
      <c r="C1" s="7" t="s">
        <v>3</v>
      </c>
    </row>
    <row r="2" spans="1:4">
      <c r="A2" s="3" t="s">
        <v>194</v>
      </c>
      <c r="B2" s="39"/>
      <c r="C2" s="16" t="s">
        <v>13</v>
      </c>
    </row>
    <row r="3" spans="1:4">
      <c r="A3" s="3" t="s">
        <v>195</v>
      </c>
      <c r="B3" s="39"/>
      <c r="C3" s="16" t="s">
        <v>13</v>
      </c>
    </row>
    <row r="4" spans="1:4">
      <c r="A4" s="3" t="s">
        <v>168</v>
      </c>
      <c r="B4" s="9"/>
      <c r="C4" s="16" t="s">
        <v>53</v>
      </c>
    </row>
    <row r="5" spans="1:4">
      <c r="A5" s="3" t="s">
        <v>169</v>
      </c>
      <c r="B5" s="9"/>
      <c r="C5" s="16" t="s">
        <v>53</v>
      </c>
    </row>
    <row r="6" spans="1:4">
      <c r="A6" s="3" t="s">
        <v>170</v>
      </c>
      <c r="B6" s="9"/>
      <c r="C6" s="16" t="s">
        <v>53</v>
      </c>
    </row>
    <row r="7" spans="1:4">
      <c r="A7" s="3" t="s">
        <v>171</v>
      </c>
      <c r="B7" s="9"/>
      <c r="C7" s="16" t="s">
        <v>53</v>
      </c>
    </row>
    <row r="8" spans="1:4">
      <c r="A8" s="19" t="s">
        <v>172</v>
      </c>
      <c r="B8" s="9"/>
      <c r="C8" s="16" t="s">
        <v>53</v>
      </c>
    </row>
    <row r="9" spans="1:4">
      <c r="A9" s="3" t="s">
        <v>173</v>
      </c>
      <c r="B9" s="9"/>
      <c r="C9" s="16" t="s">
        <v>53</v>
      </c>
    </row>
    <row r="10" spans="1:4">
      <c r="A10" s="3" t="s">
        <v>174</v>
      </c>
      <c r="B10" s="9"/>
      <c r="C10" s="16" t="s">
        <v>53</v>
      </c>
    </row>
    <row r="11" spans="1:4">
      <c r="A11" s="3" t="s">
        <v>175</v>
      </c>
      <c r="B11" s="9"/>
      <c r="C11" s="16" t="s">
        <v>53</v>
      </c>
    </row>
    <row r="12" spans="1:4">
      <c r="A12" s="3" t="s">
        <v>176</v>
      </c>
      <c r="B12" s="9"/>
      <c r="C12" s="16" t="s">
        <v>53</v>
      </c>
    </row>
    <row r="13" spans="1:4">
      <c r="A13" s="3" t="s">
        <v>177</v>
      </c>
      <c r="B13" s="9"/>
      <c r="C13" s="16" t="s">
        <v>53</v>
      </c>
      <c r="D13" s="8" t="s">
        <v>6</v>
      </c>
    </row>
    <row r="14" spans="1:4">
      <c r="A14" s="3" t="s">
        <v>178</v>
      </c>
      <c r="B14" s="9"/>
      <c r="C14" s="16" t="s">
        <v>53</v>
      </c>
    </row>
    <row r="15" spans="1:4">
      <c r="A15" s="3" t="s">
        <v>179</v>
      </c>
      <c r="B15" s="9"/>
      <c r="C15" s="16" t="s">
        <v>53</v>
      </c>
    </row>
    <row r="16" spans="1:4">
      <c r="A16" s="3" t="s">
        <v>180</v>
      </c>
      <c r="B16" s="9"/>
      <c r="C16" s="16" t="s">
        <v>53</v>
      </c>
    </row>
    <row r="17" spans="1:3">
      <c r="A17" s="3" t="s">
        <v>181</v>
      </c>
      <c r="B17" s="9"/>
      <c r="C17" s="16" t="s">
        <v>53</v>
      </c>
    </row>
    <row r="18" spans="1:3">
      <c r="A18" s="3" t="s">
        <v>182</v>
      </c>
      <c r="B18" s="9"/>
      <c r="C18" s="16" t="s">
        <v>53</v>
      </c>
    </row>
    <row r="19" spans="1:3">
      <c r="A19" s="8" t="s">
        <v>183</v>
      </c>
      <c r="B19" s="9"/>
      <c r="C19" s="16" t="s">
        <v>53</v>
      </c>
    </row>
    <row r="20" spans="1:3">
      <c r="A20" s="8" t="s">
        <v>184</v>
      </c>
      <c r="B20" s="9"/>
      <c r="C20" s="16" t="s">
        <v>53</v>
      </c>
    </row>
    <row r="21" spans="1:3">
      <c r="A21" s="8" t="s">
        <v>185</v>
      </c>
      <c r="B21" s="9"/>
      <c r="C21" s="16" t="s">
        <v>53</v>
      </c>
    </row>
    <row r="22" spans="1:3">
      <c r="A22" s="8" t="s">
        <v>186</v>
      </c>
      <c r="B22" s="9"/>
      <c r="C22" s="16" t="s">
        <v>53</v>
      </c>
    </row>
    <row r="23" spans="1:3">
      <c r="A23" s="8" t="s">
        <v>187</v>
      </c>
      <c r="B23" s="9"/>
      <c r="C23" s="16" t="s">
        <v>53</v>
      </c>
    </row>
    <row r="24" spans="1:3">
      <c r="A24" s="8" t="s">
        <v>188</v>
      </c>
      <c r="B24" s="9"/>
      <c r="C24" s="16" t="s">
        <v>53</v>
      </c>
    </row>
    <row r="25" spans="1:3">
      <c r="A25" s="8" t="s">
        <v>189</v>
      </c>
      <c r="B25" s="9"/>
      <c r="C25" s="16" t="s">
        <v>53</v>
      </c>
    </row>
    <row r="26" spans="1:3">
      <c r="A26" s="8" t="s">
        <v>190</v>
      </c>
      <c r="B26" s="9"/>
      <c r="C26" s="16" t="s">
        <v>53</v>
      </c>
    </row>
    <row r="27" spans="1:3">
      <c r="A27" s="8" t="s">
        <v>191</v>
      </c>
      <c r="B27" s="9"/>
      <c r="C27" s="16" t="s">
        <v>53</v>
      </c>
    </row>
    <row r="28" spans="1:3">
      <c r="A28" s="8" t="s">
        <v>192</v>
      </c>
      <c r="B28" s="9"/>
      <c r="C28" s="16" t="s">
        <v>53</v>
      </c>
    </row>
    <row r="29" spans="1:3">
      <c r="A29" s="8" t="s">
        <v>193</v>
      </c>
      <c r="B29" s="9"/>
      <c r="C29" s="16" t="s">
        <v>53</v>
      </c>
    </row>
    <row r="30" spans="1:3">
      <c r="A30" s="8" t="s">
        <v>196</v>
      </c>
      <c r="B30" s="9"/>
      <c r="C30" s="16" t="s">
        <v>53</v>
      </c>
    </row>
    <row r="31" spans="1:3">
      <c r="A31" s="8" t="s">
        <v>197</v>
      </c>
      <c r="B31" s="9"/>
      <c r="C31" s="16" t="s">
        <v>53</v>
      </c>
    </row>
    <row r="32" spans="1:3">
      <c r="A32" s="8" t="s">
        <v>198</v>
      </c>
      <c r="B32" s="9"/>
      <c r="C32" s="16" t="s">
        <v>53</v>
      </c>
    </row>
    <row r="33" spans="1:3">
      <c r="A33" s="8" t="s">
        <v>199</v>
      </c>
      <c r="B33" s="9"/>
      <c r="C33" s="16" t="s">
        <v>53</v>
      </c>
    </row>
    <row r="34" spans="1:3">
      <c r="A34" s="8" t="s">
        <v>200</v>
      </c>
      <c r="B34" s="9"/>
      <c r="C34" s="16" t="s">
        <v>53</v>
      </c>
    </row>
    <row r="35" spans="1:3">
      <c r="A35" s="8" t="s">
        <v>201</v>
      </c>
      <c r="B35" s="9"/>
      <c r="C35" s="16" t="s">
        <v>53</v>
      </c>
    </row>
    <row r="36" spans="1:3">
      <c r="A36" s="8" t="s">
        <v>202</v>
      </c>
      <c r="B36" s="9"/>
      <c r="C36" s="16" t="s">
        <v>53</v>
      </c>
    </row>
    <row r="37" spans="1:3">
      <c r="A37" s="8" t="s">
        <v>203</v>
      </c>
      <c r="B37" s="9"/>
      <c r="C37" s="16" t="s">
        <v>53</v>
      </c>
    </row>
    <row r="38" spans="1:3">
      <c r="A38" s="8" t="s">
        <v>204</v>
      </c>
      <c r="B38" s="9"/>
      <c r="C38" s="16" t="s">
        <v>53</v>
      </c>
    </row>
    <row r="39" spans="1:3">
      <c r="A39" s="8" t="s">
        <v>205</v>
      </c>
      <c r="B39" s="9"/>
      <c r="C39" s="16" t="s">
        <v>53</v>
      </c>
    </row>
    <row r="40" spans="1:3">
      <c r="A40" s="8" t="s">
        <v>206</v>
      </c>
      <c r="B40" s="9"/>
      <c r="C40" s="16" t="s">
        <v>53</v>
      </c>
    </row>
    <row r="41" spans="1:3">
      <c r="A41" s="8" t="s">
        <v>207</v>
      </c>
      <c r="B41" s="9"/>
      <c r="C41" s="16" t="s">
        <v>53</v>
      </c>
    </row>
    <row r="42" spans="1:3">
      <c r="A42" s="8" t="s">
        <v>208</v>
      </c>
      <c r="B42" s="9"/>
      <c r="C42" s="16" t="s">
        <v>53</v>
      </c>
    </row>
    <row r="43" spans="1:3">
      <c r="A43" s="8" t="s">
        <v>209</v>
      </c>
      <c r="B43" s="9"/>
      <c r="C43" s="16" t="s">
        <v>53</v>
      </c>
    </row>
    <row r="44" spans="1:3">
      <c r="A44" s="8" t="s">
        <v>210</v>
      </c>
      <c r="B44" s="9"/>
      <c r="C44" s="16" t="s">
        <v>53</v>
      </c>
    </row>
    <row r="45" spans="1:3">
      <c r="A45" s="8" t="s">
        <v>286</v>
      </c>
      <c r="B45" s="9"/>
      <c r="C45" s="16" t="s">
        <v>53</v>
      </c>
    </row>
    <row r="46" spans="1:3">
      <c r="A46" s="8" t="s">
        <v>211</v>
      </c>
      <c r="B46" s="9"/>
      <c r="C46" s="16" t="s">
        <v>53</v>
      </c>
    </row>
    <row r="47" spans="1:3">
      <c r="A47" s="8" t="s">
        <v>212</v>
      </c>
      <c r="B47" s="9"/>
      <c r="C47" s="16" t="s">
        <v>53</v>
      </c>
    </row>
    <row r="48" spans="1:3">
      <c r="A48" s="8" t="s">
        <v>213</v>
      </c>
      <c r="B48" s="9"/>
      <c r="C48" s="16" t="s">
        <v>53</v>
      </c>
    </row>
    <row r="49" spans="1:3">
      <c r="A49" s="8" t="s">
        <v>214</v>
      </c>
      <c r="B49" s="9"/>
      <c r="C49" s="16" t="s">
        <v>53</v>
      </c>
    </row>
    <row r="50" spans="1:3">
      <c r="A50" s="8" t="s">
        <v>215</v>
      </c>
      <c r="B50" s="9"/>
      <c r="C50" s="16" t="s">
        <v>53</v>
      </c>
    </row>
    <row r="51" spans="1:3">
      <c r="A51" s="8" t="s">
        <v>216</v>
      </c>
      <c r="B51" s="9"/>
      <c r="C51" s="16" t="s">
        <v>53</v>
      </c>
    </row>
    <row r="52" spans="1:3">
      <c r="A52" s="8" t="s">
        <v>217</v>
      </c>
      <c r="B52" s="9"/>
      <c r="C52" s="16" t="s">
        <v>53</v>
      </c>
    </row>
    <row r="53" spans="1:3">
      <c r="A53" s="8" t="s">
        <v>218</v>
      </c>
      <c r="B53" s="9"/>
      <c r="C53" s="16" t="s">
        <v>53</v>
      </c>
    </row>
    <row r="54" spans="1:3">
      <c r="A54" s="8" t="s">
        <v>219</v>
      </c>
      <c r="B54" s="9"/>
      <c r="C54" s="16" t="s">
        <v>53</v>
      </c>
    </row>
    <row r="55" spans="1:3">
      <c r="A55" s="8" t="s">
        <v>220</v>
      </c>
      <c r="B55" s="9"/>
      <c r="C55" s="16" t="s">
        <v>53</v>
      </c>
    </row>
    <row r="56" spans="1:3">
      <c r="A56" s="8" t="s">
        <v>221</v>
      </c>
      <c r="B56" s="9"/>
      <c r="C56" s="16" t="s">
        <v>53</v>
      </c>
    </row>
    <row r="57" spans="1:3">
      <c r="A57" s="8" t="s">
        <v>222</v>
      </c>
      <c r="B57" s="9"/>
      <c r="C57" s="16" t="s">
        <v>53</v>
      </c>
    </row>
    <row r="58" spans="1:3">
      <c r="A58" s="8" t="s">
        <v>223</v>
      </c>
      <c r="B58" s="9"/>
      <c r="C58" s="16" t="s">
        <v>53</v>
      </c>
    </row>
    <row r="59" spans="1:3">
      <c r="A59" s="8" t="s">
        <v>224</v>
      </c>
      <c r="B59" s="9"/>
      <c r="C59" s="16" t="s">
        <v>53</v>
      </c>
    </row>
    <row r="60" spans="1:3">
      <c r="A60" s="8" t="s">
        <v>272</v>
      </c>
      <c r="B60" s="9"/>
      <c r="C60" s="16" t="s">
        <v>53</v>
      </c>
    </row>
    <row r="61" spans="1:3">
      <c r="A61" s="8" t="s">
        <v>225</v>
      </c>
      <c r="B61" s="9"/>
      <c r="C61" s="16" t="s">
        <v>53</v>
      </c>
    </row>
    <row r="62" spans="1:3">
      <c r="A62" s="8" t="s">
        <v>226</v>
      </c>
      <c r="B62" s="9"/>
      <c r="C62" s="16" t="s">
        <v>53</v>
      </c>
    </row>
    <row r="63" spans="1:3">
      <c r="A63" s="8" t="s">
        <v>227</v>
      </c>
      <c r="B63" s="9"/>
      <c r="C63" s="16" t="s">
        <v>53</v>
      </c>
    </row>
    <row r="64" spans="1:3">
      <c r="A64" s="8" t="s">
        <v>228</v>
      </c>
      <c r="B64" s="9"/>
      <c r="C64" s="16" t="s">
        <v>53</v>
      </c>
    </row>
    <row r="65" spans="1:3">
      <c r="A65" s="8" t="s">
        <v>229</v>
      </c>
      <c r="B65" s="9"/>
      <c r="C65" s="16" t="s">
        <v>53</v>
      </c>
    </row>
    <row r="66" spans="1:3">
      <c r="A66" s="8" t="s">
        <v>230</v>
      </c>
      <c r="B66" s="9"/>
      <c r="C66" s="16" t="s">
        <v>53</v>
      </c>
    </row>
    <row r="67" spans="1:3">
      <c r="A67" s="8" t="s">
        <v>231</v>
      </c>
      <c r="B67" s="9"/>
      <c r="C67" s="16" t="s">
        <v>53</v>
      </c>
    </row>
    <row r="68" spans="1:3">
      <c r="A68" s="8" t="s">
        <v>232</v>
      </c>
      <c r="B68" s="9"/>
      <c r="C68" s="16" t="s">
        <v>53</v>
      </c>
    </row>
    <row r="69" spans="1:3">
      <c r="A69" s="8" t="s">
        <v>233</v>
      </c>
      <c r="B69" s="9"/>
      <c r="C69" s="16" t="s">
        <v>53</v>
      </c>
    </row>
    <row r="70" spans="1:3">
      <c r="A70" s="8" t="s">
        <v>234</v>
      </c>
      <c r="B70" s="9"/>
      <c r="C70" s="16" t="s">
        <v>53</v>
      </c>
    </row>
    <row r="71" spans="1:3">
      <c r="A71" s="8" t="s">
        <v>235</v>
      </c>
      <c r="B71" s="9"/>
      <c r="C71" s="16" t="s">
        <v>53</v>
      </c>
    </row>
    <row r="72" spans="1:3">
      <c r="A72" s="8" t="s">
        <v>236</v>
      </c>
      <c r="B72" s="9"/>
      <c r="C72" s="16" t="s">
        <v>53</v>
      </c>
    </row>
    <row r="73" spans="1:3">
      <c r="A73" s="8" t="s">
        <v>237</v>
      </c>
      <c r="B73" s="9"/>
      <c r="C73" s="16" t="s">
        <v>53</v>
      </c>
    </row>
    <row r="74" spans="1:3">
      <c r="A74" s="8" t="s">
        <v>238</v>
      </c>
      <c r="B74" s="9"/>
      <c r="C74" s="16" t="s">
        <v>53</v>
      </c>
    </row>
    <row r="75" spans="1:3">
      <c r="A75" s="8" t="s">
        <v>239</v>
      </c>
      <c r="B75" s="9"/>
      <c r="C75" s="16" t="s">
        <v>53</v>
      </c>
    </row>
    <row r="76" spans="1:3">
      <c r="A76" s="8" t="s">
        <v>240</v>
      </c>
      <c r="B76" s="9"/>
      <c r="C76" s="16" t="s">
        <v>53</v>
      </c>
    </row>
    <row r="77" spans="1:3">
      <c r="A77" s="8" t="s">
        <v>241</v>
      </c>
      <c r="B77" s="9"/>
      <c r="C77" s="16" t="s">
        <v>53</v>
      </c>
    </row>
    <row r="78" spans="1:3">
      <c r="A78" s="8" t="s">
        <v>242</v>
      </c>
      <c r="B78" s="9"/>
      <c r="C78" s="16" t="s">
        <v>53</v>
      </c>
    </row>
    <row r="79" spans="1:3">
      <c r="A79" s="8" t="s">
        <v>243</v>
      </c>
      <c r="B79" s="9"/>
      <c r="C79" s="16" t="s">
        <v>53</v>
      </c>
    </row>
    <row r="80" spans="1:3">
      <c r="A80" s="8" t="s">
        <v>244</v>
      </c>
      <c r="B80" s="9"/>
      <c r="C80" s="16" t="s">
        <v>53</v>
      </c>
    </row>
    <row r="81" spans="1:3">
      <c r="A81" s="8" t="s">
        <v>245</v>
      </c>
      <c r="B81" s="9"/>
      <c r="C81" s="16" t="s">
        <v>53</v>
      </c>
    </row>
    <row r="82" spans="1:3">
      <c r="A82" s="8" t="s">
        <v>246</v>
      </c>
      <c r="B82" s="9"/>
      <c r="C82" s="16" t="s">
        <v>53</v>
      </c>
    </row>
    <row r="83" spans="1:3">
      <c r="A83" s="8" t="s">
        <v>247</v>
      </c>
      <c r="B83" s="9"/>
      <c r="C83" s="16" t="s">
        <v>53</v>
      </c>
    </row>
    <row r="84" spans="1:3">
      <c r="A84" s="8" t="s">
        <v>248</v>
      </c>
      <c r="B84" s="9"/>
      <c r="C84" s="16" t="s">
        <v>53</v>
      </c>
    </row>
    <row r="85" spans="1:3">
      <c r="A85" s="8" t="s">
        <v>249</v>
      </c>
      <c r="B85" s="9"/>
      <c r="C85" s="16" t="s">
        <v>53</v>
      </c>
    </row>
    <row r="86" spans="1:3">
      <c r="A86" s="8" t="s">
        <v>250</v>
      </c>
      <c r="B86" s="9"/>
      <c r="C86" s="16" t="s">
        <v>53</v>
      </c>
    </row>
    <row r="87" spans="1:3">
      <c r="A87" s="8" t="s">
        <v>251</v>
      </c>
      <c r="B87" s="9"/>
      <c r="C87" s="16" t="s">
        <v>53</v>
      </c>
    </row>
    <row r="88" spans="1:3">
      <c r="A88" s="8" t="s">
        <v>252</v>
      </c>
      <c r="B88" s="9"/>
      <c r="C88" s="16" t="s">
        <v>53</v>
      </c>
    </row>
    <row r="89" spans="1:3">
      <c r="A89" s="8" t="s">
        <v>253</v>
      </c>
      <c r="B89" s="9"/>
      <c r="C89" s="16" t="s">
        <v>53</v>
      </c>
    </row>
    <row r="90" spans="1:3">
      <c r="A90" s="8" t="s">
        <v>254</v>
      </c>
      <c r="B90" s="9"/>
      <c r="C90" s="16" t="s">
        <v>53</v>
      </c>
    </row>
    <row r="91" spans="1:3">
      <c r="A91" s="8" t="s">
        <v>255</v>
      </c>
      <c r="B91" s="9"/>
      <c r="C91" s="16" t="s">
        <v>53</v>
      </c>
    </row>
    <row r="92" spans="1:3">
      <c r="A92" s="8" t="s">
        <v>256</v>
      </c>
      <c r="B92" s="9"/>
      <c r="C92" s="16" t="s">
        <v>53</v>
      </c>
    </row>
    <row r="93" spans="1:3">
      <c r="A93" s="8" t="s">
        <v>257</v>
      </c>
      <c r="B93" s="9"/>
      <c r="C93" s="16" t="s">
        <v>53</v>
      </c>
    </row>
    <row r="94" spans="1:3">
      <c r="A94" s="8" t="s">
        <v>258</v>
      </c>
      <c r="B94" s="9"/>
      <c r="C94" s="16" t="s">
        <v>53</v>
      </c>
    </row>
    <row r="95" spans="1:3">
      <c r="A95" s="8" t="s">
        <v>259</v>
      </c>
      <c r="B95" s="9"/>
      <c r="C95" s="16" t="s">
        <v>53</v>
      </c>
    </row>
    <row r="96" spans="1:3">
      <c r="A96" s="8" t="s">
        <v>260</v>
      </c>
      <c r="B96" s="9"/>
      <c r="C96" s="16" t="s">
        <v>53</v>
      </c>
    </row>
    <row r="97" spans="1:3">
      <c r="A97" s="8" t="s">
        <v>261</v>
      </c>
      <c r="B97" s="9"/>
      <c r="C97" s="16" t="s">
        <v>53</v>
      </c>
    </row>
    <row r="98" spans="1:3">
      <c r="A98" s="8" t="s">
        <v>262</v>
      </c>
      <c r="B98" s="9"/>
      <c r="C98" s="16" t="s">
        <v>53</v>
      </c>
    </row>
    <row r="99" spans="1:3">
      <c r="A99" s="8" t="s">
        <v>263</v>
      </c>
      <c r="B99" s="9"/>
      <c r="C99" s="16" t="s">
        <v>53</v>
      </c>
    </row>
    <row r="100" spans="1:3">
      <c r="A100" s="8" t="s">
        <v>264</v>
      </c>
      <c r="B100" s="9"/>
      <c r="C100" s="16" t="s">
        <v>53</v>
      </c>
    </row>
    <row r="101" spans="1:3">
      <c r="A101" s="8" t="s">
        <v>265</v>
      </c>
      <c r="B101" s="9"/>
      <c r="C101" s="16" t="s">
        <v>53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Assumption</vt:lpstr>
      <vt:lpstr>Screws</vt:lpstr>
      <vt:lpstr>Material prices</vt:lpstr>
      <vt:lpstr>Sales info</vt: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 Pöltl</dc:creator>
  <cp:lastModifiedBy>Julian Pöltl</cp:lastModifiedBy>
  <dcterms:created xsi:type="dcterms:W3CDTF">2025-10-30T13:30:27Z</dcterms:created>
  <dcterms:modified xsi:type="dcterms:W3CDTF">2026-05-18T20:48:09Z</dcterms:modified>
</cp:coreProperties>
</file>