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Budget vs. Actuals Variance Analysis\Harrington\starting_files\"/>
    </mc:Choice>
  </mc:AlternateContent>
  <xr:revisionPtr revIDLastSave="0" documentId="13_ncr:1_{F8D50086-F02A-42A8-A654-AEB10B17AAC3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P&amp;L Budget – GL Detail" sheetId="24" r:id="rId2"/>
    <sheet name="Income Statement" sheetId="25" r:id="rId3"/>
    <sheet name="Balance Sheet" sheetId="26" r:id="rId4"/>
    <sheet name="Questions" sheetId="11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5" l="1"/>
  <c r="D29" i="25"/>
  <c r="C29" i="25"/>
  <c r="E19" i="25"/>
  <c r="D19" i="25"/>
  <c r="C19" i="25"/>
  <c r="G5" i="24"/>
  <c r="G8" i="24" s="1"/>
  <c r="G6" i="24"/>
  <c r="G7" i="24"/>
  <c r="C8" i="24"/>
  <c r="D8" i="24"/>
  <c r="E8" i="24"/>
  <c r="F8" i="24"/>
  <c r="G11" i="24"/>
  <c r="G12" i="24"/>
  <c r="G13" i="24"/>
  <c r="G14" i="24"/>
  <c r="C15" i="24"/>
  <c r="D15" i="24"/>
  <c r="E15" i="24"/>
  <c r="F15" i="24"/>
  <c r="G15" i="24"/>
  <c r="G17" i="24"/>
  <c r="G20" i="24"/>
  <c r="G23" i="24" s="1"/>
  <c r="G21" i="24"/>
  <c r="G22" i="24"/>
  <c r="C23" i="24"/>
  <c r="D23" i="24"/>
  <c r="E23" i="24"/>
  <c r="F23" i="24"/>
  <c r="G26" i="24"/>
  <c r="G27" i="24"/>
  <c r="G28" i="24"/>
  <c r="C29" i="24"/>
  <c r="D29" i="24"/>
  <c r="E29" i="24"/>
  <c r="F29" i="24"/>
  <c r="G29" i="24"/>
  <c r="G32" i="24"/>
  <c r="G36" i="24" s="1"/>
  <c r="G33" i="24"/>
  <c r="G34" i="24"/>
  <c r="G35" i="24"/>
  <c r="C36" i="24"/>
  <c r="D36" i="24"/>
  <c r="E36" i="24"/>
  <c r="F36" i="24"/>
  <c r="G39" i="24"/>
  <c r="G40" i="24"/>
  <c r="C41" i="24"/>
  <c r="D41" i="24"/>
  <c r="E41" i="24"/>
  <c r="F41" i="24"/>
  <c r="G41" i="24"/>
  <c r="G43" i="24"/>
  <c r="G46" i="24"/>
  <c r="G47" i="24"/>
  <c r="C48" i="24"/>
  <c r="D48" i="24"/>
  <c r="E48" i="24"/>
  <c r="F48" i="24"/>
  <c r="G48" i="24"/>
  <c r="G50" i="24"/>
  <c r="G52" i="24"/>
  <c r="G54" i="24"/>
</calcChain>
</file>

<file path=xl/sharedStrings.xml><?xml version="1.0" encoding="utf-8"?>
<sst xmlns="http://schemas.openxmlformats.org/spreadsheetml/2006/main" count="221" uniqueCount="197">
  <si>
    <t>Answers</t>
  </si>
  <si>
    <t>Unit</t>
  </si>
  <si>
    <t>Task:</t>
  </si>
  <si>
    <t>[%]</t>
  </si>
  <si>
    <t xml:space="preserve"> </t>
  </si>
  <si>
    <t>You are given an Income Statement as well as a Budget.</t>
  </si>
  <si>
    <t>FP&amp;A Models</t>
  </si>
  <si>
    <t>Create a Budget vs. Actuals Variance Analysis sheet.</t>
  </si>
  <si>
    <t>Answer the questions with the results from your sheet.</t>
  </si>
  <si>
    <t>Total Revenue</t>
  </si>
  <si>
    <t>Profit Before Tax</t>
  </si>
  <si>
    <t>CURRENT ASSETS</t>
  </si>
  <si>
    <t>Total Current Assets</t>
  </si>
  <si>
    <t>NON-CURRENT ASSETS</t>
  </si>
  <si>
    <t>Total Non-Current Assets</t>
  </si>
  <si>
    <t>TOTAL ASSETS</t>
  </si>
  <si>
    <t>CURRENT LIABILITIES</t>
  </si>
  <si>
    <t>Total Current Liabilities</t>
  </si>
  <si>
    <t>NON-CURRENT LIABILITIES</t>
  </si>
  <si>
    <t>Total Non-Current Liabilities</t>
  </si>
  <si>
    <t>EQUITY</t>
  </si>
  <si>
    <t>Total Equity</t>
  </si>
  <si>
    <t>Questions (please round your answers to four decimal places)</t>
  </si>
  <si>
    <t>Leave a blank note field next to the variance figures.</t>
  </si>
  <si>
    <t>Use the standard method for calculating the absolute and relative difference.</t>
  </si>
  <si>
    <t>Total Operating Expenses</t>
  </si>
  <si>
    <t>OPERATING EXPENSES</t>
  </si>
  <si>
    <t>Gross Profit</t>
  </si>
  <si>
    <t>REVENUE</t>
  </si>
  <si>
    <t>Profit for the Year</t>
  </si>
  <si>
    <t>TOTAL EQUITY &amp; LIABILITIES</t>
  </si>
  <si>
    <t>Consolidated Income Statement</t>
  </si>
  <si>
    <t>FY 2022</t>
  </si>
  <si>
    <t>FY 2023</t>
  </si>
  <si>
    <t>COST OF SALES</t>
  </si>
  <si>
    <t>Total Cost of Sales</t>
  </si>
  <si>
    <t>Operating Profit (EBIT)</t>
  </si>
  <si>
    <t>Net Finance Costs</t>
  </si>
  <si>
    <t>31 Dec 2023</t>
  </si>
  <si>
    <t>Property, plant &amp; equipment</t>
  </si>
  <si>
    <t>Inventories</t>
  </si>
  <si>
    <t>Share capital</t>
  </si>
  <si>
    <t>Retained earnings</t>
  </si>
  <si>
    <t>Lease liabilities</t>
  </si>
  <si>
    <t>Current tax payable</t>
  </si>
  <si>
    <t>4000</t>
  </si>
  <si>
    <t>5000</t>
  </si>
  <si>
    <t>GROSS PROFIT</t>
  </si>
  <si>
    <t>Depreciation – Office &amp; IT Assets</t>
  </si>
  <si>
    <t>OTHER OPERATING INCOME</t>
  </si>
  <si>
    <t>Total Other Operating Income</t>
  </si>
  <si>
    <t>OPERATING PROFIT (EBIT)</t>
  </si>
  <si>
    <t>9001</t>
  </si>
  <si>
    <t>9002</t>
  </si>
  <si>
    <t>9000</t>
  </si>
  <si>
    <t>PROFIT BEFORE TAX</t>
  </si>
  <si>
    <t>What is the absolute difference between actuals and budget for Total Cost of Sales?</t>
  </si>
  <si>
    <t>What is the relative difference between actuals and budget for PROFIT BEFORE TAX?</t>
  </si>
  <si>
    <t>What is the relative difference between actuals and budget for GROSS PROFIT?</t>
  </si>
  <si>
    <t>FY Total: €8,850k (est.)  |  ROE 14.9%</t>
  </si>
  <si>
    <t>PROFIT FOR THE YEAR (BUDGET)</t>
  </si>
  <si>
    <t>German KSt 15% + SolZ 0.825% + GewSt ~14%</t>
  </si>
  <si>
    <t>Estimated Corporation Tax (30% effective rate)</t>
  </si>
  <si>
    <t>9901</t>
  </si>
  <si>
    <t>FY Total: €12,650k</t>
  </si>
  <si>
    <t>FY Net: €(1,750)k</t>
  </si>
  <si>
    <t>Net Finance Income / (Costs)</t>
  </si>
  <si>
    <t>9200</t>
  </si>
  <si>
    <t>EURIBOR 3M + 220bps; avg drawn €23.5m</t>
  </si>
  <si>
    <t>Interest Expense – Bank Facilities</t>
  </si>
  <si>
    <t>9201</t>
  </si>
  <si>
    <t>Avg deposits €3.8m</t>
  </si>
  <si>
    <t>Interest Income on Deposits</t>
  </si>
  <si>
    <t>9101</t>
  </si>
  <si>
    <t>FINANCE INCOME &amp; COSTS</t>
  </si>
  <si>
    <t>FY Total: €14,400k  |  EBIT margin 14.5%</t>
  </si>
  <si>
    <t>R&amp;D grants + sundry; €500k FY total</t>
  </si>
  <si>
    <t>Sundry &amp; Miscellaneous Income</t>
  </si>
  <si>
    <t>BMBF grant; see grant schedule</t>
  </si>
  <si>
    <t>Government Grants (R&amp;D Incentives)</t>
  </si>
  <si>
    <t>5.8% of revenue</t>
  </si>
  <si>
    <t>Total General &amp; Administrative</t>
  </si>
  <si>
    <t>8100</t>
  </si>
  <si>
    <t>SL 3–5yr; per fixed asset schedule</t>
  </si>
  <si>
    <t>8104</t>
  </si>
  <si>
    <t>IT Infrastructure &amp; Systems</t>
  </si>
  <si>
    <t>8103</t>
  </si>
  <si>
    <t>Finance, Legal &amp; Compliance</t>
  </si>
  <si>
    <t>8102</t>
  </si>
  <si>
    <t>Management &amp; Administrative Staff</t>
  </si>
  <si>
    <t>8101</t>
  </si>
  <si>
    <t>GENERAL &amp; ADMINISTRATIVE EXPENSES</t>
  </si>
  <si>
    <t>7.8% of revenue</t>
  </si>
  <si>
    <t>Total Sales, Marketing &amp; Distribution</t>
  </si>
  <si>
    <t>7100</t>
  </si>
  <si>
    <t>Distribution, Freight &amp; Logistics</t>
  </si>
  <si>
    <t>7103</t>
  </si>
  <si>
    <t>Q2/Q4 peak: Medica Düsseldorf, Arab Health</t>
  </si>
  <si>
    <t>Marketing, Campaigns &amp; Trade Shows</t>
  </si>
  <si>
    <t>7102</t>
  </si>
  <si>
    <t>Sales Team Compensation &amp; Commissions</t>
  </si>
  <si>
    <t>7101</t>
  </si>
  <si>
    <t>SALES, MARKETING &amp; DISTRIBUTION</t>
  </si>
  <si>
    <t>9.5% of revenue | EU-funded project: €1.2m grant offset</t>
  </si>
  <si>
    <t>Total R&amp;D Expenditure</t>
  </si>
  <si>
    <t>6100</t>
  </si>
  <si>
    <t>IP portfolio: 34 active patents</t>
  </si>
  <si>
    <t>IP Filings &amp; Patent Maintenance</t>
  </si>
  <si>
    <t>6103</t>
  </si>
  <si>
    <t>Clinical Trials &amp; Regulatory Affairs</t>
  </si>
  <si>
    <t>6102</t>
  </si>
  <si>
    <t>R&amp;D Personnel Costs</t>
  </si>
  <si>
    <t>6101</t>
  </si>
  <si>
    <t>RESEARCH &amp; DEVELOPMENT EXPENDITURE</t>
  </si>
  <si>
    <t>FY Total: €37,000k  |  Gross margin 37.2%</t>
  </si>
  <si>
    <t>Target gross margin: 37.2%</t>
  </si>
  <si>
    <t>Quality Control &amp; Regulatory Costs</t>
  </si>
  <si>
    <t>5104</t>
  </si>
  <si>
    <t>Manufacturing Overhead &amp; Utilities</t>
  </si>
  <si>
    <t>5103</t>
  </si>
  <si>
    <t>Direct Labour – Manufacturing</t>
  </si>
  <si>
    <t>5102</t>
  </si>
  <si>
    <t>Direct Materials &amp; Components</t>
  </si>
  <si>
    <t>5101</t>
  </si>
  <si>
    <t>FY target: €99,500k  |  Growth: +14.0% vs FY23A</t>
  </si>
  <si>
    <t>Americas &amp; Rest of World</t>
  </si>
  <si>
    <t>4103</t>
  </si>
  <si>
    <t>Rest of EU – Distributor Sales</t>
  </si>
  <si>
    <t>4102</t>
  </si>
  <si>
    <t>Germany – Direct Sales</t>
  </si>
  <si>
    <t>4101</t>
  </si>
  <si>
    <t>REVENUE – BY SEGMENT &amp; GEOGRAPHY</t>
  </si>
  <si>
    <t>Budget Driver / Notes</t>
  </si>
  <si>
    <t>FY 2024
Total</t>
  </si>
  <si>
    <t>Q4
Oct–Dec</t>
  </si>
  <si>
    <t>Q3
Jul–Sep</t>
  </si>
  <si>
    <t>Q2
Apr–Jun</t>
  </si>
  <si>
    <t>Q1
Jan–Mar</t>
  </si>
  <si>
    <t>Account Description</t>
  </si>
  <si>
    <t>GL Code</t>
  </si>
  <si>
    <t>EUR thousands (€ 000's)  |  Costs shown as negatives  |  Version: Budget 2024 v1.4  |  Board-approved: 14 Nov 2023  |  Confidential</t>
  </si>
  <si>
    <t>HARRINGTON MEDICAL DEVICES GmbH  |  Budget FY 2024  |  P&amp;L Account – General Ledger (Quarterly)</t>
  </si>
  <si>
    <t>HARRINGTON MEDICAL DEVICES GmbH</t>
  </si>
  <si>
    <t>For the years ended 31 December  ·  Amounts in EUR thousands (€ 000's)  ·  Registered: Frankfurt am Main, Germany</t>
  </si>
  <si>
    <t>FY 2024</t>
  </si>
  <si>
    <t>Product sales</t>
  </si>
  <si>
    <t>Service &amp; maintenance revenue</t>
  </si>
  <si>
    <t>Direct materials</t>
  </si>
  <si>
    <t>Direct labour</t>
  </si>
  <si>
    <t>Manufacturing overhead</t>
  </si>
  <si>
    <t>Quality &amp; regulatory costs</t>
  </si>
  <si>
    <t xml:space="preserve">  Gross margin %</t>
  </si>
  <si>
    <t>Research &amp; development</t>
  </si>
  <si>
    <t>General &amp; administrative</t>
  </si>
  <si>
    <t>Other operating income</t>
  </si>
  <si>
    <t xml:space="preserve">  EBIT margin %</t>
  </si>
  <si>
    <t>Finance income</t>
  </si>
  <si>
    <t>Finance costs</t>
  </si>
  <si>
    <t>Income tax expense</t>
  </si>
  <si>
    <t>Note: D&amp;A included in COS €3,840k (2024) / €3,580k (2023) / €3,310k (2022). No budget figures are included in these financial statements.</t>
  </si>
  <si>
    <t>Consolidated Balance Sheet</t>
  </si>
  <si>
    <t>As at 31 December  ·  Amounts in EUR thousands (€ 000's)</t>
  </si>
  <si>
    <t>31 Dec 2024</t>
  </si>
  <si>
    <t>ASSETS</t>
  </si>
  <si>
    <t>Goodwill</t>
  </si>
  <si>
    <t>Capitalised development costs</t>
  </si>
  <si>
    <t>Other intangible assets</t>
  </si>
  <si>
    <t>Deferred tax assets</t>
  </si>
  <si>
    <t>Trade receivables</t>
  </si>
  <si>
    <t>Other current assets &amp; prepayments</t>
  </si>
  <si>
    <t>Cash and cash equivalents</t>
  </si>
  <si>
    <t>EQUITY &amp; LIABILITIES</t>
  </si>
  <si>
    <t>Capital reserve</t>
  </si>
  <si>
    <t>Other comprehensive income / (loss)</t>
  </si>
  <si>
    <t>Bank borrowings</t>
  </si>
  <si>
    <t>Deferred tax liabilities</t>
  </si>
  <si>
    <t>Pension provisions</t>
  </si>
  <si>
    <t>Other provisions</t>
  </si>
  <si>
    <t>Bank borrowings (current portion)</t>
  </si>
  <si>
    <t>Trade payables</t>
  </si>
  <si>
    <t>Other payables &amp; accruals</t>
  </si>
  <si>
    <t>Budget vs. Actuals Variance Analysis - Harrington</t>
  </si>
  <si>
    <t>[€ 000's ]</t>
  </si>
  <si>
    <t>What is the absolute difference between actuals and budget for GROSS PROFIT?</t>
  </si>
  <si>
    <t>What is the absolute difference between actuals and budget for Interest Expense – Bank Facilities?</t>
  </si>
  <si>
    <t>What is the absolute difference between actuals and budget for Interest Income on Deposits?</t>
  </si>
  <si>
    <t>What is the absolute difference between actuals and budget for Manufacturing Overhead &amp; Utilities?</t>
  </si>
  <si>
    <t>What is the absolute difference between actuals and budget for Total Other Operating Income?</t>
  </si>
  <si>
    <t>What is the absolute difference between actuals and budget for Total Sales, Marketing &amp; Distribution?</t>
  </si>
  <si>
    <t>What is the relative difference between actuals and budget for Direct Labour – Manufacturing?</t>
  </si>
  <si>
    <t>What is the relative difference between actuals and budget for Interest Income on Deposits?</t>
  </si>
  <si>
    <t>What is the relative difference between actuals and budget for Manufacturing Overhead &amp; Utilities?</t>
  </si>
  <si>
    <t>What is the relative difference between actuals and budget for PROFIT FOR THE YEAR (BUDGET)?</t>
  </si>
  <si>
    <t>What is the relative difference between actuals and budget for Total General &amp; Administrative?</t>
  </si>
  <si>
    <t>What is the relative difference between actuals and budget for Total Other Operating Income?</t>
  </si>
  <si>
    <t>Leave out line items that you cannot allocate out.</t>
  </si>
  <si>
    <t>Sales &amp; marketing (distr.)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</si>
</sst>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0.0\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i/>
      <sz val="8"/>
      <color rgb="FF9BB3D8"/>
      <name val="Arial Narrow"/>
      <family val="2"/>
    </font>
    <font>
      <b/>
      <sz val="10"/>
      <color rgb="FFFFFFFF"/>
      <name val="Arial Narrow"/>
      <family val="2"/>
    </font>
    <font>
      <i/>
      <sz val="8"/>
      <color rgb="FF6B7B9B"/>
      <name val="Arial Narrow"/>
      <family val="2"/>
    </font>
    <font>
      <b/>
      <sz val="9"/>
      <color rgb="FF3A3A3A"/>
      <name val="Arial Narrow"/>
      <family val="2"/>
    </font>
    <font>
      <sz val="9"/>
      <color rgb="FF3A3A3A"/>
      <name val="Arial Narrow"/>
      <family val="2"/>
    </font>
    <font>
      <b/>
      <sz val="9"/>
      <color rgb="FF3B6EC7"/>
      <name val="Arial Narrow"/>
      <family val="2"/>
    </font>
    <font>
      <b/>
      <sz val="9"/>
      <color rgb="FFFFFFFF"/>
      <name val="Arial Narrow"/>
      <family val="2"/>
    </font>
    <font>
      <i/>
      <sz val="8"/>
      <color rgb="FFC5D3F0"/>
      <name val="Arial Narrow"/>
      <family val="2"/>
    </font>
    <font>
      <b/>
      <sz val="11"/>
      <color rgb="FFFFFFFF"/>
      <name val="Arial Narrow"/>
      <family val="2"/>
    </font>
    <font>
      <b/>
      <sz val="14"/>
      <color rgb="FFFFFFFF"/>
      <name val="Calibri"/>
      <family val="2"/>
    </font>
    <font>
      <sz val="10"/>
      <color rgb="FFC0C0C0"/>
      <name val="Calibri"/>
      <family val="2"/>
    </font>
    <font>
      <i/>
      <sz val="8"/>
      <color rgb="FF808080"/>
      <name val="Calibri"/>
      <family val="2"/>
    </font>
    <font>
      <b/>
      <sz val="10"/>
      <color rgb="FF2D2D2D"/>
      <name val="Calibri"/>
      <family val="2"/>
    </font>
    <font>
      <sz val="9"/>
      <color rgb="FFB8882A"/>
      <name val="Calibri"/>
      <family val="2"/>
    </font>
    <font>
      <sz val="10"/>
      <color rgb="FF2D2D2D"/>
      <name val="Calibri"/>
      <family val="2"/>
    </font>
    <font>
      <b/>
      <sz val="10"/>
      <color rgb="FFE07B00"/>
      <name val="Calibri"/>
      <family val="2"/>
    </font>
    <font>
      <i/>
      <sz val="8"/>
      <color rgb="FF999999"/>
      <name val="Calibri"/>
      <family val="2"/>
    </font>
    <font>
      <b/>
      <sz val="9"/>
      <color rgb="FFB8882A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1B2B4B"/>
        <bgColor rgb="FF3A3A3A"/>
      </patternFill>
    </fill>
    <fill>
      <patternFill patternType="solid">
        <fgColor rgb="FFFFFFFF"/>
        <bgColor rgb="FFF0F3F9"/>
      </patternFill>
    </fill>
    <fill>
      <patternFill patternType="solid">
        <fgColor rgb="FFF0F3F9"/>
        <bgColor rgb="FFFFFFFF"/>
      </patternFill>
    </fill>
    <fill>
      <patternFill patternType="solid">
        <fgColor rgb="FFDCE3F0"/>
        <bgColor rgb="FFF0F3F9"/>
      </patternFill>
    </fill>
    <fill>
      <patternFill patternType="solid">
        <fgColor rgb="FF2E4272"/>
        <bgColor rgb="FF3A3A3A"/>
      </patternFill>
    </fill>
    <fill>
      <patternFill patternType="solid">
        <fgColor rgb="FF2D2D2D"/>
        <bgColor rgb="FF333300"/>
      </patternFill>
    </fill>
    <fill>
      <patternFill patternType="solid">
        <fgColor rgb="FFFFFFFF"/>
        <bgColor rgb="FFFAFAFA"/>
      </patternFill>
    </fill>
    <fill>
      <patternFill patternType="solid">
        <fgColor rgb="FFF5E6C0"/>
        <bgColor rgb="FFFEF3E2"/>
      </patternFill>
    </fill>
    <fill>
      <patternFill patternType="solid">
        <fgColor rgb="FFFAFAFA"/>
        <bgColor rgb="FFFFFFFF"/>
      </patternFill>
    </fill>
    <fill>
      <patternFill patternType="solid">
        <fgColor rgb="FFFEF3E2"/>
        <bgColor rgb="FFF0F0F0"/>
      </patternFill>
    </fill>
    <fill>
      <patternFill patternType="solid">
        <fgColor rgb="FFF0F0F0"/>
        <bgColor rgb="FFFEF3E2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4" fontId="4" fillId="3" borderId="1">
      <alignment horizontal="left"/>
    </xf>
    <xf numFmtId="164" fontId="5" fillId="0" borderId="0" applyBorder="0"/>
    <xf numFmtId="164" fontId="6" fillId="2" borderId="2">
      <protection locked="0"/>
    </xf>
    <xf numFmtId="0" fontId="6" fillId="0" borderId="0" applyNumberFormat="0" applyFill="0" applyBorder="0">
      <alignment horizontal="right"/>
    </xf>
    <xf numFmtId="9" fontId="1" fillId="0" borderId="0" applyFont="0" applyFill="0" applyBorder="0" applyAlignment="0" applyProtection="0"/>
    <xf numFmtId="0" fontId="14" fillId="0" borderId="0"/>
  </cellStyleXfs>
  <cellXfs count="75">
    <xf numFmtId="0" fontId="0" fillId="0" borderId="0" xfId="0"/>
    <xf numFmtId="0" fontId="3" fillId="0" borderId="0" xfId="0" applyFont="1"/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2" applyFont="1"/>
    <xf numFmtId="0" fontId="2" fillId="0" borderId="0" xfId="2"/>
    <xf numFmtId="0" fontId="7" fillId="0" borderId="0" xfId="1" applyFont="1" applyAlignment="1">
      <alignment horizontal="left"/>
    </xf>
    <xf numFmtId="4" fontId="7" fillId="5" borderId="2" xfId="1" quotePrefix="1" applyNumberFormat="1" applyFont="1" applyFill="1" applyBorder="1" applyAlignment="1">
      <alignment horizontal="center"/>
    </xf>
    <xf numFmtId="0" fontId="11" fillId="0" borderId="0" xfId="0" quotePrefix="1" applyFont="1" applyAlignment="1">
      <alignment vertical="center"/>
    </xf>
    <xf numFmtId="0" fontId="13" fillId="0" borderId="0" xfId="0" quotePrefix="1" applyFont="1" applyAlignment="1">
      <alignment vertical="center"/>
    </xf>
    <xf numFmtId="4" fontId="2" fillId="0" borderId="0" xfId="2" applyNumberFormat="1"/>
    <xf numFmtId="0" fontId="14" fillId="0" borderId="0" xfId="8"/>
    <xf numFmtId="10" fontId="7" fillId="5" borderId="2" xfId="7" quotePrefix="1" applyNumberFormat="1" applyFont="1" applyFill="1" applyBorder="1" applyAlignment="1">
      <alignment horizontal="center"/>
    </xf>
    <xf numFmtId="0" fontId="16" fillId="6" borderId="0" xfId="8" applyFont="1" applyFill="1"/>
    <xf numFmtId="164" fontId="17" fillId="6" borderId="6" xfId="8" applyNumberFormat="1" applyFont="1" applyFill="1" applyBorder="1" applyAlignment="1">
      <alignment horizontal="right" vertical="center"/>
    </xf>
    <xf numFmtId="0" fontId="17" fillId="6" borderId="0" xfId="8" applyFont="1" applyFill="1" applyAlignment="1">
      <alignment horizontal="left" vertical="center"/>
    </xf>
    <xf numFmtId="0" fontId="14" fillId="6" borderId="0" xfId="8" applyFill="1"/>
    <xf numFmtId="0" fontId="14" fillId="7" borderId="0" xfId="8" applyFill="1"/>
    <xf numFmtId="0" fontId="18" fillId="8" borderId="0" xfId="8" applyFont="1" applyFill="1" applyAlignment="1">
      <alignment horizontal="left" vertical="center"/>
    </xf>
    <xf numFmtId="164" fontId="19" fillId="8" borderId="0" xfId="8" applyNumberFormat="1" applyFont="1" applyFill="1" applyAlignment="1">
      <alignment horizontal="right" vertical="center"/>
    </xf>
    <xf numFmtId="164" fontId="20" fillId="8" borderId="0" xfId="8" applyNumberFormat="1" applyFont="1" applyFill="1" applyAlignment="1">
      <alignment horizontal="right" vertical="center"/>
    </xf>
    <xf numFmtId="0" fontId="20" fillId="8" borderId="0" xfId="8" applyFont="1" applyFill="1" applyAlignment="1">
      <alignment horizontal="left" vertical="center" indent="1"/>
    </xf>
    <xf numFmtId="0" fontId="20" fillId="8" borderId="0" xfId="8" applyFont="1" applyFill="1" applyAlignment="1">
      <alignment horizontal="center" vertical="center"/>
    </xf>
    <xf numFmtId="0" fontId="18" fillId="9" borderId="0" xfId="8" applyFont="1" applyFill="1"/>
    <xf numFmtId="164" fontId="21" fillId="9" borderId="7" xfId="8" applyNumberFormat="1" applyFont="1" applyFill="1" applyBorder="1" applyAlignment="1">
      <alignment horizontal="right" vertical="center"/>
    </xf>
    <xf numFmtId="0" fontId="21" fillId="9" borderId="0" xfId="8" applyFont="1" applyFill="1" applyAlignment="1">
      <alignment horizontal="left" vertical="center"/>
    </xf>
    <xf numFmtId="0" fontId="21" fillId="9" borderId="0" xfId="8" applyFont="1" applyFill="1" applyAlignment="1">
      <alignment horizontal="center" vertical="center"/>
    </xf>
    <xf numFmtId="0" fontId="18" fillId="7" borderId="0" xfId="8" applyFont="1" applyFill="1" applyAlignment="1">
      <alignment horizontal="left" vertical="center"/>
    </xf>
    <xf numFmtId="164" fontId="19" fillId="7" borderId="0" xfId="8" applyNumberFormat="1" applyFont="1" applyFill="1" applyAlignment="1">
      <alignment horizontal="right" vertical="center"/>
    </xf>
    <xf numFmtId="164" fontId="20" fillId="7" borderId="0" xfId="8" applyNumberFormat="1" applyFont="1" applyFill="1" applyAlignment="1">
      <alignment horizontal="right" vertical="center"/>
    </xf>
    <xf numFmtId="0" fontId="20" fillId="7" borderId="0" xfId="8" applyFont="1" applyFill="1" applyAlignment="1">
      <alignment horizontal="left" vertical="center" indent="1"/>
    </xf>
    <xf numFmtId="0" fontId="20" fillId="7" borderId="0" xfId="8" applyFont="1" applyFill="1" applyAlignment="1">
      <alignment horizontal="center" vertical="center"/>
    </xf>
    <xf numFmtId="0" fontId="18" fillId="6" borderId="0" xfId="8" applyFont="1" applyFill="1" applyAlignment="1">
      <alignment horizontal="left" vertical="center"/>
    </xf>
    <xf numFmtId="0" fontId="22" fillId="6" borderId="0" xfId="8" applyFont="1" applyFill="1"/>
    <xf numFmtId="0" fontId="22" fillId="6" borderId="0" xfId="8" applyFont="1" applyFill="1" applyAlignment="1">
      <alignment horizontal="left" vertical="center"/>
    </xf>
    <xf numFmtId="0" fontId="22" fillId="6" borderId="0" xfId="8" applyFont="1" applyFill="1" applyAlignment="1">
      <alignment horizontal="center" vertical="center"/>
    </xf>
    <xf numFmtId="0" fontId="22" fillId="6" borderId="6" xfId="8" applyFont="1" applyFill="1" applyBorder="1" applyAlignment="1">
      <alignment horizontal="center" vertical="center" wrapText="1"/>
    </xf>
    <xf numFmtId="0" fontId="22" fillId="6" borderId="6" xfId="8" applyFont="1" applyFill="1" applyBorder="1" applyAlignment="1">
      <alignment horizontal="left" vertical="center" wrapText="1"/>
    </xf>
    <xf numFmtId="0" fontId="14" fillId="12" borderId="0" xfId="8" applyFill="1"/>
    <xf numFmtId="0" fontId="28" fillId="12" borderId="0" xfId="8" applyFont="1" applyFill="1" applyAlignment="1">
      <alignment horizontal="left" vertical="center"/>
    </xf>
    <xf numFmtId="0" fontId="28" fillId="12" borderId="8" xfId="8" applyFont="1" applyFill="1" applyBorder="1" applyAlignment="1">
      <alignment horizontal="right" vertical="center"/>
    </xf>
    <xf numFmtId="0" fontId="28" fillId="12" borderId="0" xfId="8" applyFont="1" applyFill="1" applyAlignment="1">
      <alignment horizontal="right" vertical="center"/>
    </xf>
    <xf numFmtId="0" fontId="29" fillId="13" borderId="0" xfId="8" applyFont="1" applyFill="1"/>
    <xf numFmtId="0" fontId="29" fillId="13" borderId="0" xfId="8" applyFont="1" applyFill="1" applyAlignment="1">
      <alignment horizontal="left" vertical="center"/>
    </xf>
    <xf numFmtId="0" fontId="30" fillId="12" borderId="0" xfId="8" applyFont="1" applyFill="1"/>
    <xf numFmtId="0" fontId="30" fillId="12" borderId="0" xfId="8" applyFont="1" applyFill="1" applyAlignment="1">
      <alignment horizontal="left" vertical="center" indent="1"/>
    </xf>
    <xf numFmtId="164" fontId="30" fillId="12" borderId="0" xfId="8" applyNumberFormat="1" applyFont="1" applyFill="1" applyAlignment="1">
      <alignment horizontal="right" vertical="center"/>
    </xf>
    <xf numFmtId="0" fontId="30" fillId="14" borderId="0" xfId="8" applyFont="1" applyFill="1"/>
    <xf numFmtId="0" fontId="30" fillId="14" borderId="0" xfId="8" applyFont="1" applyFill="1" applyAlignment="1">
      <alignment horizontal="left" vertical="center" indent="1"/>
    </xf>
    <xf numFmtId="164" fontId="30" fillId="14" borderId="0" xfId="8" applyNumberFormat="1" applyFont="1" applyFill="1" applyAlignment="1">
      <alignment horizontal="right" vertical="center"/>
    </xf>
    <xf numFmtId="0" fontId="31" fillId="15" borderId="0" xfId="8" applyFont="1" applyFill="1"/>
    <xf numFmtId="0" fontId="31" fillId="15" borderId="0" xfId="8" applyFont="1" applyFill="1" applyAlignment="1">
      <alignment horizontal="left" vertical="center"/>
    </xf>
    <xf numFmtId="164" fontId="31" fillId="15" borderId="1" xfId="8" applyNumberFormat="1" applyFont="1" applyFill="1" applyBorder="1" applyAlignment="1">
      <alignment horizontal="right" vertical="center"/>
    </xf>
    <xf numFmtId="0" fontId="28" fillId="16" borderId="0" xfId="8" applyFont="1" applyFill="1"/>
    <xf numFmtId="0" fontId="28" fillId="16" borderId="0" xfId="8" applyFont="1" applyFill="1" applyAlignment="1">
      <alignment horizontal="left" vertical="center"/>
    </xf>
    <xf numFmtId="164" fontId="28" fillId="16" borderId="7" xfId="8" applyNumberFormat="1" applyFont="1" applyFill="1" applyBorder="1" applyAlignment="1">
      <alignment horizontal="right" vertical="center"/>
    </xf>
    <xf numFmtId="0" fontId="32" fillId="12" borderId="0" xfId="8" applyFont="1" applyFill="1" applyAlignment="1">
      <alignment horizontal="left" vertical="center" indent="2"/>
    </xf>
    <xf numFmtId="165" fontId="32" fillId="12" borderId="0" xfId="8" applyNumberFormat="1" applyFont="1" applyFill="1" applyAlignment="1">
      <alignment horizontal="right" vertical="center"/>
    </xf>
    <xf numFmtId="0" fontId="15" fillId="11" borderId="0" xfId="8" applyFont="1" applyFill="1"/>
    <xf numFmtId="0" fontId="15" fillId="11" borderId="0" xfId="8" applyFont="1" applyFill="1" applyAlignment="1">
      <alignment horizontal="left" vertical="center"/>
    </xf>
    <xf numFmtId="0" fontId="33" fillId="13" borderId="0" xfId="8" applyFont="1" applyFill="1" applyAlignment="1">
      <alignment horizontal="left" vertical="center"/>
    </xf>
    <xf numFmtId="0" fontId="9" fillId="4" borderId="3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24" fillId="6" borderId="0" xfId="8" applyFont="1" applyFill="1" applyAlignment="1">
      <alignment horizontal="center" vertical="center"/>
    </xf>
    <xf numFmtId="0" fontId="23" fillId="10" borderId="0" xfId="8" applyFont="1" applyFill="1" applyAlignment="1">
      <alignment horizontal="center" vertical="center"/>
    </xf>
    <xf numFmtId="0" fontId="25" fillId="11" borderId="0" xfId="8" applyFont="1" applyFill="1" applyAlignment="1">
      <alignment horizontal="center" vertical="center"/>
    </xf>
    <xf numFmtId="0" fontId="26" fillId="11" borderId="0" xfId="8" applyFont="1" applyFill="1" applyAlignment="1">
      <alignment horizontal="center" vertical="center"/>
    </xf>
    <xf numFmtId="0" fontId="27" fillId="11" borderId="0" xfId="8" applyFont="1" applyFill="1" applyAlignment="1">
      <alignment horizontal="center" vertical="center"/>
    </xf>
    <xf numFmtId="0" fontId="32" fillId="0" borderId="0" xfId="8" applyFont="1" applyAlignment="1">
      <alignment horizontal="left" vertical="center" wrapText="1"/>
    </xf>
  </cellXfs>
  <cellStyles count="9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  <cellStyle name="Normal 4" xfId="8" xr:uid="{226A05B4-A8DA-4C3A-99C0-C344B943FBD9}"/>
    <cellStyle name="Percent" xfId="7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39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2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3" customWidth="1"/>
    <col min="11" max="11" width="27.77734375" style="3" customWidth="1"/>
    <col min="12" max="12" width="20.5546875" style="3" customWidth="1"/>
    <col min="13" max="376" width="11.109375" style="3" bestFit="1" customWidth="1"/>
    <col min="377" max="377" width="5.21875" style="3"/>
    <col min="378" max="383" width="9.6640625" style="3" customWidth="1"/>
    <col min="384" max="384" width="5.21875" style="3"/>
    <col min="385" max="393" width="9.6640625" style="3" customWidth="1"/>
    <col min="394" max="16384" width="5.21875" style="3"/>
  </cols>
  <sheetData>
    <row r="1" spans="2:11" ht="15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0.75" customHeight="1">
      <c r="B2" s="64" t="s">
        <v>6</v>
      </c>
      <c r="C2" s="65"/>
      <c r="D2" s="65"/>
      <c r="E2" s="65"/>
      <c r="F2" s="65"/>
      <c r="G2" s="65"/>
      <c r="H2" s="65"/>
      <c r="I2" s="65"/>
      <c r="J2" s="65"/>
      <c r="K2" s="66"/>
    </row>
    <row r="3" spans="2:11" ht="1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3.75" customHeight="1">
      <c r="B4" s="67" t="s">
        <v>181</v>
      </c>
      <c r="C4" s="68"/>
      <c r="D4" s="68"/>
      <c r="E4" s="68"/>
      <c r="F4" s="68"/>
      <c r="G4" s="68"/>
      <c r="H4" s="68"/>
      <c r="I4" s="68"/>
      <c r="J4" s="2"/>
    </row>
    <row r="5" spans="2:11" ht="1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15.6">
      <c r="B6" s="12" t="s">
        <v>2</v>
      </c>
    </row>
    <row r="7" spans="2:11" ht="15.6">
      <c r="B7" s="11" t="s">
        <v>5</v>
      </c>
    </row>
    <row r="8" spans="2:11" ht="15.6">
      <c r="B8" s="11" t="s">
        <v>7</v>
      </c>
    </row>
    <row r="9" spans="2:11" ht="15.6">
      <c r="B9" s="11" t="s">
        <v>23</v>
      </c>
    </row>
    <row r="10" spans="2:11" ht="15.6">
      <c r="B10" s="11" t="s">
        <v>195</v>
      </c>
    </row>
    <row r="11" spans="2:11" ht="15.6">
      <c r="B11" s="11" t="s">
        <v>24</v>
      </c>
    </row>
    <row r="12" spans="2:11" ht="15.6">
      <c r="B12" s="11" t="s">
        <v>8</v>
      </c>
    </row>
    <row r="13" spans="2:11" ht="15.6">
      <c r="B13" s="6"/>
    </row>
    <row r="14" spans="2:11" ht="15.6">
      <c r="B14" s="6"/>
    </row>
    <row r="15" spans="2:11" ht="15.6">
      <c r="B15" s="6"/>
    </row>
    <row r="16" spans="2:11" ht="15.6">
      <c r="B16" s="6"/>
    </row>
    <row r="17" spans="2:2" ht="15.6">
      <c r="B17" s="6"/>
    </row>
    <row r="18" spans="2:2" ht="15.6">
      <c r="B18" s="6"/>
    </row>
    <row r="19" spans="2:2" ht="15.6">
      <c r="B19" s="6"/>
    </row>
    <row r="20" spans="2:2" ht="15.6">
      <c r="B20" s="6"/>
    </row>
    <row r="21" spans="2:2" ht="15.6">
      <c r="B21" s="6"/>
    </row>
    <row r="22" spans="2:2" ht="15.6">
      <c r="B22" s="6"/>
    </row>
    <row r="23" spans="2:2" ht="15.6">
      <c r="B23" s="6"/>
    </row>
    <row r="24" spans="2:2" ht="15.6">
      <c r="B24" s="6"/>
    </row>
    <row r="25" spans="2:2" ht="15.6">
      <c r="B25" s="6"/>
    </row>
    <row r="26" spans="2:2" ht="15.6">
      <c r="B26" s="6"/>
    </row>
    <row r="27" spans="2:2" ht="15.6">
      <c r="B27" s="6"/>
    </row>
    <row r="28" spans="2:2" ht="15.6">
      <c r="B28" s="6"/>
    </row>
    <row r="29" spans="2:2" ht="15.6">
      <c r="B29" s="6"/>
    </row>
    <row r="30" spans="2:2" ht="15.6">
      <c r="B30" s="6"/>
    </row>
    <row r="31" spans="2:2" ht="15.6">
      <c r="B31" s="6"/>
    </row>
    <row r="32" spans="2:2" ht="15.6">
      <c r="B32" s="6"/>
    </row>
    <row r="33" spans="2:2" ht="15.6">
      <c r="B33" s="6"/>
    </row>
    <row r="34" spans="2:2" ht="15.6">
      <c r="B34" s="6"/>
    </row>
    <row r="35" spans="2:2" ht="15.6">
      <c r="B35" s="6"/>
    </row>
    <row r="36" spans="2:2" ht="15.6">
      <c r="B36" s="6"/>
    </row>
    <row r="37" spans="2:2" ht="15.6">
      <c r="B37" s="6"/>
    </row>
    <row r="38" spans="2:2" ht="15.6">
      <c r="B38" s="6"/>
    </row>
    <row r="39" spans="2:2" ht="15.6">
      <c r="B39" s="6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F026-AF23-48C0-8E13-A83ECC369244}">
  <sheetPr>
    <tabColor rgb="FF1B2B4B"/>
  </sheetPr>
  <dimension ref="A1:H54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defaultColWidth="8.6640625" defaultRowHeight="14.4"/>
  <cols>
    <col min="1" max="1" width="7.44140625" style="14" customWidth="1"/>
    <col min="2" max="2" width="42" style="14" customWidth="1"/>
    <col min="3" max="6" width="11" style="14" customWidth="1"/>
    <col min="7" max="7" width="12" style="14" customWidth="1"/>
    <col min="8" max="8" width="22" style="14" customWidth="1"/>
    <col min="9" max="16384" width="8.6640625" style="14"/>
  </cols>
  <sheetData>
    <row r="1" spans="1:8" ht="21.75" customHeight="1">
      <c r="A1" s="69" t="s">
        <v>141</v>
      </c>
      <c r="B1" s="69"/>
      <c r="C1" s="69"/>
      <c r="D1" s="69"/>
      <c r="E1" s="69"/>
      <c r="F1" s="69"/>
      <c r="G1" s="69"/>
      <c r="H1" s="69"/>
    </row>
    <row r="2" spans="1:8" ht="12.75" customHeight="1" thickBot="1">
      <c r="A2" s="70" t="s">
        <v>140</v>
      </c>
      <c r="B2" s="70"/>
      <c r="C2" s="70"/>
      <c r="D2" s="70"/>
      <c r="E2" s="70"/>
      <c r="F2" s="70"/>
      <c r="G2" s="70"/>
      <c r="H2" s="70"/>
    </row>
    <row r="3" spans="1:8" ht="24" customHeight="1" thickBot="1">
      <c r="A3" s="40" t="s">
        <v>139</v>
      </c>
      <c r="B3" s="40" t="s">
        <v>138</v>
      </c>
      <c r="C3" s="39" t="s">
        <v>137</v>
      </c>
      <c r="D3" s="39" t="s">
        <v>136</v>
      </c>
      <c r="E3" s="39" t="s">
        <v>135</v>
      </c>
      <c r="F3" s="39" t="s">
        <v>134</v>
      </c>
      <c r="G3" s="39" t="s">
        <v>133</v>
      </c>
      <c r="H3" s="39" t="s">
        <v>132</v>
      </c>
    </row>
    <row r="4" spans="1:8" ht="15" customHeight="1">
      <c r="A4" s="38"/>
      <c r="B4" s="37" t="s">
        <v>131</v>
      </c>
      <c r="C4" s="36"/>
      <c r="D4" s="36"/>
      <c r="E4" s="36"/>
      <c r="F4" s="36"/>
      <c r="G4" s="36"/>
      <c r="H4" s="35"/>
    </row>
    <row r="5" spans="1:8" ht="15" customHeight="1">
      <c r="A5" s="34" t="s">
        <v>130</v>
      </c>
      <c r="B5" s="33" t="s">
        <v>129</v>
      </c>
      <c r="C5" s="32">
        <v>13200</v>
      </c>
      <c r="D5" s="32">
        <v>14400</v>
      </c>
      <c r="E5" s="32">
        <v>15300</v>
      </c>
      <c r="F5" s="32">
        <v>16800</v>
      </c>
      <c r="G5" s="31">
        <f>SUM(C5:F5)</f>
        <v>59700</v>
      </c>
      <c r="H5" s="30"/>
    </row>
    <row r="6" spans="1:8" ht="15" customHeight="1">
      <c r="A6" s="25" t="s">
        <v>128</v>
      </c>
      <c r="B6" s="24" t="s">
        <v>127</v>
      </c>
      <c r="C6" s="23">
        <v>6600</v>
      </c>
      <c r="D6" s="23">
        <v>7200</v>
      </c>
      <c r="E6" s="23">
        <v>7650</v>
      </c>
      <c r="F6" s="23">
        <v>8400</v>
      </c>
      <c r="G6" s="22">
        <f>SUM(C6:F6)</f>
        <v>29850</v>
      </c>
      <c r="H6" s="21"/>
    </row>
    <row r="7" spans="1:8" ht="15" customHeight="1">
      <c r="A7" s="34" t="s">
        <v>126</v>
      </c>
      <c r="B7" s="33" t="s">
        <v>125</v>
      </c>
      <c r="C7" s="32">
        <v>2200</v>
      </c>
      <c r="D7" s="32">
        <v>2400</v>
      </c>
      <c r="E7" s="32">
        <v>2550</v>
      </c>
      <c r="F7" s="32">
        <v>2800</v>
      </c>
      <c r="G7" s="31">
        <f>SUM(C7:F7)</f>
        <v>9950</v>
      </c>
      <c r="H7" s="30"/>
    </row>
    <row r="8" spans="1:8" ht="15" customHeight="1" thickBot="1">
      <c r="A8" s="29" t="s">
        <v>45</v>
      </c>
      <c r="B8" s="28" t="s">
        <v>9</v>
      </c>
      <c r="C8" s="27">
        <f>SUM(C5:C7)</f>
        <v>22000</v>
      </c>
      <c r="D8" s="27">
        <f>SUM(D5:D7)</f>
        <v>24000</v>
      </c>
      <c r="E8" s="27">
        <f>SUM(E5:E7)</f>
        <v>25500</v>
      </c>
      <c r="F8" s="27">
        <f>SUM(F5:F7)</f>
        <v>28000</v>
      </c>
      <c r="G8" s="27">
        <f>SUM(G5:G7)</f>
        <v>99500</v>
      </c>
      <c r="H8" s="26" t="s">
        <v>124</v>
      </c>
    </row>
    <row r="9" spans="1:8" ht="4.5" customHeight="1">
      <c r="A9" s="20"/>
      <c r="B9" s="20"/>
      <c r="C9" s="20"/>
      <c r="D9" s="20"/>
      <c r="E9" s="20"/>
      <c r="F9" s="20"/>
      <c r="G9" s="20"/>
      <c r="H9" s="20"/>
    </row>
    <row r="10" spans="1:8" ht="15" customHeight="1">
      <c r="A10" s="38"/>
      <c r="B10" s="37" t="s">
        <v>34</v>
      </c>
      <c r="C10" s="36"/>
      <c r="D10" s="36"/>
      <c r="E10" s="36"/>
      <c r="F10" s="36"/>
      <c r="G10" s="36"/>
      <c r="H10" s="35"/>
    </row>
    <row r="11" spans="1:8" ht="15" customHeight="1">
      <c r="A11" s="34" t="s">
        <v>123</v>
      </c>
      <c r="B11" s="33" t="s">
        <v>122</v>
      </c>
      <c r="C11" s="32">
        <v>-8800</v>
      </c>
      <c r="D11" s="32">
        <v>-9800</v>
      </c>
      <c r="E11" s="32">
        <v>-10400</v>
      </c>
      <c r="F11" s="32">
        <v>-11000</v>
      </c>
      <c r="G11" s="31">
        <f>SUM(C11:F11)</f>
        <v>-40000</v>
      </c>
      <c r="H11" s="30"/>
    </row>
    <row r="12" spans="1:8" ht="15" customHeight="1">
      <c r="A12" s="25" t="s">
        <v>121</v>
      </c>
      <c r="B12" s="24" t="s">
        <v>120</v>
      </c>
      <c r="C12" s="23">
        <v>-2750</v>
      </c>
      <c r="D12" s="23">
        <v>-3000</v>
      </c>
      <c r="E12" s="23">
        <v>-3250</v>
      </c>
      <c r="F12" s="23">
        <v>-3500</v>
      </c>
      <c r="G12" s="22">
        <f>SUM(C12:F12)</f>
        <v>-12500</v>
      </c>
      <c r="H12" s="21"/>
    </row>
    <row r="13" spans="1:8" ht="15" customHeight="1">
      <c r="A13" s="34" t="s">
        <v>119</v>
      </c>
      <c r="B13" s="33" t="s">
        <v>118</v>
      </c>
      <c r="C13" s="32">
        <v>-1600</v>
      </c>
      <c r="D13" s="32">
        <v>-1700</v>
      </c>
      <c r="E13" s="32">
        <v>-1800</v>
      </c>
      <c r="F13" s="32">
        <v>-1900</v>
      </c>
      <c r="G13" s="31">
        <f>SUM(C13:F13)</f>
        <v>-7000</v>
      </c>
      <c r="H13" s="30"/>
    </row>
    <row r="14" spans="1:8" ht="15" customHeight="1">
      <c r="A14" s="25" t="s">
        <v>117</v>
      </c>
      <c r="B14" s="24" t="s">
        <v>116</v>
      </c>
      <c r="C14" s="23">
        <v>-700</v>
      </c>
      <c r="D14" s="23">
        <v>-730</v>
      </c>
      <c r="E14" s="23">
        <v>-760</v>
      </c>
      <c r="F14" s="23">
        <v>-810</v>
      </c>
      <c r="G14" s="22">
        <f>SUM(C14:F14)</f>
        <v>-3000</v>
      </c>
      <c r="H14" s="21"/>
    </row>
    <row r="15" spans="1:8" ht="15" customHeight="1" thickBot="1">
      <c r="A15" s="29" t="s">
        <v>46</v>
      </c>
      <c r="B15" s="28" t="s">
        <v>35</v>
      </c>
      <c r="C15" s="27">
        <f>SUM(C11:C14)</f>
        <v>-13850</v>
      </c>
      <c r="D15" s="27">
        <f>SUM(D11:D14)</f>
        <v>-15230</v>
      </c>
      <c r="E15" s="27">
        <f>SUM(E11:E14)</f>
        <v>-16210</v>
      </c>
      <c r="F15" s="27">
        <f>SUM(F11:F14)</f>
        <v>-17210</v>
      </c>
      <c r="G15" s="27">
        <f>SUM(G11:G14)</f>
        <v>-62500</v>
      </c>
      <c r="H15" s="26" t="s">
        <v>115</v>
      </c>
    </row>
    <row r="16" spans="1:8" ht="4.5" customHeight="1" thickBot="1">
      <c r="A16" s="20"/>
      <c r="B16" s="20"/>
      <c r="C16" s="20"/>
      <c r="D16" s="20"/>
      <c r="E16" s="20"/>
      <c r="F16" s="20"/>
      <c r="G16" s="20"/>
      <c r="H16" s="20"/>
    </row>
    <row r="17" spans="1:8" ht="15.75" customHeight="1" thickBot="1">
      <c r="A17" s="19"/>
      <c r="B17" s="18" t="s">
        <v>47</v>
      </c>
      <c r="C17" s="17">
        <v>8150</v>
      </c>
      <c r="D17" s="17">
        <v>8770</v>
      </c>
      <c r="E17" s="17">
        <v>9290</v>
      </c>
      <c r="F17" s="17">
        <v>10790</v>
      </c>
      <c r="G17" s="17">
        <f>SUM(C17:F17)</f>
        <v>37000</v>
      </c>
      <c r="H17" s="16" t="s">
        <v>114</v>
      </c>
    </row>
    <row r="18" spans="1:8" ht="4.5" customHeight="1">
      <c r="A18" s="20"/>
      <c r="B18" s="20"/>
      <c r="C18" s="20"/>
      <c r="D18" s="20"/>
      <c r="E18" s="20"/>
      <c r="F18" s="20"/>
      <c r="G18" s="20"/>
      <c r="H18" s="20"/>
    </row>
    <row r="19" spans="1:8" ht="15" customHeight="1">
      <c r="A19" s="38"/>
      <c r="B19" s="37" t="s">
        <v>113</v>
      </c>
      <c r="C19" s="36"/>
      <c r="D19" s="36"/>
      <c r="E19" s="36"/>
      <c r="F19" s="36"/>
      <c r="G19" s="36"/>
      <c r="H19" s="35"/>
    </row>
    <row r="20" spans="1:8" ht="15" customHeight="1">
      <c r="A20" s="25" t="s">
        <v>112</v>
      </c>
      <c r="B20" s="24" t="s">
        <v>111</v>
      </c>
      <c r="C20" s="23">
        <v>-1500</v>
      </c>
      <c r="D20" s="23">
        <v>-1600</v>
      </c>
      <c r="E20" s="23">
        <v>-1650</v>
      </c>
      <c r="F20" s="23">
        <v>-1750</v>
      </c>
      <c r="G20" s="22">
        <f>SUM(C20:F20)</f>
        <v>-6500</v>
      </c>
      <c r="H20" s="21"/>
    </row>
    <row r="21" spans="1:8" ht="15" customHeight="1">
      <c r="A21" s="34" t="s">
        <v>110</v>
      </c>
      <c r="B21" s="33" t="s">
        <v>109</v>
      </c>
      <c r="C21" s="32">
        <v>-500</v>
      </c>
      <c r="D21" s="32">
        <v>-550</v>
      </c>
      <c r="E21" s="32">
        <v>-580</v>
      </c>
      <c r="F21" s="32">
        <v>-570</v>
      </c>
      <c r="G21" s="31">
        <f>SUM(C21:F21)</f>
        <v>-2200</v>
      </c>
      <c r="H21" s="30"/>
    </row>
    <row r="22" spans="1:8" ht="15" customHeight="1">
      <c r="A22" s="25" t="s">
        <v>108</v>
      </c>
      <c r="B22" s="24" t="s">
        <v>107</v>
      </c>
      <c r="C22" s="23">
        <v>-200</v>
      </c>
      <c r="D22" s="23">
        <v>-200</v>
      </c>
      <c r="E22" s="23">
        <v>-200</v>
      </c>
      <c r="F22" s="23">
        <v>-200</v>
      </c>
      <c r="G22" s="22">
        <f>SUM(C22:F22)</f>
        <v>-800</v>
      </c>
      <c r="H22" s="21" t="s">
        <v>106</v>
      </c>
    </row>
    <row r="23" spans="1:8" ht="15" customHeight="1" thickBot="1">
      <c r="A23" s="29" t="s">
        <v>105</v>
      </c>
      <c r="B23" s="28" t="s">
        <v>104</v>
      </c>
      <c r="C23" s="27">
        <f>SUM(C20:C22)</f>
        <v>-2200</v>
      </c>
      <c r="D23" s="27">
        <f>SUM(D20:D22)</f>
        <v>-2350</v>
      </c>
      <c r="E23" s="27">
        <f>SUM(E20:E22)</f>
        <v>-2430</v>
      </c>
      <c r="F23" s="27">
        <f>SUM(F20:F22)</f>
        <v>-2520</v>
      </c>
      <c r="G23" s="27">
        <f>SUM(G20:G22)</f>
        <v>-9500</v>
      </c>
      <c r="H23" s="26" t="s">
        <v>103</v>
      </c>
    </row>
    <row r="24" spans="1:8" ht="4.5" customHeight="1">
      <c r="A24" s="20"/>
      <c r="B24" s="20"/>
      <c r="C24" s="20"/>
      <c r="D24" s="20"/>
      <c r="E24" s="20"/>
      <c r="F24" s="20"/>
      <c r="G24" s="20"/>
      <c r="H24" s="20"/>
    </row>
    <row r="25" spans="1:8" ht="15" customHeight="1">
      <c r="A25" s="38"/>
      <c r="B25" s="37" t="s">
        <v>102</v>
      </c>
      <c r="C25" s="36"/>
      <c r="D25" s="36"/>
      <c r="E25" s="36"/>
      <c r="F25" s="36"/>
      <c r="G25" s="36"/>
      <c r="H25" s="35"/>
    </row>
    <row r="26" spans="1:8" ht="15" customHeight="1">
      <c r="A26" s="25" t="s">
        <v>101</v>
      </c>
      <c r="B26" s="24" t="s">
        <v>100</v>
      </c>
      <c r="C26" s="23">
        <v>-900</v>
      </c>
      <c r="D26" s="23">
        <v>-1000</v>
      </c>
      <c r="E26" s="23">
        <v>-1100</v>
      </c>
      <c r="F26" s="23">
        <v>-1200</v>
      </c>
      <c r="G26" s="22">
        <f>SUM(C26:F26)</f>
        <v>-4200</v>
      </c>
      <c r="H26" s="21"/>
    </row>
    <row r="27" spans="1:8" ht="15" customHeight="1">
      <c r="A27" s="34" t="s">
        <v>99</v>
      </c>
      <c r="B27" s="33" t="s">
        <v>98</v>
      </c>
      <c r="C27" s="32">
        <v>-350</v>
      </c>
      <c r="D27" s="32">
        <v>-500</v>
      </c>
      <c r="E27" s="32">
        <v>-450</v>
      </c>
      <c r="F27" s="32">
        <v>-500</v>
      </c>
      <c r="G27" s="31">
        <f>SUM(C27:F27)</f>
        <v>-1800</v>
      </c>
      <c r="H27" s="30" t="s">
        <v>97</v>
      </c>
    </row>
    <row r="28" spans="1:8" ht="15" customHeight="1">
      <c r="A28" s="25" t="s">
        <v>96</v>
      </c>
      <c r="B28" s="24" t="s">
        <v>95</v>
      </c>
      <c r="C28" s="23">
        <v>-350</v>
      </c>
      <c r="D28" s="23">
        <v>-400</v>
      </c>
      <c r="E28" s="23">
        <v>-450</v>
      </c>
      <c r="F28" s="23">
        <v>-600</v>
      </c>
      <c r="G28" s="22">
        <f>SUM(C28:F28)</f>
        <v>-1800</v>
      </c>
      <c r="H28" s="21"/>
    </row>
    <row r="29" spans="1:8" ht="15" customHeight="1" thickBot="1">
      <c r="A29" s="29" t="s">
        <v>94</v>
      </c>
      <c r="B29" s="28" t="s">
        <v>93</v>
      </c>
      <c r="C29" s="27">
        <f>SUM(C26:C28)</f>
        <v>-1600</v>
      </c>
      <c r="D29" s="27">
        <f>SUM(D26:D28)</f>
        <v>-1900</v>
      </c>
      <c r="E29" s="27">
        <f>SUM(E26:E28)</f>
        <v>-2000</v>
      </c>
      <c r="F29" s="27">
        <f>SUM(F26:F28)</f>
        <v>-2300</v>
      </c>
      <c r="G29" s="27">
        <f>SUM(G26:G28)</f>
        <v>-7800</v>
      </c>
      <c r="H29" s="26" t="s">
        <v>92</v>
      </c>
    </row>
    <row r="30" spans="1:8" ht="4.5" customHeight="1">
      <c r="A30" s="20"/>
      <c r="B30" s="20"/>
      <c r="C30" s="20"/>
      <c r="D30" s="20"/>
      <c r="E30" s="20"/>
      <c r="F30" s="20"/>
      <c r="G30" s="20"/>
      <c r="H30" s="20"/>
    </row>
    <row r="31" spans="1:8" ht="15" customHeight="1">
      <c r="A31" s="38"/>
      <c r="B31" s="37" t="s">
        <v>91</v>
      </c>
      <c r="C31" s="36"/>
      <c r="D31" s="36"/>
      <c r="E31" s="36"/>
      <c r="F31" s="36"/>
      <c r="G31" s="36"/>
      <c r="H31" s="35"/>
    </row>
    <row r="32" spans="1:8" ht="15" customHeight="1">
      <c r="A32" s="25" t="s">
        <v>90</v>
      </c>
      <c r="B32" s="24" t="s">
        <v>89</v>
      </c>
      <c r="C32" s="23">
        <v>-800</v>
      </c>
      <c r="D32" s="23">
        <v>-800</v>
      </c>
      <c r="E32" s="23">
        <v>-800</v>
      </c>
      <c r="F32" s="23">
        <v>-800</v>
      </c>
      <c r="G32" s="22">
        <f>SUM(C32:F32)</f>
        <v>-3200</v>
      </c>
      <c r="H32" s="21"/>
    </row>
    <row r="33" spans="1:8" ht="15" customHeight="1">
      <c r="A33" s="34" t="s">
        <v>88</v>
      </c>
      <c r="B33" s="33" t="s">
        <v>87</v>
      </c>
      <c r="C33" s="32">
        <v>-350</v>
      </c>
      <c r="D33" s="32">
        <v>-350</v>
      </c>
      <c r="E33" s="32">
        <v>-350</v>
      </c>
      <c r="F33" s="32">
        <v>-350</v>
      </c>
      <c r="G33" s="31">
        <f>SUM(C33:F33)</f>
        <v>-1400</v>
      </c>
      <c r="H33" s="30"/>
    </row>
    <row r="34" spans="1:8" ht="15" customHeight="1">
      <c r="A34" s="25" t="s">
        <v>86</v>
      </c>
      <c r="B34" s="24" t="s">
        <v>85</v>
      </c>
      <c r="C34" s="23">
        <v>-200</v>
      </c>
      <c r="D34" s="23">
        <v>-200</v>
      </c>
      <c r="E34" s="23">
        <v>-200</v>
      </c>
      <c r="F34" s="23">
        <v>-200</v>
      </c>
      <c r="G34" s="22">
        <f>SUM(C34:F34)</f>
        <v>-800</v>
      </c>
      <c r="H34" s="21"/>
    </row>
    <row r="35" spans="1:8" ht="15" customHeight="1">
      <c r="A35" s="34" t="s">
        <v>84</v>
      </c>
      <c r="B35" s="33" t="s">
        <v>48</v>
      </c>
      <c r="C35" s="32">
        <v>-100</v>
      </c>
      <c r="D35" s="32">
        <v>-100</v>
      </c>
      <c r="E35" s="32">
        <v>-100</v>
      </c>
      <c r="F35" s="32">
        <v>-100</v>
      </c>
      <c r="G35" s="31">
        <f>SUM(C35:F35)</f>
        <v>-400</v>
      </c>
      <c r="H35" s="30" t="s">
        <v>83</v>
      </c>
    </row>
    <row r="36" spans="1:8" ht="15" customHeight="1" thickBot="1">
      <c r="A36" s="29" t="s">
        <v>82</v>
      </c>
      <c r="B36" s="28" t="s">
        <v>81</v>
      </c>
      <c r="C36" s="27">
        <f>SUM(C32:C35)</f>
        <v>-1450</v>
      </c>
      <c r="D36" s="27">
        <f>SUM(D32:D35)</f>
        <v>-1450</v>
      </c>
      <c r="E36" s="27">
        <f>SUM(E32:E35)</f>
        <v>-1450</v>
      </c>
      <c r="F36" s="27">
        <f>SUM(F32:F35)</f>
        <v>-1450</v>
      </c>
      <c r="G36" s="27">
        <f>SUM(G32:G35)</f>
        <v>-5800</v>
      </c>
      <c r="H36" s="26" t="s">
        <v>80</v>
      </c>
    </row>
    <row r="37" spans="1:8" ht="4.5" customHeight="1">
      <c r="A37" s="20"/>
      <c r="B37" s="20"/>
      <c r="C37" s="20"/>
      <c r="D37" s="20"/>
      <c r="E37" s="20"/>
      <c r="F37" s="20"/>
      <c r="G37" s="20"/>
      <c r="H37" s="20"/>
    </row>
    <row r="38" spans="1:8" ht="15" customHeight="1">
      <c r="A38" s="38"/>
      <c r="B38" s="37" t="s">
        <v>49</v>
      </c>
      <c r="C38" s="36"/>
      <c r="D38" s="36"/>
      <c r="E38" s="36"/>
      <c r="F38" s="36"/>
      <c r="G38" s="36"/>
      <c r="H38" s="35"/>
    </row>
    <row r="39" spans="1:8" ht="15" customHeight="1">
      <c r="A39" s="34" t="s">
        <v>52</v>
      </c>
      <c r="B39" s="33" t="s">
        <v>79</v>
      </c>
      <c r="C39" s="32">
        <v>75</v>
      </c>
      <c r="D39" s="32">
        <v>75</v>
      </c>
      <c r="E39" s="32">
        <v>75</v>
      </c>
      <c r="F39" s="32">
        <v>75</v>
      </c>
      <c r="G39" s="31">
        <f>SUM(C39:F39)</f>
        <v>300</v>
      </c>
      <c r="H39" s="30" t="s">
        <v>78</v>
      </c>
    </row>
    <row r="40" spans="1:8" ht="15" customHeight="1">
      <c r="A40" s="25" t="s">
        <v>53</v>
      </c>
      <c r="B40" s="24" t="s">
        <v>77</v>
      </c>
      <c r="C40" s="23">
        <v>50</v>
      </c>
      <c r="D40" s="23">
        <v>50</v>
      </c>
      <c r="E40" s="23">
        <v>50</v>
      </c>
      <c r="F40" s="23">
        <v>50</v>
      </c>
      <c r="G40" s="22">
        <f>SUM(C40:F40)</f>
        <v>200</v>
      </c>
      <c r="H40" s="21"/>
    </row>
    <row r="41" spans="1:8" ht="15" customHeight="1" thickBot="1">
      <c r="A41" s="29" t="s">
        <v>54</v>
      </c>
      <c r="B41" s="28" t="s">
        <v>50</v>
      </c>
      <c r="C41" s="27">
        <f>SUM(C39:C40)</f>
        <v>125</v>
      </c>
      <c r="D41" s="27">
        <f>SUM(D39:D40)</f>
        <v>125</v>
      </c>
      <c r="E41" s="27">
        <f>SUM(E39:E40)</f>
        <v>125</v>
      </c>
      <c r="F41" s="27">
        <f>SUM(F39:F40)</f>
        <v>125</v>
      </c>
      <c r="G41" s="27">
        <f>SUM(G39:G40)</f>
        <v>500</v>
      </c>
      <c r="H41" s="26" t="s">
        <v>76</v>
      </c>
    </row>
    <row r="42" spans="1:8" ht="4.5" customHeight="1" thickBot="1">
      <c r="A42" s="20"/>
      <c r="B42" s="20"/>
      <c r="C42" s="20"/>
      <c r="D42" s="20"/>
      <c r="E42" s="20"/>
      <c r="F42" s="20"/>
      <c r="G42" s="20"/>
      <c r="H42" s="20"/>
    </row>
    <row r="43" spans="1:8" ht="15.75" customHeight="1" thickBot="1">
      <c r="A43" s="19"/>
      <c r="B43" s="18" t="s">
        <v>51</v>
      </c>
      <c r="C43" s="17">
        <v>3025</v>
      </c>
      <c r="D43" s="17">
        <v>3195</v>
      </c>
      <c r="E43" s="17">
        <v>3535</v>
      </c>
      <c r="F43" s="17">
        <v>4645</v>
      </c>
      <c r="G43" s="17">
        <f>SUM(C43:F43)</f>
        <v>14400</v>
      </c>
      <c r="H43" s="16" t="s">
        <v>75</v>
      </c>
    </row>
    <row r="44" spans="1:8" ht="4.5" customHeight="1">
      <c r="A44" s="20"/>
      <c r="B44" s="20"/>
      <c r="C44" s="20"/>
      <c r="D44" s="20"/>
      <c r="E44" s="20"/>
      <c r="F44" s="20"/>
      <c r="G44" s="20"/>
      <c r="H44" s="20"/>
    </row>
    <row r="45" spans="1:8" ht="15" customHeight="1">
      <c r="A45" s="38"/>
      <c r="B45" s="37" t="s">
        <v>74</v>
      </c>
      <c r="C45" s="36"/>
      <c r="D45" s="36"/>
      <c r="E45" s="36"/>
      <c r="F45" s="36"/>
      <c r="G45" s="36"/>
      <c r="H45" s="35"/>
    </row>
    <row r="46" spans="1:8" ht="15" customHeight="1">
      <c r="A46" s="25" t="s">
        <v>73</v>
      </c>
      <c r="B46" s="24" t="s">
        <v>72</v>
      </c>
      <c r="C46" s="23">
        <v>88</v>
      </c>
      <c r="D46" s="23">
        <v>87</v>
      </c>
      <c r="E46" s="23">
        <v>88</v>
      </c>
      <c r="F46" s="23">
        <v>87</v>
      </c>
      <c r="G46" s="22">
        <f>SUM(C46:F46)</f>
        <v>350</v>
      </c>
      <c r="H46" s="21" t="s">
        <v>71</v>
      </c>
    </row>
    <row r="47" spans="1:8" ht="15" customHeight="1">
      <c r="A47" s="34" t="s">
        <v>70</v>
      </c>
      <c r="B47" s="33" t="s">
        <v>69</v>
      </c>
      <c r="C47" s="32">
        <v>-525</v>
      </c>
      <c r="D47" s="32">
        <v>-525</v>
      </c>
      <c r="E47" s="32">
        <v>-525</v>
      </c>
      <c r="F47" s="32">
        <v>-525</v>
      </c>
      <c r="G47" s="31">
        <f>SUM(C47:F47)</f>
        <v>-2100</v>
      </c>
      <c r="H47" s="30" t="s">
        <v>68</v>
      </c>
    </row>
    <row r="48" spans="1:8" ht="15" customHeight="1" thickBot="1">
      <c r="A48" s="29" t="s">
        <v>67</v>
      </c>
      <c r="B48" s="28" t="s">
        <v>66</v>
      </c>
      <c r="C48" s="27">
        <f>SUM(C46:C47)</f>
        <v>-437</v>
      </c>
      <c r="D48" s="27">
        <f>SUM(D46:D47)</f>
        <v>-438</v>
      </c>
      <c r="E48" s="27">
        <f>SUM(E46:E47)</f>
        <v>-437</v>
      </c>
      <c r="F48" s="27">
        <f>SUM(F46:F47)</f>
        <v>-438</v>
      </c>
      <c r="G48" s="27">
        <f>SUM(G46:G47)</f>
        <v>-1750</v>
      </c>
      <c r="H48" s="26" t="s">
        <v>65</v>
      </c>
    </row>
    <row r="49" spans="1:8" ht="4.5" customHeight="1" thickBot="1">
      <c r="A49" s="20"/>
      <c r="B49" s="20"/>
      <c r="C49" s="20"/>
      <c r="D49" s="20"/>
      <c r="E49" s="20"/>
      <c r="F49" s="20"/>
      <c r="G49" s="20"/>
      <c r="H49" s="20"/>
    </row>
    <row r="50" spans="1:8" ht="15.75" customHeight="1" thickBot="1">
      <c r="A50" s="19"/>
      <c r="B50" s="18" t="s">
        <v>55</v>
      </c>
      <c r="C50" s="17">
        <v>2588</v>
      </c>
      <c r="D50" s="17">
        <v>2757</v>
      </c>
      <c r="E50" s="17">
        <v>3098</v>
      </c>
      <c r="F50" s="17">
        <v>4207</v>
      </c>
      <c r="G50" s="17">
        <f>SUM(C50:F50)</f>
        <v>12650</v>
      </c>
      <c r="H50" s="16" t="s">
        <v>64</v>
      </c>
    </row>
    <row r="51" spans="1:8" ht="4.5" customHeight="1">
      <c r="A51" s="20"/>
      <c r="B51" s="20"/>
      <c r="C51" s="20"/>
      <c r="D51" s="20"/>
      <c r="E51" s="20"/>
      <c r="F51" s="20"/>
      <c r="G51" s="20"/>
      <c r="H51" s="20"/>
    </row>
    <row r="52" spans="1:8" ht="15" customHeight="1">
      <c r="A52" s="25" t="s">
        <v>63</v>
      </c>
      <c r="B52" s="24" t="s">
        <v>62</v>
      </c>
      <c r="C52" s="23">
        <v>-776</v>
      </c>
      <c r="D52" s="23">
        <v>-827</v>
      </c>
      <c r="E52" s="23">
        <v>-929</v>
      </c>
      <c r="F52" s="23">
        <v>-1262</v>
      </c>
      <c r="G52" s="22">
        <f>SUM(C52:F52)</f>
        <v>-3794</v>
      </c>
      <c r="H52" s="21" t="s">
        <v>61</v>
      </c>
    </row>
    <row r="53" spans="1:8" ht="4.5" customHeight="1" thickBot="1">
      <c r="A53" s="20"/>
      <c r="B53" s="20"/>
      <c r="C53" s="20"/>
      <c r="D53" s="20"/>
      <c r="E53" s="20"/>
      <c r="F53" s="20"/>
      <c r="G53" s="20"/>
      <c r="H53" s="20"/>
    </row>
    <row r="54" spans="1:8" ht="15.75" customHeight="1" thickBot="1">
      <c r="A54" s="19"/>
      <c r="B54" s="18" t="s">
        <v>60</v>
      </c>
      <c r="C54" s="17">
        <v>1812</v>
      </c>
      <c r="D54" s="17">
        <v>1930</v>
      </c>
      <c r="E54" s="17">
        <v>2169</v>
      </c>
      <c r="F54" s="17">
        <v>2945</v>
      </c>
      <c r="G54" s="17">
        <f>SUM(C54:F54)</f>
        <v>8856</v>
      </c>
      <c r="H54" s="16" t="s">
        <v>59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2F03-696F-474E-8470-7D7F4FA2C3C2}">
  <sheetPr>
    <tabColor rgb="FF2D2D2D"/>
  </sheetPr>
  <dimension ref="A1:F41"/>
  <sheetViews>
    <sheetView zoomScaleNormal="100" workbookViewId="0">
      <pane xSplit="2" ySplit="5" topLeftCell="C6" activePane="bottomRight" state="frozen"/>
      <selection sqref="A1:F1"/>
      <selection pane="topRight" sqref="A1:F1"/>
      <selection pane="bottomLeft" sqref="A1:F1"/>
      <selection pane="bottomRight" activeCell="C6" sqref="C6"/>
    </sheetView>
  </sheetViews>
  <sheetFormatPr defaultColWidth="8.6640625" defaultRowHeight="14.4"/>
  <cols>
    <col min="1" max="1" width="1.5546875" style="14" customWidth="1"/>
    <col min="2" max="2" width="42" style="14" customWidth="1"/>
    <col min="3" max="5" width="14" style="14" customWidth="1"/>
    <col min="6" max="6" width="1.5546875" style="14" customWidth="1"/>
    <col min="7" max="16384" width="8.6640625" style="14"/>
  </cols>
  <sheetData>
    <row r="1" spans="1:6" ht="27.75" customHeight="1">
      <c r="A1" s="71" t="s">
        <v>142</v>
      </c>
      <c r="B1" s="71"/>
      <c r="C1" s="71"/>
      <c r="D1" s="71"/>
      <c r="E1" s="71"/>
      <c r="F1" s="71"/>
    </row>
    <row r="2" spans="1:6" ht="15.75" customHeight="1">
      <c r="A2" s="72" t="s">
        <v>31</v>
      </c>
      <c r="B2" s="72"/>
      <c r="C2" s="72"/>
      <c r="D2" s="72"/>
      <c r="E2" s="72"/>
      <c r="F2" s="72"/>
    </row>
    <row r="3" spans="1:6" ht="12.75" customHeight="1">
      <c r="A3" s="73" t="s">
        <v>143</v>
      </c>
      <c r="B3" s="73"/>
      <c r="C3" s="73"/>
      <c r="D3" s="73"/>
      <c r="E3" s="73"/>
      <c r="F3" s="73"/>
    </row>
    <row r="4" spans="1:6" ht="6" customHeight="1">
      <c r="A4" s="41"/>
      <c r="B4" s="41"/>
      <c r="C4" s="41"/>
      <c r="D4" s="41"/>
      <c r="E4" s="41"/>
      <c r="F4" s="41"/>
    </row>
    <row r="5" spans="1:6" ht="19.5" customHeight="1" thickBot="1">
      <c r="A5" s="42"/>
      <c r="B5" s="42"/>
      <c r="C5" s="43" t="s">
        <v>32</v>
      </c>
      <c r="D5" s="43" t="s">
        <v>33</v>
      </c>
      <c r="E5" s="43" t="s">
        <v>144</v>
      </c>
      <c r="F5" s="44"/>
    </row>
    <row r="6" spans="1:6" ht="16.5" customHeight="1">
      <c r="A6" s="45"/>
      <c r="B6" s="46" t="s">
        <v>28</v>
      </c>
      <c r="C6" s="45"/>
      <c r="D6" s="45"/>
      <c r="E6" s="45"/>
      <c r="F6" s="45"/>
    </row>
    <row r="7" spans="1:6" ht="16.5" customHeight="1">
      <c r="A7" s="47"/>
      <c r="B7" s="48" t="s">
        <v>145</v>
      </c>
      <c r="C7" s="49">
        <v>81240</v>
      </c>
      <c r="D7" s="49">
        <v>85980</v>
      </c>
      <c r="E7" s="49">
        <v>93450</v>
      </c>
      <c r="F7" s="47"/>
    </row>
    <row r="8" spans="1:6" ht="16.5" customHeight="1">
      <c r="A8" s="50"/>
      <c r="B8" s="51" t="s">
        <v>146</v>
      </c>
      <c r="C8" s="52">
        <v>5660</v>
      </c>
      <c r="D8" s="52">
        <v>1360</v>
      </c>
      <c r="E8" s="52">
        <v>1370</v>
      </c>
      <c r="F8" s="50"/>
    </row>
    <row r="9" spans="1:6" ht="16.5" customHeight="1">
      <c r="A9" s="53"/>
      <c r="B9" s="54" t="s">
        <v>9</v>
      </c>
      <c r="C9" s="55">
        <v>86900</v>
      </c>
      <c r="D9" s="55">
        <v>87340</v>
      </c>
      <c r="E9" s="55">
        <v>94820</v>
      </c>
      <c r="F9" s="53"/>
    </row>
    <row r="10" spans="1:6" ht="6.75" customHeight="1">
      <c r="A10" s="41"/>
      <c r="B10" s="41"/>
      <c r="C10" s="41"/>
      <c r="D10" s="41"/>
      <c r="E10" s="41"/>
      <c r="F10" s="41"/>
    </row>
    <row r="11" spans="1:6" ht="16.5" customHeight="1">
      <c r="A11" s="45"/>
      <c r="B11" s="46" t="s">
        <v>34</v>
      </c>
      <c r="C11" s="45"/>
      <c r="D11" s="45"/>
      <c r="E11" s="45"/>
      <c r="F11" s="45"/>
    </row>
    <row r="12" spans="1:6" ht="16.5" customHeight="1">
      <c r="A12" s="47"/>
      <c r="B12" s="48" t="s">
        <v>147</v>
      </c>
      <c r="C12" s="49">
        <v>35430</v>
      </c>
      <c r="D12" s="49">
        <v>36820</v>
      </c>
      <c r="E12" s="49">
        <v>37880</v>
      </c>
      <c r="F12" s="47"/>
    </row>
    <row r="13" spans="1:6" ht="16.5" customHeight="1">
      <c r="A13" s="50"/>
      <c r="B13" s="51" t="s">
        <v>148</v>
      </c>
      <c r="C13" s="52">
        <v>10980</v>
      </c>
      <c r="D13" s="52">
        <v>11340</v>
      </c>
      <c r="E13" s="52">
        <v>12420</v>
      </c>
      <c r="F13" s="50"/>
    </row>
    <row r="14" spans="1:6" ht="16.5" customHeight="1">
      <c r="A14" s="47"/>
      <c r="B14" s="48" t="s">
        <v>149</v>
      </c>
      <c r="C14" s="49">
        <v>4870</v>
      </c>
      <c r="D14" s="49">
        <v>5130</v>
      </c>
      <c r="E14" s="49">
        <v>7020</v>
      </c>
      <c r="F14" s="47"/>
    </row>
    <row r="15" spans="1:6" ht="16.5" customHeight="1">
      <c r="A15" s="50"/>
      <c r="B15" s="51" t="s">
        <v>150</v>
      </c>
      <c r="C15" s="52">
        <v>2810</v>
      </c>
      <c r="D15" s="52">
        <v>3190</v>
      </c>
      <c r="E15" s="52">
        <v>3320</v>
      </c>
      <c r="F15" s="50"/>
    </row>
    <row r="16" spans="1:6" ht="16.5" customHeight="1">
      <c r="A16" s="53"/>
      <c r="B16" s="54" t="s">
        <v>35</v>
      </c>
      <c r="C16" s="55">
        <v>54090</v>
      </c>
      <c r="D16" s="55">
        <v>56480</v>
      </c>
      <c r="E16" s="55">
        <v>60640</v>
      </c>
      <c r="F16" s="53"/>
    </row>
    <row r="17" spans="1:6" ht="6.75" customHeight="1">
      <c r="A17" s="41"/>
      <c r="B17" s="41"/>
      <c r="C17" s="41"/>
      <c r="D17" s="41"/>
      <c r="E17" s="41"/>
      <c r="F17" s="41"/>
    </row>
    <row r="18" spans="1:6" ht="16.5" customHeight="1" thickBot="1">
      <c r="A18" s="56"/>
      <c r="B18" s="57" t="s">
        <v>27</v>
      </c>
      <c r="C18" s="58">
        <v>32810</v>
      </c>
      <c r="D18" s="58">
        <v>30860</v>
      </c>
      <c r="E18" s="58">
        <v>34180</v>
      </c>
      <c r="F18" s="56"/>
    </row>
    <row r="19" spans="1:6" ht="13.5" customHeight="1">
      <c r="A19" s="41"/>
      <c r="B19" s="59" t="s">
        <v>151</v>
      </c>
      <c r="C19" s="60">
        <f>C18/C9</f>
        <v>0.377560414269275</v>
      </c>
      <c r="D19" s="60">
        <f>D18/D9</f>
        <v>0.35333180673231052</v>
      </c>
      <c r="E19" s="60">
        <f>E18/E9</f>
        <v>0.3604724741615693</v>
      </c>
      <c r="F19" s="41"/>
    </row>
    <row r="20" spans="1:6" ht="6.75" customHeight="1">
      <c r="A20" s="41"/>
      <c r="B20" s="41"/>
      <c r="C20" s="41"/>
      <c r="D20" s="41"/>
      <c r="E20" s="41"/>
      <c r="F20" s="41"/>
    </row>
    <row r="21" spans="1:6" ht="16.5" customHeight="1">
      <c r="A21" s="45"/>
      <c r="B21" s="46" t="s">
        <v>26</v>
      </c>
      <c r="C21" s="45"/>
      <c r="D21" s="45"/>
      <c r="E21" s="45"/>
      <c r="F21" s="45"/>
    </row>
    <row r="22" spans="1:6" ht="16.5" customHeight="1">
      <c r="A22" s="47"/>
      <c r="B22" s="48" t="s">
        <v>152</v>
      </c>
      <c r="C22" s="49">
        <v>7680</v>
      </c>
      <c r="D22" s="49">
        <v>8120</v>
      </c>
      <c r="E22" s="49">
        <v>8920</v>
      </c>
      <c r="F22" s="47"/>
    </row>
    <row r="23" spans="1:6" ht="16.5" customHeight="1">
      <c r="A23" s="50"/>
      <c r="B23" s="51" t="s">
        <v>196</v>
      </c>
      <c r="C23" s="52">
        <v>6540</v>
      </c>
      <c r="D23" s="52">
        <v>6890</v>
      </c>
      <c r="E23" s="52">
        <v>7340</v>
      </c>
      <c r="F23" s="50"/>
    </row>
    <row r="24" spans="1:6" ht="16.5" customHeight="1">
      <c r="A24" s="47"/>
      <c r="B24" s="48" t="s">
        <v>153</v>
      </c>
      <c r="C24" s="49">
        <v>4890</v>
      </c>
      <c r="D24" s="49">
        <v>5230</v>
      </c>
      <c r="E24" s="49">
        <v>5680</v>
      </c>
      <c r="F24" s="47"/>
    </row>
    <row r="25" spans="1:6" ht="16.5" customHeight="1">
      <c r="A25" s="50"/>
      <c r="B25" s="51" t="s">
        <v>154</v>
      </c>
      <c r="C25" s="52">
        <v>410</v>
      </c>
      <c r="D25" s="52">
        <v>380</v>
      </c>
      <c r="E25" s="52">
        <v>450</v>
      </c>
      <c r="F25" s="50"/>
    </row>
    <row r="26" spans="1:6" ht="16.5" customHeight="1">
      <c r="A26" s="53"/>
      <c r="B26" s="54" t="s">
        <v>25</v>
      </c>
      <c r="C26" s="55">
        <v>18700</v>
      </c>
      <c r="D26" s="55">
        <v>19860</v>
      </c>
      <c r="E26" s="55">
        <v>21490</v>
      </c>
      <c r="F26" s="53"/>
    </row>
    <row r="27" spans="1:6" ht="6.75" customHeight="1">
      <c r="A27" s="41"/>
      <c r="B27" s="41"/>
      <c r="C27" s="41"/>
      <c r="D27" s="41"/>
      <c r="E27" s="41"/>
      <c r="F27" s="41"/>
    </row>
    <row r="28" spans="1:6" ht="16.5" customHeight="1" thickBot="1">
      <c r="A28" s="56"/>
      <c r="B28" s="57" t="s">
        <v>36</v>
      </c>
      <c r="C28" s="58">
        <v>14110</v>
      </c>
      <c r="D28" s="58">
        <v>11000</v>
      </c>
      <c r="E28" s="58">
        <v>12690</v>
      </c>
      <c r="F28" s="56"/>
    </row>
    <row r="29" spans="1:6" ht="13.5" customHeight="1">
      <c r="A29" s="41"/>
      <c r="B29" s="59" t="s">
        <v>155</v>
      </c>
      <c r="C29" s="60">
        <f>C28/C9</f>
        <v>0.1623705408515535</v>
      </c>
      <c r="D29" s="60">
        <f>D28/D9</f>
        <v>0.12594458438287154</v>
      </c>
      <c r="E29" s="60">
        <f>E28/E9</f>
        <v>0.13383252478380089</v>
      </c>
      <c r="F29" s="41"/>
    </row>
    <row r="30" spans="1:6" ht="6.75" customHeight="1">
      <c r="A30" s="41"/>
      <c r="B30" s="41"/>
      <c r="C30" s="41"/>
      <c r="D30" s="41"/>
      <c r="E30" s="41"/>
      <c r="F30" s="41"/>
    </row>
    <row r="31" spans="1:6" ht="16.5" customHeight="1">
      <c r="A31" s="47"/>
      <c r="B31" s="48" t="s">
        <v>156</v>
      </c>
      <c r="C31" s="49">
        <v>310</v>
      </c>
      <c r="D31" s="49">
        <v>280</v>
      </c>
      <c r="E31" s="49">
        <v>320</v>
      </c>
      <c r="F31" s="47"/>
    </row>
    <row r="32" spans="1:6" ht="16.5" customHeight="1">
      <c r="A32" s="50"/>
      <c r="B32" s="51" t="s">
        <v>157</v>
      </c>
      <c r="C32" s="52">
        <v>2320</v>
      </c>
      <c r="D32" s="52">
        <v>2280</v>
      </c>
      <c r="E32" s="52">
        <v>2140</v>
      </c>
      <c r="F32" s="50"/>
    </row>
    <row r="33" spans="1:6" ht="16.5" customHeight="1">
      <c r="A33" s="53"/>
      <c r="B33" s="54" t="s">
        <v>37</v>
      </c>
      <c r="C33" s="55">
        <v>2010</v>
      </c>
      <c r="D33" s="55">
        <v>2000</v>
      </c>
      <c r="E33" s="55">
        <v>1820</v>
      </c>
      <c r="F33" s="53"/>
    </row>
    <row r="34" spans="1:6" ht="6.75" customHeight="1">
      <c r="A34" s="41"/>
      <c r="B34" s="41"/>
      <c r="C34" s="41"/>
      <c r="D34" s="41"/>
      <c r="E34" s="41"/>
      <c r="F34" s="41"/>
    </row>
    <row r="35" spans="1:6" ht="16.5" customHeight="1" thickBot="1">
      <c r="A35" s="56"/>
      <c r="B35" s="57" t="s">
        <v>10</v>
      </c>
      <c r="C35" s="58">
        <v>12100</v>
      </c>
      <c r="D35" s="58">
        <v>9000</v>
      </c>
      <c r="E35" s="58">
        <v>10870</v>
      </c>
      <c r="F35" s="56"/>
    </row>
    <row r="36" spans="1:6" ht="6.75" customHeight="1">
      <c r="A36" s="41"/>
      <c r="B36" s="41"/>
      <c r="C36" s="41"/>
      <c r="D36" s="41"/>
      <c r="E36" s="41"/>
      <c r="F36" s="41"/>
    </row>
    <row r="37" spans="1:6" ht="16.5" customHeight="1">
      <c r="A37" s="47"/>
      <c r="B37" s="48" t="s">
        <v>158</v>
      </c>
      <c r="C37" s="49">
        <v>3630</v>
      </c>
      <c r="D37" s="49">
        <v>2700</v>
      </c>
      <c r="E37" s="49">
        <v>3260</v>
      </c>
      <c r="F37" s="47"/>
    </row>
    <row r="38" spans="1:6" ht="6.75" customHeight="1">
      <c r="A38" s="41"/>
      <c r="B38" s="41"/>
      <c r="C38" s="41"/>
      <c r="D38" s="41"/>
      <c r="E38" s="41"/>
      <c r="F38" s="41"/>
    </row>
    <row r="39" spans="1:6" ht="16.5" customHeight="1" thickBot="1">
      <c r="A39" s="56"/>
      <c r="B39" s="57" t="s">
        <v>29</v>
      </c>
      <c r="C39" s="58">
        <v>8470</v>
      </c>
      <c r="D39" s="58">
        <v>6300</v>
      </c>
      <c r="E39" s="58">
        <v>7610</v>
      </c>
      <c r="F39" s="56"/>
    </row>
    <row r="40" spans="1:6" ht="6" customHeight="1"/>
    <row r="41" spans="1:6" ht="21.75" customHeight="1">
      <c r="B41" s="74" t="s">
        <v>159</v>
      </c>
      <c r="C41" s="74"/>
      <c r="D41" s="74"/>
      <c r="E41" s="74"/>
    </row>
  </sheetData>
  <mergeCells count="4">
    <mergeCell ref="A1:F1"/>
    <mergeCell ref="A2:F2"/>
    <mergeCell ref="A3:F3"/>
    <mergeCell ref="B41:E4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26CF-B77A-4E0F-AFCE-E79BCEF98C83}">
  <sheetPr>
    <tabColor rgb="FF5A5A5A"/>
  </sheetPr>
  <dimension ref="A1:E47"/>
  <sheetViews>
    <sheetView zoomScaleNormal="100" workbookViewId="0">
      <pane xSplit="2" ySplit="5" topLeftCell="C6" activePane="bottomRight" state="frozen"/>
      <selection sqref="A1:F1"/>
      <selection pane="topRight" sqref="A1:F1"/>
      <selection pane="bottomLeft" sqref="A1:F1"/>
      <selection pane="bottomRight" activeCell="C6" sqref="C6"/>
    </sheetView>
  </sheetViews>
  <sheetFormatPr defaultColWidth="8.6640625" defaultRowHeight="14.4"/>
  <cols>
    <col min="1" max="1" width="1.5546875" style="14" customWidth="1"/>
    <col min="2" max="2" width="42" style="14" customWidth="1"/>
    <col min="3" max="4" width="14" style="14" customWidth="1"/>
    <col min="5" max="5" width="1.5546875" style="14" customWidth="1"/>
    <col min="6" max="16384" width="8.6640625" style="14"/>
  </cols>
  <sheetData>
    <row r="1" spans="1:5" ht="27.75" customHeight="1">
      <c r="A1" s="71" t="s">
        <v>142</v>
      </c>
      <c r="B1" s="71"/>
      <c r="C1" s="71"/>
      <c r="D1" s="71"/>
      <c r="E1" s="71"/>
    </row>
    <row r="2" spans="1:5" ht="15.75" customHeight="1">
      <c r="A2" s="72" t="s">
        <v>160</v>
      </c>
      <c r="B2" s="72"/>
      <c r="C2" s="72"/>
      <c r="D2" s="72"/>
      <c r="E2" s="72"/>
    </row>
    <row r="3" spans="1:5" ht="12.75" customHeight="1">
      <c r="A3" s="73" t="s">
        <v>161</v>
      </c>
      <c r="B3" s="73"/>
      <c r="C3" s="73"/>
      <c r="D3" s="73"/>
      <c r="E3" s="73"/>
    </row>
    <row r="4" spans="1:5" ht="6" customHeight="1">
      <c r="A4" s="41"/>
      <c r="B4" s="41"/>
      <c r="C4" s="41"/>
      <c r="D4" s="41"/>
      <c r="E4" s="41"/>
    </row>
    <row r="5" spans="1:5" ht="19.5" customHeight="1" thickBot="1">
      <c r="A5" s="42"/>
      <c r="B5" s="42"/>
      <c r="C5" s="43" t="s">
        <v>38</v>
      </c>
      <c r="D5" s="43" t="s">
        <v>162</v>
      </c>
      <c r="E5" s="44"/>
    </row>
    <row r="6" spans="1:5" ht="16.5" customHeight="1">
      <c r="A6" s="61"/>
      <c r="B6" s="62" t="s">
        <v>163</v>
      </c>
      <c r="C6" s="61"/>
      <c r="D6" s="61"/>
      <c r="E6" s="61"/>
    </row>
    <row r="7" spans="1:5" ht="16.5" customHeight="1">
      <c r="A7" s="45"/>
      <c r="B7" s="63" t="s">
        <v>13</v>
      </c>
      <c r="C7" s="45"/>
      <c r="D7" s="45"/>
      <c r="E7" s="45"/>
    </row>
    <row r="8" spans="1:5" ht="16.5" customHeight="1">
      <c r="A8" s="47"/>
      <c r="B8" s="48" t="s">
        <v>164</v>
      </c>
      <c r="C8" s="49">
        <v>12450</v>
      </c>
      <c r="D8" s="49">
        <v>12450</v>
      </c>
      <c r="E8" s="47"/>
    </row>
    <row r="9" spans="1:5" ht="16.5" customHeight="1">
      <c r="A9" s="50"/>
      <c r="B9" s="51" t="s">
        <v>165</v>
      </c>
      <c r="C9" s="52">
        <v>7840</v>
      </c>
      <c r="D9" s="52">
        <v>8320</v>
      </c>
      <c r="E9" s="50"/>
    </row>
    <row r="10" spans="1:5" ht="16.5" customHeight="1">
      <c r="A10" s="47"/>
      <c r="B10" s="48" t="s">
        <v>166</v>
      </c>
      <c r="C10" s="49">
        <v>3510</v>
      </c>
      <c r="D10" s="49">
        <v>3180</v>
      </c>
      <c r="E10" s="47"/>
    </row>
    <row r="11" spans="1:5" ht="16.5" customHeight="1">
      <c r="A11" s="50"/>
      <c r="B11" s="51" t="s">
        <v>39</v>
      </c>
      <c r="C11" s="52">
        <v>26920</v>
      </c>
      <c r="D11" s="52">
        <v>28640</v>
      </c>
      <c r="E11" s="50"/>
    </row>
    <row r="12" spans="1:5" ht="16.5" customHeight="1">
      <c r="A12" s="47"/>
      <c r="B12" s="48" t="s">
        <v>167</v>
      </c>
      <c r="C12" s="49">
        <v>1150</v>
      </c>
      <c r="D12" s="49">
        <v>1890</v>
      </c>
      <c r="E12" s="47"/>
    </row>
    <row r="13" spans="1:5" ht="16.5" customHeight="1">
      <c r="A13" s="53"/>
      <c r="B13" s="54" t="s">
        <v>14</v>
      </c>
      <c r="C13" s="55">
        <v>51870</v>
      </c>
      <c r="D13" s="55">
        <v>54480</v>
      </c>
      <c r="E13" s="53"/>
    </row>
    <row r="14" spans="1:5" ht="6.75" customHeight="1">
      <c r="A14" s="41"/>
      <c r="B14" s="41"/>
      <c r="C14" s="41"/>
      <c r="D14" s="41"/>
      <c r="E14" s="41"/>
    </row>
    <row r="15" spans="1:5" ht="16.5" customHeight="1">
      <c r="A15" s="45"/>
      <c r="B15" s="63" t="s">
        <v>11</v>
      </c>
      <c r="C15" s="45"/>
      <c r="D15" s="45"/>
      <c r="E15" s="45"/>
    </row>
    <row r="16" spans="1:5" ht="16.5" customHeight="1">
      <c r="A16" s="47"/>
      <c r="B16" s="48" t="s">
        <v>40</v>
      </c>
      <c r="C16" s="49">
        <v>16840</v>
      </c>
      <c r="D16" s="49">
        <v>18340</v>
      </c>
      <c r="E16" s="47"/>
    </row>
    <row r="17" spans="1:5" ht="16.5" customHeight="1">
      <c r="A17" s="50"/>
      <c r="B17" s="51" t="s">
        <v>168</v>
      </c>
      <c r="C17" s="52">
        <v>13470</v>
      </c>
      <c r="D17" s="52">
        <v>14920</v>
      </c>
      <c r="E17" s="50"/>
    </row>
    <row r="18" spans="1:5" ht="16.5" customHeight="1">
      <c r="A18" s="47"/>
      <c r="B18" s="48" t="s">
        <v>169</v>
      </c>
      <c r="C18" s="49">
        <v>1950</v>
      </c>
      <c r="D18" s="49">
        <v>2180</v>
      </c>
      <c r="E18" s="47"/>
    </row>
    <row r="19" spans="1:5" ht="16.5" customHeight="1">
      <c r="A19" s="50"/>
      <c r="B19" s="51" t="s">
        <v>170</v>
      </c>
      <c r="C19" s="52">
        <v>7760</v>
      </c>
      <c r="D19" s="52">
        <v>9450</v>
      </c>
      <c r="E19" s="50"/>
    </row>
    <row r="20" spans="1:5" ht="16.5" customHeight="1">
      <c r="A20" s="53"/>
      <c r="B20" s="54" t="s">
        <v>12</v>
      </c>
      <c r="C20" s="55">
        <v>40020</v>
      </c>
      <c r="D20" s="55">
        <v>44890</v>
      </c>
      <c r="E20" s="53"/>
    </row>
    <row r="21" spans="1:5" ht="6.75" customHeight="1">
      <c r="A21" s="41"/>
      <c r="B21" s="41"/>
      <c r="C21" s="41"/>
      <c r="D21" s="41"/>
      <c r="E21" s="41"/>
    </row>
    <row r="22" spans="1:5" ht="16.5" customHeight="1" thickBot="1">
      <c r="A22" s="56"/>
      <c r="B22" s="57" t="s">
        <v>15</v>
      </c>
      <c r="C22" s="58">
        <v>91890</v>
      </c>
      <c r="D22" s="58">
        <v>99370</v>
      </c>
      <c r="E22" s="56"/>
    </row>
    <row r="23" spans="1:5" ht="6.75" customHeight="1">
      <c r="A23" s="41"/>
      <c r="B23" s="41"/>
      <c r="C23" s="41"/>
      <c r="D23" s="41"/>
      <c r="E23" s="41"/>
    </row>
    <row r="24" spans="1:5" ht="16.5" customHeight="1">
      <c r="A24" s="61"/>
      <c r="B24" s="62" t="s">
        <v>171</v>
      </c>
      <c r="C24" s="61"/>
      <c r="D24" s="61"/>
      <c r="E24" s="61"/>
    </row>
    <row r="25" spans="1:5" ht="16.5" customHeight="1">
      <c r="A25" s="45"/>
      <c r="B25" s="63" t="s">
        <v>20</v>
      </c>
      <c r="C25" s="45"/>
      <c r="D25" s="45"/>
      <c r="E25" s="45"/>
    </row>
    <row r="26" spans="1:5" ht="16.5" customHeight="1">
      <c r="A26" s="47"/>
      <c r="B26" s="48" t="s">
        <v>41</v>
      </c>
      <c r="C26" s="49">
        <v>5000</v>
      </c>
      <c r="D26" s="49">
        <v>5000</v>
      </c>
      <c r="E26" s="47"/>
    </row>
    <row r="27" spans="1:5" ht="16.5" customHeight="1">
      <c r="A27" s="50"/>
      <c r="B27" s="51" t="s">
        <v>172</v>
      </c>
      <c r="C27" s="52">
        <v>22500</v>
      </c>
      <c r="D27" s="52">
        <v>22500</v>
      </c>
      <c r="E27" s="50"/>
    </row>
    <row r="28" spans="1:5" ht="16.5" customHeight="1">
      <c r="A28" s="47"/>
      <c r="B28" s="48" t="s">
        <v>42</v>
      </c>
      <c r="C28" s="49">
        <v>21140</v>
      </c>
      <c r="D28" s="49">
        <v>28750</v>
      </c>
      <c r="E28" s="47"/>
    </row>
    <row r="29" spans="1:5" ht="16.5" customHeight="1">
      <c r="A29" s="50"/>
      <c r="B29" s="51" t="s">
        <v>173</v>
      </c>
      <c r="C29" s="52">
        <v>1820</v>
      </c>
      <c r="D29" s="52">
        <v>1230</v>
      </c>
      <c r="E29" s="50"/>
    </row>
    <row r="30" spans="1:5" ht="16.5" customHeight="1">
      <c r="A30" s="53"/>
      <c r="B30" s="54" t="s">
        <v>21</v>
      </c>
      <c r="C30" s="55">
        <v>46820</v>
      </c>
      <c r="D30" s="55">
        <v>55020</v>
      </c>
      <c r="E30" s="53"/>
    </row>
    <row r="31" spans="1:5" ht="6.75" customHeight="1">
      <c r="A31" s="41"/>
      <c r="B31" s="41"/>
      <c r="C31" s="41"/>
      <c r="D31" s="41"/>
      <c r="E31" s="41"/>
    </row>
    <row r="32" spans="1:5" ht="16.5" customHeight="1">
      <c r="A32" s="45"/>
      <c r="B32" s="63" t="s">
        <v>18</v>
      </c>
      <c r="C32" s="45"/>
      <c r="D32" s="45"/>
      <c r="E32" s="45"/>
    </row>
    <row r="33" spans="1:5" ht="16.5" customHeight="1">
      <c r="A33" s="47"/>
      <c r="B33" s="48" t="s">
        <v>174</v>
      </c>
      <c r="C33" s="49">
        <v>26500</v>
      </c>
      <c r="D33" s="49">
        <v>24500</v>
      </c>
      <c r="E33" s="47"/>
    </row>
    <row r="34" spans="1:5" ht="16.5" customHeight="1">
      <c r="A34" s="50"/>
      <c r="B34" s="51" t="s">
        <v>43</v>
      </c>
      <c r="C34" s="52">
        <v>3870</v>
      </c>
      <c r="D34" s="52">
        <v>3420</v>
      </c>
      <c r="E34" s="50"/>
    </row>
    <row r="35" spans="1:5" ht="16.5" customHeight="1">
      <c r="A35" s="47"/>
      <c r="B35" s="48" t="s">
        <v>175</v>
      </c>
      <c r="C35" s="49">
        <v>1980</v>
      </c>
      <c r="D35" s="49">
        <v>2180</v>
      </c>
      <c r="E35" s="47"/>
    </row>
    <row r="36" spans="1:5" ht="16.5" customHeight="1">
      <c r="A36" s="50"/>
      <c r="B36" s="51" t="s">
        <v>176</v>
      </c>
      <c r="C36" s="52">
        <v>4670</v>
      </c>
      <c r="D36" s="52">
        <v>4890</v>
      </c>
      <c r="E36" s="50"/>
    </row>
    <row r="37" spans="1:5" ht="16.5" customHeight="1">
      <c r="A37" s="47"/>
      <c r="B37" s="48" t="s">
        <v>177</v>
      </c>
      <c r="C37" s="49">
        <v>1200</v>
      </c>
      <c r="D37" s="49">
        <v>1340</v>
      </c>
      <c r="E37" s="47"/>
    </row>
    <row r="38" spans="1:5" ht="16.5" customHeight="1">
      <c r="A38" s="53"/>
      <c r="B38" s="54" t="s">
        <v>19</v>
      </c>
      <c r="C38" s="55">
        <v>38220</v>
      </c>
      <c r="D38" s="55">
        <v>36330</v>
      </c>
      <c r="E38" s="53"/>
    </row>
    <row r="39" spans="1:5" ht="6.75" customHeight="1">
      <c r="A39" s="41"/>
      <c r="B39" s="41"/>
      <c r="C39" s="41"/>
      <c r="D39" s="41"/>
      <c r="E39" s="41"/>
    </row>
    <row r="40" spans="1:5" ht="16.5" customHeight="1">
      <c r="A40" s="45"/>
      <c r="B40" s="63" t="s">
        <v>16</v>
      </c>
      <c r="C40" s="45"/>
      <c r="D40" s="45"/>
      <c r="E40" s="45"/>
    </row>
    <row r="41" spans="1:5" ht="16.5" customHeight="1">
      <c r="A41" s="47"/>
      <c r="B41" s="48" t="s">
        <v>178</v>
      </c>
      <c r="C41" s="49">
        <v>2000</v>
      </c>
      <c r="D41" s="49">
        <v>2000</v>
      </c>
      <c r="E41" s="47"/>
    </row>
    <row r="42" spans="1:5" ht="16.5" customHeight="1">
      <c r="A42" s="50"/>
      <c r="B42" s="51" t="s">
        <v>179</v>
      </c>
      <c r="C42" s="52">
        <v>3420</v>
      </c>
      <c r="D42" s="52">
        <v>3840</v>
      </c>
      <c r="E42" s="50"/>
    </row>
    <row r="43" spans="1:5" ht="16.5" customHeight="1">
      <c r="A43" s="47"/>
      <c r="B43" s="48" t="s">
        <v>180</v>
      </c>
      <c r="C43" s="49">
        <v>2540</v>
      </c>
      <c r="D43" s="49">
        <v>3040</v>
      </c>
      <c r="E43" s="47"/>
    </row>
    <row r="44" spans="1:5" ht="16.5" customHeight="1">
      <c r="A44" s="50"/>
      <c r="B44" s="51" t="s">
        <v>44</v>
      </c>
      <c r="C44" s="52">
        <v>890</v>
      </c>
      <c r="D44" s="52">
        <v>1140</v>
      </c>
      <c r="E44" s="50"/>
    </row>
    <row r="45" spans="1:5" ht="16.5" customHeight="1">
      <c r="A45" s="53"/>
      <c r="B45" s="54" t="s">
        <v>17</v>
      </c>
      <c r="C45" s="55">
        <v>6850</v>
      </c>
      <c r="D45" s="55">
        <v>8020</v>
      </c>
      <c r="E45" s="53"/>
    </row>
    <row r="46" spans="1:5" ht="6.75" customHeight="1">
      <c r="A46" s="41"/>
      <c r="B46" s="41"/>
      <c r="C46" s="41"/>
      <c r="D46" s="41"/>
      <c r="E46" s="41"/>
    </row>
    <row r="47" spans="1:5" ht="16.5" customHeight="1" thickBot="1">
      <c r="A47" s="56"/>
      <c r="B47" s="57" t="s">
        <v>30</v>
      </c>
      <c r="C47" s="58">
        <v>91890</v>
      </c>
      <c r="D47" s="58">
        <v>99370</v>
      </c>
      <c r="E47" s="56"/>
    </row>
  </sheetData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3"/>
  <sheetViews>
    <sheetView zoomScale="77" workbookViewId="0"/>
  </sheetViews>
  <sheetFormatPr defaultRowHeight="15.6"/>
  <cols>
    <col min="1" max="1" width="111.6640625" style="8" bestFit="1" customWidth="1"/>
    <col min="2" max="2" width="16.33203125" style="13" customWidth="1"/>
    <col min="3" max="16384" width="8.88671875" style="8"/>
  </cols>
  <sheetData>
    <row r="1" spans="1:3">
      <c r="A1" s="7" t="s">
        <v>22</v>
      </c>
      <c r="B1" s="7" t="s">
        <v>0</v>
      </c>
      <c r="C1" s="7" t="s">
        <v>1</v>
      </c>
    </row>
    <row r="2" spans="1:3">
      <c r="A2" s="9" t="s">
        <v>183</v>
      </c>
      <c r="B2" s="10"/>
      <c r="C2" s="1" t="s">
        <v>182</v>
      </c>
    </row>
    <row r="3" spans="1:3">
      <c r="A3" s="9" t="s">
        <v>184</v>
      </c>
      <c r="B3" s="10"/>
      <c r="C3" s="1" t="s">
        <v>182</v>
      </c>
    </row>
    <row r="4" spans="1:3">
      <c r="A4" s="9" t="s">
        <v>185</v>
      </c>
      <c r="B4" s="10"/>
      <c r="C4" s="1" t="s">
        <v>182</v>
      </c>
    </row>
    <row r="5" spans="1:3">
      <c r="A5" s="9" t="s">
        <v>186</v>
      </c>
      <c r="B5" s="10"/>
      <c r="C5" s="1" t="s">
        <v>182</v>
      </c>
    </row>
    <row r="6" spans="1:3">
      <c r="A6" s="9" t="s">
        <v>56</v>
      </c>
      <c r="B6" s="10"/>
      <c r="C6" s="1" t="s">
        <v>182</v>
      </c>
    </row>
    <row r="7" spans="1:3">
      <c r="A7" s="9" t="s">
        <v>187</v>
      </c>
      <c r="B7" s="10"/>
      <c r="C7" s="1" t="s">
        <v>182</v>
      </c>
    </row>
    <row r="8" spans="1:3">
      <c r="A8" s="9" t="s">
        <v>188</v>
      </c>
      <c r="B8" s="10"/>
      <c r="C8" s="1" t="s">
        <v>182</v>
      </c>
    </row>
    <row r="9" spans="1:3">
      <c r="A9" s="9" t="s">
        <v>189</v>
      </c>
      <c r="B9" s="15"/>
      <c r="C9" s="1" t="s">
        <v>3</v>
      </c>
    </row>
    <row r="10" spans="1:3">
      <c r="A10" s="9" t="s">
        <v>58</v>
      </c>
      <c r="B10" s="15"/>
      <c r="C10" s="1" t="s">
        <v>3</v>
      </c>
    </row>
    <row r="11" spans="1:3">
      <c r="A11" s="9" t="s">
        <v>190</v>
      </c>
      <c r="B11" s="15"/>
      <c r="C11" s="1" t="s">
        <v>3</v>
      </c>
    </row>
    <row r="12" spans="1:3">
      <c r="A12" s="9" t="s">
        <v>191</v>
      </c>
      <c r="B12" s="15"/>
      <c r="C12" s="1" t="s">
        <v>3</v>
      </c>
    </row>
    <row r="13" spans="1:3">
      <c r="A13" s="9" t="s">
        <v>57</v>
      </c>
      <c r="B13" s="15"/>
      <c r="C13" s="1" t="s">
        <v>3</v>
      </c>
    </row>
    <row r="14" spans="1:3">
      <c r="A14" s="9" t="s">
        <v>192</v>
      </c>
      <c r="B14" s="15"/>
      <c r="C14" s="1" t="s">
        <v>3</v>
      </c>
    </row>
    <row r="15" spans="1:3">
      <c r="A15" s="8" t="s">
        <v>193</v>
      </c>
      <c r="B15" s="15"/>
      <c r="C15" s="1" t="s">
        <v>3</v>
      </c>
    </row>
    <row r="16" spans="1:3">
      <c r="A16" s="9" t="s">
        <v>194</v>
      </c>
      <c r="B16" s="15"/>
      <c r="C16" s="1" t="s">
        <v>3</v>
      </c>
    </row>
    <row r="26" spans="1:1">
      <c r="A26" s="8" t="s">
        <v>4</v>
      </c>
    </row>
    <row r="27" spans="1:1">
      <c r="A27" s="8" t="s">
        <v>4</v>
      </c>
    </row>
    <row r="28" spans="1:1">
      <c r="A28" s="8" t="s">
        <v>4</v>
      </c>
    </row>
    <row r="29" spans="1:1">
      <c r="A29" s="8" t="s">
        <v>4</v>
      </c>
    </row>
    <row r="30" spans="1:1">
      <c r="A30" s="8" t="s">
        <v>4</v>
      </c>
    </row>
    <row r="31" spans="1:1">
      <c r="A31" s="8" t="s">
        <v>4</v>
      </c>
    </row>
    <row r="32" spans="1:1">
      <c r="A32" s="8" t="s">
        <v>4</v>
      </c>
    </row>
    <row r="33" spans="1:1">
      <c r="A33" s="8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P&amp;L Budget – GL Detail</vt:lpstr>
      <vt:lpstr>Income Statement</vt:lpstr>
      <vt:lpstr>Balance Sheet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2026-04-12T00:41:18Z</dcterms:modified>
</cp:coreProperties>
</file>