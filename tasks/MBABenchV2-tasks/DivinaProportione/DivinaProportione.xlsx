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Ratio Analysis\DivinaProportione\starting_files\"/>
    </mc:Choice>
  </mc:AlternateContent>
  <xr:revisionPtr revIDLastSave="0" documentId="13_ncr:1_{B0079EE9-8179-4CD8-90C6-BF1555868C07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NXTI IS" sheetId="14" r:id="rId2"/>
    <sheet name="NXTI BS" sheetId="15" r:id="rId3"/>
    <sheet name="Questions" sheetId="6" r:id="rId4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5" l="1"/>
  <c r="B27" i="15" s="1"/>
  <c r="C21" i="15"/>
  <c r="D21" i="15"/>
  <c r="E21" i="15"/>
  <c r="F21" i="15"/>
  <c r="C27" i="15"/>
  <c r="D27" i="15"/>
  <c r="E27" i="15"/>
  <c r="F27" i="15"/>
  <c r="B35" i="15"/>
  <c r="C35" i="15"/>
  <c r="D35" i="15"/>
  <c r="E35" i="15"/>
  <c r="F35" i="15"/>
  <c r="F37" i="15" s="1"/>
  <c r="B37" i="15"/>
  <c r="B55" i="15" s="1"/>
  <c r="C37" i="15"/>
  <c r="C55" i="15" s="1"/>
  <c r="C57" i="15" s="1"/>
  <c r="D37" i="15"/>
  <c r="D55" i="15" s="1"/>
  <c r="D57" i="15" s="1"/>
  <c r="E37" i="15"/>
  <c r="E55" i="15" s="1"/>
  <c r="E57" i="15" s="1"/>
  <c r="B45" i="15"/>
  <c r="C45" i="15"/>
  <c r="D45" i="15"/>
  <c r="E45" i="15"/>
  <c r="F45" i="15"/>
  <c r="B49" i="15"/>
  <c r="C49" i="15"/>
  <c r="D49" i="15"/>
  <c r="E49" i="15"/>
  <c r="F49" i="15"/>
  <c r="B66" i="15"/>
  <c r="C66" i="15"/>
  <c r="D66" i="15"/>
  <c r="E66" i="15"/>
  <c r="F66" i="15"/>
  <c r="F73" i="15" s="1"/>
  <c r="B73" i="15"/>
  <c r="B89" i="15" s="1"/>
  <c r="C73" i="15"/>
  <c r="C89" i="15" s="1"/>
  <c r="D73" i="15"/>
  <c r="E73" i="15"/>
  <c r="E89" i="15" s="1"/>
  <c r="B79" i="15"/>
  <c r="C79" i="15"/>
  <c r="D79" i="15"/>
  <c r="E79" i="15"/>
  <c r="F79" i="15"/>
  <c r="B87" i="15"/>
  <c r="C87" i="15"/>
  <c r="D87" i="15"/>
  <c r="E87" i="15"/>
  <c r="F87" i="15"/>
  <c r="B99" i="15"/>
  <c r="C99" i="15"/>
  <c r="D99" i="15"/>
  <c r="E99" i="15"/>
  <c r="F99" i="15"/>
  <c r="B16" i="14"/>
  <c r="B103" i="14" s="1"/>
  <c r="C16" i="14"/>
  <c r="D16" i="14"/>
  <c r="E16" i="14"/>
  <c r="F16" i="14"/>
  <c r="B23" i="14"/>
  <c r="C23" i="14"/>
  <c r="D23" i="14"/>
  <c r="E23" i="14"/>
  <c r="F23" i="14"/>
  <c r="B31" i="14"/>
  <c r="C31" i="14"/>
  <c r="D31" i="14"/>
  <c r="E31" i="14"/>
  <c r="F31" i="14"/>
  <c r="B36" i="14"/>
  <c r="C36" i="14"/>
  <c r="D36" i="14"/>
  <c r="E36" i="14"/>
  <c r="F36" i="14"/>
  <c r="B52" i="14"/>
  <c r="C52" i="14"/>
  <c r="D52" i="14"/>
  <c r="E52" i="14"/>
  <c r="F52" i="14"/>
  <c r="B58" i="14"/>
  <c r="C58" i="14"/>
  <c r="D58" i="14"/>
  <c r="E58" i="14"/>
  <c r="F58" i="14"/>
  <c r="B65" i="14"/>
  <c r="C65" i="14"/>
  <c r="D65" i="14"/>
  <c r="E65" i="14"/>
  <c r="F65" i="14"/>
  <c r="B72" i="14"/>
  <c r="C72" i="14"/>
  <c r="D72" i="14"/>
  <c r="E72" i="14"/>
  <c r="F72" i="14"/>
  <c r="B102" i="14"/>
  <c r="C102" i="14"/>
  <c r="D102" i="14"/>
  <c r="E102" i="14"/>
  <c r="F102" i="14"/>
  <c r="F103" i="14" l="1"/>
  <c r="C25" i="14"/>
  <c r="C26" i="14" s="1"/>
  <c r="E42" i="14"/>
  <c r="C42" i="14"/>
  <c r="F42" i="14"/>
  <c r="D42" i="14"/>
  <c r="B42" i="14"/>
  <c r="F55" i="15"/>
  <c r="F57" i="15" s="1"/>
  <c r="F89" i="15"/>
  <c r="B57" i="15"/>
  <c r="E101" i="15"/>
  <c r="C101" i="15"/>
  <c r="F101" i="15"/>
  <c r="B101" i="15"/>
  <c r="D101" i="14"/>
  <c r="F104" i="14"/>
  <c r="F25" i="14"/>
  <c r="D25" i="14"/>
  <c r="F101" i="14"/>
  <c r="D26" i="14"/>
  <c r="E25" i="14"/>
  <c r="E44" i="14" s="1"/>
  <c r="E103" i="14"/>
  <c r="D103" i="14"/>
  <c r="D89" i="15"/>
  <c r="C103" i="14"/>
  <c r="E101" i="14"/>
  <c r="C101" i="14"/>
  <c r="B101" i="14"/>
  <c r="E104" i="14"/>
  <c r="D104" i="14"/>
  <c r="C104" i="14"/>
  <c r="B104" i="14"/>
  <c r="B25" i="14"/>
  <c r="B44" i="14" s="1"/>
  <c r="F44" i="14" l="1"/>
  <c r="C44" i="14"/>
  <c r="B26" i="14"/>
  <c r="D44" i="14"/>
  <c r="D67" i="14"/>
  <c r="D92" i="14"/>
  <c r="D94" i="14" s="1"/>
  <c r="E92" i="14"/>
  <c r="E94" i="14" s="1"/>
  <c r="E67" i="14"/>
  <c r="F26" i="14"/>
  <c r="E26" i="14"/>
  <c r="F67" i="14"/>
  <c r="F92" i="14"/>
  <c r="F94" i="14" s="1"/>
  <c r="C92" i="14"/>
  <c r="C94" i="14" s="1"/>
  <c r="C67" i="14"/>
  <c r="D101" i="15"/>
  <c r="B92" i="14"/>
  <c r="B94" i="14" s="1"/>
  <c r="B67" i="14"/>
  <c r="B73" i="14" l="1"/>
  <c r="B76" i="14"/>
  <c r="B78" i="14" s="1"/>
  <c r="B80" i="14" s="1"/>
  <c r="B97" i="14"/>
  <c r="B98" i="14" s="1"/>
  <c r="B95" i="14"/>
  <c r="C97" i="14"/>
  <c r="C98" i="14" s="1"/>
  <c r="C95" i="14"/>
  <c r="F76" i="14"/>
  <c r="F78" i="14" s="1"/>
  <c r="F80" i="14" s="1"/>
  <c r="F73" i="14"/>
  <c r="D97" i="14"/>
  <c r="D98" i="14" s="1"/>
  <c r="D95" i="14"/>
  <c r="C73" i="14"/>
  <c r="C76" i="14"/>
  <c r="C78" i="14" s="1"/>
  <c r="C80" i="14" s="1"/>
  <c r="F97" i="14"/>
  <c r="F98" i="14" s="1"/>
  <c r="F95" i="14"/>
  <c r="E73" i="14"/>
  <c r="E76" i="14"/>
  <c r="E78" i="14" s="1"/>
  <c r="E80" i="14" s="1"/>
  <c r="E97" i="14"/>
  <c r="E98" i="14" s="1"/>
  <c r="E95" i="14"/>
  <c r="D73" i="14"/>
  <c r="D76" i="14"/>
  <c r="D78" i="14" s="1"/>
  <c r="D80" i="14" s="1"/>
  <c r="E85" i="14" l="1"/>
  <c r="E88" i="14" s="1"/>
  <c r="E86" i="14"/>
  <c r="F85" i="14"/>
  <c r="F88" i="14" s="1"/>
  <c r="F86" i="14"/>
  <c r="B85" i="14"/>
  <c r="B88" i="14" s="1"/>
  <c r="B86" i="14"/>
  <c r="D85" i="14"/>
  <c r="D88" i="14" s="1"/>
  <c r="D86" i="14"/>
  <c r="C85" i="14"/>
  <c r="C88" i="14" s="1"/>
  <c r="C86" i="14"/>
</calcChain>
</file>

<file path=xl/sharedStrings.xml><?xml version="1.0" encoding="utf-8"?>
<sst xmlns="http://schemas.openxmlformats.org/spreadsheetml/2006/main" count="239" uniqueCount="230">
  <si>
    <t>Answers</t>
  </si>
  <si>
    <t>FP&amp;A Task</t>
  </si>
  <si>
    <t>Questions (please round your answers to two decimal places)</t>
  </si>
  <si>
    <t>ASSETS</t>
  </si>
  <si>
    <t>Current Assets</t>
  </si>
  <si>
    <t>Current Liabilities</t>
  </si>
  <si>
    <t>GROSS PROFIT</t>
  </si>
  <si>
    <t>OPERATING EXPENSES</t>
  </si>
  <si>
    <t>Total Operating Expenses</t>
  </si>
  <si>
    <t>OPERATING INCOME (EBIT)</t>
  </si>
  <si>
    <t>NON-OPERATING INCOME / (EXPENSE)</t>
  </si>
  <si>
    <t>Non-Current Assets</t>
  </si>
  <si>
    <t>TOTAL ASSETS</t>
  </si>
  <si>
    <t>Non-Current Liabilities</t>
  </si>
  <si>
    <t>All figures in millions of U.S. Dollar except per share items and percentages. Source: Illustrative / Fictional — for demonstration purposes only. Not investment advice.</t>
  </si>
  <si>
    <t xml:space="preserve">   Financial Technology (% of Rev.)</t>
  </si>
  <si>
    <t xml:space="preserve">   Healthcare Solutions (% of Rev.)</t>
  </si>
  <si>
    <t xml:space="preserve">   Industrial &amp; Automation (% of Rev.)</t>
  </si>
  <si>
    <t xml:space="preserve">   Technology &amp; Software (% of Rev.)</t>
  </si>
  <si>
    <t>SUPPLEMENTAL — SEGMENT REVENUE MIX</t>
  </si>
  <si>
    <t xml:space="preserve">   Adj. EBITDA Margin (%)</t>
  </si>
  <si>
    <t xml:space="preserve">  Adjusted EBITDA</t>
  </si>
  <si>
    <t xml:space="preserve">   (+) Restructuring &amp; Acq. Costs</t>
  </si>
  <si>
    <t xml:space="preserve">   EBITDA Margin (%)</t>
  </si>
  <si>
    <t xml:space="preserve">  EBITDA</t>
  </si>
  <si>
    <t xml:space="preserve">   (+) Total D&amp;A (COGS + SGA)</t>
  </si>
  <si>
    <t xml:space="preserve">   Operating Income (EBIT)</t>
  </si>
  <si>
    <t>EBITDA RECONCILIATION</t>
  </si>
  <si>
    <t xml:space="preserve">   Share Repurchases ($mm)</t>
  </si>
  <si>
    <t xml:space="preserve">   Dividend Payout Ratio (%)</t>
  </si>
  <si>
    <t xml:space="preserve">   Dividends Declared per Share</t>
  </si>
  <si>
    <t xml:space="preserve">  Diluted EPS</t>
  </si>
  <si>
    <t xml:space="preserve">  Basic EPS</t>
  </si>
  <si>
    <t xml:space="preserve">   Diluted Weighted-avg Shares Outstanding (mm)</t>
  </si>
  <si>
    <t xml:space="preserve">   Basic Weighted-avg Shares Outstanding (mm)</t>
  </si>
  <si>
    <t>EARNINGS PER SHARE</t>
  </si>
  <si>
    <t>NET INCOME AVAILABLE TO COMMON STOCKHOLDERS</t>
  </si>
  <si>
    <t xml:space="preserve">   Less: Preferred Stock Dividends</t>
  </si>
  <si>
    <t>NET INCOME ATTRIBUTABLE TO NXTI</t>
  </si>
  <si>
    <t xml:space="preserve">   Less: Net Income Attr. to Noncontrolling Interests</t>
  </si>
  <si>
    <t>CONSOLIDATED NET INCOME</t>
  </si>
  <si>
    <t xml:space="preserve">   Equity in Earnings / (Losses) of Affiliates</t>
  </si>
  <si>
    <t xml:space="preserve">   Effective Tax Rate (%)</t>
  </si>
  <si>
    <t xml:space="preserve">  Total Income Tax Provision</t>
  </si>
  <si>
    <t xml:space="preserve">   Deferred Tax Expense / (Benefit)</t>
  </si>
  <si>
    <t xml:space="preserve">   Current Tax Expense</t>
  </si>
  <si>
    <t>INCOME TAX PROVISION</t>
  </si>
  <si>
    <t>PRETAX INCOME</t>
  </si>
  <si>
    <t xml:space="preserve">  Total Unusual Charges</t>
  </si>
  <si>
    <t xml:space="preserve">   Environmental Remediation Charges</t>
  </si>
  <si>
    <t xml:space="preserve">   Legal &amp; Regulatory Provisions</t>
  </si>
  <si>
    <t xml:space="preserve">   PP&amp;E Impairment</t>
  </si>
  <si>
    <t xml:space="preserve">   Goodwill Impairment</t>
  </si>
  <si>
    <t>UNUSUAL / NON-RECURRING CHARGES</t>
  </si>
  <si>
    <t xml:space="preserve">  Total Interest Expense</t>
  </si>
  <si>
    <t xml:space="preserve">   Interest on Lease Liabilities</t>
  </si>
  <si>
    <t xml:space="preserve">   Interest on Short-term Borrowings</t>
  </si>
  <si>
    <t xml:space="preserve">   Interest on Long-term Debt</t>
  </si>
  <si>
    <t>INTEREST EXPENSE</t>
  </si>
  <si>
    <t xml:space="preserve">  Total Non-operating Income</t>
  </si>
  <si>
    <t xml:space="preserve">   Other Non-operating Income</t>
  </si>
  <si>
    <t xml:space="preserve">   Gain / (Loss) on Investments</t>
  </si>
  <si>
    <t xml:space="preserve">   Foreign Exchange Gain / (Loss)</t>
  </si>
  <si>
    <t xml:space="preserve">   Dividend Income</t>
  </si>
  <si>
    <t xml:space="preserve">   Interest Income</t>
  </si>
  <si>
    <t xml:space="preserve">   Other Operating Expense</t>
  </si>
  <si>
    <t xml:space="preserve">   Acquisition-related Costs</t>
  </si>
  <si>
    <t xml:space="preserve">   Restructuring &amp; Severance</t>
  </si>
  <si>
    <t xml:space="preserve">   Amortization of Acquired Intangibles</t>
  </si>
  <si>
    <t xml:space="preserve">  Total SG&amp;A Expense</t>
  </si>
  <si>
    <t xml:space="preserve">   Marketing &amp; Brand</t>
  </si>
  <si>
    <t xml:space="preserve">   General &amp; Administrative</t>
  </si>
  <si>
    <t xml:space="preserve">   Selling Expense</t>
  </si>
  <si>
    <t xml:space="preserve">  Total Research &amp; Development</t>
  </si>
  <si>
    <t xml:space="preserve">   Research &amp; Development — Acquired</t>
  </si>
  <si>
    <t xml:space="preserve">   Research &amp; Development — Core</t>
  </si>
  <si>
    <t xml:space="preserve">   Gross Margin (%)</t>
  </si>
  <si>
    <t>Total Cost of Revenues</t>
  </si>
  <si>
    <t xml:space="preserve">   Depreciation &amp; Amortization</t>
  </si>
  <si>
    <t xml:space="preserve">   Manufacturing Overhead</t>
  </si>
  <si>
    <t xml:space="preserve">   Direct Labor &amp; Wages</t>
  </si>
  <si>
    <t xml:space="preserve">   Materials &amp; Purchased Components</t>
  </si>
  <si>
    <t>COST OF REVENUES</t>
  </si>
  <si>
    <t>Total Net Revenues</t>
  </si>
  <si>
    <t xml:space="preserve">   Corporate &amp; Other</t>
  </si>
  <si>
    <t xml:space="preserve">   Financial Technology</t>
  </si>
  <si>
    <t xml:space="preserve">   Healthcare Solutions</t>
  </si>
  <si>
    <t xml:space="preserve">   Industrial &amp; Automation</t>
  </si>
  <si>
    <t xml:space="preserve">   Technology &amp; Software</t>
  </si>
  <si>
    <t>NET REVENUES</t>
  </si>
  <si>
    <t>GAAP / IFRS Consolidated Income Statement</t>
  </si>
  <si>
    <t>FY '21</t>
  </si>
  <si>
    <t>FY '22</t>
  </si>
  <si>
    <t>FY '23</t>
  </si>
  <si>
    <t>FY '24</t>
  </si>
  <si>
    <t>Source: Illustrative / Fictional Data — For Demonstration Only</t>
  </si>
  <si>
    <t>NXTI   NYSE   Common Stock</t>
  </si>
  <si>
    <t>Nexora Technologies &amp; Industrials Corp.</t>
  </si>
  <si>
    <t>$214.35   |   Consolidated Income Statement</t>
  </si>
  <si>
    <t>Nexora Technologies &amp; Industrials Corp. (NXTI)</t>
  </si>
  <si>
    <t>All figures in millions of U.S. Dollar. Source: Illustrative / Fictional — for demonstration purposes only. Not investment advice.</t>
  </si>
  <si>
    <t>TOTAL LIABILITIES &amp; SHAREHOLDERS' EQUITY</t>
  </si>
  <si>
    <t>TOTAL SHAREHOLDERS' EQUITY</t>
  </si>
  <si>
    <t xml:space="preserve">   Noncontrolling Interests</t>
  </si>
  <si>
    <t xml:space="preserve">   Treasury Stock, at Cost</t>
  </si>
  <si>
    <t xml:space="preserve">   Accumulated Other Comprehensive Loss</t>
  </si>
  <si>
    <t xml:space="preserve">   Retained Earnings</t>
  </si>
  <si>
    <t xml:space="preserve">   Additional Paid-in Capital</t>
  </si>
  <si>
    <t xml:space="preserve">   Common Stock ($0.01 par; 6,000mm auth.)</t>
  </si>
  <si>
    <t xml:space="preserve">   Preferred Stock ($0.01 par; 50mm auth.)</t>
  </si>
  <si>
    <t>Shareholders' Equity</t>
  </si>
  <si>
    <t>TOTAL LIABILITIES</t>
  </si>
  <si>
    <t>TOTAL NON-CURRENT LIABILITIES</t>
  </si>
  <si>
    <t xml:space="preserve">   Other Non-current Liabilities</t>
  </si>
  <si>
    <t xml:space="preserve">   Operating Lease Liabilities (Non-current)</t>
  </si>
  <si>
    <t xml:space="preserve">   Legal Settlement Reserve</t>
  </si>
  <si>
    <t xml:space="preserve">   Environmental Remediation Reserve</t>
  </si>
  <si>
    <t xml:space="preserve">   Other Post-employment Benefit Obligations</t>
  </si>
  <si>
    <t xml:space="preserve">   Pension &amp; Retirement Obligations</t>
  </si>
  <si>
    <t xml:space="preserve">   Deferred Income Tax Liabilities</t>
  </si>
  <si>
    <t xml:space="preserve">  Total Long-term Debt</t>
  </si>
  <si>
    <t xml:space="preserve">   Long-term Revolving Credit Facility</t>
  </si>
  <si>
    <t xml:space="preserve">   Long-term Debt — Subordinated</t>
  </si>
  <si>
    <t xml:space="preserve">   Long-term Debt — Senior Notes &amp; Bonds</t>
  </si>
  <si>
    <t>TOTAL CURRENT LIABILITIES</t>
  </si>
  <si>
    <t xml:space="preserve">   Other Current Liabilities</t>
  </si>
  <si>
    <t xml:space="preserve">   Derivative Liabilities — Current</t>
  </si>
  <si>
    <t xml:space="preserve">   Operating Lease Liabilities (Current)</t>
  </si>
  <si>
    <t xml:space="preserve">   Deferred Revenue (Current)</t>
  </si>
  <si>
    <t xml:space="preserve">   Current Portion of Long-term Debt</t>
  </si>
  <si>
    <t xml:space="preserve">   Short-term Debt &amp; Commercial Paper</t>
  </si>
  <si>
    <t xml:space="preserve">  Total Accrued Liabilities</t>
  </si>
  <si>
    <t xml:space="preserve">   Other Accrued Liabilities</t>
  </si>
  <si>
    <t xml:space="preserve">   Accrued Income Taxes</t>
  </si>
  <si>
    <t xml:space="preserve">   Accrued Employee Benefits</t>
  </si>
  <si>
    <t xml:space="preserve">   Accrued Compensation &amp; Benefits</t>
  </si>
  <si>
    <t xml:space="preserve">   Accounts Payable</t>
  </si>
  <si>
    <t>LIABILITIES &amp; SHAREHOLDERS' EQUITY</t>
  </si>
  <si>
    <t>TOTAL NON-CURRENT ASSETS</t>
  </si>
  <si>
    <t xml:space="preserve">   Other Non-current Assets</t>
  </si>
  <si>
    <t xml:space="preserve">   Derivative Assets — Non-current</t>
  </si>
  <si>
    <t xml:space="preserve">   Pension Plan Assets</t>
  </si>
  <si>
    <t xml:space="preserve">   Deferred Income Tax Assets</t>
  </si>
  <si>
    <t xml:space="preserve">  Total Long-term Investments</t>
  </si>
  <si>
    <t xml:space="preserve">   Long-term Debt Securities</t>
  </si>
  <si>
    <t xml:space="preserve">   Equity Method Investments</t>
  </si>
  <si>
    <t xml:space="preserve">  Total Intangible Assets (excl. Goodwill)</t>
  </si>
  <si>
    <t xml:space="preserve">   Intangible Assets — Developed Technology</t>
  </si>
  <si>
    <t xml:space="preserve">   Intangible Assets — Customer Relationships</t>
  </si>
  <si>
    <t xml:space="preserve">   Intangible Assets — Trade Names &amp; Marks</t>
  </si>
  <si>
    <t xml:space="preserve">   Intangible Assets — Patents</t>
  </si>
  <si>
    <t xml:space="preserve">   Goodwill</t>
  </si>
  <si>
    <t xml:space="preserve">   Operating Lease Right-of-use Assets</t>
  </si>
  <si>
    <t xml:space="preserve">  Net PP&amp;E</t>
  </si>
  <si>
    <t xml:space="preserve">   Less: Accumulated Depreciation</t>
  </si>
  <si>
    <t xml:space="preserve">  Gross PP&amp;E</t>
  </si>
  <si>
    <t xml:space="preserve">   PP&amp;E — Construction in Progress</t>
  </si>
  <si>
    <t xml:space="preserve">   PP&amp;E — Right-of-use Assets (Finance)</t>
  </si>
  <si>
    <t xml:space="preserve">   PP&amp;E — Machinery &amp; Equipment</t>
  </si>
  <si>
    <t xml:space="preserve">   PP&amp;E — Buildings &amp; Leasehold Imp.</t>
  </si>
  <si>
    <t xml:space="preserve">   PP&amp;E — Land &amp; Land Improvements</t>
  </si>
  <si>
    <t>TOTAL CURRENT ASSETS</t>
  </si>
  <si>
    <t xml:space="preserve">   Other Current Assets</t>
  </si>
  <si>
    <t xml:space="preserve">   Derivative Assets — Current</t>
  </si>
  <si>
    <t xml:space="preserve">   Income Tax Receivable</t>
  </si>
  <si>
    <t xml:space="preserve">   Prepaid Expenses</t>
  </si>
  <si>
    <t xml:space="preserve">  Total Inventories</t>
  </si>
  <si>
    <t xml:space="preserve">   Inventories — Finished Goods</t>
  </si>
  <si>
    <t xml:space="preserve">   Inventories — Work in Process</t>
  </si>
  <si>
    <t xml:space="preserve">   Inventories — Raw Materials</t>
  </si>
  <si>
    <t xml:space="preserve">        Allowance for Doubtful Accounts</t>
  </si>
  <si>
    <t xml:space="preserve">        Gross Accounts Receivable</t>
  </si>
  <si>
    <t xml:space="preserve">   Accounts Receivable, Net</t>
  </si>
  <si>
    <t xml:space="preserve">   Short-term Investments &amp; Marketable Securities</t>
  </si>
  <si>
    <t xml:space="preserve">   Cash &amp; Cash Equivalents</t>
  </si>
  <si>
    <t>GAAP / IFRS Consolidated Balance Sheet — As of Fiscal Year End</t>
  </si>
  <si>
    <t>$214.35   |   Consolidated Balance Sheet</t>
  </si>
  <si>
    <t>FY '25</t>
  </si>
  <si>
    <t xml:space="preserve"> </t>
  </si>
  <si>
    <t>You have been provided with an income statement and a balance sheet.</t>
  </si>
  <si>
    <t>- Debt-to-equity ratio</t>
  </si>
  <si>
    <t>- Current ratio</t>
  </si>
  <si>
    <t>- Quick ratio</t>
  </si>
  <si>
    <t>- Accounts receivable days</t>
  </si>
  <si>
    <t>- Inventory days</t>
  </si>
  <si>
    <t>- Accounts payable days</t>
  </si>
  <si>
    <t>- Net profit margin</t>
  </si>
  <si>
    <t>- Return on equity</t>
  </si>
  <si>
    <t>- Dividend payout ratio</t>
  </si>
  <si>
    <t>- Revenue growth</t>
  </si>
  <si>
    <t>- Net income growth</t>
  </si>
  <si>
    <t>- Asset growth</t>
  </si>
  <si>
    <t>Answer the questions using your calculated ratios.</t>
  </si>
  <si>
    <t>- Debt-to-assets ratio (use total liabilities)</t>
  </si>
  <si>
    <t>If in doubt use the standard/ most often used formula to calculate the ratio.</t>
  </si>
  <si>
    <t>Use average balance sheet values where applicable unless specified otherwise.</t>
  </si>
  <si>
    <t>- Gearing ratio (Debt-to-Capital)</t>
  </si>
  <si>
    <t>- Interest coverage ratio (use EBIT)</t>
  </si>
  <si>
    <t>- Fixed asset turnover (use avg. net fixed assets)</t>
  </si>
  <si>
    <t>- Return on assets (use net income)</t>
  </si>
  <si>
    <t>- Inventory turnover (use COGS)</t>
  </si>
  <si>
    <t>- Receivable turnover (use revenue)</t>
  </si>
  <si>
    <t>Calculate ratios given for all years (2021-2025) where sufficient data is available - also list the financial formula (not Excel formula) used to calculate each ratio:</t>
  </si>
  <si>
    <t>Assume no changes between the 2020 balance sheet and the 2021 balance sheet and the 2020 income state and the 2021 income statement.</t>
  </si>
  <si>
    <t>Ratio Analysis - Divina Proportione</t>
  </si>
  <si>
    <t>What is the Accounts receivable days for the year 2021?</t>
  </si>
  <si>
    <t>What is the Accounts receivable days for the year 2023?</t>
  </si>
  <si>
    <t>What is the Accounts receivable days for the year 2024?</t>
  </si>
  <si>
    <t>What is the Asset growth for the year 2021?</t>
  </si>
  <si>
    <t>What is the Current ratio for the year 2023?</t>
  </si>
  <si>
    <t>What is the Debt-to-assets ratio for the year 2021?</t>
  </si>
  <si>
    <t>What is the Debt-to-equity ratio for the year 2023?</t>
  </si>
  <si>
    <t>What is the Dividend payout ratio for the year 2023?</t>
  </si>
  <si>
    <t>What is the Dividend payout ratio for the year 2025?</t>
  </si>
  <si>
    <t>What is the Gearing ratio for the year 2021?</t>
  </si>
  <si>
    <t>What is the Gearing ratio for the year 2022?</t>
  </si>
  <si>
    <t>What is the Gearing ratio for the year 2023?</t>
  </si>
  <si>
    <t>What is the Inventory days for the year 2025?</t>
  </si>
  <si>
    <t>What is the Inventory turnover for the year 2025?</t>
  </si>
  <si>
    <t>What is the Net profit margin for the year 2021?</t>
  </si>
  <si>
    <t>What is the Quick ratio for the year 2021?</t>
  </si>
  <si>
    <t>What is the Receivable turnover for the year 2022?</t>
  </si>
  <si>
    <t>What is the Return on assets for the year 2023?</t>
  </si>
  <si>
    <t>What is the Return on assets for the year 2024?</t>
  </si>
  <si>
    <t>What is the Return on equity for the year 2022?</t>
  </si>
  <si>
    <t>What is the Return on equity for the year 2023?</t>
  </si>
  <si>
    <t>What is the Return on equity for the year 2025?</t>
  </si>
  <si>
    <t>What is the Revenue growth for the year 2023?</t>
  </si>
  <si>
    <t>What is the Revenue growth for the year 2025?</t>
  </si>
  <si>
    <t>What is the Return on equity for the year 2024?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</si>
</sst>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\(#,##0.0\);\-"/>
    <numFmt numFmtId="165" formatCode="0.0%;\(0.0%\);\-"/>
    <numFmt numFmtId="166" formatCode="#,##0;\(#,##0\);\-"/>
    <numFmt numFmtId="167" formatCode="#,##0.00;\(#,##0.00\);\-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</font>
    <font>
      <i/>
      <sz val="7"/>
      <color rgb="FF646464"/>
      <name val="Arial"/>
      <charset val="1"/>
    </font>
    <font>
      <sz val="8"/>
      <color rgb="FF000000"/>
      <name val="Arial"/>
      <charset val="1"/>
    </font>
    <font>
      <b/>
      <sz val="8"/>
      <color rgb="FF003366"/>
      <name val="Arial"/>
      <charset val="1"/>
    </font>
    <font>
      <sz val="8"/>
      <color rgb="FFFF0000"/>
      <name val="Arial"/>
      <charset val="1"/>
    </font>
    <font>
      <i/>
      <sz val="8"/>
      <color rgb="FF003366"/>
      <name val="Arial"/>
      <charset val="1"/>
    </font>
    <font>
      <b/>
      <sz val="10"/>
      <color rgb="FF003366"/>
      <name val="Arial"/>
      <charset val="1"/>
    </font>
  </fonts>
  <fills count="8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0F0F0"/>
        <bgColor rgb="FFD9E1F2"/>
      </patternFill>
    </fill>
    <fill>
      <patternFill patternType="solid">
        <fgColor rgb="FFD9E1F2"/>
        <bgColor rgb="FFF0F0F0"/>
      </patternFill>
    </fill>
    <fill>
      <patternFill patternType="solid">
        <fgColor rgb="FFC8C8C8"/>
        <bgColor rgb="FFD9E1F2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3366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4" fontId="8" fillId="4" borderId="2">
      <alignment horizontal="left"/>
    </xf>
    <xf numFmtId="0" fontId="9" fillId="0" borderId="0"/>
  </cellStyleXfs>
  <cellXfs count="46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2" applyFont="1"/>
    <xf numFmtId="0" fontId="4" fillId="0" borderId="0" xfId="2"/>
    <xf numFmtId="4" fontId="2" fillId="3" borderId="5" xfId="1" applyNumberFormat="1" applyFont="1" applyFill="1" applyBorder="1" applyAlignment="1">
      <alignment horizontal="center"/>
    </xf>
    <xf numFmtId="0" fontId="9" fillId="0" borderId="0" xfId="4"/>
    <xf numFmtId="0" fontId="10" fillId="0" borderId="0" xfId="4" applyFont="1" applyAlignment="1">
      <alignment horizontal="left" vertical="center"/>
    </xf>
    <xf numFmtId="165" fontId="11" fillId="5" borderId="0" xfId="4" applyNumberFormat="1" applyFont="1" applyFill="1" applyAlignment="1">
      <alignment horizontal="right" vertical="center"/>
    </xf>
    <xf numFmtId="0" fontId="11" fillId="5" borderId="0" xfId="4" applyFont="1" applyFill="1" applyAlignment="1">
      <alignment horizontal="left" vertical="center"/>
    </xf>
    <xf numFmtId="165" fontId="11" fillId="0" borderId="0" xfId="4" applyNumberFormat="1" applyFont="1" applyAlignment="1">
      <alignment horizontal="right" vertical="center"/>
    </xf>
    <xf numFmtId="0" fontId="11" fillId="0" borderId="0" xfId="4" applyFont="1" applyAlignment="1">
      <alignment horizontal="left" vertical="center"/>
    </xf>
    <xf numFmtId="0" fontId="9" fillId="6" borderId="0" xfId="4" applyFill="1"/>
    <xf numFmtId="0" fontId="12" fillId="6" borderId="0" xfId="4" applyFont="1" applyFill="1" applyAlignment="1">
      <alignment horizontal="left" vertical="center"/>
    </xf>
    <xf numFmtId="166" fontId="12" fillId="0" borderId="0" xfId="4" applyNumberFormat="1" applyFont="1" applyAlignment="1">
      <alignment horizontal="right" vertical="center"/>
    </xf>
    <xf numFmtId="0" fontId="12" fillId="0" borderId="0" xfId="4" applyFont="1" applyAlignment="1">
      <alignment horizontal="left" vertical="center"/>
    </xf>
    <xf numFmtId="166" fontId="11" fillId="5" borderId="0" xfId="4" applyNumberFormat="1" applyFont="1" applyFill="1" applyAlignment="1">
      <alignment horizontal="right" vertical="center"/>
    </xf>
    <xf numFmtId="166" fontId="12" fillId="5" borderId="0" xfId="4" applyNumberFormat="1" applyFont="1" applyFill="1" applyAlignment="1">
      <alignment horizontal="right" vertical="center"/>
    </xf>
    <xf numFmtId="0" fontId="12" fillId="5" borderId="0" xfId="4" applyFont="1" applyFill="1" applyAlignment="1">
      <alignment horizontal="left" vertical="center"/>
    </xf>
    <xf numFmtId="166" fontId="11" fillId="0" borderId="0" xfId="4" applyNumberFormat="1" applyFont="1" applyAlignment="1">
      <alignment horizontal="right" vertical="center"/>
    </xf>
    <xf numFmtId="167" fontId="11" fillId="0" borderId="0" xfId="4" applyNumberFormat="1" applyFont="1" applyAlignment="1">
      <alignment horizontal="right" vertical="center"/>
    </xf>
    <xf numFmtId="167" fontId="12" fillId="5" borderId="0" xfId="4" applyNumberFormat="1" applyFont="1" applyFill="1" applyAlignment="1">
      <alignment horizontal="right" vertical="center"/>
    </xf>
    <xf numFmtId="167" fontId="12" fillId="0" borderId="0" xfId="4" applyNumberFormat="1" applyFont="1" applyAlignment="1">
      <alignment horizontal="right" vertical="center"/>
    </xf>
    <xf numFmtId="164" fontId="11" fillId="5" borderId="0" xfId="4" applyNumberFormat="1" applyFont="1" applyFill="1" applyAlignment="1">
      <alignment horizontal="right" vertical="center"/>
    </xf>
    <xf numFmtId="164" fontId="11" fillId="0" borderId="0" xfId="4" applyNumberFormat="1" applyFont="1" applyAlignment="1">
      <alignment horizontal="right" vertical="center"/>
    </xf>
    <xf numFmtId="166" fontId="12" fillId="0" borderId="6" xfId="4" applyNumberFormat="1" applyFont="1" applyBorder="1" applyAlignment="1">
      <alignment horizontal="right" vertical="center"/>
    </xf>
    <xf numFmtId="0" fontId="12" fillId="0" borderId="6" xfId="4" applyFont="1" applyBorder="1" applyAlignment="1">
      <alignment horizontal="left" vertical="center"/>
    </xf>
    <xf numFmtId="166" fontId="13" fillId="5" borderId="0" xfId="4" applyNumberFormat="1" applyFont="1" applyFill="1" applyAlignment="1">
      <alignment horizontal="right" vertical="center"/>
    </xf>
    <xf numFmtId="166" fontId="12" fillId="5" borderId="6" xfId="4" applyNumberFormat="1" applyFont="1" applyFill="1" applyBorder="1" applyAlignment="1">
      <alignment horizontal="right" vertical="center"/>
    </xf>
    <xf numFmtId="0" fontId="12" fillId="5" borderId="6" xfId="4" applyFont="1" applyFill="1" applyBorder="1" applyAlignment="1">
      <alignment horizontal="left" vertical="center"/>
    </xf>
    <xf numFmtId="166" fontId="13" fillId="0" borderId="0" xfId="4" applyNumberFormat="1" applyFont="1" applyAlignment="1">
      <alignment horizontal="right" vertical="center"/>
    </xf>
    <xf numFmtId="0" fontId="12" fillId="7" borderId="0" xfId="4" applyFont="1" applyFill="1" applyAlignment="1">
      <alignment horizontal="right" vertical="center"/>
    </xf>
    <xf numFmtId="0" fontId="11" fillId="7" borderId="0" xfId="4" applyFont="1" applyFill="1" applyAlignment="1">
      <alignment horizontal="left" vertical="center"/>
    </xf>
    <xf numFmtId="0" fontId="9" fillId="7" borderId="0" xfId="4" applyFill="1"/>
    <xf numFmtId="0" fontId="12" fillId="7" borderId="0" xfId="4" applyFont="1" applyFill="1" applyAlignment="1">
      <alignment horizontal="left" vertical="center"/>
    </xf>
    <xf numFmtId="0" fontId="14" fillId="0" borderId="0" xfId="4" applyFont="1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2" fillId="0" borderId="0" xfId="1" quotePrefix="1" applyFont="1"/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</cellXfs>
  <cellStyles count="5">
    <cellStyle name="M Section Header" xfId="3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4" xr:uid="{273FDE25-047F-448D-BEF1-698059824AC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31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41" t="s">
        <v>1</v>
      </c>
      <c r="C2" s="42"/>
      <c r="D2" s="42"/>
      <c r="E2" s="42"/>
      <c r="F2" s="42"/>
      <c r="G2" s="42"/>
      <c r="H2" s="42"/>
      <c r="I2" s="42"/>
      <c r="J2" s="42"/>
      <c r="K2" s="43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44" t="s">
        <v>204</v>
      </c>
      <c r="C4" s="45"/>
      <c r="D4" s="45"/>
      <c r="E4" s="45"/>
      <c r="F4" s="45"/>
      <c r="G4" s="45"/>
      <c r="H4" s="45"/>
      <c r="I4" s="45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179</v>
      </c>
      <c r="C6" s="1"/>
      <c r="D6" s="1"/>
      <c r="E6" s="1"/>
      <c r="F6" s="1"/>
      <c r="G6" s="1"/>
      <c r="H6" s="1"/>
      <c r="I6" s="1"/>
      <c r="J6" s="1"/>
      <c r="K6" s="1"/>
    </row>
    <row r="7" spans="2:11" ht="15" customHeight="1">
      <c r="B7" s="1" t="s">
        <v>202</v>
      </c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1" t="s">
        <v>194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1" t="s">
        <v>195</v>
      </c>
      <c r="C9" s="1"/>
      <c r="D9" s="1"/>
      <c r="E9" s="1"/>
      <c r="F9" s="1"/>
      <c r="G9" s="1"/>
      <c r="H9" s="1"/>
      <c r="I9" s="1"/>
      <c r="J9" s="1"/>
      <c r="K9" s="1"/>
    </row>
    <row r="10" spans="2:11" ht="15" customHeight="1">
      <c r="B10" s="1" t="s">
        <v>203</v>
      </c>
      <c r="C10" s="1"/>
      <c r="D10" s="1"/>
      <c r="E10" s="1"/>
      <c r="F10" s="1"/>
      <c r="G10" s="1"/>
      <c r="H10" s="1"/>
      <c r="I10" s="1"/>
      <c r="J10" s="1"/>
      <c r="K10" s="1"/>
    </row>
    <row r="11" spans="2:11" ht="15" customHeight="1">
      <c r="B11" s="40" t="s">
        <v>196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15" customHeight="1">
      <c r="B12" s="1" t="s">
        <v>180</v>
      </c>
      <c r="C12" s="1"/>
      <c r="D12" s="1"/>
      <c r="E12" s="1"/>
      <c r="F12" s="1"/>
      <c r="G12" s="1"/>
      <c r="H12" s="1"/>
      <c r="I12" s="1"/>
      <c r="J12" s="1"/>
      <c r="K12" s="1"/>
    </row>
    <row r="13" spans="2:11" ht="15" customHeight="1">
      <c r="B13" s="40" t="s">
        <v>197</v>
      </c>
      <c r="C13" s="1"/>
      <c r="D13" s="1"/>
      <c r="E13" s="1"/>
      <c r="F13" s="1"/>
      <c r="G13" s="1"/>
      <c r="H13" s="1"/>
      <c r="I13" s="1"/>
      <c r="J13" s="1"/>
      <c r="K13" s="1"/>
    </row>
    <row r="14" spans="2:11" ht="15" customHeight="1">
      <c r="B14" s="40" t="s">
        <v>193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15" customHeight="1">
      <c r="B15" s="1" t="s">
        <v>181</v>
      </c>
      <c r="C15" s="1"/>
      <c r="D15" s="1"/>
      <c r="E15" s="1"/>
      <c r="F15" s="1"/>
      <c r="G15" s="1"/>
      <c r="H15" s="1"/>
      <c r="I15" s="1"/>
      <c r="J15" s="1"/>
      <c r="K15" s="1"/>
    </row>
    <row r="16" spans="2:11" ht="15" customHeight="1">
      <c r="B16" s="1" t="s">
        <v>182</v>
      </c>
      <c r="C16" s="1"/>
      <c r="D16" s="1"/>
      <c r="E16" s="1"/>
      <c r="F16" s="1"/>
      <c r="G16" s="1"/>
      <c r="H16" s="1"/>
      <c r="I16" s="1"/>
      <c r="J16" s="1"/>
      <c r="K16" s="1"/>
    </row>
    <row r="17" spans="2:11" ht="15" customHeight="1">
      <c r="B17" s="40" t="s">
        <v>201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15" customHeight="1">
      <c r="B18" s="1" t="s">
        <v>183</v>
      </c>
      <c r="C18" s="1"/>
      <c r="D18" s="1"/>
      <c r="E18" s="1"/>
      <c r="F18" s="1"/>
      <c r="G18" s="1"/>
      <c r="H18" s="1"/>
      <c r="I18" s="1"/>
      <c r="J18" s="1"/>
      <c r="K18" s="1"/>
    </row>
    <row r="19" spans="2:11" ht="15" customHeight="1">
      <c r="B19" s="40" t="s">
        <v>200</v>
      </c>
      <c r="C19" s="1"/>
      <c r="D19" s="1"/>
      <c r="E19" s="1"/>
      <c r="F19" s="1"/>
      <c r="G19" s="1"/>
      <c r="H19" s="1"/>
      <c r="I19" s="1"/>
      <c r="J19" s="1"/>
      <c r="K19" s="1"/>
    </row>
    <row r="20" spans="2:11" ht="15" customHeight="1">
      <c r="B20" s="1" t="s">
        <v>184</v>
      </c>
      <c r="C20" s="1"/>
      <c r="D20" s="1"/>
      <c r="E20" s="1"/>
      <c r="F20" s="1"/>
      <c r="G20" s="1"/>
      <c r="H20" s="1"/>
      <c r="I20" s="1"/>
      <c r="J20" s="1"/>
      <c r="K20" s="1"/>
    </row>
    <row r="21" spans="2:11" ht="15" customHeight="1">
      <c r="B21" s="1" t="s">
        <v>185</v>
      </c>
      <c r="C21" s="1"/>
      <c r="D21" s="1"/>
      <c r="E21" s="1"/>
      <c r="F21" s="1"/>
      <c r="G21" s="1"/>
      <c r="H21" s="1"/>
      <c r="I21" s="1"/>
      <c r="J21" s="1"/>
      <c r="K21" s="1"/>
    </row>
    <row r="22" spans="2:11" ht="15" customHeight="1">
      <c r="B22" s="40" t="s">
        <v>198</v>
      </c>
      <c r="C22" s="1"/>
      <c r="D22" s="1"/>
      <c r="E22" s="1"/>
      <c r="F22" s="1"/>
      <c r="G22" s="1"/>
      <c r="H22" s="1"/>
      <c r="I22" s="1"/>
      <c r="J22" s="1"/>
      <c r="K22" s="1"/>
    </row>
    <row r="23" spans="2:11" ht="15" customHeight="1">
      <c r="B23" s="1" t="s">
        <v>186</v>
      </c>
      <c r="C23" s="1"/>
      <c r="D23" s="1"/>
      <c r="E23" s="1"/>
      <c r="F23" s="1"/>
      <c r="G23" s="1"/>
      <c r="H23" s="1"/>
      <c r="I23" s="1"/>
      <c r="J23" s="1"/>
      <c r="K23" s="1"/>
    </row>
    <row r="24" spans="2:11" ht="15" customHeight="1">
      <c r="B24" s="40" t="s">
        <v>199</v>
      </c>
      <c r="C24" s="1"/>
      <c r="D24" s="1"/>
      <c r="E24" s="1"/>
      <c r="F24" s="1"/>
      <c r="G24" s="1"/>
      <c r="H24" s="1"/>
      <c r="I24" s="1"/>
      <c r="J24" s="1"/>
      <c r="K24" s="1"/>
    </row>
    <row r="25" spans="2:11" ht="15" customHeight="1">
      <c r="B25" s="1" t="s">
        <v>187</v>
      </c>
      <c r="C25" s="1"/>
      <c r="D25" s="1"/>
      <c r="E25" s="1"/>
      <c r="F25" s="1"/>
      <c r="G25" s="1"/>
      <c r="H25" s="1"/>
      <c r="I25" s="1"/>
      <c r="J25" s="1"/>
      <c r="K25" s="1"/>
    </row>
    <row r="26" spans="2:11" ht="15" customHeight="1">
      <c r="B26" s="1" t="s">
        <v>188</v>
      </c>
      <c r="C26" s="1"/>
      <c r="D26" s="1"/>
      <c r="E26" s="1"/>
      <c r="F26" s="1"/>
      <c r="G26" s="1"/>
      <c r="H26" s="1"/>
      <c r="I26" s="1"/>
      <c r="J26" s="1"/>
      <c r="K26" s="1"/>
    </row>
    <row r="27" spans="2:11" ht="15" customHeight="1">
      <c r="B27" s="1" t="s">
        <v>189</v>
      </c>
      <c r="C27" s="1"/>
      <c r="D27" s="1"/>
      <c r="E27" s="1"/>
      <c r="F27" s="1"/>
      <c r="G27" s="1"/>
      <c r="H27" s="1"/>
      <c r="I27" s="1"/>
      <c r="J27" s="1"/>
      <c r="K27" s="1"/>
    </row>
    <row r="28" spans="2:11" ht="15" customHeight="1">
      <c r="B28" s="1" t="s">
        <v>190</v>
      </c>
      <c r="C28" s="1"/>
      <c r="D28" s="1"/>
      <c r="E28" s="1"/>
      <c r="F28" s="1"/>
      <c r="G28" s="1"/>
      <c r="H28" s="1"/>
      <c r="I28" s="1"/>
      <c r="J28" s="1"/>
      <c r="K28" s="1"/>
    </row>
    <row r="29" spans="2:11" ht="15" customHeight="1">
      <c r="B29" s="1" t="s">
        <v>191</v>
      </c>
      <c r="C29" s="1"/>
      <c r="D29" s="1"/>
      <c r="E29" s="1"/>
      <c r="F29" s="1"/>
      <c r="G29" s="1"/>
      <c r="H29" s="1"/>
      <c r="I29" s="1"/>
      <c r="J29" s="1"/>
      <c r="K29" s="1"/>
    </row>
    <row r="30" spans="2:11" ht="15" customHeight="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>
      <c r="B31" s="3" t="s">
        <v>192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D00A-6068-4039-9DA4-B5DA3448BA7F}">
  <sheetPr>
    <tabColor theme="8" tint="0.39997558519241921"/>
  </sheetPr>
  <dimension ref="A1:F106"/>
  <sheetViews>
    <sheetView zoomScaleNormal="100" workbookViewId="0"/>
  </sheetViews>
  <sheetFormatPr defaultColWidth="8.6640625" defaultRowHeight="14.4"/>
  <cols>
    <col min="1" max="1" width="46" style="9" customWidth="1"/>
    <col min="2" max="6" width="11" style="9" customWidth="1"/>
    <col min="7" max="16384" width="8.6640625" style="9"/>
  </cols>
  <sheetData>
    <row r="1" spans="1:6" ht="13.5" customHeight="1">
      <c r="A1" s="39" t="s">
        <v>99</v>
      </c>
    </row>
    <row r="2" spans="1:6" ht="13.5" customHeight="1">
      <c r="A2" s="38" t="s">
        <v>98</v>
      </c>
    </row>
    <row r="3" spans="1:6" ht="13.5" customHeight="1"/>
    <row r="4" spans="1:6" ht="13.5" customHeight="1"/>
    <row r="5" spans="1:6" ht="13.5" customHeight="1">
      <c r="A5" s="37" t="s">
        <v>97</v>
      </c>
      <c r="B5" s="36"/>
      <c r="C5" s="36"/>
      <c r="D5" s="36"/>
      <c r="E5" s="36"/>
      <c r="F5" s="36"/>
    </row>
    <row r="6" spans="1:6" ht="13.5" customHeight="1">
      <c r="A6" s="37" t="s">
        <v>96</v>
      </c>
      <c r="B6" s="36"/>
      <c r="C6" s="36"/>
      <c r="D6" s="36"/>
      <c r="E6" s="36"/>
      <c r="F6" s="36"/>
    </row>
    <row r="7" spans="1:6" ht="13.5" customHeight="1">
      <c r="A7" s="37" t="s">
        <v>95</v>
      </c>
      <c r="B7" s="36"/>
      <c r="C7" s="36"/>
      <c r="D7" s="36"/>
      <c r="E7" s="36"/>
      <c r="F7" s="36"/>
    </row>
    <row r="8" spans="1:6" ht="13.5" customHeight="1">
      <c r="A8" s="35"/>
      <c r="B8" s="34" t="s">
        <v>177</v>
      </c>
      <c r="C8" s="34" t="s">
        <v>94</v>
      </c>
      <c r="D8" s="34" t="s">
        <v>93</v>
      </c>
      <c r="E8" s="34" t="s">
        <v>92</v>
      </c>
      <c r="F8" s="34" t="s">
        <v>91</v>
      </c>
    </row>
    <row r="9" spans="1:6" ht="13.5" customHeight="1">
      <c r="A9" s="14" t="s">
        <v>90</v>
      </c>
    </row>
    <row r="10" spans="1:6" ht="15" customHeight="1">
      <c r="A10" s="16" t="s">
        <v>89</v>
      </c>
      <c r="B10" s="15"/>
      <c r="C10" s="15"/>
      <c r="D10" s="15"/>
      <c r="E10" s="15"/>
      <c r="F10" s="15"/>
    </row>
    <row r="11" spans="1:6" ht="13.5" customHeight="1">
      <c r="A11" s="14" t="s">
        <v>88</v>
      </c>
      <c r="B11" s="22">
        <v>42156</v>
      </c>
      <c r="C11" s="22">
        <v>39423</v>
      </c>
      <c r="D11" s="22">
        <v>35789</v>
      </c>
      <c r="E11" s="22">
        <v>31045</v>
      </c>
      <c r="F11" s="22">
        <v>26789</v>
      </c>
    </row>
    <row r="12" spans="1:6" ht="13.5" customHeight="1">
      <c r="A12" s="12" t="s">
        <v>87</v>
      </c>
      <c r="B12" s="19">
        <v>28934</v>
      </c>
      <c r="C12" s="19">
        <v>27456</v>
      </c>
      <c r="D12" s="19">
        <v>25123</v>
      </c>
      <c r="E12" s="19">
        <v>22678</v>
      </c>
      <c r="F12" s="19">
        <v>19456</v>
      </c>
    </row>
    <row r="13" spans="1:6" ht="13.5" customHeight="1">
      <c r="A13" s="14" t="s">
        <v>86</v>
      </c>
      <c r="B13" s="22">
        <v>18723</v>
      </c>
      <c r="C13" s="22">
        <v>17234</v>
      </c>
      <c r="D13" s="22">
        <v>15678</v>
      </c>
      <c r="E13" s="22">
        <v>13456</v>
      </c>
      <c r="F13" s="22">
        <v>10234</v>
      </c>
    </row>
    <row r="14" spans="1:6" ht="13.5" customHeight="1">
      <c r="A14" s="12" t="s">
        <v>85</v>
      </c>
      <c r="B14" s="19">
        <v>9234</v>
      </c>
      <c r="C14" s="19">
        <v>8789</v>
      </c>
      <c r="D14" s="19">
        <v>7956</v>
      </c>
      <c r="E14" s="19">
        <v>7123</v>
      </c>
      <c r="F14" s="19">
        <v>6234</v>
      </c>
    </row>
    <row r="15" spans="1:6" ht="13.5" customHeight="1">
      <c r="A15" s="14" t="s">
        <v>84</v>
      </c>
      <c r="B15" s="22">
        <v>2345</v>
      </c>
      <c r="C15" s="22">
        <v>2156</v>
      </c>
      <c r="D15" s="22">
        <v>1987</v>
      </c>
      <c r="E15" s="22">
        <v>1789</v>
      </c>
      <c r="F15" s="22">
        <v>1456</v>
      </c>
    </row>
    <row r="16" spans="1:6" ht="13.5" customHeight="1" thickBot="1">
      <c r="A16" s="32" t="s">
        <v>83</v>
      </c>
      <c r="B16" s="31">
        <f>B11+B12+B13+B14+B15</f>
        <v>101392</v>
      </c>
      <c r="C16" s="31">
        <f>C11+C12+C13+C14+C15</f>
        <v>95058</v>
      </c>
      <c r="D16" s="31">
        <f>D11+D12+D13+D14+D15</f>
        <v>86533</v>
      </c>
      <c r="E16" s="31">
        <f>E11+E12+E13+E14+E15</f>
        <v>76091</v>
      </c>
      <c r="F16" s="31">
        <f>F11+F12+F13+F14+F15</f>
        <v>64169</v>
      </c>
    </row>
    <row r="17" spans="1:6" ht="4.5" customHeight="1"/>
    <row r="18" spans="1:6" ht="15" customHeight="1">
      <c r="A18" s="16" t="s">
        <v>82</v>
      </c>
      <c r="B18" s="15"/>
      <c r="C18" s="15"/>
      <c r="D18" s="15"/>
      <c r="E18" s="15"/>
      <c r="F18" s="15"/>
    </row>
    <row r="19" spans="1:6" ht="13.5" customHeight="1">
      <c r="A19" s="14" t="s">
        <v>81</v>
      </c>
      <c r="B19" s="22">
        <v>22134</v>
      </c>
      <c r="C19" s="22">
        <v>20456</v>
      </c>
      <c r="D19" s="22">
        <v>18234</v>
      </c>
      <c r="E19" s="22">
        <v>15987</v>
      </c>
      <c r="F19" s="22">
        <v>13456</v>
      </c>
    </row>
    <row r="20" spans="1:6" ht="13.5" customHeight="1">
      <c r="A20" s="12" t="s">
        <v>80</v>
      </c>
      <c r="B20" s="19">
        <v>8456</v>
      </c>
      <c r="C20" s="19">
        <v>7923</v>
      </c>
      <c r="D20" s="19">
        <v>7234</v>
      </c>
      <c r="E20" s="19">
        <v>6512</v>
      </c>
      <c r="F20" s="19">
        <v>5678</v>
      </c>
    </row>
    <row r="21" spans="1:6" ht="13.5" customHeight="1">
      <c r="A21" s="14" t="s">
        <v>79</v>
      </c>
      <c r="B21" s="22">
        <v>5234</v>
      </c>
      <c r="C21" s="22">
        <v>4987</v>
      </c>
      <c r="D21" s="22">
        <v>4523</v>
      </c>
      <c r="E21" s="22">
        <v>4123</v>
      </c>
      <c r="F21" s="22">
        <v>3567</v>
      </c>
    </row>
    <row r="22" spans="1:6" ht="13.5" customHeight="1">
      <c r="A22" s="12" t="s">
        <v>78</v>
      </c>
      <c r="B22" s="19">
        <v>3456</v>
      </c>
      <c r="C22" s="19">
        <v>3234</v>
      </c>
      <c r="D22" s="19">
        <v>2987</v>
      </c>
      <c r="E22" s="19">
        <v>2756</v>
      </c>
      <c r="F22" s="19">
        <v>2512</v>
      </c>
    </row>
    <row r="23" spans="1:6" ht="13.5" customHeight="1" thickBot="1">
      <c r="A23" s="29" t="s">
        <v>77</v>
      </c>
      <c r="B23" s="28">
        <f>B19+B20+B21+B22</f>
        <v>39280</v>
      </c>
      <c r="C23" s="28">
        <f>C19+C20+C21+C22</f>
        <v>36600</v>
      </c>
      <c r="D23" s="28">
        <f>D19+D20+D21+D22</f>
        <v>32978</v>
      </c>
      <c r="E23" s="28">
        <f>E19+E20+E21+E22</f>
        <v>29378</v>
      </c>
      <c r="F23" s="28">
        <f>F19+F20+F21+F22</f>
        <v>25213</v>
      </c>
    </row>
    <row r="24" spans="1:6" ht="4.5" customHeight="1"/>
    <row r="25" spans="1:6" ht="13.5" customHeight="1" thickBot="1">
      <c r="A25" s="29" t="s">
        <v>6</v>
      </c>
      <c r="B25" s="28">
        <f>B16-B23</f>
        <v>62112</v>
      </c>
      <c r="C25" s="28">
        <f>C16-C23</f>
        <v>58458</v>
      </c>
      <c r="D25" s="28">
        <f>D16-D23</f>
        <v>53555</v>
      </c>
      <c r="E25" s="28">
        <f>E16-E23</f>
        <v>46713</v>
      </c>
      <c r="F25" s="28">
        <f>F16-F23</f>
        <v>38956</v>
      </c>
    </row>
    <row r="26" spans="1:6" ht="13.5" customHeight="1">
      <c r="A26" s="12" t="s">
        <v>76</v>
      </c>
      <c r="B26" s="11">
        <f>IF(B16&lt;&gt;0,B25/B16,0)</f>
        <v>0.61259270948398292</v>
      </c>
      <c r="C26" s="11">
        <f>IF(C16&lt;&gt;0,C25/C16,0)</f>
        <v>0.61497191188537526</v>
      </c>
      <c r="D26" s="11">
        <f>IF(D16&lt;&gt;0,D25/D16,0)</f>
        <v>0.61889683704482679</v>
      </c>
      <c r="E26" s="11">
        <f>IF(E16&lt;&gt;0,E25/E16,0)</f>
        <v>0.61390966080088316</v>
      </c>
      <c r="F26" s="11">
        <f>IF(F16&lt;&gt;0,F25/F16,0)</f>
        <v>0.60708441770948585</v>
      </c>
    </row>
    <row r="27" spans="1:6" ht="4.5" customHeight="1"/>
    <row r="28" spans="1:6" ht="15" customHeight="1">
      <c r="A28" s="16" t="s">
        <v>7</v>
      </c>
      <c r="B28" s="15"/>
      <c r="C28" s="15"/>
      <c r="D28" s="15"/>
      <c r="E28" s="15"/>
      <c r="F28" s="15"/>
    </row>
    <row r="29" spans="1:6" ht="13.5" customHeight="1">
      <c r="A29" s="14" t="s">
        <v>75</v>
      </c>
      <c r="B29" s="22">
        <v>7234</v>
      </c>
      <c r="C29" s="22">
        <v>6789</v>
      </c>
      <c r="D29" s="22">
        <v>6123</v>
      </c>
      <c r="E29" s="22">
        <v>5456</v>
      </c>
      <c r="F29" s="22">
        <v>4567</v>
      </c>
    </row>
    <row r="30" spans="1:6" ht="13.5" customHeight="1">
      <c r="A30" s="12" t="s">
        <v>74</v>
      </c>
      <c r="B30" s="19">
        <v>456</v>
      </c>
      <c r="C30" s="19">
        <v>389</v>
      </c>
      <c r="D30" s="19">
        <v>312</v>
      </c>
      <c r="E30" s="19">
        <v>256</v>
      </c>
      <c r="F30" s="19">
        <v>198</v>
      </c>
    </row>
    <row r="31" spans="1:6" ht="13.5" customHeight="1">
      <c r="A31" s="18" t="s">
        <v>73</v>
      </c>
      <c r="B31" s="17">
        <f>B29+B30</f>
        <v>7690</v>
      </c>
      <c r="C31" s="17">
        <f>C29+C30</f>
        <v>7178</v>
      </c>
      <c r="D31" s="17">
        <f>D29+D30</f>
        <v>6435</v>
      </c>
      <c r="E31" s="17">
        <f>E29+E30</f>
        <v>5712</v>
      </c>
      <c r="F31" s="17">
        <f>F29+F30</f>
        <v>4765</v>
      </c>
    </row>
    <row r="32" spans="1:6" ht="3.75" customHeight="1"/>
    <row r="33" spans="1:6" ht="13.5" customHeight="1">
      <c r="A33" s="14" t="s">
        <v>72</v>
      </c>
      <c r="B33" s="22">
        <v>6123</v>
      </c>
      <c r="C33" s="22">
        <v>5789</v>
      </c>
      <c r="D33" s="22">
        <v>5234</v>
      </c>
      <c r="E33" s="22">
        <v>4678</v>
      </c>
      <c r="F33" s="22">
        <v>4012</v>
      </c>
    </row>
    <row r="34" spans="1:6" ht="13.5" customHeight="1">
      <c r="A34" s="12" t="s">
        <v>71</v>
      </c>
      <c r="B34" s="19">
        <v>3456</v>
      </c>
      <c r="C34" s="19">
        <v>3234</v>
      </c>
      <c r="D34" s="19">
        <v>2978</v>
      </c>
      <c r="E34" s="19">
        <v>2712</v>
      </c>
      <c r="F34" s="19">
        <v>2345</v>
      </c>
    </row>
    <row r="35" spans="1:6" ht="13.5" customHeight="1">
      <c r="A35" s="14" t="s">
        <v>70</v>
      </c>
      <c r="B35" s="22">
        <v>2234</v>
      </c>
      <c r="C35" s="22">
        <v>2045</v>
      </c>
      <c r="D35" s="22">
        <v>1867</v>
      </c>
      <c r="E35" s="22">
        <v>1678</v>
      </c>
      <c r="F35" s="22">
        <v>1456</v>
      </c>
    </row>
    <row r="36" spans="1:6" ht="13.5" customHeight="1">
      <c r="A36" s="18" t="s">
        <v>69</v>
      </c>
      <c r="B36" s="17">
        <f>B33+B34+B35</f>
        <v>11813</v>
      </c>
      <c r="C36" s="17">
        <f>C33+C34+C35</f>
        <v>11068</v>
      </c>
      <c r="D36" s="17">
        <f>D33+D34+D35</f>
        <v>10079</v>
      </c>
      <c r="E36" s="17">
        <f>E33+E34+E35</f>
        <v>9068</v>
      </c>
      <c r="F36" s="17">
        <f>F33+F34+F35</f>
        <v>7813</v>
      </c>
    </row>
    <row r="37" spans="1:6" ht="3.75" customHeight="1"/>
    <row r="38" spans="1:6" ht="13.5" customHeight="1">
      <c r="A38" s="12" t="s">
        <v>68</v>
      </c>
      <c r="B38" s="19">
        <v>1234</v>
      </c>
      <c r="C38" s="19">
        <v>1178</v>
      </c>
      <c r="D38" s="19">
        <v>1056</v>
      </c>
      <c r="E38" s="19">
        <v>934</v>
      </c>
      <c r="F38" s="19">
        <v>812</v>
      </c>
    </row>
    <row r="39" spans="1:6" ht="13.5" customHeight="1">
      <c r="A39" s="14" t="s">
        <v>67</v>
      </c>
      <c r="B39" s="22">
        <v>456</v>
      </c>
      <c r="C39" s="22">
        <v>678</v>
      </c>
      <c r="D39" s="22">
        <v>345</v>
      </c>
      <c r="E39" s="22">
        <v>234</v>
      </c>
      <c r="F39" s="22">
        <v>123</v>
      </c>
    </row>
    <row r="40" spans="1:6" ht="13.5" customHeight="1">
      <c r="A40" s="12" t="s">
        <v>66</v>
      </c>
      <c r="B40" s="19">
        <v>234</v>
      </c>
      <c r="C40" s="19">
        <v>456</v>
      </c>
      <c r="D40" s="19">
        <v>123</v>
      </c>
      <c r="E40" s="19">
        <v>198</v>
      </c>
      <c r="F40" s="19">
        <v>89</v>
      </c>
    </row>
    <row r="41" spans="1:6" ht="13.5" customHeight="1">
      <c r="A41" s="14" t="s">
        <v>65</v>
      </c>
      <c r="B41" s="22">
        <v>123</v>
      </c>
      <c r="C41" s="22">
        <v>156</v>
      </c>
      <c r="D41" s="22">
        <v>98</v>
      </c>
      <c r="E41" s="22">
        <v>87</v>
      </c>
      <c r="F41" s="22">
        <v>67</v>
      </c>
    </row>
    <row r="42" spans="1:6" ht="13.5" customHeight="1" thickBot="1">
      <c r="A42" s="32" t="s">
        <v>8</v>
      </c>
      <c r="B42" s="31">
        <f>B31+B36+B38+B39+B40+B41</f>
        <v>21550</v>
      </c>
      <c r="C42" s="31">
        <f>C31+C36+C38+C39+C40+C41</f>
        <v>20714</v>
      </c>
      <c r="D42" s="31">
        <f>D31+D36+D38+D39+D40+D41</f>
        <v>18136</v>
      </c>
      <c r="E42" s="31">
        <f>E31+E36+E38+E39+E40+E41</f>
        <v>16233</v>
      </c>
      <c r="F42" s="31">
        <f>F31+F36+F38+F39+F40+F41</f>
        <v>13669</v>
      </c>
    </row>
    <row r="43" spans="1:6" ht="4.5" customHeight="1"/>
    <row r="44" spans="1:6" ht="13.5" customHeight="1" thickBot="1">
      <c r="A44" s="32" t="s">
        <v>9</v>
      </c>
      <c r="B44" s="31">
        <f>B25-B42</f>
        <v>40562</v>
      </c>
      <c r="C44" s="31">
        <f>C25-C42</f>
        <v>37744</v>
      </c>
      <c r="D44" s="31">
        <f>D25-D42</f>
        <v>35419</v>
      </c>
      <c r="E44" s="31">
        <f>E25-E42</f>
        <v>30480</v>
      </c>
      <c r="F44" s="31">
        <f>F25-F42</f>
        <v>25287</v>
      </c>
    </row>
    <row r="45" spans="1:6" ht="4.5" customHeight="1"/>
    <row r="46" spans="1:6" ht="15" customHeight="1">
      <c r="A46" s="16" t="s">
        <v>10</v>
      </c>
      <c r="B46" s="15"/>
      <c r="C46" s="15"/>
      <c r="D46" s="15"/>
      <c r="E46" s="15"/>
      <c r="F46" s="15"/>
    </row>
    <row r="47" spans="1:6" ht="13.5" customHeight="1">
      <c r="A47" s="12" t="s">
        <v>64</v>
      </c>
      <c r="B47" s="19">
        <v>712</v>
      </c>
      <c r="C47" s="19">
        <v>634</v>
      </c>
      <c r="D47" s="19">
        <v>512</v>
      </c>
      <c r="E47" s="19">
        <v>423</v>
      </c>
      <c r="F47" s="19">
        <v>356</v>
      </c>
    </row>
    <row r="48" spans="1:6" ht="13.5" customHeight="1">
      <c r="A48" s="14" t="s">
        <v>63</v>
      </c>
      <c r="B48" s="22">
        <v>234</v>
      </c>
      <c r="C48" s="22">
        <v>198</v>
      </c>
      <c r="D48" s="22">
        <v>167</v>
      </c>
      <c r="E48" s="22">
        <v>145</v>
      </c>
      <c r="F48" s="22">
        <v>123</v>
      </c>
    </row>
    <row r="49" spans="1:6" ht="13.5" customHeight="1">
      <c r="A49" s="12" t="s">
        <v>62</v>
      </c>
      <c r="B49" s="30">
        <v>-123</v>
      </c>
      <c r="C49" s="19">
        <v>234</v>
      </c>
      <c r="D49" s="30">
        <v>-178</v>
      </c>
      <c r="E49" s="19">
        <v>89</v>
      </c>
      <c r="F49" s="30">
        <v>-56</v>
      </c>
    </row>
    <row r="50" spans="1:6" ht="13.5" customHeight="1">
      <c r="A50" s="14" t="s">
        <v>61</v>
      </c>
      <c r="B50" s="22">
        <v>456</v>
      </c>
      <c r="C50" s="33">
        <v>-234</v>
      </c>
      <c r="D50" s="22">
        <v>567</v>
      </c>
      <c r="E50" s="22">
        <v>345</v>
      </c>
      <c r="F50" s="33">
        <v>-89</v>
      </c>
    </row>
    <row r="51" spans="1:6" ht="13.5" customHeight="1">
      <c r="A51" s="12" t="s">
        <v>60</v>
      </c>
      <c r="B51" s="19">
        <v>123</v>
      </c>
      <c r="C51" s="30">
        <v>-89</v>
      </c>
      <c r="D51" s="19">
        <v>78</v>
      </c>
      <c r="E51" s="19">
        <v>56</v>
      </c>
      <c r="F51" s="30">
        <v>-34</v>
      </c>
    </row>
    <row r="52" spans="1:6" ht="13.5" customHeight="1">
      <c r="A52" s="18" t="s">
        <v>59</v>
      </c>
      <c r="B52" s="17">
        <f>B47+B48+B49+B50+B51</f>
        <v>1402</v>
      </c>
      <c r="C52" s="17">
        <f>C47+C48+C49+C50+C51</f>
        <v>743</v>
      </c>
      <c r="D52" s="17">
        <f>D47+D48+D49+D50+D51</f>
        <v>1146</v>
      </c>
      <c r="E52" s="17">
        <f>E47+E48+E49+E50+E51</f>
        <v>1058</v>
      </c>
      <c r="F52" s="17">
        <f>F47+F48+F49+F50+F51</f>
        <v>300</v>
      </c>
    </row>
    <row r="53" spans="1:6" ht="3.75" customHeight="1"/>
    <row r="54" spans="1:6" ht="15" customHeight="1">
      <c r="A54" s="16" t="s">
        <v>58</v>
      </c>
      <c r="B54" s="15"/>
      <c r="C54" s="15"/>
      <c r="D54" s="15"/>
      <c r="E54" s="15"/>
      <c r="F54" s="15"/>
    </row>
    <row r="55" spans="1:6" ht="13.5" customHeight="1">
      <c r="A55" s="12" t="s">
        <v>57</v>
      </c>
      <c r="B55" s="19">
        <v>1234</v>
      </c>
      <c r="C55" s="19">
        <v>1156</v>
      </c>
      <c r="D55" s="19">
        <v>1023</v>
      </c>
      <c r="E55" s="19">
        <v>934</v>
      </c>
      <c r="F55" s="19">
        <v>867</v>
      </c>
    </row>
    <row r="56" spans="1:6" ht="13.5" customHeight="1">
      <c r="A56" s="14" t="s">
        <v>56</v>
      </c>
      <c r="B56" s="22">
        <v>234</v>
      </c>
      <c r="C56" s="22">
        <v>213</v>
      </c>
      <c r="D56" s="22">
        <v>198</v>
      </c>
      <c r="E56" s="22">
        <v>178</v>
      </c>
      <c r="F56" s="22">
        <v>156</v>
      </c>
    </row>
    <row r="57" spans="1:6" ht="13.5" customHeight="1">
      <c r="A57" s="12" t="s">
        <v>55</v>
      </c>
      <c r="B57" s="19">
        <v>145</v>
      </c>
      <c r="C57" s="19">
        <v>134</v>
      </c>
      <c r="D57" s="19">
        <v>123</v>
      </c>
      <c r="E57" s="19">
        <v>112</v>
      </c>
      <c r="F57" s="19">
        <v>98</v>
      </c>
    </row>
    <row r="58" spans="1:6" ht="13.5" customHeight="1">
      <c r="A58" s="18" t="s">
        <v>54</v>
      </c>
      <c r="B58" s="17">
        <f>B55+B56+B57</f>
        <v>1613</v>
      </c>
      <c r="C58" s="17">
        <f>C55+C56+C57</f>
        <v>1503</v>
      </c>
      <c r="D58" s="17">
        <f>D55+D56+D57</f>
        <v>1344</v>
      </c>
      <c r="E58" s="17">
        <f>E55+E56+E57</f>
        <v>1224</v>
      </c>
      <c r="F58" s="17">
        <f>F55+F56+F57</f>
        <v>1121</v>
      </c>
    </row>
    <row r="59" spans="1:6" ht="3.75" customHeight="1"/>
    <row r="60" spans="1:6" ht="15" customHeight="1">
      <c r="A60" s="16" t="s">
        <v>53</v>
      </c>
      <c r="B60" s="15"/>
      <c r="C60" s="15"/>
      <c r="D60" s="15"/>
      <c r="E60" s="15"/>
      <c r="F60" s="15"/>
    </row>
    <row r="61" spans="1:6" ht="13.5" customHeight="1">
      <c r="A61" s="12" t="s">
        <v>52</v>
      </c>
      <c r="B61" s="19">
        <v>0</v>
      </c>
      <c r="C61" s="19">
        <v>1234</v>
      </c>
      <c r="D61" s="19">
        <v>0</v>
      </c>
      <c r="E61" s="19">
        <v>456</v>
      </c>
      <c r="F61" s="19">
        <v>0</v>
      </c>
    </row>
    <row r="62" spans="1:6" ht="13.5" customHeight="1">
      <c r="A62" s="14" t="s">
        <v>51</v>
      </c>
      <c r="B62" s="22">
        <v>123</v>
      </c>
      <c r="C62" s="22">
        <v>234</v>
      </c>
      <c r="D62" s="22">
        <v>0</v>
      </c>
      <c r="E62" s="22">
        <v>89</v>
      </c>
      <c r="F62" s="22">
        <v>0</v>
      </c>
    </row>
    <row r="63" spans="1:6" ht="13.5" customHeight="1">
      <c r="A63" s="12" t="s">
        <v>50</v>
      </c>
      <c r="B63" s="19">
        <v>456</v>
      </c>
      <c r="C63" s="19">
        <v>567</v>
      </c>
      <c r="D63" s="19">
        <v>345</v>
      </c>
      <c r="E63" s="19">
        <v>234</v>
      </c>
      <c r="F63" s="19">
        <v>123</v>
      </c>
    </row>
    <row r="64" spans="1:6" ht="13.5" customHeight="1">
      <c r="A64" s="14" t="s">
        <v>49</v>
      </c>
      <c r="B64" s="22">
        <v>123</v>
      </c>
      <c r="C64" s="22">
        <v>89</v>
      </c>
      <c r="D64" s="22">
        <v>156</v>
      </c>
      <c r="E64" s="22">
        <v>67</v>
      </c>
      <c r="F64" s="22">
        <v>45</v>
      </c>
    </row>
    <row r="65" spans="1:6" ht="13.5" customHeight="1">
      <c r="A65" s="21" t="s">
        <v>48</v>
      </c>
      <c r="B65" s="20">
        <f>B61+B62+B63+B64</f>
        <v>702</v>
      </c>
      <c r="C65" s="20">
        <f>C61+C62+C63+C64</f>
        <v>2124</v>
      </c>
      <c r="D65" s="20">
        <f>D61+D62+D63+D64</f>
        <v>501</v>
      </c>
      <c r="E65" s="20">
        <f>E61+E62+E63+E64</f>
        <v>846</v>
      </c>
      <c r="F65" s="20">
        <f>F61+F62+F63+F64</f>
        <v>168</v>
      </c>
    </row>
    <row r="66" spans="1:6" ht="4.5" customHeight="1"/>
    <row r="67" spans="1:6" ht="13.5" customHeight="1" thickBot="1">
      <c r="A67" s="32" t="s">
        <v>47</v>
      </c>
      <c r="B67" s="31">
        <f>B44+B52-B58-B65</f>
        <v>39649</v>
      </c>
      <c r="C67" s="31">
        <f>C44+C52-C58-C65</f>
        <v>34860</v>
      </c>
      <c r="D67" s="31">
        <f>D44+D52-D58-D65</f>
        <v>34720</v>
      </c>
      <c r="E67" s="31">
        <f>E44+E52-E58-E65</f>
        <v>29468</v>
      </c>
      <c r="F67" s="31">
        <f>F44+F52-F58-F65</f>
        <v>24298</v>
      </c>
    </row>
    <row r="68" spans="1:6" ht="3.75" customHeight="1"/>
    <row r="69" spans="1:6" ht="15" customHeight="1">
      <c r="A69" s="16" t="s">
        <v>46</v>
      </c>
      <c r="B69" s="15"/>
      <c r="C69" s="15"/>
      <c r="D69" s="15"/>
      <c r="E69" s="15"/>
      <c r="F69" s="15"/>
    </row>
    <row r="70" spans="1:6" ht="13.5" customHeight="1">
      <c r="A70" s="14" t="s">
        <v>45</v>
      </c>
      <c r="B70" s="22">
        <v>5551</v>
      </c>
      <c r="C70" s="22">
        <v>4880</v>
      </c>
      <c r="D70" s="22">
        <v>4861</v>
      </c>
      <c r="E70" s="22">
        <v>4126</v>
      </c>
      <c r="F70" s="22">
        <v>3402</v>
      </c>
    </row>
    <row r="71" spans="1:6" ht="13.5" customHeight="1">
      <c r="A71" s="12" t="s">
        <v>44</v>
      </c>
      <c r="B71" s="19">
        <v>2775</v>
      </c>
      <c r="C71" s="19">
        <v>2440</v>
      </c>
      <c r="D71" s="19">
        <v>2430</v>
      </c>
      <c r="E71" s="19">
        <v>2063</v>
      </c>
      <c r="F71" s="19">
        <v>1701</v>
      </c>
    </row>
    <row r="72" spans="1:6" ht="13.5" customHeight="1">
      <c r="A72" s="18" t="s">
        <v>43</v>
      </c>
      <c r="B72" s="17">
        <f>B70+B71</f>
        <v>8326</v>
      </c>
      <c r="C72" s="17">
        <f>C70+C71</f>
        <v>7320</v>
      </c>
      <c r="D72" s="17">
        <f>D70+D71</f>
        <v>7291</v>
      </c>
      <c r="E72" s="17">
        <f>E70+E71</f>
        <v>6189</v>
      </c>
      <c r="F72" s="17">
        <f>F70+F71</f>
        <v>5103</v>
      </c>
    </row>
    <row r="73" spans="1:6" ht="13.5" customHeight="1">
      <c r="A73" s="12" t="s">
        <v>42</v>
      </c>
      <c r="B73" s="11">
        <f>IF(B67&lt;&gt;0,B72/B67,0)</f>
        <v>0.20999268581805342</v>
      </c>
      <c r="C73" s="11">
        <f>IF(C67&lt;&gt;0,C72/C67,0)</f>
        <v>0.20998278829604131</v>
      </c>
      <c r="D73" s="11">
        <f>IF(D67&lt;&gt;0,D72/D67,0)</f>
        <v>0.2099942396313364</v>
      </c>
      <c r="E73" s="11">
        <f>IF(E67&lt;&gt;0,E72/E67,0)</f>
        <v>0.21002443328356182</v>
      </c>
      <c r="F73" s="11">
        <f>IF(F67&lt;&gt;0,F72/F67,0)</f>
        <v>0.21001728537328176</v>
      </c>
    </row>
    <row r="74" spans="1:6" ht="4.5" customHeight="1"/>
    <row r="75" spans="1:6" ht="13.5" customHeight="1">
      <c r="A75" s="12" t="s">
        <v>41</v>
      </c>
      <c r="B75" s="30">
        <v>-145</v>
      </c>
      <c r="C75" s="30">
        <v>-134</v>
      </c>
      <c r="D75" s="30">
        <v>-123</v>
      </c>
      <c r="E75" s="30">
        <v>-112</v>
      </c>
      <c r="F75" s="30">
        <v>-98</v>
      </c>
    </row>
    <row r="76" spans="1:6" ht="13.5" customHeight="1" thickBot="1">
      <c r="A76" s="29" t="s">
        <v>40</v>
      </c>
      <c r="B76" s="28">
        <f>B67-B72+B75</f>
        <v>31178</v>
      </c>
      <c r="C76" s="28">
        <f>C67-C72+C75</f>
        <v>27406</v>
      </c>
      <c r="D76" s="28">
        <f>D67-D72+D75</f>
        <v>27306</v>
      </c>
      <c r="E76" s="28">
        <f>E67-E72+E75</f>
        <v>23167</v>
      </c>
      <c r="F76" s="28">
        <f>F67-F72+F75</f>
        <v>19097</v>
      </c>
    </row>
    <row r="77" spans="1:6" ht="13.5" customHeight="1">
      <c r="A77" s="12" t="s">
        <v>39</v>
      </c>
      <c r="B77" s="19">
        <v>312</v>
      </c>
      <c r="C77" s="19">
        <v>289</v>
      </c>
      <c r="D77" s="19">
        <v>267</v>
      </c>
      <c r="E77" s="19">
        <v>245</v>
      </c>
      <c r="F77" s="19">
        <v>223</v>
      </c>
    </row>
    <row r="78" spans="1:6" ht="13.5" customHeight="1" thickBot="1">
      <c r="A78" s="29" t="s">
        <v>38</v>
      </c>
      <c r="B78" s="28">
        <f>B76-B77</f>
        <v>30866</v>
      </c>
      <c r="C78" s="28">
        <f>C76-C77</f>
        <v>27117</v>
      </c>
      <c r="D78" s="28">
        <f>D76-D77</f>
        <v>27039</v>
      </c>
      <c r="E78" s="28">
        <f>E76-E77</f>
        <v>22922</v>
      </c>
      <c r="F78" s="28">
        <f>F76-F77</f>
        <v>18874</v>
      </c>
    </row>
    <row r="79" spans="1:6" ht="13.5" customHeight="1">
      <c r="A79" s="12" t="s">
        <v>37</v>
      </c>
      <c r="B79" s="19">
        <v>45</v>
      </c>
      <c r="C79" s="19">
        <v>45</v>
      </c>
      <c r="D79" s="19">
        <v>45</v>
      </c>
      <c r="E79" s="19">
        <v>45</v>
      </c>
      <c r="F79" s="19">
        <v>45</v>
      </c>
    </row>
    <row r="80" spans="1:6" ht="13.5" customHeight="1" thickBot="1">
      <c r="A80" s="29" t="s">
        <v>36</v>
      </c>
      <c r="B80" s="28">
        <f>B78-B79</f>
        <v>30821</v>
      </c>
      <c r="C80" s="28">
        <f>C78-C79</f>
        <v>27072</v>
      </c>
      <c r="D80" s="28">
        <f>D78-D79</f>
        <v>26994</v>
      </c>
      <c r="E80" s="28">
        <f>E78-E79</f>
        <v>22877</v>
      </c>
      <c r="F80" s="28">
        <f>F78-F79</f>
        <v>18829</v>
      </c>
    </row>
    <row r="81" spans="1:6" ht="4.5" customHeight="1"/>
    <row r="82" spans="1:6" ht="15" customHeight="1">
      <c r="A82" s="16" t="s">
        <v>35</v>
      </c>
      <c r="B82" s="15"/>
      <c r="C82" s="15"/>
      <c r="D82" s="15"/>
      <c r="E82" s="15"/>
      <c r="F82" s="15"/>
    </row>
    <row r="83" spans="1:6" ht="13.5" customHeight="1">
      <c r="A83" s="14" t="s">
        <v>34</v>
      </c>
      <c r="B83" s="27">
        <v>3456.7</v>
      </c>
      <c r="C83" s="27">
        <v>3512.3</v>
      </c>
      <c r="D83" s="27">
        <v>3589.6</v>
      </c>
      <c r="E83" s="27">
        <v>3634.2</v>
      </c>
      <c r="F83" s="27">
        <v>3678.9</v>
      </c>
    </row>
    <row r="84" spans="1:6" ht="13.5" customHeight="1">
      <c r="A84" s="12" t="s">
        <v>33</v>
      </c>
      <c r="B84" s="26">
        <v>3523.4</v>
      </c>
      <c r="C84" s="26">
        <v>3578.9</v>
      </c>
      <c r="D84" s="26">
        <v>3656.7</v>
      </c>
      <c r="E84" s="26">
        <v>3701.2</v>
      </c>
      <c r="F84" s="26">
        <v>3745.6</v>
      </c>
    </row>
    <row r="85" spans="1:6" ht="13.5" customHeight="1">
      <c r="A85" s="18" t="s">
        <v>32</v>
      </c>
      <c r="B85" s="25">
        <f>IF(B83&lt;&gt;0,B80/B83,0)</f>
        <v>8.916307460873087</v>
      </c>
      <c r="C85" s="25">
        <f>IF(C83&lt;&gt;0,C80/C83,0)</f>
        <v>7.7077698374284651</v>
      </c>
      <c r="D85" s="25">
        <f>IF(D83&lt;&gt;0,D80/D83,0)</f>
        <v>7.5200579451749503</v>
      </c>
      <c r="E85" s="25">
        <f>IF(E83&lt;&gt;0,E80/E83,0)</f>
        <v>6.2949204776842222</v>
      </c>
      <c r="F85" s="25">
        <f>IF(F83&lt;&gt;0,F80/F83,0)</f>
        <v>5.1181059555845492</v>
      </c>
    </row>
    <row r="86" spans="1:6" ht="13.5" customHeight="1">
      <c r="A86" s="21" t="s">
        <v>31</v>
      </c>
      <c r="B86" s="24">
        <f>IF(B84&lt;&gt;0,B80/B84,0)</f>
        <v>8.7475166032809213</v>
      </c>
      <c r="C86" s="24">
        <f>IF(C84&lt;&gt;0,C80/C84,0)</f>
        <v>7.5643354103216067</v>
      </c>
      <c r="D86" s="24">
        <f>IF(D84&lt;&gt;0,D80/D84,0)</f>
        <v>7.3820657970301093</v>
      </c>
      <c r="E86" s="24">
        <f>IF(E84&lt;&gt;0,E80/E84,0)</f>
        <v>6.1809683345941862</v>
      </c>
      <c r="F86" s="24">
        <f>IF(F84&lt;&gt;0,F80/F84,0)</f>
        <v>5.0269649722340883</v>
      </c>
    </row>
    <row r="87" spans="1:6" ht="13.5" customHeight="1">
      <c r="A87" s="14" t="s">
        <v>30</v>
      </c>
      <c r="B87" s="23">
        <v>2.84</v>
      </c>
      <c r="C87" s="23">
        <v>2.6</v>
      </c>
      <c r="D87" s="23">
        <v>2.36</v>
      </c>
      <c r="E87" s="23">
        <v>2.12</v>
      </c>
      <c r="F87" s="23">
        <v>1.88</v>
      </c>
    </row>
    <row r="88" spans="1:6" ht="13.5" customHeight="1">
      <c r="A88" s="12" t="s">
        <v>29</v>
      </c>
      <c r="B88" s="11">
        <f>IF(B85&lt;&gt;0,B87/B85,0)</f>
        <v>0.31851750429901687</v>
      </c>
      <c r="C88" s="11">
        <f>IF(C85&lt;&gt;0,C87/C85,0)</f>
        <v>0.33732195626477546</v>
      </c>
      <c r="D88" s="11">
        <f>IF(D85&lt;&gt;0,D87/D85,0)</f>
        <v>0.31382736904497294</v>
      </c>
      <c r="E88" s="11">
        <f>IF(E85&lt;&gt;0,E87/E85,0)</f>
        <v>0.33677947283297638</v>
      </c>
      <c r="F88" s="11">
        <f>IF(F85&lt;&gt;0,F87/F85,0)</f>
        <v>0.36732338414148391</v>
      </c>
    </row>
    <row r="89" spans="1:6" ht="13.5" customHeight="1">
      <c r="A89" s="14" t="s">
        <v>28</v>
      </c>
      <c r="B89" s="22">
        <v>4567</v>
      </c>
      <c r="C89" s="22">
        <v>5123</v>
      </c>
      <c r="D89" s="22">
        <v>3789</v>
      </c>
      <c r="E89" s="22">
        <v>4234</v>
      </c>
      <c r="F89" s="22">
        <v>2678</v>
      </c>
    </row>
    <row r="90" spans="1:6" ht="4.5" customHeight="1"/>
    <row r="91" spans="1:6" ht="15" customHeight="1">
      <c r="A91" s="16" t="s">
        <v>27</v>
      </c>
      <c r="B91" s="15"/>
      <c r="C91" s="15"/>
      <c r="D91" s="15"/>
      <c r="E91" s="15"/>
      <c r="F91" s="15"/>
    </row>
    <row r="92" spans="1:6" ht="13.5" customHeight="1">
      <c r="A92" s="12" t="s">
        <v>26</v>
      </c>
      <c r="B92" s="19">
        <f>B44</f>
        <v>40562</v>
      </c>
      <c r="C92" s="19">
        <f>C44</f>
        <v>37744</v>
      </c>
      <c r="D92" s="19">
        <f>D44</f>
        <v>35419</v>
      </c>
      <c r="E92" s="19">
        <f>E44</f>
        <v>30480</v>
      </c>
      <c r="F92" s="19">
        <f>F44</f>
        <v>25287</v>
      </c>
    </row>
    <row r="93" spans="1:6" ht="13.5" customHeight="1">
      <c r="A93" s="14" t="s">
        <v>25</v>
      </c>
      <c r="B93" s="22">
        <v>4690</v>
      </c>
      <c r="C93" s="22">
        <v>4412</v>
      </c>
      <c r="D93" s="22">
        <v>4043</v>
      </c>
      <c r="E93" s="22">
        <v>3690</v>
      </c>
      <c r="F93" s="22">
        <v>3324</v>
      </c>
    </row>
    <row r="94" spans="1:6" ht="13.5" customHeight="1">
      <c r="A94" s="21" t="s">
        <v>24</v>
      </c>
      <c r="B94" s="20">
        <f>B92+B93</f>
        <v>45252</v>
      </c>
      <c r="C94" s="20">
        <f>C92+C93</f>
        <v>42156</v>
      </c>
      <c r="D94" s="20">
        <f>D92+D93</f>
        <v>39462</v>
      </c>
      <c r="E94" s="20">
        <f>E92+E93</f>
        <v>34170</v>
      </c>
      <c r="F94" s="20">
        <f>F92+F93</f>
        <v>28611</v>
      </c>
    </row>
    <row r="95" spans="1:6" ht="13.5" customHeight="1">
      <c r="A95" s="14" t="s">
        <v>23</v>
      </c>
      <c r="B95" s="13">
        <f>IF(B16&lt;&gt;0,B94/B16,0)</f>
        <v>0.44630740097838095</v>
      </c>
      <c r="C95" s="13">
        <f>IF(C16&lt;&gt;0,C94/C16,0)</f>
        <v>0.44347661427759894</v>
      </c>
      <c r="D95" s="13">
        <f>IF(D16&lt;&gt;0,D94/D16,0)</f>
        <v>0.45603411415298212</v>
      </c>
      <c r="E95" s="13">
        <f>IF(E16&lt;&gt;0,E94/E16,0)</f>
        <v>0.44906756383803603</v>
      </c>
      <c r="F95" s="13">
        <f>IF(F16&lt;&gt;0,F94/F16,0)</f>
        <v>0.44586950084931976</v>
      </c>
    </row>
    <row r="96" spans="1:6" ht="13.5" customHeight="1">
      <c r="A96" s="12" t="s">
        <v>22</v>
      </c>
      <c r="B96" s="19">
        <v>690</v>
      </c>
      <c r="C96" s="19">
        <v>1134</v>
      </c>
      <c r="D96" s="19">
        <v>468</v>
      </c>
      <c r="E96" s="19">
        <v>432</v>
      </c>
      <c r="F96" s="19">
        <v>212</v>
      </c>
    </row>
    <row r="97" spans="1:6" ht="13.5" customHeight="1">
      <c r="A97" s="18" t="s">
        <v>21</v>
      </c>
      <c r="B97" s="17">
        <f>B94+B96</f>
        <v>45942</v>
      </c>
      <c r="C97" s="17">
        <f>C94+C96</f>
        <v>43290</v>
      </c>
      <c r="D97" s="17">
        <f>D94+D96</f>
        <v>39930</v>
      </c>
      <c r="E97" s="17">
        <f>E94+E96</f>
        <v>34602</v>
      </c>
      <c r="F97" s="17">
        <f>F94+F96</f>
        <v>28823</v>
      </c>
    </row>
    <row r="98" spans="1:6" ht="13.5" customHeight="1">
      <c r="A98" s="12" t="s">
        <v>20</v>
      </c>
      <c r="B98" s="11">
        <f>IF(B16&lt;&gt;0,B97/B16,0)</f>
        <v>0.45311267161117247</v>
      </c>
      <c r="C98" s="11">
        <f>IF(C16&lt;&gt;0,C97/C16,0)</f>
        <v>0.45540617307328157</v>
      </c>
      <c r="D98" s="11">
        <f>IF(D16&lt;&gt;0,D97/D16,0)</f>
        <v>0.46144245547941248</v>
      </c>
      <c r="E98" s="11">
        <f>IF(E16&lt;&gt;0,E97/E16,0)</f>
        <v>0.45474497640982509</v>
      </c>
      <c r="F98" s="11">
        <f>IF(F16&lt;&gt;0,F97/F16,0)</f>
        <v>0.44917327681590802</v>
      </c>
    </row>
    <row r="99" spans="1:6" ht="4.5" customHeight="1"/>
    <row r="100" spans="1:6" ht="15" customHeight="1">
      <c r="A100" s="16" t="s">
        <v>19</v>
      </c>
      <c r="B100" s="15"/>
      <c r="C100" s="15"/>
      <c r="D100" s="15"/>
      <c r="E100" s="15"/>
      <c r="F100" s="15"/>
    </row>
    <row r="101" spans="1:6" ht="13.5" customHeight="1">
      <c r="A101" s="14" t="s">
        <v>18</v>
      </c>
      <c r="B101" s="13">
        <f>IF(B16&lt;&gt;0,B11/B16,0)</f>
        <v>0.41577244753037718</v>
      </c>
      <c r="C101" s="13">
        <f>IF(C16&lt;&gt;0,C11/C16,0)</f>
        <v>0.41472574638641674</v>
      </c>
      <c r="D101" s="13">
        <f>IF(D16&lt;&gt;0,D11/D16,0)</f>
        <v>0.41358787976841205</v>
      </c>
      <c r="E101" s="13">
        <f>IF(E16&lt;&gt;0,E11/E16,0)</f>
        <v>0.40799831780368245</v>
      </c>
      <c r="F101" s="13">
        <f>IF(F16&lt;&gt;0,F11/F16,0)</f>
        <v>0.41747572815533979</v>
      </c>
    </row>
    <row r="102" spans="1:6" ht="13.5" customHeight="1">
      <c r="A102" s="12" t="s">
        <v>17</v>
      </c>
      <c r="B102" s="11">
        <f>IF(B16&lt;&gt;0,B12/B16,0)</f>
        <v>0.28536768186839201</v>
      </c>
      <c r="C102" s="11">
        <f>IF(C16&lt;&gt;0,C12/C16,0)</f>
        <v>0.28883418544467587</v>
      </c>
      <c r="D102" s="11">
        <f>IF(D16&lt;&gt;0,D12/D16,0)</f>
        <v>0.29032854517929574</v>
      </c>
      <c r="E102" s="11">
        <f>IF(E16&lt;&gt;0,E12/E16,0)</f>
        <v>0.29803787570146273</v>
      </c>
      <c r="F102" s="11">
        <f>IF(F16&lt;&gt;0,F12/F16,0)</f>
        <v>0.30319936417896493</v>
      </c>
    </row>
    <row r="103" spans="1:6" ht="13.5" customHeight="1">
      <c r="A103" s="14" t="s">
        <v>16</v>
      </c>
      <c r="B103" s="13">
        <f>IF(B16&lt;&gt;0,B13/B16,0)</f>
        <v>0.18465953921413919</v>
      </c>
      <c r="C103" s="13">
        <f>IF(C16&lt;&gt;0,C13/C16,0)</f>
        <v>0.18129983799364599</v>
      </c>
      <c r="D103" s="13">
        <f>IF(D16&lt;&gt;0,D13/D16,0)</f>
        <v>0.1811794344354177</v>
      </c>
      <c r="E103" s="13">
        <f>IF(E16&lt;&gt;0,E13/E16,0)</f>
        <v>0.17684088788424387</v>
      </c>
      <c r="F103" s="13">
        <f>IF(F16&lt;&gt;0,F13/F16,0)</f>
        <v>0.159485109632377</v>
      </c>
    </row>
    <row r="104" spans="1:6" ht="13.5" customHeight="1">
      <c r="A104" s="12" t="s">
        <v>15</v>
      </c>
      <c r="B104" s="11">
        <f>IF(B16&lt;&gt;0,B14/B16,0)</f>
        <v>9.1072273946662452E-2</v>
      </c>
      <c r="C104" s="11">
        <f>IF(C16&lt;&gt;0,C14/C16,0)</f>
        <v>9.2459340613099378E-2</v>
      </c>
      <c r="D104" s="11">
        <f>IF(D16&lt;&gt;0,D14/D16,0)</f>
        <v>9.1941802549316443E-2</v>
      </c>
      <c r="E104" s="11">
        <f>IF(E16&lt;&gt;0,E14/E16,0)</f>
        <v>9.3611596640864228E-2</v>
      </c>
      <c r="F104" s="11">
        <f>IF(F16&lt;&gt;0,F14/F16,0)</f>
        <v>9.7149714036372709E-2</v>
      </c>
    </row>
    <row r="105" spans="1:6" ht="4.5" customHeight="1"/>
    <row r="106" spans="1:6" ht="12.75" customHeight="1">
      <c r="A106" s="10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2A55-478E-46EA-8A94-8194957F5547}">
  <sheetPr>
    <tabColor theme="8" tint="0.39997558519241921"/>
  </sheetPr>
  <dimension ref="A1:F104"/>
  <sheetViews>
    <sheetView zoomScaleNormal="100" workbookViewId="0"/>
  </sheetViews>
  <sheetFormatPr defaultColWidth="8.6640625" defaultRowHeight="14.4"/>
  <cols>
    <col min="1" max="1" width="46" style="9" customWidth="1"/>
    <col min="2" max="6" width="11" style="9" customWidth="1"/>
    <col min="7" max="16384" width="8.6640625" style="9"/>
  </cols>
  <sheetData>
    <row r="1" spans="1:6" ht="13.5" customHeight="1">
      <c r="A1" s="39" t="s">
        <v>99</v>
      </c>
    </row>
    <row r="2" spans="1:6" ht="13.5" customHeight="1">
      <c r="A2" s="38" t="s">
        <v>176</v>
      </c>
    </row>
    <row r="3" spans="1:6" ht="13.5" customHeight="1"/>
    <row r="4" spans="1:6" ht="13.5" customHeight="1"/>
    <row r="5" spans="1:6" ht="13.5" customHeight="1">
      <c r="A5" s="37" t="s">
        <v>97</v>
      </c>
      <c r="B5" s="36"/>
      <c r="C5" s="36"/>
      <c r="D5" s="36"/>
      <c r="E5" s="36"/>
      <c r="F5" s="36"/>
    </row>
    <row r="6" spans="1:6" ht="13.5" customHeight="1">
      <c r="A6" s="37" t="s">
        <v>96</v>
      </c>
      <c r="B6" s="36"/>
      <c r="C6" s="36"/>
      <c r="D6" s="36"/>
      <c r="E6" s="36"/>
      <c r="F6" s="36"/>
    </row>
    <row r="7" spans="1:6" ht="13.5" customHeight="1">
      <c r="A7" s="37" t="s">
        <v>95</v>
      </c>
      <c r="B7" s="36"/>
      <c r="C7" s="36"/>
      <c r="D7" s="36"/>
      <c r="E7" s="36"/>
      <c r="F7" s="36"/>
    </row>
    <row r="8" spans="1:6" ht="13.5" customHeight="1">
      <c r="A8" s="35"/>
      <c r="B8" s="34" t="s">
        <v>177</v>
      </c>
      <c r="C8" s="34" t="s">
        <v>94</v>
      </c>
      <c r="D8" s="34" t="s">
        <v>93</v>
      </c>
      <c r="E8" s="34" t="s">
        <v>92</v>
      </c>
      <c r="F8" s="34" t="s">
        <v>91</v>
      </c>
    </row>
    <row r="9" spans="1:6" ht="13.5" customHeight="1">
      <c r="A9" s="14" t="s">
        <v>175</v>
      </c>
    </row>
    <row r="10" spans="1:6" ht="15" customHeight="1">
      <c r="A10" s="37" t="s">
        <v>3</v>
      </c>
      <c r="B10" s="36"/>
      <c r="C10" s="36"/>
      <c r="D10" s="36"/>
      <c r="E10" s="36"/>
      <c r="F10" s="36"/>
    </row>
    <row r="11" spans="1:6" ht="15" customHeight="1">
      <c r="A11" s="16" t="s">
        <v>4</v>
      </c>
      <c r="B11" s="15"/>
      <c r="C11" s="15"/>
      <c r="D11" s="15"/>
      <c r="E11" s="15"/>
      <c r="F11" s="15"/>
    </row>
    <row r="12" spans="1:6" ht="13.5" customHeight="1">
      <c r="A12" s="12" t="s">
        <v>174</v>
      </c>
      <c r="B12" s="19">
        <v>8456</v>
      </c>
      <c r="C12" s="19">
        <v>7234</v>
      </c>
      <c r="D12" s="19">
        <v>9123</v>
      </c>
      <c r="E12" s="19">
        <v>6789</v>
      </c>
      <c r="F12" s="19">
        <v>5678</v>
      </c>
    </row>
    <row r="13" spans="1:6" ht="13.5" customHeight="1">
      <c r="A13" s="14" t="s">
        <v>173</v>
      </c>
      <c r="B13" s="22">
        <v>5234</v>
      </c>
      <c r="C13" s="22">
        <v>4567</v>
      </c>
      <c r="D13" s="22">
        <v>6234</v>
      </c>
      <c r="E13" s="22">
        <v>4123</v>
      </c>
      <c r="F13" s="22">
        <v>3456</v>
      </c>
    </row>
    <row r="14" spans="1:6" ht="13.5" customHeight="1">
      <c r="A14" s="12" t="s">
        <v>172</v>
      </c>
      <c r="B14" s="19">
        <v>12000</v>
      </c>
      <c r="C14" s="19">
        <v>11255</v>
      </c>
      <c r="D14" s="19">
        <v>9856</v>
      </c>
      <c r="E14" s="19">
        <v>9111</v>
      </c>
      <c r="F14" s="19">
        <v>7922</v>
      </c>
    </row>
    <row r="15" spans="1:6" ht="13.5" customHeight="1">
      <c r="A15" s="14" t="s">
        <v>171</v>
      </c>
      <c r="B15" s="22">
        <v>12456</v>
      </c>
      <c r="C15" s="22">
        <v>11678</v>
      </c>
      <c r="D15" s="22">
        <v>10234</v>
      </c>
      <c r="E15" s="22">
        <v>9456</v>
      </c>
      <c r="F15" s="22">
        <v>8234</v>
      </c>
    </row>
    <row r="16" spans="1:6" ht="13.5" customHeight="1">
      <c r="A16" s="12" t="s">
        <v>170</v>
      </c>
      <c r="B16" s="30">
        <v>-456</v>
      </c>
      <c r="C16" s="30">
        <v>-423</v>
      </c>
      <c r="D16" s="30">
        <v>-378</v>
      </c>
      <c r="E16" s="30">
        <v>-345</v>
      </c>
      <c r="F16" s="30">
        <v>-312</v>
      </c>
    </row>
    <row r="17" spans="1:6" ht="3.75" customHeight="1"/>
    <row r="18" spans="1:6" ht="13.5" customHeight="1">
      <c r="A18" s="12" t="s">
        <v>169</v>
      </c>
      <c r="B18" s="19">
        <v>3234</v>
      </c>
      <c r="C18" s="19">
        <v>3012</v>
      </c>
      <c r="D18" s="19">
        <v>2789</v>
      </c>
      <c r="E18" s="19">
        <v>2567</v>
      </c>
      <c r="F18" s="19">
        <v>2312</v>
      </c>
    </row>
    <row r="19" spans="1:6" ht="13.5" customHeight="1">
      <c r="A19" s="14" t="s">
        <v>168</v>
      </c>
      <c r="B19" s="22">
        <v>2456</v>
      </c>
      <c r="C19" s="22">
        <v>2234</v>
      </c>
      <c r="D19" s="22">
        <v>2012</v>
      </c>
      <c r="E19" s="22">
        <v>1789</v>
      </c>
      <c r="F19" s="22">
        <v>1567</v>
      </c>
    </row>
    <row r="20" spans="1:6" ht="13.5" customHeight="1">
      <c r="A20" s="12" t="s">
        <v>167</v>
      </c>
      <c r="B20" s="19">
        <v>4123</v>
      </c>
      <c r="C20" s="19">
        <v>3878</v>
      </c>
      <c r="D20" s="19">
        <v>3567</v>
      </c>
      <c r="E20" s="19">
        <v>3234</v>
      </c>
      <c r="F20" s="19">
        <v>2978</v>
      </c>
    </row>
    <row r="21" spans="1:6" ht="13.5" customHeight="1">
      <c r="A21" s="18" t="s">
        <v>166</v>
      </c>
      <c r="B21" s="17">
        <f>B18+B19+B20</f>
        <v>9813</v>
      </c>
      <c r="C21" s="17">
        <f>C18+C19+C20</f>
        <v>9124</v>
      </c>
      <c r="D21" s="17">
        <f>D18+D19+D20</f>
        <v>8368</v>
      </c>
      <c r="E21" s="17">
        <f>E18+E19+E20</f>
        <v>7590</v>
      </c>
      <c r="F21" s="17">
        <f>F18+F19+F20</f>
        <v>6857</v>
      </c>
    </row>
    <row r="22" spans="1:6" ht="3.75" customHeight="1"/>
    <row r="23" spans="1:6" ht="13.5" customHeight="1">
      <c r="A23" s="14" t="s">
        <v>165</v>
      </c>
      <c r="B23" s="22">
        <v>1456</v>
      </c>
      <c r="C23" s="22">
        <v>1345</v>
      </c>
      <c r="D23" s="22">
        <v>1234</v>
      </c>
      <c r="E23" s="22">
        <v>1123</v>
      </c>
      <c r="F23" s="22">
        <v>1012</v>
      </c>
    </row>
    <row r="24" spans="1:6" ht="13.5" customHeight="1">
      <c r="A24" s="12" t="s">
        <v>164</v>
      </c>
      <c r="B24" s="19">
        <v>567</v>
      </c>
      <c r="C24" s="19">
        <v>512</v>
      </c>
      <c r="D24" s="19">
        <v>456</v>
      </c>
      <c r="E24" s="19">
        <v>412</v>
      </c>
      <c r="F24" s="19">
        <v>367</v>
      </c>
    </row>
    <row r="25" spans="1:6" ht="13.5" customHeight="1">
      <c r="A25" s="14" t="s">
        <v>163</v>
      </c>
      <c r="B25" s="22">
        <v>345</v>
      </c>
      <c r="C25" s="22">
        <v>312</v>
      </c>
      <c r="D25" s="22">
        <v>278</v>
      </c>
      <c r="E25" s="22">
        <v>256</v>
      </c>
      <c r="F25" s="22">
        <v>234</v>
      </c>
    </row>
    <row r="26" spans="1:6" ht="13.5" customHeight="1">
      <c r="A26" s="12" t="s">
        <v>162</v>
      </c>
      <c r="B26" s="19">
        <v>789</v>
      </c>
      <c r="C26" s="19">
        <v>712</v>
      </c>
      <c r="D26" s="19">
        <v>645</v>
      </c>
      <c r="E26" s="19">
        <v>589</v>
      </c>
      <c r="F26" s="19">
        <v>534</v>
      </c>
    </row>
    <row r="27" spans="1:6" ht="13.5" customHeight="1" thickBot="1">
      <c r="A27" s="29" t="s">
        <v>161</v>
      </c>
      <c r="B27" s="28">
        <f>B12+B13+B14+B21+B23+B24+B25+B26</f>
        <v>38660</v>
      </c>
      <c r="C27" s="28">
        <f>C12+C13+C14+C21+C23+C24+C25+C26</f>
        <v>35061</v>
      </c>
      <c r="D27" s="28">
        <f>D12+D13+D14+D21+D23+D24+D25+D26</f>
        <v>36194</v>
      </c>
      <c r="E27" s="28">
        <f>E12+E13+E14+E21+E23+E24+E25+E26</f>
        <v>29993</v>
      </c>
      <c r="F27" s="28">
        <f>F12+F13+F14+F21+F23+F24+F25+F26</f>
        <v>26060</v>
      </c>
    </row>
    <row r="28" spans="1:6" ht="4.5" customHeight="1"/>
    <row r="29" spans="1:6" ht="15" customHeight="1">
      <c r="A29" s="16" t="s">
        <v>11</v>
      </c>
      <c r="B29" s="15"/>
      <c r="C29" s="15"/>
      <c r="D29" s="15"/>
      <c r="E29" s="15"/>
      <c r="F29" s="15"/>
    </row>
    <row r="30" spans="1:6" ht="13.5" customHeight="1">
      <c r="A30" s="12" t="s">
        <v>160</v>
      </c>
      <c r="B30" s="19">
        <v>2345</v>
      </c>
      <c r="C30" s="19">
        <v>2345</v>
      </c>
      <c r="D30" s="19">
        <v>2345</v>
      </c>
      <c r="E30" s="19">
        <v>2345</v>
      </c>
      <c r="F30" s="19">
        <v>2345</v>
      </c>
    </row>
    <row r="31" spans="1:6" ht="13.5" customHeight="1">
      <c r="A31" s="14" t="s">
        <v>159</v>
      </c>
      <c r="B31" s="22">
        <v>15678</v>
      </c>
      <c r="C31" s="22">
        <v>14567</v>
      </c>
      <c r="D31" s="22">
        <v>13456</v>
      </c>
      <c r="E31" s="22">
        <v>12345</v>
      </c>
      <c r="F31" s="22">
        <v>11234</v>
      </c>
    </row>
    <row r="32" spans="1:6" ht="13.5" customHeight="1">
      <c r="A32" s="12" t="s">
        <v>158</v>
      </c>
      <c r="B32" s="19">
        <v>28456</v>
      </c>
      <c r="C32" s="19">
        <v>26789</v>
      </c>
      <c r="D32" s="19">
        <v>24567</v>
      </c>
      <c r="E32" s="19">
        <v>22345</v>
      </c>
      <c r="F32" s="19">
        <v>20234</v>
      </c>
    </row>
    <row r="33" spans="1:6" ht="13.5" customHeight="1">
      <c r="A33" s="14" t="s">
        <v>157</v>
      </c>
      <c r="B33" s="22">
        <v>6234</v>
      </c>
      <c r="C33" s="22">
        <v>5789</v>
      </c>
      <c r="D33" s="22">
        <v>5234</v>
      </c>
      <c r="E33" s="22">
        <v>4789</v>
      </c>
      <c r="F33" s="22">
        <v>4345</v>
      </c>
    </row>
    <row r="34" spans="1:6" ht="13.5" customHeight="1">
      <c r="A34" s="12" t="s">
        <v>156</v>
      </c>
      <c r="B34" s="19">
        <v>3456</v>
      </c>
      <c r="C34" s="19">
        <v>3123</v>
      </c>
      <c r="D34" s="19">
        <v>2789</v>
      </c>
      <c r="E34" s="19">
        <v>2456</v>
      </c>
      <c r="F34" s="19">
        <v>2123</v>
      </c>
    </row>
    <row r="35" spans="1:6" ht="13.5" customHeight="1">
      <c r="A35" s="18" t="s">
        <v>155</v>
      </c>
      <c r="B35" s="17">
        <f>B30+B31+B32+B33+B34</f>
        <v>56169</v>
      </c>
      <c r="C35" s="17">
        <f>C30+C31+C32+C33+C34</f>
        <v>52613</v>
      </c>
      <c r="D35" s="17">
        <f>D30+D31+D32+D33+D34</f>
        <v>48391</v>
      </c>
      <c r="E35" s="17">
        <f>E30+E31+E32+E33+E34</f>
        <v>44280</v>
      </c>
      <c r="F35" s="17">
        <f>F30+F31+F32+F33+F34</f>
        <v>40281</v>
      </c>
    </row>
    <row r="36" spans="1:6" ht="13.5" customHeight="1">
      <c r="A36" s="12" t="s">
        <v>154</v>
      </c>
      <c r="B36" s="30">
        <v>-18456</v>
      </c>
      <c r="C36" s="30">
        <v>-16789</v>
      </c>
      <c r="D36" s="30">
        <v>-14567</v>
      </c>
      <c r="E36" s="30">
        <v>-12456</v>
      </c>
      <c r="F36" s="30">
        <v>-10567</v>
      </c>
    </row>
    <row r="37" spans="1:6" ht="13.5" customHeight="1">
      <c r="A37" s="18" t="s">
        <v>153</v>
      </c>
      <c r="B37" s="17">
        <f>B35+B36</f>
        <v>37713</v>
      </c>
      <c r="C37" s="17">
        <f>C35+C36</f>
        <v>35824</v>
      </c>
      <c r="D37" s="17">
        <f>D35+D36</f>
        <v>33824</v>
      </c>
      <c r="E37" s="17">
        <f>E35+E36</f>
        <v>31824</v>
      </c>
      <c r="F37" s="17">
        <f>F35+F36</f>
        <v>29714</v>
      </c>
    </row>
    <row r="38" spans="1:6" ht="13.5" customHeight="1">
      <c r="A38" s="12" t="s">
        <v>152</v>
      </c>
      <c r="B38" s="19">
        <v>4123</v>
      </c>
      <c r="C38" s="19">
        <v>3789</v>
      </c>
      <c r="D38" s="19">
        <v>3456</v>
      </c>
      <c r="E38" s="19">
        <v>3123</v>
      </c>
      <c r="F38" s="19">
        <v>2789</v>
      </c>
    </row>
    <row r="39" spans="1:6" ht="3.75" customHeight="1"/>
    <row r="40" spans="1:6" ht="13.5" customHeight="1">
      <c r="A40" s="12" t="s">
        <v>151</v>
      </c>
      <c r="B40" s="19">
        <v>34567</v>
      </c>
      <c r="C40" s="19">
        <v>34567</v>
      </c>
      <c r="D40" s="19">
        <v>35801</v>
      </c>
      <c r="E40" s="19">
        <v>34234</v>
      </c>
      <c r="F40" s="19">
        <v>33789</v>
      </c>
    </row>
    <row r="41" spans="1:6" ht="13.5" customHeight="1">
      <c r="A41" s="14" t="s">
        <v>150</v>
      </c>
      <c r="B41" s="22">
        <v>8234</v>
      </c>
      <c r="C41" s="22">
        <v>8789</v>
      </c>
      <c r="D41" s="22">
        <v>9234</v>
      </c>
      <c r="E41" s="22">
        <v>9789</v>
      </c>
      <c r="F41" s="22">
        <v>10234</v>
      </c>
    </row>
    <row r="42" spans="1:6" ht="13.5" customHeight="1">
      <c r="A42" s="12" t="s">
        <v>149</v>
      </c>
      <c r="B42" s="19">
        <v>3456</v>
      </c>
      <c r="C42" s="19">
        <v>3678</v>
      </c>
      <c r="D42" s="19">
        <v>3912</v>
      </c>
      <c r="E42" s="19">
        <v>4123</v>
      </c>
      <c r="F42" s="19">
        <v>4345</v>
      </c>
    </row>
    <row r="43" spans="1:6" ht="13.5" customHeight="1">
      <c r="A43" s="14" t="s">
        <v>148</v>
      </c>
      <c r="B43" s="22">
        <v>5678</v>
      </c>
      <c r="C43" s="22">
        <v>6123</v>
      </c>
      <c r="D43" s="22">
        <v>6567</v>
      </c>
      <c r="E43" s="22">
        <v>6987</v>
      </c>
      <c r="F43" s="22">
        <v>7345</v>
      </c>
    </row>
    <row r="44" spans="1:6" ht="13.5" customHeight="1">
      <c r="A44" s="12" t="s">
        <v>147</v>
      </c>
      <c r="B44" s="19">
        <v>2345</v>
      </c>
      <c r="C44" s="19">
        <v>2567</v>
      </c>
      <c r="D44" s="19">
        <v>2789</v>
      </c>
      <c r="E44" s="19">
        <v>2987</v>
      </c>
      <c r="F44" s="19">
        <v>3123</v>
      </c>
    </row>
    <row r="45" spans="1:6" ht="13.5" customHeight="1">
      <c r="A45" s="18" t="s">
        <v>146</v>
      </c>
      <c r="B45" s="17">
        <f>B41+B42+B43+B44</f>
        <v>19713</v>
      </c>
      <c r="C45" s="17">
        <f>C41+C42+C43+C44</f>
        <v>21157</v>
      </c>
      <c r="D45" s="17">
        <f>D41+D42+D43+D44</f>
        <v>22502</v>
      </c>
      <c r="E45" s="17">
        <f>E41+E42+E43+E44</f>
        <v>23886</v>
      </c>
      <c r="F45" s="17">
        <f>F41+F42+F43+F44</f>
        <v>25047</v>
      </c>
    </row>
    <row r="46" spans="1:6" ht="3.75" customHeight="1"/>
    <row r="47" spans="1:6" ht="13.5" customHeight="1">
      <c r="A47" s="14" t="s">
        <v>145</v>
      </c>
      <c r="B47" s="22">
        <v>3456</v>
      </c>
      <c r="C47" s="22">
        <v>3234</v>
      </c>
      <c r="D47" s="22">
        <v>2987</v>
      </c>
      <c r="E47" s="22">
        <v>2756</v>
      </c>
      <c r="F47" s="22">
        <v>2512</v>
      </c>
    </row>
    <row r="48" spans="1:6" ht="13.5" customHeight="1">
      <c r="A48" s="12" t="s">
        <v>144</v>
      </c>
      <c r="B48" s="19">
        <v>2234</v>
      </c>
      <c r="C48" s="19">
        <v>2012</v>
      </c>
      <c r="D48" s="19">
        <v>1789</v>
      </c>
      <c r="E48" s="19">
        <v>1567</v>
      </c>
      <c r="F48" s="19">
        <v>1345</v>
      </c>
    </row>
    <row r="49" spans="1:6" ht="13.5" customHeight="1">
      <c r="A49" s="18" t="s">
        <v>143</v>
      </c>
      <c r="B49" s="17">
        <f>B47+B48</f>
        <v>5690</v>
      </c>
      <c r="C49" s="17">
        <f>C47+C48</f>
        <v>5246</v>
      </c>
      <c r="D49" s="17">
        <f>D47+D48</f>
        <v>4776</v>
      </c>
      <c r="E49" s="17">
        <f>E47+E48</f>
        <v>4323</v>
      </c>
      <c r="F49" s="17">
        <f>F47+F48</f>
        <v>3857</v>
      </c>
    </row>
    <row r="50" spans="1:6" ht="3.75" customHeight="1"/>
    <row r="51" spans="1:6" ht="13.5" customHeight="1">
      <c r="A51" s="14" t="s">
        <v>142</v>
      </c>
      <c r="B51" s="22">
        <v>4567</v>
      </c>
      <c r="C51" s="22">
        <v>4234</v>
      </c>
      <c r="D51" s="22">
        <v>3987</v>
      </c>
      <c r="E51" s="22">
        <v>3734</v>
      </c>
      <c r="F51" s="22">
        <v>3489</v>
      </c>
    </row>
    <row r="52" spans="1:6" ht="13.5" customHeight="1">
      <c r="A52" s="12" t="s">
        <v>141</v>
      </c>
      <c r="B52" s="19">
        <v>1234</v>
      </c>
      <c r="C52" s="19">
        <v>1123</v>
      </c>
      <c r="D52" s="19">
        <v>1012</v>
      </c>
      <c r="E52" s="19">
        <v>912</v>
      </c>
      <c r="F52" s="19">
        <v>823</v>
      </c>
    </row>
    <row r="53" spans="1:6" ht="13.5" customHeight="1">
      <c r="A53" s="14" t="s">
        <v>140</v>
      </c>
      <c r="B53" s="22">
        <v>567</v>
      </c>
      <c r="C53" s="22">
        <v>512</v>
      </c>
      <c r="D53" s="22">
        <v>456</v>
      </c>
      <c r="E53" s="22">
        <v>412</v>
      </c>
      <c r="F53" s="22">
        <v>367</v>
      </c>
    </row>
    <row r="54" spans="1:6" ht="13.5" customHeight="1">
      <c r="A54" s="12" t="s">
        <v>139</v>
      </c>
      <c r="B54" s="19">
        <v>1456</v>
      </c>
      <c r="C54" s="19">
        <v>1345</v>
      </c>
      <c r="D54" s="19">
        <v>1234</v>
      </c>
      <c r="E54" s="19">
        <v>1123</v>
      </c>
      <c r="F54" s="19">
        <v>1012</v>
      </c>
    </row>
    <row r="55" spans="1:6" ht="13.5" customHeight="1" thickBot="1">
      <c r="A55" s="29" t="s">
        <v>138</v>
      </c>
      <c r="B55" s="28">
        <f>B37+B38+B40+B45+B49+B51+B52+B53+B54</f>
        <v>109630</v>
      </c>
      <c r="C55" s="28">
        <f>C37+C38+C40+C45+C49+C51+C52+C53+C54</f>
        <v>107797</v>
      </c>
      <c r="D55" s="28">
        <f>D37+D38+D40+D45+D49+D51+D52+D53+D54</f>
        <v>107048</v>
      </c>
      <c r="E55" s="28">
        <f>E37+E38+E40+E45+E49+E51+E52+E53+E54</f>
        <v>103571</v>
      </c>
      <c r="F55" s="28">
        <f>F37+F38+F40+F45+F49+F51+F52+F53+F54</f>
        <v>100887</v>
      </c>
    </row>
    <row r="56" spans="1:6" ht="4.5" customHeight="1"/>
    <row r="57" spans="1:6" ht="13.5" customHeight="1" thickBot="1">
      <c r="A57" s="29" t="s">
        <v>12</v>
      </c>
      <c r="B57" s="28">
        <f>B27+B55</f>
        <v>148290</v>
      </c>
      <c r="C57" s="28">
        <f>C27+C55</f>
        <v>142858</v>
      </c>
      <c r="D57" s="28">
        <f>D27+D55</f>
        <v>143242</v>
      </c>
      <c r="E57" s="28">
        <f>E27+E55</f>
        <v>133564</v>
      </c>
      <c r="F57" s="28">
        <f>F27+F55</f>
        <v>126947</v>
      </c>
    </row>
    <row r="58" spans="1:6" ht="4.5" customHeight="1"/>
    <row r="59" spans="1:6" ht="15" customHeight="1">
      <c r="A59" s="37" t="s">
        <v>137</v>
      </c>
      <c r="B59" s="36"/>
      <c r="C59" s="36"/>
      <c r="D59" s="36"/>
      <c r="E59" s="36"/>
      <c r="F59" s="36"/>
    </row>
    <row r="60" spans="1:6" ht="15" customHeight="1">
      <c r="A60" s="16" t="s">
        <v>5</v>
      </c>
      <c r="B60" s="15"/>
      <c r="C60" s="15"/>
      <c r="D60" s="15"/>
      <c r="E60" s="15"/>
      <c r="F60" s="15"/>
    </row>
    <row r="61" spans="1:6" ht="13.5" customHeight="1">
      <c r="A61" s="14" t="s">
        <v>136</v>
      </c>
      <c r="B61" s="22">
        <v>9234</v>
      </c>
      <c r="C61" s="22">
        <v>8678</v>
      </c>
      <c r="D61" s="22">
        <v>7956</v>
      </c>
      <c r="E61" s="22">
        <v>7234</v>
      </c>
      <c r="F61" s="22">
        <v>6512</v>
      </c>
    </row>
    <row r="62" spans="1:6" ht="13.5" customHeight="1">
      <c r="A62" s="12" t="s">
        <v>135</v>
      </c>
      <c r="B62" s="19">
        <v>3456</v>
      </c>
      <c r="C62" s="19">
        <v>3234</v>
      </c>
      <c r="D62" s="19">
        <v>2987</v>
      </c>
      <c r="E62" s="19">
        <v>2756</v>
      </c>
      <c r="F62" s="19">
        <v>2512</v>
      </c>
    </row>
    <row r="63" spans="1:6" ht="13.5" customHeight="1">
      <c r="A63" s="14" t="s">
        <v>134</v>
      </c>
      <c r="B63" s="22">
        <v>1234</v>
      </c>
      <c r="C63" s="22">
        <v>1156</v>
      </c>
      <c r="D63" s="22">
        <v>1078</v>
      </c>
      <c r="E63" s="22">
        <v>998</v>
      </c>
      <c r="F63" s="22">
        <v>921</v>
      </c>
    </row>
    <row r="64" spans="1:6" ht="13.5" customHeight="1">
      <c r="A64" s="12" t="s">
        <v>133</v>
      </c>
      <c r="B64" s="19">
        <v>2345</v>
      </c>
      <c r="C64" s="19">
        <v>2123</v>
      </c>
      <c r="D64" s="19">
        <v>1989</v>
      </c>
      <c r="E64" s="19">
        <v>1834</v>
      </c>
      <c r="F64" s="19">
        <v>1678</v>
      </c>
    </row>
    <row r="65" spans="1:6" ht="13.5" customHeight="1">
      <c r="A65" s="14" t="s">
        <v>132</v>
      </c>
      <c r="B65" s="22">
        <v>1456</v>
      </c>
      <c r="C65" s="22">
        <v>1345</v>
      </c>
      <c r="D65" s="22">
        <v>1234</v>
      </c>
      <c r="E65" s="22">
        <v>1123</v>
      </c>
      <c r="F65" s="22">
        <v>1012</v>
      </c>
    </row>
    <row r="66" spans="1:6" ht="13.5" customHeight="1">
      <c r="A66" s="21" t="s">
        <v>131</v>
      </c>
      <c r="B66" s="20">
        <f>B62+B63+B64+B65</f>
        <v>8491</v>
      </c>
      <c r="C66" s="20">
        <f>C62+C63+C64+C65</f>
        <v>7858</v>
      </c>
      <c r="D66" s="20">
        <f>D62+D63+D64+D65</f>
        <v>7288</v>
      </c>
      <c r="E66" s="20">
        <f>E62+E63+E64+E65</f>
        <v>6711</v>
      </c>
      <c r="F66" s="20">
        <f>F62+F63+F64+F65</f>
        <v>6123</v>
      </c>
    </row>
    <row r="67" spans="1:6" ht="13.5" customHeight="1">
      <c r="A67" s="14" t="s">
        <v>130</v>
      </c>
      <c r="B67" s="22">
        <v>4567</v>
      </c>
      <c r="C67" s="22">
        <v>3789</v>
      </c>
      <c r="D67" s="22">
        <v>5234</v>
      </c>
      <c r="E67" s="22">
        <v>3456</v>
      </c>
      <c r="F67" s="22">
        <v>2789</v>
      </c>
    </row>
    <row r="68" spans="1:6" ht="13.5" customHeight="1">
      <c r="A68" s="12" t="s">
        <v>129</v>
      </c>
      <c r="B68" s="19">
        <v>2345</v>
      </c>
      <c r="C68" s="19">
        <v>2123</v>
      </c>
      <c r="D68" s="19">
        <v>1987</v>
      </c>
      <c r="E68" s="19">
        <v>1834</v>
      </c>
      <c r="F68" s="19">
        <v>1678</v>
      </c>
    </row>
    <row r="69" spans="1:6" ht="13.5" customHeight="1">
      <c r="A69" s="14" t="s">
        <v>128</v>
      </c>
      <c r="B69" s="22">
        <v>2234</v>
      </c>
      <c r="C69" s="22">
        <v>2012</v>
      </c>
      <c r="D69" s="22">
        <v>1789</v>
      </c>
      <c r="E69" s="22">
        <v>1567</v>
      </c>
      <c r="F69" s="22">
        <v>1345</v>
      </c>
    </row>
    <row r="70" spans="1:6" ht="13.5" customHeight="1">
      <c r="A70" s="12" t="s">
        <v>127</v>
      </c>
      <c r="B70" s="19">
        <v>789</v>
      </c>
      <c r="C70" s="19">
        <v>712</v>
      </c>
      <c r="D70" s="19">
        <v>645</v>
      </c>
      <c r="E70" s="19">
        <v>589</v>
      </c>
      <c r="F70" s="19">
        <v>534</v>
      </c>
    </row>
    <row r="71" spans="1:6" ht="13.5" customHeight="1">
      <c r="A71" s="14" t="s">
        <v>126</v>
      </c>
      <c r="B71" s="22">
        <v>345</v>
      </c>
      <c r="C71" s="22">
        <v>312</v>
      </c>
      <c r="D71" s="22">
        <v>278</v>
      </c>
      <c r="E71" s="22">
        <v>256</v>
      </c>
      <c r="F71" s="22">
        <v>234</v>
      </c>
    </row>
    <row r="72" spans="1:6" ht="13.5" customHeight="1">
      <c r="A72" s="12" t="s">
        <v>125</v>
      </c>
      <c r="B72" s="19">
        <v>567</v>
      </c>
      <c r="C72" s="19">
        <v>512</v>
      </c>
      <c r="D72" s="19">
        <v>456</v>
      </c>
      <c r="E72" s="19">
        <v>412</v>
      </c>
      <c r="F72" s="19">
        <v>367</v>
      </c>
    </row>
    <row r="73" spans="1:6" ht="13.5" customHeight="1" thickBot="1">
      <c r="A73" s="29" t="s">
        <v>124</v>
      </c>
      <c r="B73" s="28">
        <f>B61+B66+B67+B68+B69+B70+B71+B72</f>
        <v>28572</v>
      </c>
      <c r="C73" s="28">
        <f>C61+C66+C67+C68+C69+C70+C71+C72</f>
        <v>25996</v>
      </c>
      <c r="D73" s="28">
        <f>D61+D66+D67+D68+D69+D70+D71+D72</f>
        <v>25633</v>
      </c>
      <c r="E73" s="28">
        <f>E61+E66+E67+E68+E69+E70+E71+E72</f>
        <v>22059</v>
      </c>
      <c r="F73" s="28">
        <f>F61+F66+F67+F68+F69+F70+F71+F72</f>
        <v>19582</v>
      </c>
    </row>
    <row r="74" spans="1:6" ht="4.5" customHeight="1"/>
    <row r="75" spans="1:6" ht="15" customHeight="1">
      <c r="A75" s="16" t="s">
        <v>13</v>
      </c>
      <c r="B75" s="15"/>
      <c r="C75" s="15"/>
      <c r="D75" s="15"/>
      <c r="E75" s="15"/>
      <c r="F75" s="15"/>
    </row>
    <row r="76" spans="1:6" ht="13.5" customHeight="1">
      <c r="A76" s="12" t="s">
        <v>123</v>
      </c>
      <c r="B76" s="19">
        <v>18456</v>
      </c>
      <c r="C76" s="19">
        <v>17234</v>
      </c>
      <c r="D76" s="19">
        <v>16012</v>
      </c>
      <c r="E76" s="19">
        <v>14789</v>
      </c>
      <c r="F76" s="19">
        <v>13567</v>
      </c>
    </row>
    <row r="77" spans="1:6" ht="13.5" customHeight="1">
      <c r="A77" s="14" t="s">
        <v>122</v>
      </c>
      <c r="B77" s="22">
        <v>3234</v>
      </c>
      <c r="C77" s="22">
        <v>3012</v>
      </c>
      <c r="D77" s="22">
        <v>2789</v>
      </c>
      <c r="E77" s="22">
        <v>2567</v>
      </c>
      <c r="F77" s="22">
        <v>2345</v>
      </c>
    </row>
    <row r="78" spans="1:6" ht="13.5" customHeight="1">
      <c r="A78" s="12" t="s">
        <v>121</v>
      </c>
      <c r="B78" s="19">
        <v>2456</v>
      </c>
      <c r="C78" s="19">
        <v>2234</v>
      </c>
      <c r="D78" s="19">
        <v>2012</v>
      </c>
      <c r="E78" s="19">
        <v>1789</v>
      </c>
      <c r="F78" s="19">
        <v>1567</v>
      </c>
    </row>
    <row r="79" spans="1:6" ht="13.5" customHeight="1">
      <c r="A79" s="18" t="s">
        <v>120</v>
      </c>
      <c r="B79" s="17">
        <f>B76+B77+B78</f>
        <v>24146</v>
      </c>
      <c r="C79" s="17">
        <f>C76+C77+C78</f>
        <v>22480</v>
      </c>
      <c r="D79" s="17">
        <f>D76+D77+D78</f>
        <v>20813</v>
      </c>
      <c r="E79" s="17">
        <f>E76+E77+E78</f>
        <v>19145</v>
      </c>
      <c r="F79" s="17">
        <f>F76+F77+F78</f>
        <v>17479</v>
      </c>
    </row>
    <row r="80" spans="1:6" ht="13.5" customHeight="1">
      <c r="A80" s="12" t="s">
        <v>119</v>
      </c>
      <c r="B80" s="19">
        <v>3456</v>
      </c>
      <c r="C80" s="19">
        <v>3234</v>
      </c>
      <c r="D80" s="19">
        <v>2987</v>
      </c>
      <c r="E80" s="19">
        <v>2756</v>
      </c>
      <c r="F80" s="19">
        <v>2512</v>
      </c>
    </row>
    <row r="81" spans="1:6" ht="13.5" customHeight="1">
      <c r="A81" s="14" t="s">
        <v>118</v>
      </c>
      <c r="B81" s="22">
        <v>5678</v>
      </c>
      <c r="C81" s="22">
        <v>5456</v>
      </c>
      <c r="D81" s="22">
        <v>5234</v>
      </c>
      <c r="E81" s="22">
        <v>5012</v>
      </c>
      <c r="F81" s="22">
        <v>4789</v>
      </c>
    </row>
    <row r="82" spans="1:6" ht="13.5" customHeight="1">
      <c r="A82" s="12" t="s">
        <v>117</v>
      </c>
      <c r="B82" s="19">
        <v>2345</v>
      </c>
      <c r="C82" s="19">
        <v>2234</v>
      </c>
      <c r="D82" s="19">
        <v>2123</v>
      </c>
      <c r="E82" s="19">
        <v>2012</v>
      </c>
      <c r="F82" s="19">
        <v>1901</v>
      </c>
    </row>
    <row r="83" spans="1:6" ht="13.5" customHeight="1">
      <c r="A83" s="14" t="s">
        <v>116</v>
      </c>
      <c r="B83" s="22">
        <v>1234</v>
      </c>
      <c r="C83" s="22">
        <v>1156</v>
      </c>
      <c r="D83" s="22">
        <v>1078</v>
      </c>
      <c r="E83" s="22">
        <v>998</v>
      </c>
      <c r="F83" s="22">
        <v>921</v>
      </c>
    </row>
    <row r="84" spans="1:6" ht="13.5" customHeight="1">
      <c r="A84" s="12" t="s">
        <v>115</v>
      </c>
      <c r="B84" s="19">
        <v>2456</v>
      </c>
      <c r="C84" s="19">
        <v>2234</v>
      </c>
      <c r="D84" s="19">
        <v>2012</v>
      </c>
      <c r="E84" s="19">
        <v>1789</v>
      </c>
      <c r="F84" s="19">
        <v>1567</v>
      </c>
    </row>
    <row r="85" spans="1:6" ht="13.5" customHeight="1">
      <c r="A85" s="14" t="s">
        <v>114</v>
      </c>
      <c r="B85" s="22">
        <v>3567</v>
      </c>
      <c r="C85" s="22">
        <v>3234</v>
      </c>
      <c r="D85" s="22">
        <v>2987</v>
      </c>
      <c r="E85" s="22">
        <v>2756</v>
      </c>
      <c r="F85" s="22">
        <v>2512</v>
      </c>
    </row>
    <row r="86" spans="1:6" ht="13.5" customHeight="1">
      <c r="A86" s="12" t="s">
        <v>113</v>
      </c>
      <c r="B86" s="19">
        <v>1789</v>
      </c>
      <c r="C86" s="19">
        <v>1678</v>
      </c>
      <c r="D86" s="19">
        <v>1567</v>
      </c>
      <c r="E86" s="19">
        <v>1456</v>
      </c>
      <c r="F86" s="19">
        <v>1345</v>
      </c>
    </row>
    <row r="87" spans="1:6" ht="13.5" customHeight="1" thickBot="1">
      <c r="A87" s="29" t="s">
        <v>112</v>
      </c>
      <c r="B87" s="28">
        <f>B79+B80+B81+B82+B83+B84+B85+B86</f>
        <v>44671</v>
      </c>
      <c r="C87" s="28">
        <f>C79+C80+C81+C82+C83+C84+C85+C86</f>
        <v>41706</v>
      </c>
      <c r="D87" s="28">
        <f>D79+D80+D81+D82+D83+D84+D85+D86</f>
        <v>38801</v>
      </c>
      <c r="E87" s="28">
        <f>E79+E80+E81+E82+E83+E84+E85+E86</f>
        <v>35924</v>
      </c>
      <c r="F87" s="28">
        <f>F79+F80+F81+F82+F83+F84+F85+F86</f>
        <v>33026</v>
      </c>
    </row>
    <row r="88" spans="1:6" ht="4.5" customHeight="1"/>
    <row r="89" spans="1:6" ht="13.5" customHeight="1" thickBot="1">
      <c r="A89" s="29" t="s">
        <v>111</v>
      </c>
      <c r="B89" s="28">
        <f>B73+B87</f>
        <v>73243</v>
      </c>
      <c r="C89" s="28">
        <f>C73+C87</f>
        <v>67702</v>
      </c>
      <c r="D89" s="28">
        <f>D73+D87</f>
        <v>64434</v>
      </c>
      <c r="E89" s="28">
        <f>E73+E87</f>
        <v>57983</v>
      </c>
      <c r="F89" s="28">
        <f>F73+F87</f>
        <v>52608</v>
      </c>
    </row>
    <row r="90" spans="1:6" ht="4.5" customHeight="1"/>
    <row r="91" spans="1:6" ht="15" customHeight="1">
      <c r="A91" s="16" t="s">
        <v>110</v>
      </c>
      <c r="B91" s="15"/>
      <c r="C91" s="15"/>
      <c r="D91" s="15"/>
      <c r="E91" s="15"/>
      <c r="F91" s="15"/>
    </row>
    <row r="92" spans="1:6" ht="13.5" customHeight="1">
      <c r="A92" s="12" t="s">
        <v>109</v>
      </c>
      <c r="B92" s="19">
        <v>500</v>
      </c>
      <c r="C92" s="19">
        <v>500</v>
      </c>
      <c r="D92" s="19">
        <v>500</v>
      </c>
      <c r="E92" s="19">
        <v>500</v>
      </c>
      <c r="F92" s="19">
        <v>500</v>
      </c>
    </row>
    <row r="93" spans="1:6" ht="13.5" customHeight="1">
      <c r="A93" s="14" t="s">
        <v>108</v>
      </c>
      <c r="B93" s="22">
        <v>345</v>
      </c>
      <c r="C93" s="22">
        <v>351</v>
      </c>
      <c r="D93" s="22">
        <v>359</v>
      </c>
      <c r="E93" s="22">
        <v>363</v>
      </c>
      <c r="F93" s="22">
        <v>368</v>
      </c>
    </row>
    <row r="94" spans="1:6" ht="13.5" customHeight="1">
      <c r="A94" s="12" t="s">
        <v>107</v>
      </c>
      <c r="B94" s="19">
        <v>24567</v>
      </c>
      <c r="C94" s="19">
        <v>24123</v>
      </c>
      <c r="D94" s="19">
        <v>23789</v>
      </c>
      <c r="E94" s="19">
        <v>23456</v>
      </c>
      <c r="F94" s="19">
        <v>23123</v>
      </c>
    </row>
    <row r="95" spans="1:6" ht="13.5" customHeight="1">
      <c r="A95" s="14" t="s">
        <v>106</v>
      </c>
      <c r="B95" s="22">
        <v>66980</v>
      </c>
      <c r="C95" s="22">
        <v>64305</v>
      </c>
      <c r="D95" s="22">
        <v>65727</v>
      </c>
      <c r="E95" s="22">
        <v>60129</v>
      </c>
      <c r="F95" s="22">
        <v>56748</v>
      </c>
    </row>
    <row r="96" spans="1:6" ht="13.5" customHeight="1">
      <c r="A96" s="12" t="s">
        <v>105</v>
      </c>
      <c r="B96" s="30">
        <v>-2345</v>
      </c>
      <c r="C96" s="30">
        <v>-2123</v>
      </c>
      <c r="D96" s="30">
        <v>-1987</v>
      </c>
      <c r="E96" s="30">
        <v>-1834</v>
      </c>
      <c r="F96" s="30">
        <v>-1678</v>
      </c>
    </row>
    <row r="97" spans="1:6" ht="13.5" customHeight="1">
      <c r="A97" s="14" t="s">
        <v>104</v>
      </c>
      <c r="B97" s="33">
        <v>-18456</v>
      </c>
      <c r="C97" s="33">
        <v>-15234</v>
      </c>
      <c r="D97" s="33">
        <v>-12567</v>
      </c>
      <c r="E97" s="33">
        <v>-9789</v>
      </c>
      <c r="F97" s="33">
        <v>-7234</v>
      </c>
    </row>
    <row r="98" spans="1:6" ht="13.5" customHeight="1">
      <c r="A98" s="12" t="s">
        <v>103</v>
      </c>
      <c r="B98" s="19">
        <v>3456</v>
      </c>
      <c r="C98" s="19">
        <v>3234</v>
      </c>
      <c r="D98" s="19">
        <v>2987</v>
      </c>
      <c r="E98" s="19">
        <v>2756</v>
      </c>
      <c r="F98" s="19">
        <v>2512</v>
      </c>
    </row>
    <row r="99" spans="1:6" ht="13.5" customHeight="1" thickBot="1">
      <c r="A99" s="29" t="s">
        <v>102</v>
      </c>
      <c r="B99" s="28">
        <f>B92+B93+B94+B95+B96+B97+B98</f>
        <v>75047</v>
      </c>
      <c r="C99" s="28">
        <f>C92+C93+C94+C95+C96+C97+C98</f>
        <v>75156</v>
      </c>
      <c r="D99" s="28">
        <f>D92+D93+D94+D95+D96+D97+D98</f>
        <v>78808</v>
      </c>
      <c r="E99" s="28">
        <f>E92+E93+E94+E95+E96+E97+E98</f>
        <v>75581</v>
      </c>
      <c r="F99" s="28">
        <f>F92+F93+F94+F95+F96+F97+F98</f>
        <v>74339</v>
      </c>
    </row>
    <row r="100" spans="1:6" ht="4.5" customHeight="1"/>
    <row r="101" spans="1:6" ht="13.5" customHeight="1" thickBot="1">
      <c r="A101" s="29" t="s">
        <v>101</v>
      </c>
      <c r="B101" s="28">
        <f>B89+B99</f>
        <v>148290</v>
      </c>
      <c r="C101" s="28">
        <f>C89+C99</f>
        <v>142858</v>
      </c>
      <c r="D101" s="28">
        <f>D89+D99</f>
        <v>143242</v>
      </c>
      <c r="E101" s="28">
        <f>E89+E99</f>
        <v>133564</v>
      </c>
      <c r="F101" s="28">
        <f>F89+F99</f>
        <v>126947</v>
      </c>
    </row>
    <row r="102" spans="1:6" ht="4.5" customHeight="1"/>
    <row r="104" spans="1:6" ht="12.75" customHeight="1">
      <c r="A104" s="10" t="s"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C26"/>
  <sheetViews>
    <sheetView zoomScale="77" workbookViewId="0"/>
  </sheetViews>
  <sheetFormatPr defaultRowHeight="15.6"/>
  <cols>
    <col min="1" max="1" width="76.33203125" style="7" bestFit="1" customWidth="1"/>
    <col min="2" max="2" width="16.33203125" style="7" customWidth="1"/>
    <col min="3" max="16384" width="8.88671875" style="7"/>
  </cols>
  <sheetData>
    <row r="1" spans="1:3">
      <c r="A1" s="6" t="s">
        <v>2</v>
      </c>
      <c r="B1" s="6" t="s">
        <v>0</v>
      </c>
    </row>
    <row r="2" spans="1:3">
      <c r="A2" s="3" t="s">
        <v>205</v>
      </c>
      <c r="B2" s="8"/>
    </row>
    <row r="3" spans="1:3">
      <c r="A3" s="3" t="s">
        <v>206</v>
      </c>
      <c r="B3" s="8"/>
    </row>
    <row r="4" spans="1:3">
      <c r="A4" s="3" t="s">
        <v>207</v>
      </c>
      <c r="B4" s="8"/>
    </row>
    <row r="5" spans="1:3">
      <c r="A5" s="3" t="s">
        <v>208</v>
      </c>
      <c r="B5" s="8"/>
    </row>
    <row r="6" spans="1:3">
      <c r="A6" s="3" t="s">
        <v>209</v>
      </c>
      <c r="B6" s="8"/>
    </row>
    <row r="7" spans="1:3">
      <c r="A7" s="3" t="s">
        <v>210</v>
      </c>
      <c r="B7" s="8"/>
    </row>
    <row r="8" spans="1:3">
      <c r="A8" s="3" t="s">
        <v>211</v>
      </c>
      <c r="B8" s="8"/>
      <c r="C8" s="7" t="s">
        <v>178</v>
      </c>
    </row>
    <row r="9" spans="1:3">
      <c r="A9" s="3" t="s">
        <v>212</v>
      </c>
      <c r="B9" s="8"/>
    </row>
    <row r="10" spans="1:3">
      <c r="A10" s="3" t="s">
        <v>213</v>
      </c>
      <c r="B10" s="8"/>
    </row>
    <row r="11" spans="1:3">
      <c r="A11" s="3" t="s">
        <v>214</v>
      </c>
      <c r="B11" s="8"/>
    </row>
    <row r="12" spans="1:3">
      <c r="A12" s="3" t="s">
        <v>215</v>
      </c>
      <c r="B12" s="8"/>
    </row>
    <row r="13" spans="1:3">
      <c r="A13" s="3" t="s">
        <v>216</v>
      </c>
      <c r="B13" s="8"/>
    </row>
    <row r="14" spans="1:3">
      <c r="A14" s="3" t="s">
        <v>217</v>
      </c>
      <c r="B14" s="8"/>
    </row>
    <row r="15" spans="1:3">
      <c r="A15" s="3" t="s">
        <v>218</v>
      </c>
      <c r="B15" s="8"/>
    </row>
    <row r="16" spans="1:3">
      <c r="A16" s="3" t="s">
        <v>219</v>
      </c>
      <c r="B16" s="8"/>
    </row>
    <row r="17" spans="1:2">
      <c r="A17" s="3" t="s">
        <v>220</v>
      </c>
      <c r="B17" s="8"/>
    </row>
    <row r="18" spans="1:2">
      <c r="A18" s="3" t="s">
        <v>221</v>
      </c>
      <c r="B18" s="8"/>
    </row>
    <row r="19" spans="1:2">
      <c r="A19" s="3" t="s">
        <v>222</v>
      </c>
      <c r="B19" s="8"/>
    </row>
    <row r="20" spans="1:2">
      <c r="A20" s="3" t="s">
        <v>223</v>
      </c>
      <c r="B20" s="8"/>
    </row>
    <row r="21" spans="1:2">
      <c r="A21" s="3" t="s">
        <v>224</v>
      </c>
      <c r="B21" s="8"/>
    </row>
    <row r="22" spans="1:2">
      <c r="A22" s="3" t="s">
        <v>225</v>
      </c>
      <c r="B22" s="8"/>
    </row>
    <row r="23" spans="1:2">
      <c r="A23" s="3" t="s">
        <v>229</v>
      </c>
      <c r="B23" s="8"/>
    </row>
    <row r="24" spans="1:2">
      <c r="A24" s="3" t="s">
        <v>226</v>
      </c>
      <c r="B24" s="8"/>
    </row>
    <row r="25" spans="1:2">
      <c r="A25" s="3" t="s">
        <v>227</v>
      </c>
      <c r="B25" s="8"/>
    </row>
    <row r="26" spans="1:2">
      <c r="A26" s="3" t="s">
        <v>228</v>
      </c>
      <c r="B26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NXTI IS</vt:lpstr>
      <vt:lpstr>NXTI BS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2026-04-06T19:37:08Z</dcterms:modified>
</cp:coreProperties>
</file>