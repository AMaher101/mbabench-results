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Sum-of-the-Parts Valuation\ThreeCars\starting_files\"/>
    </mc:Choice>
  </mc:AlternateContent>
  <xr:revisionPtr revIDLastSave="0" documentId="13_ncr:1_{339EF77E-EF23-441F-A771-77FD26603E8F}" xr6:coauthVersionLast="47" xr6:coauthVersionMax="47" xr10:uidLastSave="{00000000-0000-0000-0000-000000000000}"/>
  <bookViews>
    <workbookView xWindow="-108" yWindow="-108" windowWidth="23256" windowHeight="12456" tabRatio="734" xr2:uid="{9D050BFD-007E-4C38-9D7B-ED1AFA0D54D5}"/>
  </bookViews>
  <sheets>
    <sheet name="Instructions" sheetId="2" r:id="rId1"/>
    <sheet name="Assumption" sheetId="9" r:id="rId2"/>
    <sheet name="Questions" sheetId="6"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<sst xmlns="http://schemas.openxmlformats.org/spreadsheetml/2006/main" count="741" uniqueCount="82">
  <si>
    <t>Answers</t>
  </si>
  <si>
    <t>Assumptions sheet may be also in the text on the Instructions tab - please use the assumptions on this sheet for your model</t>
  </si>
  <si>
    <t>End Sheet</t>
  </si>
  <si>
    <t>Questions (please round your answers to two decimal places)</t>
  </si>
  <si>
    <t>Current Assets</t>
  </si>
  <si>
    <t>Current Liabilities</t>
  </si>
  <si>
    <t>Unit</t>
  </si>
  <si>
    <t>Answer the questions using your model.</t>
  </si>
  <si>
    <t>[$m]</t>
  </si>
  <si>
    <t>Model basics</t>
  </si>
  <si>
    <t xml:space="preserve"> </t>
  </si>
  <si>
    <t>Financial data</t>
  </si>
  <si>
    <t>EBITDA</t>
  </si>
  <si>
    <t>EBIT</t>
  </si>
  <si>
    <t>Tax</t>
  </si>
  <si>
    <t>Total Assets</t>
  </si>
  <si>
    <t>Cash and Cash Equivalents</t>
  </si>
  <si>
    <t>Short-Term Debt</t>
  </si>
  <si>
    <t>Total Debt</t>
  </si>
  <si>
    <t>2026e</t>
  </si>
  <si>
    <t>2027e</t>
  </si>
  <si>
    <t>Valuation basis date</t>
  </si>
  <si>
    <t>Valuation date</t>
  </si>
  <si>
    <t>Market Variables</t>
  </si>
  <si>
    <t>Risk-free interest rate</t>
  </si>
  <si>
    <t>Adjusted beta, 3-year daily</t>
  </si>
  <si>
    <t>Market risk premium</t>
  </si>
  <si>
    <t>Cost of debt</t>
  </si>
  <si>
    <t>[%]</t>
  </si>
  <si>
    <t>Growth</t>
  </si>
  <si>
    <t>g1</t>
  </si>
  <si>
    <t>g1 until</t>
  </si>
  <si>
    <t>g2</t>
  </si>
  <si>
    <t>Total Equity</t>
  </si>
  <si>
    <t>Pretax Income</t>
  </si>
  <si>
    <t>Use the iterative method to calculate the WACC.</t>
  </si>
  <si>
    <t>Do not question the data provided.</t>
  </si>
  <si>
    <t>Assume book value of debt = market value of debt.</t>
  </si>
  <si>
    <t>Assume no changes regarding the balance sheet data provided between the Valuation basis date and the Valuation date.</t>
  </si>
  <si>
    <t>p.a.</t>
  </si>
  <si>
    <t>Valuation Task</t>
  </si>
  <si>
    <t>Sum-of-the-Parts Valuation - Three Cars</t>
  </si>
  <si>
    <t>The company to value has three different business lines:</t>
  </si>
  <si>
    <t>- Electric vehicles</t>
  </si>
  <si>
    <t>- Combustion vehicles</t>
  </si>
  <si>
    <t>- Automotive supply</t>
  </si>
  <si>
    <t>Perform a Sum-of-the-Parts valuation for the whole company creating separate DCF models for the business lines.</t>
  </si>
  <si>
    <t>Do combine the results in an overview table deriving the whole companies equity value.</t>
  </si>
  <si>
    <t>The combustion vehicles and automotive supply business lines are using a regular terminal value, while the electric vehicles business line is valued using a two-stage terminal value.</t>
  </si>
  <si>
    <t>2028e</t>
  </si>
  <si>
    <t>2029e</t>
  </si>
  <si>
    <t>2030e</t>
  </si>
  <si>
    <t>Electric vehicles</t>
  </si>
  <si>
    <t>Combustion vehicles</t>
  </si>
  <si>
    <t>Automotive supply</t>
  </si>
  <si>
    <t>Whole company</t>
  </si>
  <si>
    <t>What is the Equity value at Valuation date?</t>
  </si>
  <si>
    <t>What is the Discounted FCFF (to Valuation basis date) for the segment electric vehicles for the period 2026?</t>
  </si>
  <si>
    <t>What is the Discounted FCFF (to Valuation basis date) for the segment electric vehicles for the period 2027?</t>
  </si>
  <si>
    <t>What is the Discounted FCFF (to Valuation basis date) for the segment electric vehicles for the period 2028?</t>
  </si>
  <si>
    <t>What is the Discounted FCFF (to Valuation basis date) for the segment electric vehicles for the period 2029?</t>
  </si>
  <si>
    <t>What is the Discounted FCFF (to Valuation basis date) for the segment electric vehicles for the period 2030?</t>
  </si>
  <si>
    <t>What is the Discounted FCFF (to Valuation basis date) for the segment electric vehicles for the period TV?</t>
  </si>
  <si>
    <t>What is the Discounted FCFF (to Valuation basis date) for the segment combustion vehicles for the period 2026?</t>
  </si>
  <si>
    <t>What is the Discounted FCFF (to Valuation basis date) for the segment combustion vehicles for the period 2027?</t>
  </si>
  <si>
    <t>What is the Discounted FCFF (to Valuation basis date) for the segment combustion vehicles for the period 2028?</t>
  </si>
  <si>
    <t>What is the Discounted FCFF (to Valuation basis date) for the segment combustion vehicles for the period 2029?</t>
  </si>
  <si>
    <t>What is the Discounted FCFF (to Valuation basis date) for the segment combustion vehicles for the period 2030?</t>
  </si>
  <si>
    <t>What is the Discounted FCFF (to Valuation basis date) for the segment combustion vehicles for the period TV?</t>
  </si>
  <si>
    <t>What is the Discounted FCFF (to Valuation basis date) for the segment automotive supply for the period 2026?</t>
  </si>
  <si>
    <t>What is the Discounted FCFF (to Valuation basis date) for the segment automotive supply for the period 2027?</t>
  </si>
  <si>
    <t>What is the Discounted FCFF (to Valuation basis date) for the segment automotive supply for the period 2028?</t>
  </si>
  <si>
    <t>What is the Discounted FCFF (to Valuation basis date) for the segment automotive supply for the period 2029?</t>
  </si>
  <si>
    <t>What is the Discounted FCFF (to Valuation basis date) for the segment automotive supply for the period 2030?</t>
  </si>
  <si>
    <t>What is the Discounted FCFF (to Valuation basis date) for the segment automotive supply for the period TV?</t>
  </si>
  <si>
    <t>After the explicit forecasting period, the electric vehicles segment grows at g1 for 4 additional years (2031 through 2034), then at g2 in perpetuity thereafter.</t>
  </si>
  <si>
    <t>Compute the tax rate at the whole-company level for each year from 2025 through 2030 (6 years) and use the simple average as the constant tax rate in all segment DCF models.</t>
  </si>
  <si>
    <t>(from 2031 on)</t>
  </si>
  <si>
    <t>You are given 5 years of explicit Forecast data - after those five years, calculate the terminal value using the data given.</t>
  </si>
  <si>
    <t>For the terminal value, use the FCFF of the last explicit forecast year (2030) as the base cash flow for electric vehicles. For combustion vehicles and automotive supply, use the simple arithmetic average of the 5 explicit forecast period FCFFs (2026–2030) as the base cash flow.</t>
  </si>
  <si>
    <t>Ensure that the valuation is transitioned to the valuation date.</t>
  </si>
  <si>
    <t>Don't use mid year convention.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</si>
</sst>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11"/>
      <color theme="1"/>
      <name val="Calibri"/>
      <family val="2"/>
      <charset val="1"/>
    </font>
    <font>
      <sz val="12"/>
      <color rgb="FF0000FF"/>
      <name val="Aptos Narrow"/>
      <family val="2"/>
      <scheme val="minor"/>
    </font>
    <font>
      <sz val="11"/>
      <name val="Aptos Narrow"/>
      <family val="2"/>
      <scheme val="minor"/>
    </font>
  </fonts>
  <fills count="7">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xf numFmtId="0" fontId="5" fillId="0" borderId="0"/>
    <xf numFmtId="9" fontId="1" fillId="0" borderId="0" applyFont="0" applyFill="0" applyBorder="0" applyAlignment="0" applyProtection="0"/>
    <xf numFmtId="4" fontId="10" fillId="5" borderId="2">
      <alignment horizontal="left"/>
    </xf>
    <xf numFmtId="0" fontId="13" fillId="0" borderId="0"/>
  </cellStyleXfs>
  <cellXfs count="28">
    <xf numFmtId="0" fontId="0" fillId="0" borderId="0" xfId="0"/>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2" fillId="0" borderId="0" xfId="0" applyFont="1"/>
    <xf numFmtId="0" fontId="8" fillId="0" borderId="0" xfId="2" applyFont="1"/>
    <xf numFmtId="0" fontId="5" fillId="0" borderId="0" xfId="2"/>
    <xf numFmtId="4" fontId="3" fillId="3" borderId="5" xfId="1" applyNumberFormat="1" applyFont="1" applyFill="1" applyBorder="1" applyAlignment="1">
      <alignment horizontal="center"/>
    </xf>
    <xf numFmtId="0" fontId="9" fillId="0" borderId="0" xfId="0" applyFont="1"/>
    <xf numFmtId="4" fontId="11" fillId="6" borderId="2" xfId="4" applyFont="1" applyFill="1">
      <alignment horizontal="left"/>
    </xf>
    <xf numFmtId="4" fontId="2" fillId="6" borderId="2" xfId="4" applyFont="1" applyFill="1">
      <alignment horizontal="left"/>
    </xf>
    <xf numFmtId="0" fontId="12" fillId="6" borderId="0" xfId="0" applyFont="1" applyFill="1"/>
    <xf numFmtId="10" fontId="9" fillId="4" borderId="5" xfId="3" applyNumberFormat="1" applyFont="1" applyFill="1" applyBorder="1"/>
    <xf numFmtId="3" fontId="9" fillId="4" borderId="5" xfId="3" applyNumberFormat="1" applyFont="1" applyFill="1" applyBorder="1"/>
    <xf numFmtId="0" fontId="14" fillId="0" borderId="0" xfId="0" applyFont="1"/>
    <xf numFmtId="0" fontId="15" fillId="0" borderId="0" xfId="0" applyFont="1"/>
    <xf numFmtId="14" fontId="9" fillId="4" borderId="5" xfId="3" applyNumberFormat="1" applyFont="1" applyFill="1" applyBorder="1"/>
    <xf numFmtId="4" fontId="9" fillId="4" borderId="5" xfId="3" applyNumberFormat="1" applyFont="1" applyFill="1" applyBorder="1"/>
    <xf numFmtId="0" fontId="9" fillId="4" borderId="5" xfId="3" applyNumberFormat="1" applyFont="1" applyFill="1" applyBorder="1"/>
    <xf numFmtId="0" fontId="3" fillId="0" borderId="0" xfId="1" quotePrefix="1" applyFont="1" applyAlignment="1">
      <alignment horizontal="left"/>
    </xf>
    <xf numFmtId="0" fontId="3" fillId="0" borderId="0" xfId="1" quotePrefix="1" applyFont="1"/>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6">
    <cellStyle name="M Section Header" xfId="4" xr:uid="{F944F0E6-F034-49F8-8B3F-D0C9E50BA2F6}"/>
    <cellStyle name="Normal" xfId="0" builtinId="0"/>
    <cellStyle name="Normal 2" xfId="2" xr:uid="{037B3D13-DA10-4240-9E6B-55FD128391C9}"/>
    <cellStyle name="Normal 3" xfId="1" xr:uid="{1C87C372-71EA-4FEE-904D-475CC6E05479}"/>
    <cellStyle name="Normal 4" xfId="5" xr:uid="{273FDE25-047F-448D-BEF1-698059824ACE}"/>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28"/>
  <sheetViews>
    <sheetView showGridLines="0" tabSelected="1" zoomScale="79" zoomScaleNormal="80" zoomScaleSheetLayoutView="100" workbookViewId="0"/>
  </sheetViews>
  <sheetFormatPr defaultColWidth="5.21875" defaultRowHeight="14.4"/>
  <cols>
    <col min="1" max="1" width="1.88671875" style="1" customWidth="1"/>
    <col min="2" max="2" width="32.109375" style="4" customWidth="1"/>
    <col min="3" max="3" width="17.109375" style="4" bestFit="1" customWidth="1"/>
    <col min="4" max="4" width="20.88671875" style="4" bestFit="1" customWidth="1"/>
    <col min="5" max="5" width="24.109375" style="4" customWidth="1"/>
    <col min="6" max="6" width="21.5546875" style="4" customWidth="1"/>
    <col min="7" max="7" width="26.33203125" style="4" bestFit="1" customWidth="1"/>
    <col min="8" max="8" width="40.109375" style="4" customWidth="1"/>
    <col min="9" max="9" width="23.5546875" style="5" customWidth="1"/>
    <col min="10" max="10" width="23.5546875" style="2" customWidth="1"/>
    <col min="11" max="11" width="27.77734375" style="2" customWidth="1"/>
    <col min="12" max="12" width="20.5546875" style="2" customWidth="1"/>
    <col min="13" max="376" width="11.109375" style="2" bestFit="1" customWidth="1"/>
    <col min="377" max="377" width="5.21875" style="2"/>
    <col min="378" max="383" width="9.6640625" style="2" customWidth="1"/>
    <col min="384" max="384" width="5.21875" style="2"/>
    <col min="385" max="393" width="9.6640625" style="2" customWidth="1"/>
    <col min="394" max="16384" width="5.21875" style="2"/>
  </cols>
  <sheetData>
    <row r="1" spans="2:11" ht="15" customHeight="1">
      <c r="B1" s="1"/>
      <c r="C1" s="1"/>
      <c r="D1" s="1"/>
      <c r="E1" s="1"/>
      <c r="F1" s="1"/>
      <c r="G1" s="1"/>
      <c r="H1" s="1"/>
      <c r="I1" s="1"/>
      <c r="J1" s="1"/>
      <c r="K1" s="1"/>
    </row>
    <row r="2" spans="2:11" ht="60.75" customHeight="1">
      <c r="B2" s="23" t="s">
        <v>40</v>
      </c>
      <c r="C2" s="24"/>
      <c r="D2" s="24"/>
      <c r="E2" s="24"/>
      <c r="F2" s="24"/>
      <c r="G2" s="24"/>
      <c r="H2" s="24"/>
      <c r="I2" s="24"/>
      <c r="J2" s="24"/>
      <c r="K2" s="25"/>
    </row>
    <row r="3" spans="2:11" ht="15" customHeight="1">
      <c r="B3" s="1"/>
      <c r="C3" s="1"/>
      <c r="D3" s="1"/>
      <c r="E3" s="1"/>
      <c r="F3" s="1"/>
      <c r="G3" s="1"/>
      <c r="H3" s="1"/>
      <c r="I3" s="1"/>
      <c r="J3" s="1"/>
      <c r="K3" s="1"/>
    </row>
    <row r="4" spans="2:11" ht="33.75" customHeight="1">
      <c r="B4" s="26" t="s">
        <v>41</v>
      </c>
      <c r="C4" s="27"/>
      <c r="D4" s="27"/>
      <c r="E4" s="27"/>
      <c r="F4" s="27"/>
      <c r="G4" s="27"/>
      <c r="H4" s="27"/>
      <c r="I4" s="27"/>
      <c r="J4" s="1"/>
    </row>
    <row r="5" spans="2:11" ht="15" customHeight="1">
      <c r="B5" s="1"/>
      <c r="C5" s="1"/>
      <c r="D5" s="1"/>
      <c r="E5" s="1"/>
      <c r="F5" s="1"/>
      <c r="G5" s="1"/>
      <c r="H5" s="1"/>
      <c r="I5" s="1"/>
      <c r="J5" s="1"/>
      <c r="K5" s="1"/>
    </row>
    <row r="6" spans="2:11" ht="15" customHeight="1">
      <c r="B6" s="1" t="s">
        <v>42</v>
      </c>
      <c r="C6" s="1"/>
      <c r="D6" s="1"/>
      <c r="E6" s="1"/>
      <c r="F6" s="1"/>
      <c r="G6" s="1"/>
      <c r="H6" s="1"/>
      <c r="I6" s="1"/>
      <c r="J6" s="1"/>
      <c r="K6" s="1"/>
    </row>
    <row r="7" spans="2:11" ht="15" customHeight="1">
      <c r="B7" s="22" t="s">
        <v>43</v>
      </c>
      <c r="C7" s="1"/>
      <c r="D7" s="1"/>
      <c r="E7" s="1"/>
      <c r="F7" s="1"/>
      <c r="G7" s="1"/>
      <c r="H7" s="1"/>
      <c r="I7" s="1"/>
      <c r="J7" s="1"/>
      <c r="K7" s="1"/>
    </row>
    <row r="8" spans="2:11" ht="15" customHeight="1">
      <c r="B8" s="22" t="s">
        <v>44</v>
      </c>
      <c r="C8" s="1"/>
      <c r="D8" s="1"/>
      <c r="E8" s="1"/>
      <c r="F8" s="1"/>
      <c r="G8" s="1"/>
      <c r="H8" s="1"/>
      <c r="I8" s="1"/>
      <c r="J8" s="1"/>
      <c r="K8" s="1"/>
    </row>
    <row r="9" spans="2:11" ht="15" customHeight="1">
      <c r="B9" s="22" t="s">
        <v>45</v>
      </c>
      <c r="C9" s="1"/>
      <c r="D9" s="1"/>
      <c r="E9" s="1"/>
      <c r="F9" s="1"/>
      <c r="G9" s="1"/>
      <c r="H9" s="1"/>
      <c r="I9" s="1"/>
      <c r="J9" s="1"/>
      <c r="K9" s="1"/>
    </row>
    <row r="10" spans="2:11" ht="15" customHeight="1">
      <c r="B10" s="22"/>
      <c r="C10" s="1"/>
      <c r="D10" s="1"/>
      <c r="E10" s="1"/>
      <c r="F10" s="1"/>
      <c r="G10" s="1"/>
      <c r="H10" s="1"/>
      <c r="I10" s="1"/>
      <c r="J10" s="1"/>
      <c r="K10" s="1"/>
    </row>
    <row r="11" spans="2:11" ht="15" customHeight="1">
      <c r="B11" s="22" t="s">
        <v>46</v>
      </c>
      <c r="C11" s="1"/>
      <c r="D11" s="1"/>
      <c r="E11" s="1"/>
      <c r="F11" s="1"/>
      <c r="G11" s="1"/>
      <c r="H11" s="1"/>
      <c r="I11" s="1"/>
      <c r="J11" s="1"/>
      <c r="K11" s="1"/>
    </row>
    <row r="12" spans="2:11" ht="15" customHeight="1">
      <c r="B12" s="22" t="s">
        <v>47</v>
      </c>
      <c r="C12" s="1"/>
      <c r="D12" s="1"/>
      <c r="E12" s="1"/>
      <c r="F12" s="1"/>
      <c r="G12" s="1"/>
      <c r="H12" s="1"/>
      <c r="I12" s="1"/>
      <c r="J12" s="1"/>
      <c r="K12" s="1"/>
    </row>
    <row r="13" spans="2:11">
      <c r="B13" s="3" t="s">
        <v>35</v>
      </c>
    </row>
    <row r="14" spans="2:11">
      <c r="B14" s="3" t="s">
        <v>37</v>
      </c>
    </row>
    <row r="15" spans="2:11">
      <c r="B15" s="3" t="s">
        <v>76</v>
      </c>
    </row>
    <row r="16" spans="2:11">
      <c r="B16" s="3" t="s">
        <v>78</v>
      </c>
    </row>
    <row r="17" spans="2:2">
      <c r="B17" s="3" t="s">
        <v>79</v>
      </c>
    </row>
    <row r="18" spans="2:2">
      <c r="B18" s="3" t="s">
        <v>48</v>
      </c>
    </row>
    <row r="19" spans="2:2">
      <c r="B19" s="3" t="s">
        <v>38</v>
      </c>
    </row>
    <row r="20" spans="2:2">
      <c r="B20" s="3" t="s">
        <v>36</v>
      </c>
    </row>
    <row r="21" spans="2:2">
      <c r="B21" s="3" t="s">
        <v>81</v>
      </c>
    </row>
    <row r="22" spans="2:2">
      <c r="B22" s="3" t="s">
        <v>80</v>
      </c>
    </row>
    <row r="23" spans="2:2">
      <c r="B23" s="3"/>
    </row>
    <row r="24" spans="2:2">
      <c r="B24" s="3" t="s">
        <v>7</v>
      </c>
    </row>
    <row r="27" spans="2:2">
      <c r="B27" s="3"/>
    </row>
    <row r="28" spans="2:2">
      <c r="B28" s="3"/>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AN197"/>
  <sheetViews>
    <sheetView showGridLines="0" zoomScale="74" workbookViewId="0"/>
  </sheetViews>
  <sheetFormatPr defaultRowHeight="14.4"/>
  <cols>
    <col min="1" max="1" width="4.77734375" style="6" customWidth="1"/>
    <col min="2" max="2" width="5.33203125" style="6" customWidth="1"/>
    <col min="3" max="3" width="24.5546875" customWidth="1"/>
    <col min="5" max="5" width="29.21875" bestFit="1" customWidth="1"/>
    <col min="6" max="12" width="17.88671875" customWidth="1"/>
    <col min="13" max="110" width="10.109375" bestFit="1" customWidth="1"/>
  </cols>
  <sheetData>
    <row r="1" spans="1:40">
      <c r="A1" s="6" t="str">
        <f>Instructions!B2&amp;": "&amp;Instructions!B4</f>
        <v>Valuation Task: Sum-of-the-Parts Valuation - Three Cars</v>
      </c>
    </row>
    <row r="2" spans="1:40">
      <c r="A2" s="6" t="s">
        <v>1</v>
      </c>
    </row>
    <row r="4" spans="1:40" s="13" customFormat="1" ht="14.4" customHeight="1">
      <c r="A4" s="11"/>
      <c r="B4" s="12" t="s">
        <v>9</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row>
    <row r="6" spans="1:40">
      <c r="C6" t="s">
        <v>21</v>
      </c>
      <c r="F6" s="18">
        <v>46022</v>
      </c>
      <c r="G6" s="10"/>
    </row>
    <row r="7" spans="1:40">
      <c r="C7" t="s">
        <v>22</v>
      </c>
      <c r="F7" s="18">
        <v>46150</v>
      </c>
      <c r="G7" s="10"/>
    </row>
    <row r="9" spans="1:40" s="13" customFormat="1" ht="14.4" customHeight="1">
      <c r="A9" s="11"/>
      <c r="B9" s="12" t="s">
        <v>23</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row>
    <row r="11" spans="1:40">
      <c r="C11" t="s">
        <v>24</v>
      </c>
      <c r="F11" s="14">
        <v>3.9699999999999999E-2</v>
      </c>
      <c r="G11" s="10" t="s">
        <v>28</v>
      </c>
    </row>
    <row r="12" spans="1:40">
      <c r="C12" t="s">
        <v>25</v>
      </c>
      <c r="F12" s="19">
        <v>1.85</v>
      </c>
    </row>
    <row r="13" spans="1:40">
      <c r="C13" t="s">
        <v>26</v>
      </c>
      <c r="F13" s="14">
        <v>2.7830000000000001E-2</v>
      </c>
      <c r="G13" s="10" t="s">
        <v>28</v>
      </c>
    </row>
    <row r="14" spans="1:40">
      <c r="C14" t="s">
        <v>27</v>
      </c>
      <c r="F14" s="14">
        <v>7.1599999999999997E-2</v>
      </c>
      <c r="G14" s="10" t="s">
        <v>28</v>
      </c>
    </row>
    <row r="16" spans="1:40" s="13" customFormat="1" ht="14.4" customHeight="1">
      <c r="A16" s="11"/>
      <c r="B16" s="12" t="s">
        <v>29</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row>
    <row r="18" spans="1:40">
      <c r="C18" t="s">
        <v>30</v>
      </c>
      <c r="E18" t="s">
        <v>52</v>
      </c>
      <c r="F18" s="14">
        <v>7.1999999999999995E-2</v>
      </c>
      <c r="G18" s="10" t="s">
        <v>28</v>
      </c>
      <c r="H18" t="s">
        <v>39</v>
      </c>
    </row>
    <row r="19" spans="1:40">
      <c r="C19" t="s">
        <v>31</v>
      </c>
      <c r="D19" t="s">
        <v>77</v>
      </c>
      <c r="E19" t="s">
        <v>52</v>
      </c>
      <c r="F19" s="20">
        <v>2034</v>
      </c>
      <c r="G19" s="10"/>
      <c r="I19" t="s">
        <v>75</v>
      </c>
    </row>
    <row r="20" spans="1:40">
      <c r="C20" t="s">
        <v>32</v>
      </c>
      <c r="E20" t="s">
        <v>52</v>
      </c>
      <c r="F20" s="14">
        <v>2.5000000000000001E-2</v>
      </c>
      <c r="G20" s="10" t="s">
        <v>28</v>
      </c>
      <c r="H20" t="s">
        <v>39</v>
      </c>
    </row>
    <row r="21" spans="1:40">
      <c r="C21" t="s">
        <v>32</v>
      </c>
      <c r="E21" t="s">
        <v>54</v>
      </c>
      <c r="F21" s="14">
        <v>1.4999999999999999E-2</v>
      </c>
      <c r="G21" s="10" t="s">
        <v>28</v>
      </c>
      <c r="H21" t="s">
        <v>39</v>
      </c>
    </row>
    <row r="22" spans="1:40">
      <c r="C22" t="s">
        <v>32</v>
      </c>
      <c r="E22" t="s">
        <v>53</v>
      </c>
      <c r="F22" s="14">
        <v>1.7999999999999999E-2</v>
      </c>
      <c r="G22" s="10" t="s">
        <v>28</v>
      </c>
      <c r="H22" t="s">
        <v>39</v>
      </c>
    </row>
    <row r="24" spans="1:40" s="13" customFormat="1" ht="14.4" customHeight="1">
      <c r="A24" s="11"/>
      <c r="B24" s="12" t="s">
        <v>11</v>
      </c>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row>
    <row r="26" spans="1:40">
      <c r="C26" t="s">
        <v>33</v>
      </c>
      <c r="D26">
        <v>2025</v>
      </c>
      <c r="E26" t="s">
        <v>55</v>
      </c>
      <c r="F26" s="15">
        <v>35054</v>
      </c>
      <c r="G26" s="10" t="s">
        <v>8</v>
      </c>
    </row>
    <row r="27" spans="1:40">
      <c r="C27" t="s">
        <v>18</v>
      </c>
      <c r="D27">
        <v>2025</v>
      </c>
      <c r="E27" t="s">
        <v>55</v>
      </c>
      <c r="F27" s="15">
        <v>123456</v>
      </c>
      <c r="G27" s="10" t="s">
        <v>8</v>
      </c>
    </row>
    <row r="28" spans="1:40">
      <c r="B28"/>
      <c r="C28" t="s">
        <v>16</v>
      </c>
      <c r="D28">
        <v>2024</v>
      </c>
      <c r="E28" t="s">
        <v>54</v>
      </c>
      <c r="F28" s="15">
        <v>6116</v>
      </c>
      <c r="G28" s="10" t="s">
        <v>8</v>
      </c>
    </row>
    <row r="29" spans="1:40">
      <c r="B29"/>
      <c r="C29" t="s">
        <v>16</v>
      </c>
      <c r="D29">
        <v>2024</v>
      </c>
      <c r="E29" t="s">
        <v>53</v>
      </c>
      <c r="F29" s="15">
        <v>12448</v>
      </c>
      <c r="G29" s="10" t="s">
        <v>8</v>
      </c>
    </row>
    <row r="30" spans="1:40">
      <c r="B30"/>
      <c r="C30" t="s">
        <v>16</v>
      </c>
      <c r="D30">
        <v>2024</v>
      </c>
      <c r="E30" t="s">
        <v>52</v>
      </c>
      <c r="F30" s="15">
        <v>10060</v>
      </c>
      <c r="G30" s="10" t="s">
        <v>8</v>
      </c>
    </row>
    <row r="31" spans="1:40">
      <c r="B31"/>
      <c r="C31" t="s">
        <v>16</v>
      </c>
      <c r="D31">
        <v>2025</v>
      </c>
      <c r="E31" t="s">
        <v>54</v>
      </c>
      <c r="F31" s="15">
        <v>5846</v>
      </c>
      <c r="G31" s="10" t="s">
        <v>8</v>
      </c>
    </row>
    <row r="32" spans="1:40">
      <c r="B32"/>
      <c r="C32" t="s">
        <v>16</v>
      </c>
      <c r="D32">
        <v>2025</v>
      </c>
      <c r="E32" t="s">
        <v>53</v>
      </c>
      <c r="F32" s="15">
        <v>9215</v>
      </c>
      <c r="G32" s="10" t="s">
        <v>8</v>
      </c>
    </row>
    <row r="33" spans="2:7">
      <c r="B33"/>
      <c r="C33" t="s">
        <v>16</v>
      </c>
      <c r="D33">
        <v>2025</v>
      </c>
      <c r="E33" t="s">
        <v>52</v>
      </c>
      <c r="F33" s="15">
        <v>13375</v>
      </c>
      <c r="G33" s="10" t="s">
        <v>8</v>
      </c>
    </row>
    <row r="34" spans="2:7">
      <c r="B34"/>
      <c r="C34" t="s">
        <v>16</v>
      </c>
      <c r="D34" t="s">
        <v>19</v>
      </c>
      <c r="E34" t="s">
        <v>54</v>
      </c>
      <c r="F34" s="15">
        <v>5932</v>
      </c>
      <c r="G34" s="10" t="s">
        <v>8</v>
      </c>
    </row>
    <row r="35" spans="2:7">
      <c r="B35"/>
      <c r="C35" t="s">
        <v>16</v>
      </c>
      <c r="D35" t="s">
        <v>19</v>
      </c>
      <c r="E35" t="s">
        <v>53</v>
      </c>
      <c r="F35" s="15">
        <v>9199.5</v>
      </c>
      <c r="G35" s="10" t="s">
        <v>8</v>
      </c>
    </row>
    <row r="36" spans="2:7">
      <c r="B36"/>
      <c r="C36" t="s">
        <v>16</v>
      </c>
      <c r="D36" t="s">
        <v>19</v>
      </c>
      <c r="E36" t="s">
        <v>52</v>
      </c>
      <c r="F36" s="15">
        <v>8166</v>
      </c>
      <c r="G36" s="10" t="s">
        <v>8</v>
      </c>
    </row>
    <row r="37" spans="2:7">
      <c r="B37"/>
      <c r="C37" s="17" t="s">
        <v>16</v>
      </c>
      <c r="D37" t="s">
        <v>20</v>
      </c>
      <c r="E37" t="s">
        <v>54</v>
      </c>
      <c r="F37" s="15">
        <v>3264</v>
      </c>
      <c r="G37" s="10" t="s">
        <v>8</v>
      </c>
    </row>
    <row r="38" spans="2:7">
      <c r="B38"/>
      <c r="C38" s="17" t="s">
        <v>16</v>
      </c>
      <c r="D38" t="s">
        <v>20</v>
      </c>
      <c r="E38" t="s">
        <v>53</v>
      </c>
      <c r="F38" s="15">
        <v>12736.5</v>
      </c>
      <c r="G38" s="10" t="s">
        <v>8</v>
      </c>
    </row>
    <row r="39" spans="2:7">
      <c r="B39"/>
      <c r="C39" s="17" t="s">
        <v>16</v>
      </c>
      <c r="D39" t="s">
        <v>20</v>
      </c>
      <c r="E39" t="s">
        <v>52</v>
      </c>
      <c r="F39" s="15">
        <v>8617.5</v>
      </c>
      <c r="G39" s="10" t="s">
        <v>8</v>
      </c>
    </row>
    <row r="40" spans="2:7">
      <c r="B40"/>
      <c r="C40" s="17" t="s">
        <v>16</v>
      </c>
      <c r="D40" t="s">
        <v>49</v>
      </c>
      <c r="E40" t="s">
        <v>54</v>
      </c>
      <c r="F40" s="15">
        <v>7984</v>
      </c>
      <c r="G40" s="10" t="s">
        <v>8</v>
      </c>
    </row>
    <row r="41" spans="2:7">
      <c r="B41"/>
      <c r="C41" s="17" t="s">
        <v>16</v>
      </c>
      <c r="D41" t="s">
        <v>49</v>
      </c>
      <c r="E41" t="s">
        <v>53</v>
      </c>
      <c r="F41" s="15">
        <v>7635</v>
      </c>
      <c r="G41" s="10" t="s">
        <v>8</v>
      </c>
    </row>
    <row r="42" spans="2:7">
      <c r="B42"/>
      <c r="C42" t="s">
        <v>16</v>
      </c>
      <c r="D42" t="s">
        <v>49</v>
      </c>
      <c r="E42" t="s">
        <v>52</v>
      </c>
      <c r="F42" s="15">
        <v>9553.5</v>
      </c>
      <c r="G42" s="10" t="s">
        <v>8</v>
      </c>
    </row>
    <row r="43" spans="2:7">
      <c r="B43"/>
      <c r="C43" t="s">
        <v>16</v>
      </c>
      <c r="D43" t="s">
        <v>50</v>
      </c>
      <c r="E43" t="s">
        <v>54</v>
      </c>
      <c r="F43" s="15">
        <v>9160</v>
      </c>
      <c r="G43" s="10" t="s">
        <v>8</v>
      </c>
    </row>
    <row r="44" spans="2:7">
      <c r="B44"/>
      <c r="C44" t="s">
        <v>16</v>
      </c>
      <c r="D44" t="s">
        <v>50</v>
      </c>
      <c r="E44" t="s">
        <v>53</v>
      </c>
      <c r="F44" s="15">
        <v>8414</v>
      </c>
      <c r="G44" s="10" t="s">
        <v>8</v>
      </c>
    </row>
    <row r="45" spans="2:7">
      <c r="B45"/>
      <c r="C45" t="s">
        <v>16</v>
      </c>
      <c r="D45" t="s">
        <v>50</v>
      </c>
      <c r="E45" t="s">
        <v>52</v>
      </c>
      <c r="F45" s="15">
        <v>9712.5</v>
      </c>
      <c r="G45" s="10" t="s">
        <v>8</v>
      </c>
    </row>
    <row r="46" spans="2:7">
      <c r="B46"/>
      <c r="C46" t="s">
        <v>16</v>
      </c>
      <c r="D46" t="s">
        <v>51</v>
      </c>
      <c r="E46" t="s">
        <v>54</v>
      </c>
      <c r="F46" s="15">
        <v>14284</v>
      </c>
      <c r="G46" s="10" t="s">
        <v>8</v>
      </c>
    </row>
    <row r="47" spans="2:7">
      <c r="B47"/>
      <c r="C47" t="s">
        <v>16</v>
      </c>
      <c r="D47" t="s">
        <v>51</v>
      </c>
      <c r="E47" t="s">
        <v>53</v>
      </c>
      <c r="F47" s="15">
        <v>10705.5</v>
      </c>
      <c r="G47" s="10" t="s">
        <v>8</v>
      </c>
    </row>
    <row r="48" spans="2:7">
      <c r="B48"/>
      <c r="C48" s="17" t="s">
        <v>16</v>
      </c>
      <c r="D48" t="s">
        <v>51</v>
      </c>
      <c r="E48" t="s">
        <v>52</v>
      </c>
      <c r="F48" s="15">
        <v>11519</v>
      </c>
      <c r="G48" s="10" t="s">
        <v>8</v>
      </c>
    </row>
    <row r="49" spans="2:7">
      <c r="B49"/>
      <c r="C49" s="17" t="s">
        <v>4</v>
      </c>
      <c r="D49">
        <v>2024</v>
      </c>
      <c r="E49" t="s">
        <v>54</v>
      </c>
      <c r="F49" s="15">
        <v>38276</v>
      </c>
      <c r="G49" s="10" t="s">
        <v>8</v>
      </c>
    </row>
    <row r="50" spans="2:7">
      <c r="B50"/>
      <c r="C50" s="17" t="s">
        <v>4</v>
      </c>
      <c r="D50">
        <v>2024</v>
      </c>
      <c r="E50" t="s">
        <v>53</v>
      </c>
      <c r="F50" s="15">
        <v>52410.5</v>
      </c>
      <c r="G50" s="10" t="s">
        <v>8</v>
      </c>
    </row>
    <row r="51" spans="2:7">
      <c r="B51"/>
      <c r="C51" s="17" t="s">
        <v>4</v>
      </c>
      <c r="D51">
        <v>2024</v>
      </c>
      <c r="E51" t="s">
        <v>52</v>
      </c>
      <c r="F51" s="15">
        <v>18849</v>
      </c>
      <c r="G51" s="10" t="s">
        <v>8</v>
      </c>
    </row>
    <row r="52" spans="2:7">
      <c r="B52"/>
      <c r="C52" s="17" t="s">
        <v>4</v>
      </c>
      <c r="D52">
        <v>2025</v>
      </c>
      <c r="E52" t="s">
        <v>54</v>
      </c>
      <c r="F52" s="15">
        <v>37176</v>
      </c>
      <c r="G52" s="10" t="s">
        <v>8</v>
      </c>
    </row>
    <row r="53" spans="2:7">
      <c r="B53"/>
      <c r="C53" t="s">
        <v>4</v>
      </c>
      <c r="D53">
        <v>2025</v>
      </c>
      <c r="E53" t="s">
        <v>53</v>
      </c>
      <c r="F53" s="15">
        <v>54449.5</v>
      </c>
      <c r="G53" s="10" t="s">
        <v>8</v>
      </c>
    </row>
    <row r="54" spans="2:7">
      <c r="B54"/>
      <c r="C54" t="s">
        <v>4</v>
      </c>
      <c r="D54">
        <v>2025</v>
      </c>
      <c r="E54" t="s">
        <v>52</v>
      </c>
      <c r="F54" s="15">
        <v>22905.5</v>
      </c>
      <c r="G54" s="10" t="s">
        <v>8</v>
      </c>
    </row>
    <row r="55" spans="2:7">
      <c r="B55"/>
      <c r="C55" t="s">
        <v>4</v>
      </c>
      <c r="D55" t="s">
        <v>19</v>
      </c>
      <c r="E55" t="s">
        <v>54</v>
      </c>
      <c r="F55" s="15">
        <v>35904</v>
      </c>
      <c r="G55" s="10" t="s">
        <v>8</v>
      </c>
    </row>
    <row r="56" spans="2:7">
      <c r="B56"/>
      <c r="C56" t="s">
        <v>4</v>
      </c>
      <c r="D56" t="s">
        <v>19</v>
      </c>
      <c r="E56" t="s">
        <v>53</v>
      </c>
      <c r="F56" s="15">
        <v>50883.5</v>
      </c>
      <c r="G56" s="10" t="s">
        <v>8</v>
      </c>
    </row>
    <row r="57" spans="2:7">
      <c r="B57"/>
      <c r="C57" t="s">
        <v>4</v>
      </c>
      <c r="D57" t="s">
        <v>19</v>
      </c>
      <c r="E57" t="s">
        <v>52</v>
      </c>
      <c r="F57" s="15">
        <v>27973</v>
      </c>
      <c r="G57" s="10" t="s">
        <v>8</v>
      </c>
    </row>
    <row r="58" spans="2:7">
      <c r="B58"/>
      <c r="C58" t="s">
        <v>4</v>
      </c>
      <c r="D58" t="s">
        <v>20</v>
      </c>
      <c r="E58" t="s">
        <v>54</v>
      </c>
      <c r="F58" s="15">
        <v>20120</v>
      </c>
      <c r="G58" s="10" t="s">
        <v>8</v>
      </c>
    </row>
    <row r="59" spans="2:7">
      <c r="B59"/>
      <c r="C59" s="17" t="s">
        <v>4</v>
      </c>
      <c r="D59" t="s">
        <v>20</v>
      </c>
      <c r="E59" t="s">
        <v>53</v>
      </c>
      <c r="F59" s="15">
        <v>51286</v>
      </c>
      <c r="G59" s="10" t="s">
        <v>8</v>
      </c>
    </row>
    <row r="60" spans="2:7">
      <c r="B60"/>
      <c r="C60" s="17" t="s">
        <v>4</v>
      </c>
      <c r="D60" t="s">
        <v>20</v>
      </c>
      <c r="E60" t="s">
        <v>52</v>
      </c>
      <c r="F60" s="15">
        <v>28770</v>
      </c>
      <c r="G60" s="10" t="s">
        <v>8</v>
      </c>
    </row>
    <row r="61" spans="2:7">
      <c r="B61"/>
      <c r="C61" s="17" t="s">
        <v>4</v>
      </c>
      <c r="D61" t="s">
        <v>49</v>
      </c>
      <c r="E61" t="s">
        <v>54</v>
      </c>
      <c r="F61" s="15">
        <v>23518</v>
      </c>
      <c r="G61" s="10" t="s">
        <v>8</v>
      </c>
    </row>
    <row r="62" spans="2:7">
      <c r="B62"/>
      <c r="C62" s="17" t="s">
        <v>4</v>
      </c>
      <c r="D62" t="s">
        <v>49</v>
      </c>
      <c r="E62" t="s">
        <v>53</v>
      </c>
      <c r="F62" s="15">
        <v>50238</v>
      </c>
      <c r="G62" s="10" t="s">
        <v>8</v>
      </c>
    </row>
    <row r="63" spans="2:7">
      <c r="B63"/>
      <c r="C63" s="17" t="s">
        <v>4</v>
      </c>
      <c r="D63" t="s">
        <v>49</v>
      </c>
      <c r="E63" t="s">
        <v>52</v>
      </c>
      <c r="F63" s="15">
        <v>25016.5</v>
      </c>
      <c r="G63" s="10" t="s">
        <v>8</v>
      </c>
    </row>
    <row r="64" spans="2:7">
      <c r="B64"/>
      <c r="C64" t="s">
        <v>4</v>
      </c>
      <c r="D64" t="s">
        <v>50</v>
      </c>
      <c r="E64" t="s">
        <v>54</v>
      </c>
      <c r="F64" s="15">
        <v>24944</v>
      </c>
      <c r="G64" s="10" t="s">
        <v>8</v>
      </c>
    </row>
    <row r="65" spans="2:7">
      <c r="B65"/>
      <c r="C65" t="s">
        <v>4</v>
      </c>
      <c r="D65" t="s">
        <v>50</v>
      </c>
      <c r="E65" t="s">
        <v>53</v>
      </c>
      <c r="F65" s="15">
        <v>52320</v>
      </c>
      <c r="G65" s="10" t="s">
        <v>8</v>
      </c>
    </row>
    <row r="66" spans="2:7">
      <c r="B66"/>
      <c r="C66" t="s">
        <v>4</v>
      </c>
      <c r="D66" t="s">
        <v>50</v>
      </c>
      <c r="E66" t="s">
        <v>52</v>
      </c>
      <c r="F66" s="15">
        <v>26691.5</v>
      </c>
      <c r="G66" s="10" t="s">
        <v>8</v>
      </c>
    </row>
    <row r="67" spans="2:7">
      <c r="B67"/>
      <c r="C67" t="s">
        <v>4</v>
      </c>
      <c r="D67" t="s">
        <v>51</v>
      </c>
      <c r="E67" t="s">
        <v>54</v>
      </c>
      <c r="F67" s="15">
        <v>30430</v>
      </c>
      <c r="G67" s="10" t="s">
        <v>8</v>
      </c>
    </row>
    <row r="68" spans="2:7">
      <c r="B68"/>
      <c r="C68" t="s">
        <v>4</v>
      </c>
      <c r="D68" t="s">
        <v>51</v>
      </c>
      <c r="E68" t="s">
        <v>53</v>
      </c>
      <c r="F68" s="15">
        <v>55384</v>
      </c>
      <c r="G68" s="10" t="s">
        <v>8</v>
      </c>
    </row>
    <row r="69" spans="2:7">
      <c r="B69"/>
      <c r="C69" t="s">
        <v>4</v>
      </c>
      <c r="D69" t="s">
        <v>51</v>
      </c>
      <c r="E69" t="s">
        <v>52</v>
      </c>
      <c r="F69" s="15">
        <v>30531.5</v>
      </c>
      <c r="G69" s="10" t="s">
        <v>8</v>
      </c>
    </row>
    <row r="70" spans="2:7">
      <c r="B70"/>
      <c r="C70" t="s">
        <v>5</v>
      </c>
      <c r="D70">
        <v>2025</v>
      </c>
      <c r="E70" t="s">
        <v>54</v>
      </c>
      <c r="F70" s="15">
        <v>30900</v>
      </c>
      <c r="G70" s="10" t="s">
        <v>8</v>
      </c>
    </row>
    <row r="71" spans="2:7">
      <c r="B71"/>
      <c r="C71" t="s">
        <v>5</v>
      </c>
      <c r="D71">
        <v>2025</v>
      </c>
      <c r="E71" t="s">
        <v>53</v>
      </c>
      <c r="F71" s="15">
        <v>42838.5</v>
      </c>
      <c r="G71" s="10" t="s">
        <v>8</v>
      </c>
    </row>
    <row r="72" spans="2:7">
      <c r="B72"/>
      <c r="C72" t="s">
        <v>5</v>
      </c>
      <c r="D72">
        <v>2025</v>
      </c>
      <c r="E72" t="s">
        <v>52</v>
      </c>
      <c r="F72" s="15">
        <v>13272</v>
      </c>
      <c r="G72" s="10" t="s">
        <v>8</v>
      </c>
    </row>
    <row r="73" spans="2:7">
      <c r="B73"/>
      <c r="C73" t="s">
        <v>5</v>
      </c>
      <c r="D73" t="s">
        <v>19</v>
      </c>
      <c r="E73" t="s">
        <v>54</v>
      </c>
      <c r="F73" s="15">
        <v>28538</v>
      </c>
      <c r="G73" s="10" t="s">
        <v>8</v>
      </c>
    </row>
    <row r="74" spans="2:7">
      <c r="B74"/>
      <c r="C74" t="s">
        <v>5</v>
      </c>
      <c r="D74" t="s">
        <v>19</v>
      </c>
      <c r="E74" t="s">
        <v>53</v>
      </c>
      <c r="F74" s="15">
        <v>39511</v>
      </c>
      <c r="G74" s="10" t="s">
        <v>8</v>
      </c>
    </row>
    <row r="75" spans="2:7">
      <c r="B75"/>
      <c r="C75" t="s">
        <v>5</v>
      </c>
      <c r="D75" t="s">
        <v>19</v>
      </c>
      <c r="E75" t="s">
        <v>52</v>
      </c>
      <c r="F75" s="15">
        <v>13814.5</v>
      </c>
      <c r="G75" s="10" t="s">
        <v>8</v>
      </c>
    </row>
    <row r="76" spans="2:7">
      <c r="B76"/>
      <c r="C76" t="s">
        <v>5</v>
      </c>
      <c r="D76" t="s">
        <v>20</v>
      </c>
      <c r="E76" t="s">
        <v>54</v>
      </c>
      <c r="F76" s="15">
        <v>14110</v>
      </c>
      <c r="G76" s="10" t="s">
        <v>8</v>
      </c>
    </row>
    <row r="77" spans="2:7">
      <c r="B77"/>
      <c r="C77" t="s">
        <v>5</v>
      </c>
      <c r="D77" t="s">
        <v>20</v>
      </c>
      <c r="E77" t="s">
        <v>53</v>
      </c>
      <c r="F77" s="15">
        <v>33277</v>
      </c>
      <c r="G77" s="10" t="s">
        <v>8</v>
      </c>
    </row>
    <row r="78" spans="2:7">
      <c r="B78"/>
      <c r="C78" t="s">
        <v>5</v>
      </c>
      <c r="D78" t="s">
        <v>20</v>
      </c>
      <c r="E78" t="s">
        <v>52</v>
      </c>
      <c r="F78" s="15">
        <v>13292.5</v>
      </c>
      <c r="G78" s="10" t="s">
        <v>8</v>
      </c>
    </row>
    <row r="79" spans="2:7">
      <c r="B79"/>
      <c r="C79" t="s">
        <v>5</v>
      </c>
      <c r="D79" t="s">
        <v>49</v>
      </c>
      <c r="E79" t="s">
        <v>54</v>
      </c>
      <c r="F79" s="15">
        <v>11646</v>
      </c>
      <c r="G79" s="10" t="s">
        <v>8</v>
      </c>
    </row>
    <row r="80" spans="2:7">
      <c r="B80"/>
      <c r="C80" t="s">
        <v>5</v>
      </c>
      <c r="D80" t="s">
        <v>49</v>
      </c>
      <c r="E80" t="s">
        <v>53</v>
      </c>
      <c r="F80" s="15">
        <v>31310</v>
      </c>
      <c r="G80" s="10" t="s">
        <v>8</v>
      </c>
    </row>
    <row r="81" spans="2:7">
      <c r="B81"/>
      <c r="C81" t="s">
        <v>5</v>
      </c>
      <c r="D81" t="s">
        <v>49</v>
      </c>
      <c r="E81" t="s">
        <v>52</v>
      </c>
      <c r="F81" s="15">
        <v>14600.5</v>
      </c>
      <c r="G81" s="10" t="s">
        <v>8</v>
      </c>
    </row>
    <row r="82" spans="2:7">
      <c r="B82"/>
      <c r="C82" t="s">
        <v>5</v>
      </c>
      <c r="D82" t="s">
        <v>50</v>
      </c>
      <c r="E82" t="s">
        <v>54</v>
      </c>
      <c r="F82" s="15">
        <v>11758</v>
      </c>
      <c r="G82" s="10" t="s">
        <v>8</v>
      </c>
    </row>
    <row r="83" spans="2:7">
      <c r="B83"/>
      <c r="C83" t="s">
        <v>5</v>
      </c>
      <c r="D83" t="s">
        <v>50</v>
      </c>
      <c r="E83" t="s">
        <v>53</v>
      </c>
      <c r="F83" s="15">
        <v>31733.5</v>
      </c>
      <c r="G83" s="10" t="s">
        <v>8</v>
      </c>
    </row>
    <row r="84" spans="2:7">
      <c r="B84"/>
      <c r="C84" t="s">
        <v>5</v>
      </c>
      <c r="D84" t="s">
        <v>50</v>
      </c>
      <c r="E84" t="s">
        <v>52</v>
      </c>
      <c r="F84" s="15">
        <v>16930</v>
      </c>
      <c r="G84" s="10" t="s">
        <v>8</v>
      </c>
    </row>
    <row r="85" spans="2:7">
      <c r="B85"/>
      <c r="C85" t="s">
        <v>5</v>
      </c>
      <c r="D85" t="s">
        <v>51</v>
      </c>
      <c r="E85" t="s">
        <v>54</v>
      </c>
      <c r="F85" s="15">
        <v>13936</v>
      </c>
      <c r="G85" s="10" t="s">
        <v>8</v>
      </c>
    </row>
    <row r="86" spans="2:7">
      <c r="B86"/>
      <c r="C86" t="s">
        <v>5</v>
      </c>
      <c r="D86" t="s">
        <v>51</v>
      </c>
      <c r="E86" t="s">
        <v>53</v>
      </c>
      <c r="F86" s="15">
        <v>31648.5</v>
      </c>
      <c r="G86" s="10" t="s">
        <v>8</v>
      </c>
    </row>
    <row r="87" spans="2:7">
      <c r="B87"/>
      <c r="C87" t="s">
        <v>5</v>
      </c>
      <c r="D87" t="s">
        <v>51</v>
      </c>
      <c r="E87" t="s">
        <v>52</v>
      </c>
      <c r="F87" s="15">
        <v>18975</v>
      </c>
      <c r="G87" s="10" t="s">
        <v>8</v>
      </c>
    </row>
    <row r="88" spans="2:7">
      <c r="B88"/>
      <c r="C88" t="s">
        <v>13</v>
      </c>
      <c r="D88">
        <v>2025</v>
      </c>
      <c r="E88" t="s">
        <v>54</v>
      </c>
      <c r="F88" s="15">
        <v>5034</v>
      </c>
      <c r="G88" s="10" t="s">
        <v>8</v>
      </c>
    </row>
    <row r="89" spans="2:7">
      <c r="B89"/>
      <c r="C89" t="s">
        <v>13</v>
      </c>
      <c r="D89">
        <v>2025</v>
      </c>
      <c r="E89" t="s">
        <v>53</v>
      </c>
      <c r="F89" s="15">
        <v>9830</v>
      </c>
      <c r="G89" s="10" t="s">
        <v>8</v>
      </c>
    </row>
    <row r="90" spans="2:7">
      <c r="B90"/>
      <c r="C90" t="s">
        <v>13</v>
      </c>
      <c r="D90">
        <v>2025</v>
      </c>
      <c r="E90" t="s">
        <v>52</v>
      </c>
      <c r="F90" s="15">
        <v>4104.5</v>
      </c>
      <c r="G90" s="10" t="s">
        <v>8</v>
      </c>
    </row>
    <row r="91" spans="2:7">
      <c r="B91"/>
      <c r="C91" t="s">
        <v>13</v>
      </c>
      <c r="D91" t="s">
        <v>19</v>
      </c>
      <c r="E91" t="s">
        <v>54</v>
      </c>
      <c r="F91" s="15">
        <v>5388</v>
      </c>
      <c r="G91" s="10" t="s">
        <v>8</v>
      </c>
    </row>
    <row r="92" spans="2:7">
      <c r="B92"/>
      <c r="C92" t="s">
        <v>13</v>
      </c>
      <c r="D92" t="s">
        <v>19</v>
      </c>
      <c r="E92" t="s">
        <v>53</v>
      </c>
      <c r="F92" s="15">
        <v>6799.5</v>
      </c>
      <c r="G92" s="10" t="s">
        <v>8</v>
      </c>
    </row>
    <row r="93" spans="2:7">
      <c r="B93"/>
      <c r="C93" t="s">
        <v>13</v>
      </c>
      <c r="D93" t="s">
        <v>19</v>
      </c>
      <c r="E93" t="s">
        <v>52</v>
      </c>
      <c r="F93" s="15">
        <v>3391.5</v>
      </c>
      <c r="G93" s="10" t="s">
        <v>8</v>
      </c>
    </row>
    <row r="94" spans="2:7">
      <c r="B94"/>
      <c r="C94" t="s">
        <v>13</v>
      </c>
      <c r="D94" t="s">
        <v>20</v>
      </c>
      <c r="E94" t="s">
        <v>54</v>
      </c>
      <c r="F94" s="15">
        <v>4070</v>
      </c>
      <c r="G94" s="10" t="s">
        <v>8</v>
      </c>
    </row>
    <row r="95" spans="2:7">
      <c r="B95"/>
      <c r="C95" t="s">
        <v>13</v>
      </c>
      <c r="D95" t="s">
        <v>20</v>
      </c>
      <c r="E95" t="s">
        <v>53</v>
      </c>
      <c r="F95" s="15">
        <v>4117</v>
      </c>
      <c r="G95" s="10" t="s">
        <v>8</v>
      </c>
    </row>
    <row r="96" spans="2:7">
      <c r="B96"/>
      <c r="C96" t="s">
        <v>13</v>
      </c>
      <c r="D96" t="s">
        <v>20</v>
      </c>
      <c r="E96" t="s">
        <v>52</v>
      </c>
      <c r="F96" s="15">
        <v>1825.5</v>
      </c>
      <c r="G96" s="10" t="s">
        <v>8</v>
      </c>
    </row>
    <row r="97" spans="2:7">
      <c r="B97"/>
      <c r="C97" t="s">
        <v>13</v>
      </c>
      <c r="D97" t="s">
        <v>49</v>
      </c>
      <c r="E97" t="s">
        <v>54</v>
      </c>
      <c r="F97" s="15">
        <v>4182</v>
      </c>
      <c r="G97" s="10" t="s">
        <v>8</v>
      </c>
    </row>
    <row r="98" spans="2:7">
      <c r="B98"/>
      <c r="C98" t="s">
        <v>13</v>
      </c>
      <c r="D98" t="s">
        <v>49</v>
      </c>
      <c r="E98" t="s">
        <v>53</v>
      </c>
      <c r="F98" s="15">
        <v>3465.5</v>
      </c>
      <c r="G98" s="10" t="s">
        <v>8</v>
      </c>
    </row>
    <row r="99" spans="2:7">
      <c r="B99"/>
      <c r="C99" t="s">
        <v>13</v>
      </c>
      <c r="D99" t="s">
        <v>49</v>
      </c>
      <c r="E99" t="s">
        <v>52</v>
      </c>
      <c r="F99" s="15">
        <v>2501</v>
      </c>
      <c r="G99" s="10" t="s">
        <v>8</v>
      </c>
    </row>
    <row r="100" spans="2:7">
      <c r="B100"/>
      <c r="C100" t="s">
        <v>13</v>
      </c>
      <c r="D100" t="s">
        <v>50</v>
      </c>
      <c r="E100" t="s">
        <v>54</v>
      </c>
      <c r="F100" s="15">
        <v>4636</v>
      </c>
      <c r="G100" s="10" t="s">
        <v>8</v>
      </c>
    </row>
    <row r="101" spans="2:7">
      <c r="B101"/>
      <c r="C101" t="s">
        <v>13</v>
      </c>
      <c r="D101" t="s">
        <v>50</v>
      </c>
      <c r="E101" t="s">
        <v>53</v>
      </c>
      <c r="F101" s="15">
        <v>4309</v>
      </c>
      <c r="G101" s="10" t="s">
        <v>8</v>
      </c>
    </row>
    <row r="102" spans="2:7">
      <c r="B102"/>
      <c r="C102" t="s">
        <v>13</v>
      </c>
      <c r="D102" t="s">
        <v>50</v>
      </c>
      <c r="E102" t="s">
        <v>52</v>
      </c>
      <c r="F102" s="15">
        <v>3613.5</v>
      </c>
      <c r="G102" s="10" t="s">
        <v>8</v>
      </c>
    </row>
    <row r="103" spans="2:7">
      <c r="B103"/>
      <c r="C103" t="s">
        <v>13</v>
      </c>
      <c r="D103" t="s">
        <v>51</v>
      </c>
      <c r="E103" t="s">
        <v>54</v>
      </c>
      <c r="F103" s="15">
        <v>4898</v>
      </c>
      <c r="G103" s="10" t="s">
        <v>8</v>
      </c>
    </row>
    <row r="104" spans="2:7">
      <c r="B104"/>
      <c r="C104" t="s">
        <v>13</v>
      </c>
      <c r="D104" t="s">
        <v>51</v>
      </c>
      <c r="E104" t="s">
        <v>53</v>
      </c>
      <c r="F104" s="15">
        <v>4821</v>
      </c>
      <c r="G104" s="10" t="s">
        <v>8</v>
      </c>
    </row>
    <row r="105" spans="2:7">
      <c r="B105"/>
      <c r="C105" t="s">
        <v>13</v>
      </c>
      <c r="D105" t="s">
        <v>51</v>
      </c>
      <c r="E105" t="s">
        <v>52</v>
      </c>
      <c r="F105" s="15">
        <v>5165</v>
      </c>
      <c r="G105" s="10" t="s">
        <v>8</v>
      </c>
    </row>
    <row r="106" spans="2:7">
      <c r="B106"/>
      <c r="C106" t="s">
        <v>12</v>
      </c>
      <c r="D106" t="s">
        <v>19</v>
      </c>
      <c r="E106" t="s">
        <v>54</v>
      </c>
      <c r="F106" s="15">
        <v>9358</v>
      </c>
      <c r="G106" s="10" t="s">
        <v>8</v>
      </c>
    </row>
    <row r="107" spans="2:7">
      <c r="B107"/>
      <c r="C107" t="s">
        <v>12</v>
      </c>
      <c r="D107" t="s">
        <v>19</v>
      </c>
      <c r="E107" t="s">
        <v>53</v>
      </c>
      <c r="F107" s="15">
        <v>10185</v>
      </c>
      <c r="G107" s="10" t="s">
        <v>8</v>
      </c>
    </row>
    <row r="108" spans="2:7">
      <c r="B108"/>
      <c r="C108" t="s">
        <v>12</v>
      </c>
      <c r="D108" t="s">
        <v>19</v>
      </c>
      <c r="E108" t="s">
        <v>52</v>
      </c>
      <c r="F108" s="15">
        <v>6298</v>
      </c>
      <c r="G108" s="10" t="s">
        <v>8</v>
      </c>
    </row>
    <row r="109" spans="2:7">
      <c r="B109"/>
      <c r="C109" t="s">
        <v>12</v>
      </c>
      <c r="D109" t="s">
        <v>20</v>
      </c>
      <c r="E109" t="s">
        <v>54</v>
      </c>
      <c r="F109" s="15">
        <v>7242</v>
      </c>
      <c r="G109" s="10" t="s">
        <v>8</v>
      </c>
    </row>
    <row r="110" spans="2:7">
      <c r="B110"/>
      <c r="C110" t="s">
        <v>12</v>
      </c>
      <c r="D110" t="s">
        <v>20</v>
      </c>
      <c r="E110" t="s">
        <v>53</v>
      </c>
      <c r="F110" s="15">
        <v>6373.5</v>
      </c>
      <c r="G110" s="10" t="s">
        <v>8</v>
      </c>
    </row>
    <row r="111" spans="2:7">
      <c r="B111"/>
      <c r="C111" t="s">
        <v>12</v>
      </c>
      <c r="D111" t="s">
        <v>20</v>
      </c>
      <c r="E111" t="s">
        <v>52</v>
      </c>
      <c r="F111" s="15">
        <v>6103.5</v>
      </c>
      <c r="G111" s="10" t="s">
        <v>8</v>
      </c>
    </row>
    <row r="112" spans="2:7">
      <c r="B112"/>
      <c r="C112" t="s">
        <v>12</v>
      </c>
      <c r="D112" t="s">
        <v>49</v>
      </c>
      <c r="E112" t="s">
        <v>54</v>
      </c>
      <c r="F112" s="15">
        <v>6236</v>
      </c>
      <c r="G112" s="10" t="s">
        <v>8</v>
      </c>
    </row>
    <row r="113" spans="2:7">
      <c r="B113"/>
      <c r="C113" t="s">
        <v>12</v>
      </c>
      <c r="D113" t="s">
        <v>49</v>
      </c>
      <c r="E113" t="s">
        <v>53</v>
      </c>
      <c r="F113" s="15">
        <v>7747</v>
      </c>
      <c r="G113" s="10" t="s">
        <v>8</v>
      </c>
    </row>
    <row r="114" spans="2:7">
      <c r="B114"/>
      <c r="C114" t="s">
        <v>12</v>
      </c>
      <c r="D114" t="s">
        <v>49</v>
      </c>
      <c r="E114" t="s">
        <v>52</v>
      </c>
      <c r="F114" s="15">
        <v>6519.5</v>
      </c>
      <c r="G114" s="10" t="s">
        <v>8</v>
      </c>
    </row>
    <row r="115" spans="2:7">
      <c r="B115"/>
      <c r="C115" t="s">
        <v>12</v>
      </c>
      <c r="D115" t="s">
        <v>50</v>
      </c>
      <c r="E115" t="s">
        <v>54</v>
      </c>
      <c r="F115" s="15">
        <v>6810</v>
      </c>
      <c r="G115" s="10" t="s">
        <v>8</v>
      </c>
    </row>
    <row r="116" spans="2:7">
      <c r="B116"/>
      <c r="C116" t="s">
        <v>12</v>
      </c>
      <c r="D116" t="s">
        <v>50</v>
      </c>
      <c r="E116" t="s">
        <v>53</v>
      </c>
      <c r="F116" s="15">
        <v>8749.5</v>
      </c>
      <c r="G116" s="10" t="s">
        <v>8</v>
      </c>
    </row>
    <row r="117" spans="2:7">
      <c r="B117"/>
      <c r="C117" t="s">
        <v>12</v>
      </c>
      <c r="D117" t="s">
        <v>50</v>
      </c>
      <c r="E117" t="s">
        <v>52</v>
      </c>
      <c r="F117" s="15">
        <v>8320.5</v>
      </c>
      <c r="G117" s="10" t="s">
        <v>8</v>
      </c>
    </row>
    <row r="118" spans="2:7">
      <c r="B118"/>
      <c r="C118" t="s">
        <v>12</v>
      </c>
      <c r="D118" t="s">
        <v>51</v>
      </c>
      <c r="E118" t="s">
        <v>54</v>
      </c>
      <c r="F118" s="15">
        <v>7112</v>
      </c>
      <c r="G118" s="10" t="s">
        <v>8</v>
      </c>
    </row>
    <row r="119" spans="2:7">
      <c r="B119"/>
      <c r="C119" t="s">
        <v>12</v>
      </c>
      <c r="D119" t="s">
        <v>51</v>
      </c>
      <c r="E119" t="s">
        <v>53</v>
      </c>
      <c r="F119" s="15">
        <v>9293</v>
      </c>
      <c r="G119" s="10" t="s">
        <v>8</v>
      </c>
    </row>
    <row r="120" spans="2:7">
      <c r="B120"/>
      <c r="C120" t="s">
        <v>12</v>
      </c>
      <c r="D120" t="s">
        <v>51</v>
      </c>
      <c r="E120" t="s">
        <v>52</v>
      </c>
      <c r="F120" s="15">
        <v>11218.5</v>
      </c>
      <c r="G120" s="10" t="s">
        <v>8</v>
      </c>
    </row>
    <row r="121" spans="2:7">
      <c r="B121"/>
      <c r="C121" t="s">
        <v>34</v>
      </c>
      <c r="D121">
        <v>2025</v>
      </c>
      <c r="E121" t="s">
        <v>54</v>
      </c>
      <c r="F121" s="15">
        <v>3236</v>
      </c>
      <c r="G121" s="10" t="s">
        <v>8</v>
      </c>
    </row>
    <row r="122" spans="2:7">
      <c r="B122"/>
      <c r="C122" t="s">
        <v>34</v>
      </c>
      <c r="D122">
        <v>2025</v>
      </c>
      <c r="E122" t="s">
        <v>53</v>
      </c>
      <c r="F122" s="15">
        <v>10021.5</v>
      </c>
      <c r="G122" s="10" t="s">
        <v>8</v>
      </c>
    </row>
    <row r="123" spans="2:7">
      <c r="B123"/>
      <c r="C123" t="s">
        <v>34</v>
      </c>
      <c r="D123">
        <v>2025</v>
      </c>
      <c r="E123" t="s">
        <v>52</v>
      </c>
      <c r="F123" s="15">
        <v>4604</v>
      </c>
      <c r="G123" s="10" t="s">
        <v>8</v>
      </c>
    </row>
    <row r="124" spans="2:7">
      <c r="B124"/>
      <c r="C124" t="s">
        <v>34</v>
      </c>
      <c r="D124" t="s">
        <v>19</v>
      </c>
      <c r="E124" t="s">
        <v>54</v>
      </c>
      <c r="F124" s="15">
        <v>3778</v>
      </c>
      <c r="G124" s="10" t="s">
        <v>8</v>
      </c>
    </row>
    <row r="125" spans="2:7">
      <c r="B125"/>
      <c r="C125" t="s">
        <v>34</v>
      </c>
      <c r="D125" t="s">
        <v>19</v>
      </c>
      <c r="E125" t="s">
        <v>53</v>
      </c>
      <c r="F125" s="15">
        <v>7073.5</v>
      </c>
      <c r="G125" s="10" t="s">
        <v>8</v>
      </c>
    </row>
    <row r="126" spans="2:7">
      <c r="B126"/>
      <c r="C126" t="s">
        <v>34</v>
      </c>
      <c r="D126" t="s">
        <v>19</v>
      </c>
      <c r="E126" t="s">
        <v>52</v>
      </c>
      <c r="F126" s="15">
        <v>4309</v>
      </c>
      <c r="G126" s="10" t="s">
        <v>8</v>
      </c>
    </row>
    <row r="127" spans="2:7">
      <c r="B127"/>
      <c r="C127" t="s">
        <v>34</v>
      </c>
      <c r="D127" t="s">
        <v>20</v>
      </c>
      <c r="E127" t="s">
        <v>54</v>
      </c>
      <c r="F127" s="15">
        <v>-62</v>
      </c>
      <c r="G127" s="10" t="s">
        <v>8</v>
      </c>
    </row>
    <row r="128" spans="2:7">
      <c r="B128"/>
      <c r="C128" t="s">
        <v>34</v>
      </c>
      <c r="D128" t="s">
        <v>20</v>
      </c>
      <c r="E128" t="s">
        <v>53</v>
      </c>
      <c r="F128" s="15">
        <v>3176.5</v>
      </c>
      <c r="G128" s="10" t="s">
        <v>8</v>
      </c>
    </row>
    <row r="129" spans="2:7">
      <c r="B129"/>
      <c r="C129" t="s">
        <v>34</v>
      </c>
      <c r="D129" t="s">
        <v>20</v>
      </c>
      <c r="E129" t="s">
        <v>52</v>
      </c>
      <c r="F129" s="15">
        <v>2212</v>
      </c>
      <c r="G129" s="10" t="s">
        <v>8</v>
      </c>
    </row>
    <row r="130" spans="2:7">
      <c r="B130"/>
      <c r="C130" t="s">
        <v>34</v>
      </c>
      <c r="D130" t="s">
        <v>49</v>
      </c>
      <c r="E130" t="s">
        <v>54</v>
      </c>
      <c r="F130" s="15">
        <v>3310</v>
      </c>
      <c r="G130" s="10" t="s">
        <v>8</v>
      </c>
    </row>
    <row r="131" spans="2:7">
      <c r="B131"/>
      <c r="C131" t="s">
        <v>34</v>
      </c>
      <c r="D131" t="s">
        <v>49</v>
      </c>
      <c r="E131" t="s">
        <v>53</v>
      </c>
      <c r="F131" s="15">
        <v>3793</v>
      </c>
      <c r="G131" s="10" t="s">
        <v>8</v>
      </c>
    </row>
    <row r="132" spans="2:7">
      <c r="B132"/>
      <c r="C132" t="s">
        <v>34</v>
      </c>
      <c r="D132" t="s">
        <v>49</v>
      </c>
      <c r="E132" t="s">
        <v>52</v>
      </c>
      <c r="F132" s="15">
        <v>2550.5</v>
      </c>
      <c r="G132" s="10" t="s">
        <v>8</v>
      </c>
    </row>
    <row r="133" spans="2:7">
      <c r="B133"/>
      <c r="C133" t="s">
        <v>34</v>
      </c>
      <c r="D133" t="s">
        <v>50</v>
      </c>
      <c r="E133" t="s">
        <v>54</v>
      </c>
      <c r="F133" s="15">
        <v>3958</v>
      </c>
      <c r="G133" s="10" t="s">
        <v>8</v>
      </c>
    </row>
    <row r="134" spans="2:7">
      <c r="B134"/>
      <c r="C134" t="s">
        <v>34</v>
      </c>
      <c r="D134" t="s">
        <v>50</v>
      </c>
      <c r="E134" t="s">
        <v>53</v>
      </c>
      <c r="F134" s="15">
        <v>4722</v>
      </c>
      <c r="G134" s="10" t="s">
        <v>8</v>
      </c>
    </row>
    <row r="135" spans="2:7">
      <c r="B135"/>
      <c r="C135" t="s">
        <v>34</v>
      </c>
      <c r="D135" t="s">
        <v>50</v>
      </c>
      <c r="E135" t="s">
        <v>52</v>
      </c>
      <c r="F135" s="15">
        <v>3911</v>
      </c>
      <c r="G135" s="10" t="s">
        <v>8</v>
      </c>
    </row>
    <row r="136" spans="2:7">
      <c r="B136"/>
      <c r="C136" t="s">
        <v>34</v>
      </c>
      <c r="D136" t="s">
        <v>51</v>
      </c>
      <c r="E136" t="s">
        <v>54</v>
      </c>
      <c r="F136" s="15">
        <v>4282</v>
      </c>
      <c r="G136" s="10" t="s">
        <v>8</v>
      </c>
    </row>
    <row r="137" spans="2:7">
      <c r="B137"/>
      <c r="C137" t="s">
        <v>34</v>
      </c>
      <c r="D137" t="s">
        <v>51</v>
      </c>
      <c r="E137" t="s">
        <v>53</v>
      </c>
      <c r="F137" s="15">
        <v>5329.5</v>
      </c>
      <c r="G137" s="10" t="s">
        <v>8</v>
      </c>
    </row>
    <row r="138" spans="2:7">
      <c r="B138"/>
      <c r="C138" t="s">
        <v>34</v>
      </c>
      <c r="D138" t="s">
        <v>51</v>
      </c>
      <c r="E138" t="s">
        <v>52</v>
      </c>
      <c r="F138" s="15">
        <v>5415.5</v>
      </c>
      <c r="G138" s="10" t="s">
        <v>8</v>
      </c>
    </row>
    <row r="139" spans="2:7">
      <c r="B139"/>
      <c r="C139" t="s">
        <v>17</v>
      </c>
      <c r="D139">
        <v>2025</v>
      </c>
      <c r="E139" t="s">
        <v>54</v>
      </c>
      <c r="F139" s="15">
        <v>7586</v>
      </c>
      <c r="G139" s="10" t="s">
        <v>8</v>
      </c>
    </row>
    <row r="140" spans="2:7">
      <c r="B140"/>
      <c r="C140" t="s">
        <v>17</v>
      </c>
      <c r="D140">
        <v>2025</v>
      </c>
      <c r="E140" t="s">
        <v>53</v>
      </c>
      <c r="F140" s="15">
        <v>22004</v>
      </c>
      <c r="G140" s="10" t="s">
        <v>8</v>
      </c>
    </row>
    <row r="141" spans="2:7">
      <c r="B141"/>
      <c r="C141" t="s">
        <v>17</v>
      </c>
      <c r="D141">
        <v>2025</v>
      </c>
      <c r="E141" t="s">
        <v>52</v>
      </c>
      <c r="F141" s="15">
        <v>1095.5</v>
      </c>
      <c r="G141" s="10" t="s">
        <v>8</v>
      </c>
    </row>
    <row r="142" spans="2:7">
      <c r="B142"/>
      <c r="C142" t="s">
        <v>17</v>
      </c>
      <c r="D142" t="s">
        <v>19</v>
      </c>
      <c r="E142" t="s">
        <v>54</v>
      </c>
      <c r="F142" s="15">
        <v>6916</v>
      </c>
      <c r="G142" s="10" t="s">
        <v>8</v>
      </c>
    </row>
    <row r="143" spans="2:7">
      <c r="B143"/>
      <c r="C143" t="s">
        <v>17</v>
      </c>
      <c r="D143" t="s">
        <v>19</v>
      </c>
      <c r="E143" t="s">
        <v>53</v>
      </c>
      <c r="F143" s="15">
        <v>11228.5</v>
      </c>
      <c r="G143" s="10" t="s">
        <v>8</v>
      </c>
    </row>
    <row r="144" spans="2:7">
      <c r="B144"/>
      <c r="C144" t="s">
        <v>17</v>
      </c>
      <c r="D144" t="s">
        <v>19</v>
      </c>
      <c r="E144" t="s">
        <v>52</v>
      </c>
      <c r="F144" s="15">
        <v>1177</v>
      </c>
      <c r="G144" s="10" t="s">
        <v>8</v>
      </c>
    </row>
    <row r="145" spans="2:7">
      <c r="B145"/>
      <c r="C145" t="s">
        <v>17</v>
      </c>
      <c r="D145" t="s">
        <v>20</v>
      </c>
      <c r="E145" t="s">
        <v>54</v>
      </c>
      <c r="F145" s="15">
        <v>4150</v>
      </c>
      <c r="G145" s="10" t="s">
        <v>8</v>
      </c>
    </row>
    <row r="146" spans="2:7">
      <c r="B146"/>
      <c r="C146" t="s">
        <v>17</v>
      </c>
      <c r="D146" t="s">
        <v>20</v>
      </c>
      <c r="E146" t="s">
        <v>53</v>
      </c>
      <c r="F146" s="15">
        <v>19655.5</v>
      </c>
      <c r="G146" s="10" t="s">
        <v>8</v>
      </c>
    </row>
    <row r="147" spans="2:7">
      <c r="B147"/>
      <c r="C147" t="s">
        <v>17</v>
      </c>
      <c r="D147" t="s">
        <v>20</v>
      </c>
      <c r="E147" t="s">
        <v>52</v>
      </c>
      <c r="F147" s="15">
        <v>687.5</v>
      </c>
      <c r="G147" s="10" t="s">
        <v>8</v>
      </c>
    </row>
    <row r="148" spans="2:7">
      <c r="B148"/>
      <c r="C148" t="s">
        <v>17</v>
      </c>
      <c r="D148" t="s">
        <v>49</v>
      </c>
      <c r="E148" t="s">
        <v>54</v>
      </c>
      <c r="F148" s="15">
        <v>3710</v>
      </c>
      <c r="G148" s="10" t="s">
        <v>8</v>
      </c>
    </row>
    <row r="149" spans="2:7">
      <c r="B149"/>
      <c r="C149" t="s">
        <v>17</v>
      </c>
      <c r="D149" t="s">
        <v>49</v>
      </c>
      <c r="E149" t="s">
        <v>53</v>
      </c>
      <c r="F149" s="15">
        <v>20074</v>
      </c>
      <c r="G149" s="10" t="s">
        <v>8</v>
      </c>
    </row>
    <row r="150" spans="2:7">
      <c r="B150"/>
      <c r="C150" t="s">
        <v>17</v>
      </c>
      <c r="D150" t="s">
        <v>49</v>
      </c>
      <c r="E150" t="s">
        <v>52</v>
      </c>
      <c r="F150" s="15">
        <v>982.5</v>
      </c>
      <c r="G150" s="10" t="s">
        <v>8</v>
      </c>
    </row>
    <row r="151" spans="2:7">
      <c r="B151"/>
      <c r="C151" t="s">
        <v>17</v>
      </c>
      <c r="D151" t="s">
        <v>50</v>
      </c>
      <c r="E151" t="s">
        <v>54</v>
      </c>
      <c r="F151" s="15">
        <v>3710</v>
      </c>
      <c r="G151" s="10" t="s">
        <v>8</v>
      </c>
    </row>
    <row r="152" spans="2:7">
      <c r="B152"/>
      <c r="C152" t="s">
        <v>17</v>
      </c>
      <c r="D152" t="s">
        <v>50</v>
      </c>
      <c r="E152" t="s">
        <v>53</v>
      </c>
      <c r="F152" s="15">
        <v>20138</v>
      </c>
      <c r="G152" s="10" t="s">
        <v>8</v>
      </c>
    </row>
    <row r="153" spans="2:7">
      <c r="B153"/>
      <c r="C153" t="s">
        <v>17</v>
      </c>
      <c r="D153" t="s">
        <v>50</v>
      </c>
      <c r="E153" t="s">
        <v>52</v>
      </c>
      <c r="F153" s="15">
        <v>1433</v>
      </c>
      <c r="G153" s="10" t="s">
        <v>8</v>
      </c>
    </row>
    <row r="154" spans="2:7">
      <c r="B154"/>
      <c r="C154" t="s">
        <v>17</v>
      </c>
      <c r="D154" t="s">
        <v>51</v>
      </c>
      <c r="E154" t="s">
        <v>54</v>
      </c>
      <c r="F154" s="15">
        <v>4610</v>
      </c>
      <c r="G154" s="10" t="s">
        <v>8</v>
      </c>
    </row>
    <row r="155" spans="2:7">
      <c r="B155"/>
      <c r="C155" t="s">
        <v>17</v>
      </c>
      <c r="D155" t="s">
        <v>51</v>
      </c>
      <c r="E155" t="s">
        <v>53</v>
      </c>
      <c r="F155" s="15">
        <v>24575.5</v>
      </c>
      <c r="G155" s="10" t="s">
        <v>8</v>
      </c>
    </row>
    <row r="156" spans="2:7">
      <c r="B156"/>
      <c r="C156" t="s">
        <v>17</v>
      </c>
      <c r="D156" t="s">
        <v>51</v>
      </c>
      <c r="E156" t="s">
        <v>52</v>
      </c>
      <c r="F156" s="15">
        <v>1361.5</v>
      </c>
      <c r="G156" s="10" t="s">
        <v>8</v>
      </c>
    </row>
    <row r="157" spans="2:7">
      <c r="B157"/>
      <c r="C157" t="s">
        <v>14</v>
      </c>
      <c r="D157">
        <v>2025</v>
      </c>
      <c r="E157" t="s">
        <v>54</v>
      </c>
      <c r="F157" s="15">
        <v>848</v>
      </c>
      <c r="G157" s="10" t="s">
        <v>8</v>
      </c>
    </row>
    <row r="158" spans="2:7">
      <c r="B158"/>
      <c r="C158" t="s">
        <v>14</v>
      </c>
      <c r="D158">
        <v>2025</v>
      </c>
      <c r="E158" t="s">
        <v>53</v>
      </c>
      <c r="F158" s="15">
        <v>2793</v>
      </c>
      <c r="G158" s="10" t="s">
        <v>8</v>
      </c>
    </row>
    <row r="159" spans="2:7">
      <c r="B159"/>
      <c r="C159" t="s">
        <v>14</v>
      </c>
      <c r="D159">
        <v>2025</v>
      </c>
      <c r="E159" t="s">
        <v>52</v>
      </c>
      <c r="F159" s="15">
        <v>555.5</v>
      </c>
      <c r="G159" s="10" t="s">
        <v>8</v>
      </c>
    </row>
    <row r="160" spans="2:7">
      <c r="B160"/>
      <c r="C160" t="s">
        <v>14</v>
      </c>
      <c r="D160" t="s">
        <v>19</v>
      </c>
      <c r="E160" t="s">
        <v>54</v>
      </c>
      <c r="F160" s="15">
        <v>1378</v>
      </c>
      <c r="G160" s="10" t="s">
        <v>8</v>
      </c>
    </row>
    <row r="161" spans="2:7">
      <c r="B161"/>
      <c r="C161" t="s">
        <v>14</v>
      </c>
      <c r="D161" t="s">
        <v>19</v>
      </c>
      <c r="E161" t="s">
        <v>53</v>
      </c>
      <c r="F161" s="15">
        <v>1896.5</v>
      </c>
      <c r="G161" s="10" t="s">
        <v>8</v>
      </c>
    </row>
    <row r="162" spans="2:7">
      <c r="B162"/>
      <c r="C162" t="s">
        <v>14</v>
      </c>
      <c r="D162" t="s">
        <v>19</v>
      </c>
      <c r="E162" t="s">
        <v>52</v>
      </c>
      <c r="F162" s="15">
        <v>880.5</v>
      </c>
      <c r="G162" s="10" t="s">
        <v>8</v>
      </c>
    </row>
    <row r="163" spans="2:7">
      <c r="B163"/>
      <c r="C163" t="s">
        <v>14</v>
      </c>
      <c r="D163" t="s">
        <v>20</v>
      </c>
      <c r="E163" t="s">
        <v>54</v>
      </c>
      <c r="F163" s="15">
        <v>768</v>
      </c>
      <c r="G163" s="10" t="s">
        <v>8</v>
      </c>
    </row>
    <row r="164" spans="2:7">
      <c r="B164"/>
      <c r="C164" t="s">
        <v>14</v>
      </c>
      <c r="D164" t="s">
        <v>20</v>
      </c>
      <c r="E164" t="s">
        <v>53</v>
      </c>
      <c r="F164" s="15">
        <v>609</v>
      </c>
      <c r="G164" s="10" t="s">
        <v>8</v>
      </c>
    </row>
    <row r="165" spans="2:7">
      <c r="B165"/>
      <c r="C165" t="s">
        <v>14</v>
      </c>
      <c r="D165" t="s">
        <v>20</v>
      </c>
      <c r="E165" t="s">
        <v>52</v>
      </c>
      <c r="F165" s="15">
        <v>596.5</v>
      </c>
      <c r="G165" s="10" t="s">
        <v>8</v>
      </c>
    </row>
    <row r="166" spans="2:7">
      <c r="B166"/>
      <c r="C166" t="s">
        <v>14</v>
      </c>
      <c r="D166" t="s">
        <v>49</v>
      </c>
      <c r="E166" t="s">
        <v>54</v>
      </c>
      <c r="F166" s="15">
        <v>856</v>
      </c>
      <c r="G166" s="10" t="s">
        <v>8</v>
      </c>
    </row>
    <row r="167" spans="2:7">
      <c r="B167"/>
      <c r="C167" t="s">
        <v>14</v>
      </c>
      <c r="D167" t="s">
        <v>49</v>
      </c>
      <c r="E167" t="s">
        <v>53</v>
      </c>
      <c r="F167" s="15">
        <v>920</v>
      </c>
      <c r="G167" s="10" t="s">
        <v>8</v>
      </c>
    </row>
    <row r="168" spans="2:7">
      <c r="B168"/>
      <c r="C168" t="s">
        <v>14</v>
      </c>
      <c r="D168" t="s">
        <v>49</v>
      </c>
      <c r="E168" t="s">
        <v>52</v>
      </c>
      <c r="F168" s="15">
        <v>551.5</v>
      </c>
      <c r="G168" s="10" t="s">
        <v>8</v>
      </c>
    </row>
    <row r="169" spans="2:7">
      <c r="B169"/>
      <c r="C169" t="s">
        <v>14</v>
      </c>
      <c r="D169" t="s">
        <v>50</v>
      </c>
      <c r="E169" t="s">
        <v>54</v>
      </c>
      <c r="F169" s="15">
        <v>1038</v>
      </c>
      <c r="G169" s="10" t="s">
        <v>8</v>
      </c>
    </row>
    <row r="170" spans="2:7">
      <c r="B170"/>
      <c r="C170" t="s">
        <v>14</v>
      </c>
      <c r="D170" t="s">
        <v>50</v>
      </c>
      <c r="E170" t="s">
        <v>53</v>
      </c>
      <c r="F170" s="15">
        <v>1101</v>
      </c>
      <c r="G170" s="10" t="s">
        <v>8</v>
      </c>
    </row>
    <row r="171" spans="2:7">
      <c r="B171"/>
      <c r="C171" t="s">
        <v>14</v>
      </c>
      <c r="D171" t="s">
        <v>50</v>
      </c>
      <c r="E171" t="s">
        <v>52</v>
      </c>
      <c r="F171" s="15">
        <v>790.5</v>
      </c>
      <c r="G171" s="10" t="s">
        <v>8</v>
      </c>
    </row>
    <row r="172" spans="2:7">
      <c r="B172"/>
      <c r="C172" t="s">
        <v>14</v>
      </c>
      <c r="D172" t="s">
        <v>51</v>
      </c>
      <c r="E172" t="s">
        <v>54</v>
      </c>
      <c r="F172" s="15">
        <v>1066</v>
      </c>
      <c r="G172" s="10" t="s">
        <v>8</v>
      </c>
    </row>
    <row r="173" spans="2:7">
      <c r="B173"/>
      <c r="C173" t="s">
        <v>14</v>
      </c>
      <c r="D173" t="s">
        <v>51</v>
      </c>
      <c r="E173" t="s">
        <v>53</v>
      </c>
      <c r="F173" s="15">
        <v>1329.5</v>
      </c>
      <c r="G173" s="10" t="s">
        <v>8</v>
      </c>
    </row>
    <row r="174" spans="2:7">
      <c r="B174"/>
      <c r="C174" t="s">
        <v>14</v>
      </c>
      <c r="D174" t="s">
        <v>51</v>
      </c>
      <c r="E174" t="s">
        <v>52</v>
      </c>
      <c r="F174" s="15">
        <v>1272</v>
      </c>
      <c r="G174" s="10" t="s">
        <v>8</v>
      </c>
    </row>
    <row r="175" spans="2:7">
      <c r="B175"/>
      <c r="C175" t="s">
        <v>15</v>
      </c>
      <c r="D175">
        <v>2024</v>
      </c>
      <c r="E175" t="s">
        <v>54</v>
      </c>
      <c r="F175" s="15">
        <v>75854</v>
      </c>
      <c r="G175" s="10" t="s">
        <v>8</v>
      </c>
    </row>
    <row r="176" spans="2:7">
      <c r="B176"/>
      <c r="C176" t="s">
        <v>15</v>
      </c>
      <c r="D176">
        <v>2024</v>
      </c>
      <c r="E176" t="s">
        <v>53</v>
      </c>
      <c r="F176" s="15">
        <v>133139</v>
      </c>
      <c r="G176" s="10" t="s">
        <v>8</v>
      </c>
    </row>
    <row r="177" spans="2:7">
      <c r="B177"/>
      <c r="C177" t="s">
        <v>15</v>
      </c>
      <c r="D177">
        <v>2024</v>
      </c>
      <c r="E177" t="s">
        <v>52</v>
      </c>
      <c r="F177" s="15">
        <v>37930</v>
      </c>
      <c r="G177" s="10" t="s">
        <v>8</v>
      </c>
    </row>
    <row r="178" spans="2:7">
      <c r="B178"/>
      <c r="C178" t="s">
        <v>15</v>
      </c>
      <c r="D178">
        <v>2025</v>
      </c>
      <c r="E178" t="s">
        <v>54</v>
      </c>
      <c r="F178" s="15">
        <v>75506</v>
      </c>
      <c r="G178" s="10" t="s">
        <v>8</v>
      </c>
    </row>
    <row r="179" spans="2:7">
      <c r="B179"/>
      <c r="C179" t="s">
        <v>15</v>
      </c>
      <c r="D179">
        <v>2025</v>
      </c>
      <c r="E179" t="s">
        <v>53</v>
      </c>
      <c r="F179" s="15">
        <v>132549</v>
      </c>
      <c r="G179" s="10" t="s">
        <v>8</v>
      </c>
    </row>
    <row r="180" spans="2:7">
      <c r="B180"/>
      <c r="C180" t="s">
        <v>15</v>
      </c>
      <c r="D180">
        <v>2025</v>
      </c>
      <c r="E180" t="s">
        <v>52</v>
      </c>
      <c r="F180" s="15">
        <v>49221</v>
      </c>
      <c r="G180" s="10" t="s">
        <v>8</v>
      </c>
    </row>
    <row r="181" spans="2:7">
      <c r="B181"/>
      <c r="C181" t="s">
        <v>15</v>
      </c>
      <c r="D181" t="s">
        <v>19</v>
      </c>
      <c r="E181" t="s">
        <v>54</v>
      </c>
      <c r="F181" s="15">
        <v>73936</v>
      </c>
      <c r="G181" s="10" t="s">
        <v>8</v>
      </c>
    </row>
    <row r="182" spans="2:7">
      <c r="B182"/>
      <c r="C182" t="s">
        <v>15</v>
      </c>
      <c r="D182" t="s">
        <v>19</v>
      </c>
      <c r="E182" t="s">
        <v>53</v>
      </c>
      <c r="F182" s="15">
        <v>133373.5</v>
      </c>
      <c r="G182" s="10" t="s">
        <v>8</v>
      </c>
    </row>
    <row r="183" spans="2:7">
      <c r="B183"/>
      <c r="C183" t="s">
        <v>15</v>
      </c>
      <c r="D183" t="s">
        <v>19</v>
      </c>
      <c r="E183" t="s">
        <v>52</v>
      </c>
      <c r="F183" s="15">
        <v>58510.5</v>
      </c>
      <c r="G183" s="10" t="s">
        <v>8</v>
      </c>
    </row>
    <row r="184" spans="2:7">
      <c r="B184"/>
      <c r="C184" t="s">
        <v>15</v>
      </c>
      <c r="D184" t="s">
        <v>20</v>
      </c>
      <c r="E184" t="s">
        <v>54</v>
      </c>
      <c r="F184" s="15">
        <v>35584</v>
      </c>
      <c r="G184" s="10" t="s">
        <v>8</v>
      </c>
    </row>
    <row r="185" spans="2:7">
      <c r="B185"/>
      <c r="C185" t="s">
        <v>15</v>
      </c>
      <c r="D185" t="s">
        <v>20</v>
      </c>
      <c r="E185" t="s">
        <v>53</v>
      </c>
      <c r="F185" s="15">
        <v>133110.5</v>
      </c>
      <c r="G185" s="10" t="s">
        <v>8</v>
      </c>
    </row>
    <row r="186" spans="2:7">
      <c r="B186"/>
      <c r="C186" t="s">
        <v>15</v>
      </c>
      <c r="D186" t="s">
        <v>20</v>
      </c>
      <c r="E186" t="s">
        <v>52</v>
      </c>
      <c r="F186" s="15">
        <v>57758.5</v>
      </c>
      <c r="G186" s="10" t="s">
        <v>8</v>
      </c>
    </row>
    <row r="187" spans="2:7">
      <c r="B187"/>
      <c r="C187" t="s">
        <v>15</v>
      </c>
      <c r="D187" t="s">
        <v>49</v>
      </c>
      <c r="E187" t="s">
        <v>54</v>
      </c>
      <c r="F187" s="15">
        <v>36578</v>
      </c>
      <c r="G187" s="10" t="s">
        <v>8</v>
      </c>
    </row>
    <row r="188" spans="2:7">
      <c r="B188"/>
      <c r="C188" t="s">
        <v>15</v>
      </c>
      <c r="D188" t="s">
        <v>49</v>
      </c>
      <c r="E188" t="s">
        <v>53</v>
      </c>
      <c r="F188" s="15">
        <v>129691.5</v>
      </c>
      <c r="G188" s="10" t="s">
        <v>8</v>
      </c>
    </row>
    <row r="189" spans="2:7">
      <c r="B189"/>
      <c r="C189" t="s">
        <v>15</v>
      </c>
      <c r="D189" t="s">
        <v>49</v>
      </c>
      <c r="E189" t="s">
        <v>52</v>
      </c>
      <c r="F189" s="15">
        <v>62250.5</v>
      </c>
      <c r="G189" s="10" t="s">
        <v>8</v>
      </c>
    </row>
    <row r="190" spans="2:7">
      <c r="B190"/>
      <c r="C190" t="s">
        <v>15</v>
      </c>
      <c r="D190" t="s">
        <v>50</v>
      </c>
      <c r="E190" t="s">
        <v>54</v>
      </c>
      <c r="F190" s="15">
        <v>37916</v>
      </c>
      <c r="G190" s="10" t="s">
        <v>8</v>
      </c>
    </row>
    <row r="191" spans="2:7">
      <c r="B191"/>
      <c r="C191" t="s">
        <v>15</v>
      </c>
      <c r="D191" t="s">
        <v>50</v>
      </c>
      <c r="E191" t="s">
        <v>53</v>
      </c>
      <c r="F191" s="15">
        <v>132136.5</v>
      </c>
      <c r="G191" s="10" t="s">
        <v>8</v>
      </c>
    </row>
    <row r="192" spans="2:7">
      <c r="B192"/>
      <c r="C192" t="s">
        <v>15</v>
      </c>
      <c r="D192" t="s">
        <v>50</v>
      </c>
      <c r="E192" t="s">
        <v>52</v>
      </c>
      <c r="F192" s="15">
        <v>68250.5</v>
      </c>
      <c r="G192" s="10" t="s">
        <v>8</v>
      </c>
    </row>
    <row r="193" spans="1:40">
      <c r="B193"/>
      <c r="C193" t="s">
        <v>15</v>
      </c>
      <c r="D193" t="s">
        <v>51</v>
      </c>
      <c r="E193" t="s">
        <v>54</v>
      </c>
      <c r="F193" s="15">
        <v>39874</v>
      </c>
      <c r="G193" s="10" t="s">
        <v>8</v>
      </c>
    </row>
    <row r="194" spans="1:40">
      <c r="B194"/>
      <c r="C194" t="s">
        <v>15</v>
      </c>
      <c r="D194" t="s">
        <v>51</v>
      </c>
      <c r="E194" t="s">
        <v>53</v>
      </c>
      <c r="F194" s="15">
        <v>135639</v>
      </c>
      <c r="G194" s="10" t="s">
        <v>8</v>
      </c>
    </row>
    <row r="195" spans="1:40">
      <c r="B195"/>
      <c r="C195" t="s">
        <v>15</v>
      </c>
      <c r="D195" t="s">
        <v>51</v>
      </c>
      <c r="E195" t="s">
        <v>52</v>
      </c>
      <c r="F195" s="15">
        <v>75515</v>
      </c>
      <c r="G195" s="10" t="s">
        <v>8</v>
      </c>
    </row>
    <row r="197" spans="1:40" s="13" customFormat="1" ht="14.4" customHeight="1">
      <c r="A197" s="11"/>
      <c r="B197" s="12" t="s">
        <v>2</v>
      </c>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D20"/>
  <sheetViews>
    <sheetView zoomScale="77" workbookViewId="0"/>
  </sheetViews>
  <sheetFormatPr defaultRowHeight="15.6"/>
  <cols>
    <col min="1" max="1" width="147.109375" style="8" customWidth="1"/>
    <col min="2" max="2" width="16.33203125" style="8" customWidth="1"/>
    <col min="3" max="16384" width="8.88671875" style="8"/>
  </cols>
  <sheetData>
    <row r="1" spans="1:4">
      <c r="A1" s="7" t="s">
        <v>3</v>
      </c>
      <c r="B1" s="7" t="s">
        <v>0</v>
      </c>
      <c r="C1" s="7" t="s">
        <v>6</v>
      </c>
    </row>
    <row r="2" spans="1:4">
      <c r="A2" s="3" t="s">
        <v>56</v>
      </c>
      <c r="B2" s="9"/>
      <c r="C2" s="16" t="s">
        <v>8</v>
      </c>
    </row>
    <row r="3" spans="1:4">
      <c r="A3" s="21" t="s">
        <v>57</v>
      </c>
      <c r="B3" s="9"/>
      <c r="C3" s="16" t="s">
        <v>8</v>
      </c>
    </row>
    <row r="4" spans="1:4">
      <c r="A4" s="3" t="s">
        <v>58</v>
      </c>
      <c r="B4" s="9"/>
      <c r="C4" s="16" t="s">
        <v>8</v>
      </c>
    </row>
    <row r="5" spans="1:4">
      <c r="A5" s="3" t="s">
        <v>59</v>
      </c>
      <c r="B5" s="9"/>
      <c r="C5" s="16" t="s">
        <v>8</v>
      </c>
    </row>
    <row r="6" spans="1:4">
      <c r="A6" s="3" t="s">
        <v>60</v>
      </c>
      <c r="B6" s="9"/>
      <c r="C6" s="16" t="s">
        <v>8</v>
      </c>
    </row>
    <row r="7" spans="1:4">
      <c r="A7" s="3" t="s">
        <v>61</v>
      </c>
      <c r="B7" s="9"/>
      <c r="C7" s="16" t="s">
        <v>8</v>
      </c>
    </row>
    <row r="8" spans="1:4">
      <c r="A8" s="3" t="s">
        <v>62</v>
      </c>
      <c r="B8" s="9"/>
      <c r="C8" s="16" t="s">
        <v>8</v>
      </c>
      <c r="D8" s="8" t="s">
        <v>10</v>
      </c>
    </row>
    <row r="9" spans="1:4">
      <c r="A9" s="21" t="s">
        <v>63</v>
      </c>
      <c r="B9" s="9"/>
      <c r="C9" s="16" t="s">
        <v>8</v>
      </c>
    </row>
    <row r="10" spans="1:4">
      <c r="A10" s="3" t="s">
        <v>64</v>
      </c>
      <c r="B10" s="9"/>
      <c r="C10" s="16" t="s">
        <v>8</v>
      </c>
    </row>
    <row r="11" spans="1:4">
      <c r="A11" s="3" t="s">
        <v>65</v>
      </c>
      <c r="B11" s="9"/>
      <c r="C11" s="16" t="s">
        <v>8</v>
      </c>
    </row>
    <row r="12" spans="1:4">
      <c r="A12" s="3" t="s">
        <v>66</v>
      </c>
      <c r="B12" s="9"/>
      <c r="C12" s="16" t="s">
        <v>8</v>
      </c>
    </row>
    <row r="13" spans="1:4">
      <c r="A13" s="3" t="s">
        <v>67</v>
      </c>
      <c r="B13" s="9"/>
      <c r="C13" s="16" t="s">
        <v>8</v>
      </c>
    </row>
    <row r="14" spans="1:4">
      <c r="A14" s="3" t="s">
        <v>68</v>
      </c>
      <c r="B14" s="9"/>
      <c r="C14" s="16" t="s">
        <v>8</v>
      </c>
    </row>
    <row r="15" spans="1:4">
      <c r="A15" s="21" t="s">
        <v>69</v>
      </c>
      <c r="B15" s="9"/>
      <c r="C15" s="16" t="s">
        <v>8</v>
      </c>
    </row>
    <row r="16" spans="1:4">
      <c r="A16" s="3" t="s">
        <v>70</v>
      </c>
      <c r="B16" s="9"/>
      <c r="C16" s="16" t="s">
        <v>8</v>
      </c>
    </row>
    <row r="17" spans="1:3">
      <c r="A17" s="3" t="s">
        <v>71</v>
      </c>
      <c r="B17" s="9"/>
      <c r="C17" s="16" t="s">
        <v>8</v>
      </c>
    </row>
    <row r="18" spans="1:3">
      <c r="A18" s="3" t="s">
        <v>72</v>
      </c>
      <c r="B18" s="9"/>
      <c r="C18" s="16" t="s">
        <v>8</v>
      </c>
    </row>
    <row r="19" spans="1:3">
      <c r="A19" s="3" t="s">
        <v>73</v>
      </c>
      <c r="B19" s="9"/>
      <c r="C19" s="16" t="s">
        <v>8</v>
      </c>
    </row>
    <row r="20" spans="1:3">
      <c r="A20" s="3" t="s">
        <v>74</v>
      </c>
      <c r="B20" s="9"/>
      <c r="C20" s="16" t="s">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2026-05-08T02:31:45Z</dcterms:modified>
</cp:coreProperties>
</file>